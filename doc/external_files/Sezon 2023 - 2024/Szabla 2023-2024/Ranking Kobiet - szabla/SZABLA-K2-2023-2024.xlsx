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07038eb1d96bf1ab/Ranking SPWS/Sezon 2023 - 2024/Szabla 2023-2024/Ranking Kobiet - szabla/"/>
    </mc:Choice>
  </mc:AlternateContent>
  <xr:revisionPtr revIDLastSave="582" documentId="8_{7DCFD9FF-8A32-4034-AFB0-C083BCE09D45}" xr6:coauthVersionLast="47" xr6:coauthVersionMax="47" xr10:uidLastSave="{85DB9BF9-0C12-43CB-92AD-4AF64588F3FD}"/>
  <bookViews>
    <workbookView xWindow="-109" yWindow="-109" windowWidth="26301" windowHeight="14169" tabRatio="956" xr2:uid="{00000000-000D-0000-FFFF-FFFF00000000}"/>
  </bookViews>
  <sheets>
    <sheet name="Ranking" sheetId="13" r:id="rId1"/>
    <sheet name="GP1" sheetId="14" r:id="rId2"/>
    <sheet name="GP2" sheetId="15" r:id="rId3"/>
    <sheet name="GP3" sheetId="16" r:id="rId4"/>
    <sheet name="GP4" sheetId="17" r:id="rId5"/>
    <sheet name="GP5" sheetId="18" r:id="rId6"/>
    <sheet name="GP6" sheetId="29" r:id="rId7"/>
    <sheet name="GP7" sheetId="30" r:id="rId8"/>
    <sheet name="GP8" sheetId="31" r:id="rId9"/>
    <sheet name="MPW" sheetId="19" r:id="rId10"/>
    <sheet name="Kadra" sheetId="20" r:id="rId11"/>
    <sheet name="PEW1" sheetId="21" r:id="rId12"/>
    <sheet name="PEW2" sheetId="22" r:id="rId13"/>
    <sheet name="PEW3" sheetId="23" r:id="rId14"/>
    <sheet name="VFC" sheetId="37" r:id="rId15"/>
    <sheet name="PEW4" sheetId="24" r:id="rId16"/>
    <sheet name="PEW5" sheetId="25" r:id="rId17"/>
    <sheet name="PEW6" sheetId="26" r:id="rId18"/>
    <sheet name="PEW7" sheetId="27" r:id="rId19"/>
    <sheet name="PEW8" sheetId="32" r:id="rId20"/>
    <sheet name="PEW9" sheetId="33" r:id="rId21"/>
    <sheet name="PEW10" sheetId="34" r:id="rId22"/>
    <sheet name="PEW11" sheetId="35" r:id="rId23"/>
    <sheet name="PEW12" sheetId="36" r:id="rId24"/>
    <sheet name="IMEW" sheetId="28" r:id="rId25"/>
  </sheets>
  <definedNames>
    <definedName name="_xlnm._FilterDatabase" localSheetId="10" hidden="1">Kadra!$A$5:$AY$5</definedName>
    <definedName name="_xlnm._FilterDatabase" localSheetId="0" hidden="1">Ranking!$A$5:$V$5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29" i="20" l="1"/>
  <c r="AE29" i="20" s="1"/>
  <c r="AD28" i="20"/>
  <c r="AE28" i="20" s="1"/>
  <c r="AD27" i="20"/>
  <c r="AE27" i="20" s="1"/>
  <c r="AD26" i="20"/>
  <c r="AE26" i="20" s="1"/>
  <c r="AD25" i="20"/>
  <c r="AE25" i="20" s="1"/>
  <c r="AD24" i="20"/>
  <c r="AE24" i="20" s="1"/>
  <c r="AD23" i="20"/>
  <c r="AE23" i="20" s="1"/>
  <c r="AD22" i="20"/>
  <c r="AE22" i="20" s="1"/>
  <c r="AD21" i="20"/>
  <c r="AE21" i="20" s="1"/>
  <c r="AD20" i="20"/>
  <c r="AE20" i="20" s="1"/>
  <c r="AD19" i="20"/>
  <c r="AE19" i="20" s="1"/>
  <c r="AD18" i="20"/>
  <c r="AE18" i="20" s="1"/>
  <c r="AD17" i="20"/>
  <c r="AE17" i="20" s="1"/>
  <c r="AD16" i="20"/>
  <c r="AE16" i="20" s="1"/>
  <c r="AD15" i="20"/>
  <c r="AE15" i="20" s="1"/>
  <c r="AD14" i="20"/>
  <c r="AE14" i="20" s="1"/>
  <c r="AD13" i="20"/>
  <c r="AE13" i="20" s="1"/>
  <c r="AD12" i="20"/>
  <c r="AE12" i="20" s="1"/>
  <c r="AD11" i="20"/>
  <c r="AE11" i="20" s="1"/>
  <c r="AD10" i="20"/>
  <c r="AE10" i="20" s="1"/>
  <c r="AD9" i="20"/>
  <c r="AE9" i="20" s="1"/>
  <c r="AD8" i="20"/>
  <c r="AE8" i="20" s="1"/>
  <c r="AD6" i="20"/>
  <c r="AE6" i="20" s="1"/>
  <c r="AD7" i="20"/>
  <c r="AE7" i="20" s="1"/>
  <c r="J305" i="37"/>
  <c r="K305" i="37" s="1"/>
  <c r="I305" i="37"/>
  <c r="M305" i="37" s="1"/>
  <c r="J304" i="37"/>
  <c r="K304" i="37" s="1"/>
  <c r="I304" i="37"/>
  <c r="M304" i="37" s="1"/>
  <c r="J303" i="37"/>
  <c r="K303" i="37" s="1"/>
  <c r="I303" i="37"/>
  <c r="M303" i="37" s="1"/>
  <c r="J302" i="37"/>
  <c r="K302" i="37" s="1"/>
  <c r="I302" i="37"/>
  <c r="M302" i="37" s="1"/>
  <c r="J301" i="37"/>
  <c r="K301" i="37" s="1"/>
  <c r="I301" i="37"/>
  <c r="M301" i="37" s="1"/>
  <c r="J300" i="37"/>
  <c r="K300" i="37" s="1"/>
  <c r="I300" i="37"/>
  <c r="M300" i="37" s="1"/>
  <c r="J299" i="37"/>
  <c r="K299" i="37" s="1"/>
  <c r="I299" i="37"/>
  <c r="M299" i="37" s="1"/>
  <c r="J298" i="37"/>
  <c r="K298" i="37" s="1"/>
  <c r="I298" i="37"/>
  <c r="M298" i="37" s="1"/>
  <c r="J297" i="37"/>
  <c r="K297" i="37" s="1"/>
  <c r="I297" i="37"/>
  <c r="M297" i="37" s="1"/>
  <c r="J296" i="37"/>
  <c r="K296" i="37" s="1"/>
  <c r="I296" i="37"/>
  <c r="M296" i="37" s="1"/>
  <c r="J295" i="37"/>
  <c r="K295" i="37" s="1"/>
  <c r="I295" i="37"/>
  <c r="M295" i="37" s="1"/>
  <c r="J294" i="37"/>
  <c r="K294" i="37" s="1"/>
  <c r="I294" i="37"/>
  <c r="M294" i="37" s="1"/>
  <c r="J293" i="37"/>
  <c r="K293" i="37" s="1"/>
  <c r="I293" i="37"/>
  <c r="M293" i="37" s="1"/>
  <c r="J292" i="37"/>
  <c r="K292" i="37" s="1"/>
  <c r="I292" i="37"/>
  <c r="M292" i="37" s="1"/>
  <c r="J291" i="37"/>
  <c r="K291" i="37" s="1"/>
  <c r="I291" i="37"/>
  <c r="M291" i="37" s="1"/>
  <c r="J290" i="37"/>
  <c r="K290" i="37" s="1"/>
  <c r="I290" i="37"/>
  <c r="M290" i="37" s="1"/>
  <c r="J289" i="37"/>
  <c r="K289" i="37" s="1"/>
  <c r="I289" i="37"/>
  <c r="M289" i="37" s="1"/>
  <c r="J288" i="37"/>
  <c r="K288" i="37" s="1"/>
  <c r="I288" i="37"/>
  <c r="M288" i="37" s="1"/>
  <c r="J287" i="37"/>
  <c r="K287" i="37" s="1"/>
  <c r="I287" i="37"/>
  <c r="M287" i="37" s="1"/>
  <c r="J286" i="37"/>
  <c r="K286" i="37" s="1"/>
  <c r="I286" i="37"/>
  <c r="M286" i="37" s="1"/>
  <c r="J285" i="37"/>
  <c r="K285" i="37" s="1"/>
  <c r="I285" i="37"/>
  <c r="M285" i="37" s="1"/>
  <c r="J284" i="37"/>
  <c r="K284" i="37" s="1"/>
  <c r="I284" i="37"/>
  <c r="M284" i="37" s="1"/>
  <c r="J283" i="37"/>
  <c r="K283" i="37" s="1"/>
  <c r="I283" i="37"/>
  <c r="M283" i="37" s="1"/>
  <c r="J282" i="37"/>
  <c r="K282" i="37" s="1"/>
  <c r="I282" i="37"/>
  <c r="M282" i="37" s="1"/>
  <c r="J281" i="37"/>
  <c r="K281" i="37" s="1"/>
  <c r="I281" i="37"/>
  <c r="M281" i="37" s="1"/>
  <c r="J280" i="37"/>
  <c r="K280" i="37" s="1"/>
  <c r="I280" i="37"/>
  <c r="M280" i="37" s="1"/>
  <c r="J279" i="37"/>
  <c r="K279" i="37" s="1"/>
  <c r="I279" i="37"/>
  <c r="M279" i="37" s="1"/>
  <c r="J278" i="37"/>
  <c r="K278" i="37" s="1"/>
  <c r="I278" i="37"/>
  <c r="M278" i="37" s="1"/>
  <c r="J277" i="37"/>
  <c r="K277" i="37" s="1"/>
  <c r="I277" i="37"/>
  <c r="M277" i="37" s="1"/>
  <c r="J276" i="37"/>
  <c r="K276" i="37" s="1"/>
  <c r="I276" i="37"/>
  <c r="M276" i="37" s="1"/>
  <c r="J275" i="37"/>
  <c r="K275" i="37" s="1"/>
  <c r="I275" i="37"/>
  <c r="M275" i="37" s="1"/>
  <c r="J274" i="37"/>
  <c r="K274" i="37" s="1"/>
  <c r="I274" i="37"/>
  <c r="M274" i="37" s="1"/>
  <c r="J273" i="37"/>
  <c r="K273" i="37" s="1"/>
  <c r="I273" i="37"/>
  <c r="M273" i="37" s="1"/>
  <c r="J272" i="37"/>
  <c r="K272" i="37" s="1"/>
  <c r="I272" i="37"/>
  <c r="M272" i="37" s="1"/>
  <c r="J271" i="37"/>
  <c r="K271" i="37" s="1"/>
  <c r="I271" i="37"/>
  <c r="M271" i="37" s="1"/>
  <c r="J270" i="37"/>
  <c r="K270" i="37" s="1"/>
  <c r="I270" i="37"/>
  <c r="M270" i="37" s="1"/>
  <c r="J269" i="37"/>
  <c r="K269" i="37" s="1"/>
  <c r="I269" i="37"/>
  <c r="M269" i="37" s="1"/>
  <c r="J268" i="37"/>
  <c r="K268" i="37" s="1"/>
  <c r="I268" i="37"/>
  <c r="M268" i="37" s="1"/>
  <c r="J267" i="37"/>
  <c r="K267" i="37" s="1"/>
  <c r="I267" i="37"/>
  <c r="M267" i="37" s="1"/>
  <c r="J266" i="37"/>
  <c r="K266" i="37" s="1"/>
  <c r="I266" i="37"/>
  <c r="M266" i="37" s="1"/>
  <c r="J265" i="37"/>
  <c r="K265" i="37" s="1"/>
  <c r="I265" i="37"/>
  <c r="M265" i="37" s="1"/>
  <c r="J264" i="37"/>
  <c r="K264" i="37" s="1"/>
  <c r="I264" i="37"/>
  <c r="M264" i="37" s="1"/>
  <c r="J263" i="37"/>
  <c r="K263" i="37" s="1"/>
  <c r="I263" i="37"/>
  <c r="M263" i="37" s="1"/>
  <c r="J262" i="37"/>
  <c r="K262" i="37" s="1"/>
  <c r="I262" i="37"/>
  <c r="M262" i="37" s="1"/>
  <c r="J261" i="37"/>
  <c r="K261" i="37" s="1"/>
  <c r="I261" i="37"/>
  <c r="M261" i="37" s="1"/>
  <c r="J260" i="37"/>
  <c r="K260" i="37" s="1"/>
  <c r="I260" i="37"/>
  <c r="M260" i="37" s="1"/>
  <c r="J259" i="37"/>
  <c r="K259" i="37" s="1"/>
  <c r="I259" i="37"/>
  <c r="M259" i="37" s="1"/>
  <c r="J258" i="37"/>
  <c r="K258" i="37" s="1"/>
  <c r="I258" i="37"/>
  <c r="M258" i="37" s="1"/>
  <c r="J257" i="37"/>
  <c r="K257" i="37" s="1"/>
  <c r="I257" i="37"/>
  <c r="M257" i="37" s="1"/>
  <c r="J256" i="37"/>
  <c r="K256" i="37" s="1"/>
  <c r="I256" i="37"/>
  <c r="M256" i="37" s="1"/>
  <c r="J255" i="37"/>
  <c r="K255" i="37" s="1"/>
  <c r="I255" i="37"/>
  <c r="M255" i="37" s="1"/>
  <c r="J254" i="37"/>
  <c r="K254" i="37" s="1"/>
  <c r="I254" i="37"/>
  <c r="M254" i="37" s="1"/>
  <c r="J253" i="37"/>
  <c r="K253" i="37" s="1"/>
  <c r="I253" i="37"/>
  <c r="M253" i="37" s="1"/>
  <c r="J252" i="37"/>
  <c r="K252" i="37" s="1"/>
  <c r="I252" i="37"/>
  <c r="M252" i="37" s="1"/>
  <c r="J251" i="37"/>
  <c r="K251" i="37" s="1"/>
  <c r="I251" i="37"/>
  <c r="M251" i="37" s="1"/>
  <c r="J250" i="37"/>
  <c r="K250" i="37" s="1"/>
  <c r="I250" i="37"/>
  <c r="M250" i="37" s="1"/>
  <c r="J249" i="37"/>
  <c r="K249" i="37" s="1"/>
  <c r="I249" i="37"/>
  <c r="M249" i="37" s="1"/>
  <c r="J248" i="37"/>
  <c r="K248" i="37" s="1"/>
  <c r="I248" i="37"/>
  <c r="M248" i="37" s="1"/>
  <c r="J247" i="37"/>
  <c r="K247" i="37" s="1"/>
  <c r="I247" i="37"/>
  <c r="M247" i="37" s="1"/>
  <c r="J246" i="37"/>
  <c r="K246" i="37" s="1"/>
  <c r="I246" i="37"/>
  <c r="M246" i="37" s="1"/>
  <c r="J245" i="37"/>
  <c r="K245" i="37" s="1"/>
  <c r="I245" i="37"/>
  <c r="M245" i="37" s="1"/>
  <c r="J244" i="37"/>
  <c r="K244" i="37" s="1"/>
  <c r="I244" i="37"/>
  <c r="M244" i="37" s="1"/>
  <c r="J243" i="37"/>
  <c r="K243" i="37" s="1"/>
  <c r="I243" i="37"/>
  <c r="M243" i="37" s="1"/>
  <c r="J242" i="37"/>
  <c r="K242" i="37" s="1"/>
  <c r="I242" i="37"/>
  <c r="M242" i="37" s="1"/>
  <c r="J241" i="37"/>
  <c r="K241" i="37" s="1"/>
  <c r="I241" i="37"/>
  <c r="M241" i="37" s="1"/>
  <c r="J240" i="37"/>
  <c r="K240" i="37" s="1"/>
  <c r="I240" i="37"/>
  <c r="M240" i="37" s="1"/>
  <c r="J239" i="37"/>
  <c r="K239" i="37" s="1"/>
  <c r="I239" i="37"/>
  <c r="M239" i="37" s="1"/>
  <c r="J238" i="37"/>
  <c r="K238" i="37" s="1"/>
  <c r="I238" i="37"/>
  <c r="M238" i="37" s="1"/>
  <c r="J237" i="37"/>
  <c r="K237" i="37" s="1"/>
  <c r="I237" i="37"/>
  <c r="M237" i="37" s="1"/>
  <c r="J236" i="37"/>
  <c r="K236" i="37" s="1"/>
  <c r="I236" i="37"/>
  <c r="M236" i="37" s="1"/>
  <c r="J235" i="37"/>
  <c r="K235" i="37" s="1"/>
  <c r="I235" i="37"/>
  <c r="M235" i="37" s="1"/>
  <c r="J234" i="37"/>
  <c r="K234" i="37" s="1"/>
  <c r="I234" i="37"/>
  <c r="M234" i="37" s="1"/>
  <c r="J233" i="37"/>
  <c r="K233" i="37" s="1"/>
  <c r="I233" i="37"/>
  <c r="M233" i="37" s="1"/>
  <c r="J232" i="37"/>
  <c r="K232" i="37" s="1"/>
  <c r="I232" i="37"/>
  <c r="M232" i="37" s="1"/>
  <c r="J231" i="37"/>
  <c r="K231" i="37" s="1"/>
  <c r="I231" i="37"/>
  <c r="M231" i="37" s="1"/>
  <c r="J230" i="37"/>
  <c r="K230" i="37" s="1"/>
  <c r="I230" i="37"/>
  <c r="M230" i="37" s="1"/>
  <c r="J229" i="37"/>
  <c r="K229" i="37" s="1"/>
  <c r="I229" i="37"/>
  <c r="M229" i="37" s="1"/>
  <c r="J228" i="37"/>
  <c r="K228" i="37" s="1"/>
  <c r="I228" i="37"/>
  <c r="M228" i="37" s="1"/>
  <c r="J227" i="37"/>
  <c r="K227" i="37" s="1"/>
  <c r="I227" i="37"/>
  <c r="M227" i="37" s="1"/>
  <c r="J226" i="37"/>
  <c r="K226" i="37" s="1"/>
  <c r="I226" i="37"/>
  <c r="M226" i="37" s="1"/>
  <c r="J225" i="37"/>
  <c r="K225" i="37" s="1"/>
  <c r="I225" i="37"/>
  <c r="M225" i="37" s="1"/>
  <c r="J224" i="37"/>
  <c r="K224" i="37" s="1"/>
  <c r="I224" i="37"/>
  <c r="M224" i="37" s="1"/>
  <c r="J223" i="37"/>
  <c r="K223" i="37" s="1"/>
  <c r="I223" i="37"/>
  <c r="M223" i="37" s="1"/>
  <c r="J222" i="37"/>
  <c r="K222" i="37" s="1"/>
  <c r="I222" i="37"/>
  <c r="M222" i="37" s="1"/>
  <c r="J221" i="37"/>
  <c r="K221" i="37" s="1"/>
  <c r="I221" i="37"/>
  <c r="M221" i="37" s="1"/>
  <c r="J220" i="37"/>
  <c r="K220" i="37" s="1"/>
  <c r="I220" i="37"/>
  <c r="M220" i="37" s="1"/>
  <c r="J219" i="37"/>
  <c r="K219" i="37" s="1"/>
  <c r="I219" i="37"/>
  <c r="M219" i="37" s="1"/>
  <c r="J218" i="37"/>
  <c r="K218" i="37" s="1"/>
  <c r="I218" i="37"/>
  <c r="M218" i="37" s="1"/>
  <c r="J217" i="37"/>
  <c r="K217" i="37" s="1"/>
  <c r="I217" i="37"/>
  <c r="M217" i="37" s="1"/>
  <c r="J216" i="37"/>
  <c r="K216" i="37" s="1"/>
  <c r="I216" i="37"/>
  <c r="M216" i="37" s="1"/>
  <c r="J215" i="37"/>
  <c r="K215" i="37" s="1"/>
  <c r="I215" i="37"/>
  <c r="M215" i="37" s="1"/>
  <c r="J214" i="37"/>
  <c r="K214" i="37" s="1"/>
  <c r="I214" i="37"/>
  <c r="M214" i="37" s="1"/>
  <c r="J213" i="37"/>
  <c r="K213" i="37" s="1"/>
  <c r="I213" i="37"/>
  <c r="M213" i="37" s="1"/>
  <c r="J212" i="37"/>
  <c r="K212" i="37" s="1"/>
  <c r="I212" i="37"/>
  <c r="M212" i="37" s="1"/>
  <c r="J211" i="37"/>
  <c r="K211" i="37" s="1"/>
  <c r="I211" i="37"/>
  <c r="M211" i="37" s="1"/>
  <c r="J210" i="37"/>
  <c r="K210" i="37" s="1"/>
  <c r="I210" i="37"/>
  <c r="M210" i="37" s="1"/>
  <c r="J209" i="37"/>
  <c r="K209" i="37" s="1"/>
  <c r="I209" i="37"/>
  <c r="M209" i="37" s="1"/>
  <c r="J208" i="37"/>
  <c r="K208" i="37" s="1"/>
  <c r="I208" i="37"/>
  <c r="M208" i="37" s="1"/>
  <c r="J207" i="37"/>
  <c r="K207" i="37" s="1"/>
  <c r="I207" i="37"/>
  <c r="M207" i="37" s="1"/>
  <c r="J206" i="37"/>
  <c r="K206" i="37" s="1"/>
  <c r="I206" i="37"/>
  <c r="M206" i="37" s="1"/>
  <c r="J205" i="37"/>
  <c r="K205" i="37" s="1"/>
  <c r="I205" i="37"/>
  <c r="M205" i="37" s="1"/>
  <c r="J204" i="37"/>
  <c r="K204" i="37" s="1"/>
  <c r="I204" i="37"/>
  <c r="M204" i="37" s="1"/>
  <c r="J203" i="37"/>
  <c r="K203" i="37" s="1"/>
  <c r="I203" i="37"/>
  <c r="M203" i="37" s="1"/>
  <c r="J202" i="37"/>
  <c r="K202" i="37" s="1"/>
  <c r="I202" i="37"/>
  <c r="M202" i="37" s="1"/>
  <c r="J201" i="37"/>
  <c r="K201" i="37" s="1"/>
  <c r="I201" i="37"/>
  <c r="M201" i="37" s="1"/>
  <c r="J200" i="37"/>
  <c r="K200" i="37" s="1"/>
  <c r="I200" i="37"/>
  <c r="M200" i="37" s="1"/>
  <c r="J199" i="37"/>
  <c r="K199" i="37" s="1"/>
  <c r="I199" i="37"/>
  <c r="M199" i="37" s="1"/>
  <c r="J198" i="37"/>
  <c r="K198" i="37" s="1"/>
  <c r="I198" i="37"/>
  <c r="M198" i="37" s="1"/>
  <c r="J197" i="37"/>
  <c r="K197" i="37" s="1"/>
  <c r="I197" i="37"/>
  <c r="M197" i="37" s="1"/>
  <c r="J196" i="37"/>
  <c r="K196" i="37" s="1"/>
  <c r="I196" i="37"/>
  <c r="M196" i="37" s="1"/>
  <c r="J195" i="37"/>
  <c r="K195" i="37" s="1"/>
  <c r="I195" i="37"/>
  <c r="M195" i="37" s="1"/>
  <c r="J194" i="37"/>
  <c r="K194" i="37" s="1"/>
  <c r="I194" i="37"/>
  <c r="M194" i="37" s="1"/>
  <c r="J193" i="37"/>
  <c r="K193" i="37" s="1"/>
  <c r="I193" i="37"/>
  <c r="M193" i="37" s="1"/>
  <c r="J192" i="37"/>
  <c r="K192" i="37" s="1"/>
  <c r="I192" i="37"/>
  <c r="M192" i="37" s="1"/>
  <c r="J191" i="37"/>
  <c r="K191" i="37" s="1"/>
  <c r="I191" i="37"/>
  <c r="M191" i="37" s="1"/>
  <c r="J190" i="37"/>
  <c r="K190" i="37" s="1"/>
  <c r="I190" i="37"/>
  <c r="M190" i="37" s="1"/>
  <c r="J189" i="37"/>
  <c r="K189" i="37" s="1"/>
  <c r="I189" i="37"/>
  <c r="M189" i="37" s="1"/>
  <c r="J188" i="37"/>
  <c r="K188" i="37" s="1"/>
  <c r="I188" i="37"/>
  <c r="M188" i="37" s="1"/>
  <c r="J187" i="37"/>
  <c r="K187" i="37" s="1"/>
  <c r="I187" i="37"/>
  <c r="M187" i="37" s="1"/>
  <c r="J186" i="37"/>
  <c r="K186" i="37" s="1"/>
  <c r="I186" i="37"/>
  <c r="M186" i="37" s="1"/>
  <c r="J185" i="37"/>
  <c r="K185" i="37" s="1"/>
  <c r="I185" i="37"/>
  <c r="M185" i="37" s="1"/>
  <c r="J184" i="37"/>
  <c r="K184" i="37" s="1"/>
  <c r="I184" i="37"/>
  <c r="M184" i="37" s="1"/>
  <c r="J183" i="37"/>
  <c r="K183" i="37" s="1"/>
  <c r="I183" i="37"/>
  <c r="M183" i="37" s="1"/>
  <c r="J182" i="37"/>
  <c r="K182" i="37" s="1"/>
  <c r="I182" i="37"/>
  <c r="M182" i="37" s="1"/>
  <c r="J181" i="37"/>
  <c r="K181" i="37" s="1"/>
  <c r="I181" i="37"/>
  <c r="M181" i="37" s="1"/>
  <c r="J180" i="37"/>
  <c r="K180" i="37" s="1"/>
  <c r="I180" i="37"/>
  <c r="M180" i="37" s="1"/>
  <c r="J179" i="37"/>
  <c r="K179" i="37" s="1"/>
  <c r="I179" i="37"/>
  <c r="M179" i="37" s="1"/>
  <c r="J178" i="37"/>
  <c r="K178" i="37" s="1"/>
  <c r="I178" i="37"/>
  <c r="M178" i="37" s="1"/>
  <c r="J177" i="37"/>
  <c r="K177" i="37" s="1"/>
  <c r="I177" i="37"/>
  <c r="M177" i="37" s="1"/>
  <c r="J176" i="37"/>
  <c r="K176" i="37" s="1"/>
  <c r="I176" i="37"/>
  <c r="M176" i="37" s="1"/>
  <c r="J175" i="37"/>
  <c r="K175" i="37" s="1"/>
  <c r="I175" i="37"/>
  <c r="M175" i="37" s="1"/>
  <c r="J174" i="37"/>
  <c r="K174" i="37" s="1"/>
  <c r="I174" i="37"/>
  <c r="M174" i="37" s="1"/>
  <c r="J173" i="37"/>
  <c r="K173" i="37" s="1"/>
  <c r="I173" i="37"/>
  <c r="M173" i="37" s="1"/>
  <c r="J172" i="37"/>
  <c r="K172" i="37" s="1"/>
  <c r="I172" i="37"/>
  <c r="M172" i="37" s="1"/>
  <c r="J171" i="37"/>
  <c r="K171" i="37" s="1"/>
  <c r="I171" i="37"/>
  <c r="M171" i="37" s="1"/>
  <c r="J170" i="37"/>
  <c r="K170" i="37" s="1"/>
  <c r="I170" i="37"/>
  <c r="M170" i="37" s="1"/>
  <c r="J169" i="37"/>
  <c r="K169" i="37" s="1"/>
  <c r="I169" i="37"/>
  <c r="M169" i="37" s="1"/>
  <c r="J168" i="37"/>
  <c r="K168" i="37" s="1"/>
  <c r="I168" i="37"/>
  <c r="M168" i="37" s="1"/>
  <c r="J167" i="37"/>
  <c r="K167" i="37" s="1"/>
  <c r="I167" i="37"/>
  <c r="M167" i="37" s="1"/>
  <c r="J166" i="37"/>
  <c r="K166" i="37" s="1"/>
  <c r="I166" i="37"/>
  <c r="M166" i="37" s="1"/>
  <c r="J165" i="37"/>
  <c r="K165" i="37" s="1"/>
  <c r="I165" i="37"/>
  <c r="M165" i="37" s="1"/>
  <c r="J164" i="37"/>
  <c r="K164" i="37" s="1"/>
  <c r="I164" i="37"/>
  <c r="M164" i="37" s="1"/>
  <c r="J163" i="37"/>
  <c r="K163" i="37" s="1"/>
  <c r="I163" i="37"/>
  <c r="M163" i="37" s="1"/>
  <c r="J162" i="37"/>
  <c r="K162" i="37" s="1"/>
  <c r="I162" i="37"/>
  <c r="M162" i="37" s="1"/>
  <c r="J161" i="37"/>
  <c r="K161" i="37" s="1"/>
  <c r="I161" i="37"/>
  <c r="M161" i="37" s="1"/>
  <c r="J160" i="37"/>
  <c r="K160" i="37" s="1"/>
  <c r="I160" i="37"/>
  <c r="M160" i="37" s="1"/>
  <c r="J159" i="37"/>
  <c r="K159" i="37" s="1"/>
  <c r="I159" i="37"/>
  <c r="M159" i="37" s="1"/>
  <c r="J158" i="37"/>
  <c r="K158" i="37" s="1"/>
  <c r="I158" i="37"/>
  <c r="M158" i="37" s="1"/>
  <c r="J157" i="37"/>
  <c r="K157" i="37" s="1"/>
  <c r="I157" i="37"/>
  <c r="M157" i="37" s="1"/>
  <c r="J156" i="37"/>
  <c r="K156" i="37" s="1"/>
  <c r="I156" i="37"/>
  <c r="M156" i="37" s="1"/>
  <c r="J155" i="37"/>
  <c r="K155" i="37" s="1"/>
  <c r="I155" i="37"/>
  <c r="M155" i="37" s="1"/>
  <c r="J154" i="37"/>
  <c r="K154" i="37" s="1"/>
  <c r="I154" i="37"/>
  <c r="M154" i="37" s="1"/>
  <c r="J153" i="37"/>
  <c r="K153" i="37" s="1"/>
  <c r="I153" i="37"/>
  <c r="M153" i="37" s="1"/>
  <c r="J152" i="37"/>
  <c r="K152" i="37" s="1"/>
  <c r="I152" i="37"/>
  <c r="M152" i="37" s="1"/>
  <c r="J151" i="37"/>
  <c r="K151" i="37" s="1"/>
  <c r="I151" i="37"/>
  <c r="M151" i="37" s="1"/>
  <c r="J150" i="37"/>
  <c r="K150" i="37" s="1"/>
  <c r="I150" i="37"/>
  <c r="M150" i="37" s="1"/>
  <c r="J149" i="37"/>
  <c r="K149" i="37" s="1"/>
  <c r="I149" i="37"/>
  <c r="M149" i="37" s="1"/>
  <c r="J148" i="37"/>
  <c r="K148" i="37" s="1"/>
  <c r="I148" i="37"/>
  <c r="M148" i="37" s="1"/>
  <c r="J147" i="37"/>
  <c r="K147" i="37" s="1"/>
  <c r="I147" i="37"/>
  <c r="M147" i="37" s="1"/>
  <c r="J146" i="37"/>
  <c r="K146" i="37" s="1"/>
  <c r="I146" i="37"/>
  <c r="M146" i="37" s="1"/>
  <c r="J145" i="37"/>
  <c r="K145" i="37" s="1"/>
  <c r="I145" i="37"/>
  <c r="M145" i="37" s="1"/>
  <c r="J144" i="37"/>
  <c r="K144" i="37" s="1"/>
  <c r="I144" i="37"/>
  <c r="M144" i="37" s="1"/>
  <c r="J143" i="37"/>
  <c r="K143" i="37" s="1"/>
  <c r="I143" i="37"/>
  <c r="M143" i="37" s="1"/>
  <c r="J142" i="37"/>
  <c r="K142" i="37" s="1"/>
  <c r="I142" i="37"/>
  <c r="M142" i="37" s="1"/>
  <c r="J141" i="37"/>
  <c r="K141" i="37" s="1"/>
  <c r="I141" i="37"/>
  <c r="M141" i="37" s="1"/>
  <c r="J140" i="37"/>
  <c r="K140" i="37" s="1"/>
  <c r="I140" i="37"/>
  <c r="M140" i="37" s="1"/>
  <c r="A140" i="37" s="1"/>
  <c r="B140" i="37"/>
  <c r="M139" i="37"/>
  <c r="K139" i="37"/>
  <c r="J139" i="37"/>
  <c r="I139" i="37"/>
  <c r="B139" i="37"/>
  <c r="A139" i="37"/>
  <c r="M138" i="37"/>
  <c r="J138" i="37"/>
  <c r="K138" i="37" s="1"/>
  <c r="I138" i="37"/>
  <c r="B138" i="37"/>
  <c r="A138" i="37"/>
  <c r="M137" i="37"/>
  <c r="A137" i="37" s="1"/>
  <c r="J137" i="37"/>
  <c r="K137" i="37" s="1"/>
  <c r="I137" i="37"/>
  <c r="B137" i="37"/>
  <c r="M136" i="37"/>
  <c r="A136" i="37" s="1"/>
  <c r="K136" i="37"/>
  <c r="J136" i="37"/>
  <c r="I136" i="37"/>
  <c r="B136" i="37"/>
  <c r="J135" i="37"/>
  <c r="K135" i="37" s="1"/>
  <c r="I135" i="37"/>
  <c r="M135" i="37" s="1"/>
  <c r="A135" i="37" s="1"/>
  <c r="B135" i="37"/>
  <c r="M134" i="37"/>
  <c r="J134" i="37"/>
  <c r="K134" i="37" s="1"/>
  <c r="I134" i="37"/>
  <c r="B134" i="37"/>
  <c r="A134" i="37"/>
  <c r="M133" i="37"/>
  <c r="A133" i="37" s="1"/>
  <c r="J133" i="37"/>
  <c r="K133" i="37" s="1"/>
  <c r="I133" i="37"/>
  <c r="B133" i="37"/>
  <c r="M132" i="37"/>
  <c r="A132" i="37" s="1"/>
  <c r="K132" i="37"/>
  <c r="J132" i="37"/>
  <c r="I132" i="37"/>
  <c r="B132" i="37"/>
  <c r="J131" i="37"/>
  <c r="K131" i="37" s="1"/>
  <c r="I131" i="37"/>
  <c r="M131" i="37" s="1"/>
  <c r="A131" i="37" s="1"/>
  <c r="B131" i="37"/>
  <c r="M130" i="37"/>
  <c r="J130" i="37"/>
  <c r="K130" i="37" s="1"/>
  <c r="I130" i="37"/>
  <c r="B130" i="37"/>
  <c r="A130" i="37"/>
  <c r="M129" i="37"/>
  <c r="A129" i="37" s="1"/>
  <c r="J129" i="37"/>
  <c r="K129" i="37" s="1"/>
  <c r="I129" i="37"/>
  <c r="B129" i="37"/>
  <c r="M128" i="37"/>
  <c r="A128" i="37" s="1"/>
  <c r="K128" i="37"/>
  <c r="J128" i="37"/>
  <c r="I128" i="37"/>
  <c r="B128" i="37"/>
  <c r="J127" i="37"/>
  <c r="K127" i="37" s="1"/>
  <c r="I127" i="37"/>
  <c r="M127" i="37" s="1"/>
  <c r="A127" i="37" s="1"/>
  <c r="B127" i="37"/>
  <c r="M126" i="37"/>
  <c r="J126" i="37"/>
  <c r="K126" i="37" s="1"/>
  <c r="I126" i="37"/>
  <c r="B126" i="37"/>
  <c r="A126" i="37"/>
  <c r="M125" i="37"/>
  <c r="A125" i="37" s="1"/>
  <c r="J125" i="37"/>
  <c r="K125" i="37" s="1"/>
  <c r="I125" i="37"/>
  <c r="B125" i="37"/>
  <c r="M124" i="37"/>
  <c r="A124" i="37" s="1"/>
  <c r="K124" i="37"/>
  <c r="J124" i="37"/>
  <c r="I124" i="37"/>
  <c r="B124" i="37"/>
  <c r="J123" i="37"/>
  <c r="K123" i="37" s="1"/>
  <c r="I123" i="37"/>
  <c r="M123" i="37" s="1"/>
  <c r="A123" i="37" s="1"/>
  <c r="B123" i="37"/>
  <c r="M122" i="37"/>
  <c r="J122" i="37"/>
  <c r="K122" i="37" s="1"/>
  <c r="I122" i="37"/>
  <c r="B122" i="37"/>
  <c r="A122" i="37"/>
  <c r="M121" i="37"/>
  <c r="A121" i="37" s="1"/>
  <c r="J121" i="37"/>
  <c r="K121" i="37" s="1"/>
  <c r="I121" i="37"/>
  <c r="B121" i="37"/>
  <c r="M120" i="37"/>
  <c r="A120" i="37" s="1"/>
  <c r="K120" i="37"/>
  <c r="J120" i="37"/>
  <c r="I120" i="37"/>
  <c r="B120" i="37"/>
  <c r="J119" i="37"/>
  <c r="K119" i="37" s="1"/>
  <c r="I119" i="37"/>
  <c r="M119" i="37" s="1"/>
  <c r="A119" i="37" s="1"/>
  <c r="B119" i="37"/>
  <c r="M118" i="37"/>
  <c r="J118" i="37"/>
  <c r="K118" i="37" s="1"/>
  <c r="I118" i="37"/>
  <c r="B118" i="37"/>
  <c r="A118" i="37"/>
  <c r="M117" i="37"/>
  <c r="A117" i="37" s="1"/>
  <c r="J117" i="37"/>
  <c r="K117" i="37" s="1"/>
  <c r="I117" i="37"/>
  <c r="B117" i="37"/>
  <c r="M116" i="37"/>
  <c r="A116" i="37" s="1"/>
  <c r="K116" i="37"/>
  <c r="J116" i="37"/>
  <c r="I116" i="37"/>
  <c r="B116" i="37"/>
  <c r="J115" i="37"/>
  <c r="K115" i="37" s="1"/>
  <c r="I115" i="37"/>
  <c r="M115" i="37" s="1"/>
  <c r="A115" i="37" s="1"/>
  <c r="B115" i="37"/>
  <c r="M114" i="37"/>
  <c r="J114" i="37"/>
  <c r="K114" i="37" s="1"/>
  <c r="I114" i="37"/>
  <c r="B114" i="37"/>
  <c r="A114" i="37"/>
  <c r="M113" i="37"/>
  <c r="A113" i="37" s="1"/>
  <c r="J113" i="37"/>
  <c r="K113" i="37" s="1"/>
  <c r="I113" i="37"/>
  <c r="B113" i="37"/>
  <c r="M112" i="37"/>
  <c r="A112" i="37" s="1"/>
  <c r="K112" i="37"/>
  <c r="J112" i="37"/>
  <c r="I112" i="37"/>
  <c r="B112" i="37"/>
  <c r="J111" i="37"/>
  <c r="K111" i="37" s="1"/>
  <c r="I111" i="37"/>
  <c r="M111" i="37" s="1"/>
  <c r="A111" i="37" s="1"/>
  <c r="B111" i="37"/>
  <c r="M110" i="37"/>
  <c r="J110" i="37"/>
  <c r="K110" i="37" s="1"/>
  <c r="I110" i="37"/>
  <c r="B110" i="37"/>
  <c r="A110" i="37"/>
  <c r="M109" i="37"/>
  <c r="A109" i="37" s="1"/>
  <c r="J109" i="37"/>
  <c r="K109" i="37" s="1"/>
  <c r="I109" i="37"/>
  <c r="B109" i="37"/>
  <c r="M108" i="37"/>
  <c r="A108" i="37" s="1"/>
  <c r="K108" i="37"/>
  <c r="J108" i="37"/>
  <c r="I108" i="37"/>
  <c r="B108" i="37"/>
  <c r="J107" i="37"/>
  <c r="K107" i="37" s="1"/>
  <c r="I107" i="37"/>
  <c r="M107" i="37" s="1"/>
  <c r="A107" i="37" s="1"/>
  <c r="B107" i="37"/>
  <c r="M106" i="37"/>
  <c r="J106" i="37"/>
  <c r="K106" i="37" s="1"/>
  <c r="I106" i="37"/>
  <c r="B106" i="37"/>
  <c r="A106" i="37"/>
  <c r="M105" i="37"/>
  <c r="A105" i="37" s="1"/>
  <c r="J105" i="37"/>
  <c r="K105" i="37" s="1"/>
  <c r="I105" i="37"/>
  <c r="B105" i="37"/>
  <c r="M104" i="37"/>
  <c r="A104" i="37" s="1"/>
  <c r="K104" i="37"/>
  <c r="J104" i="37"/>
  <c r="I104" i="37"/>
  <c r="B104" i="37"/>
  <c r="J103" i="37"/>
  <c r="K103" i="37" s="1"/>
  <c r="I103" i="37"/>
  <c r="M103" i="37" s="1"/>
  <c r="A103" i="37" s="1"/>
  <c r="B103" i="37"/>
  <c r="M102" i="37"/>
  <c r="J102" i="37"/>
  <c r="K102" i="37" s="1"/>
  <c r="I102" i="37"/>
  <c r="B102" i="37"/>
  <c r="A102" i="37"/>
  <c r="M101" i="37"/>
  <c r="A101" i="37" s="1"/>
  <c r="J101" i="37"/>
  <c r="K101" i="37" s="1"/>
  <c r="I101" i="37"/>
  <c r="B101" i="37"/>
  <c r="M100" i="37"/>
  <c r="A100" i="37" s="1"/>
  <c r="K100" i="37"/>
  <c r="J100" i="37"/>
  <c r="I100" i="37"/>
  <c r="B100" i="37"/>
  <c r="J99" i="37"/>
  <c r="K99" i="37" s="1"/>
  <c r="I99" i="37"/>
  <c r="M99" i="37" s="1"/>
  <c r="A99" i="37" s="1"/>
  <c r="B99" i="37"/>
  <c r="M98" i="37"/>
  <c r="J98" i="37"/>
  <c r="K98" i="37" s="1"/>
  <c r="I98" i="37"/>
  <c r="B98" i="37"/>
  <c r="A98" i="37"/>
  <c r="M97" i="37"/>
  <c r="A97" i="37" s="1"/>
  <c r="J97" i="37"/>
  <c r="K97" i="37" s="1"/>
  <c r="I97" i="37"/>
  <c r="B97" i="37"/>
  <c r="M96" i="37"/>
  <c r="A96" i="37" s="1"/>
  <c r="K96" i="37"/>
  <c r="J96" i="37"/>
  <c r="I96" i="37"/>
  <c r="B96" i="37"/>
  <c r="J95" i="37"/>
  <c r="K95" i="37" s="1"/>
  <c r="I95" i="37"/>
  <c r="M95" i="37" s="1"/>
  <c r="A95" i="37" s="1"/>
  <c r="B95" i="37"/>
  <c r="M94" i="37"/>
  <c r="J94" i="37"/>
  <c r="K94" i="37" s="1"/>
  <c r="I94" i="37"/>
  <c r="B94" i="37"/>
  <c r="A94" i="37"/>
  <c r="M93" i="37"/>
  <c r="A93" i="37" s="1"/>
  <c r="J93" i="37"/>
  <c r="K93" i="37" s="1"/>
  <c r="I93" i="37"/>
  <c r="B93" i="37"/>
  <c r="M92" i="37"/>
  <c r="A92" i="37" s="1"/>
  <c r="K92" i="37"/>
  <c r="J92" i="37"/>
  <c r="I92" i="37"/>
  <c r="B92" i="37"/>
  <c r="J91" i="37"/>
  <c r="K91" i="37" s="1"/>
  <c r="I91" i="37"/>
  <c r="M91" i="37" s="1"/>
  <c r="A91" i="37" s="1"/>
  <c r="B91" i="37"/>
  <c r="M90" i="37"/>
  <c r="J90" i="37"/>
  <c r="K90" i="37" s="1"/>
  <c r="I90" i="37"/>
  <c r="B90" i="37"/>
  <c r="A90" i="37"/>
  <c r="M89" i="37"/>
  <c r="A89" i="37" s="1"/>
  <c r="J89" i="37"/>
  <c r="K89" i="37" s="1"/>
  <c r="I89" i="37"/>
  <c r="B89" i="37"/>
  <c r="M88" i="37"/>
  <c r="A88" i="37" s="1"/>
  <c r="K88" i="37"/>
  <c r="J88" i="37"/>
  <c r="I88" i="37"/>
  <c r="B88" i="37"/>
  <c r="J87" i="37"/>
  <c r="K87" i="37" s="1"/>
  <c r="I87" i="37"/>
  <c r="M87" i="37" s="1"/>
  <c r="A87" i="37" s="1"/>
  <c r="B87" i="37"/>
  <c r="M86" i="37"/>
  <c r="J86" i="37"/>
  <c r="K86" i="37" s="1"/>
  <c r="I86" i="37"/>
  <c r="B86" i="37"/>
  <c r="A86" i="37"/>
  <c r="M85" i="37"/>
  <c r="A85" i="37" s="1"/>
  <c r="J85" i="37"/>
  <c r="K85" i="37" s="1"/>
  <c r="I85" i="37"/>
  <c r="B85" i="37"/>
  <c r="M84" i="37"/>
  <c r="A84" i="37" s="1"/>
  <c r="K84" i="37"/>
  <c r="J84" i="37"/>
  <c r="I84" i="37"/>
  <c r="B84" i="37"/>
  <c r="J83" i="37"/>
  <c r="K83" i="37" s="1"/>
  <c r="I83" i="37"/>
  <c r="M83" i="37" s="1"/>
  <c r="A83" i="37" s="1"/>
  <c r="B83" i="37"/>
  <c r="M82" i="37"/>
  <c r="J82" i="37"/>
  <c r="K82" i="37" s="1"/>
  <c r="I82" i="37"/>
  <c r="B82" i="37"/>
  <c r="A82" i="37"/>
  <c r="M81" i="37"/>
  <c r="A81" i="37" s="1"/>
  <c r="J81" i="37"/>
  <c r="K81" i="37" s="1"/>
  <c r="I81" i="37"/>
  <c r="B81" i="37"/>
  <c r="M80" i="37"/>
  <c r="A80" i="37" s="1"/>
  <c r="K80" i="37"/>
  <c r="J80" i="37"/>
  <c r="I80" i="37"/>
  <c r="B80" i="37"/>
  <c r="J79" i="37"/>
  <c r="K79" i="37" s="1"/>
  <c r="I79" i="37"/>
  <c r="M79" i="37" s="1"/>
  <c r="A79" i="37" s="1"/>
  <c r="B79" i="37"/>
  <c r="M78" i="37"/>
  <c r="J78" i="37"/>
  <c r="K78" i="37" s="1"/>
  <c r="I78" i="37"/>
  <c r="B78" i="37"/>
  <c r="A78" i="37"/>
  <c r="M77" i="37"/>
  <c r="A77" i="37" s="1"/>
  <c r="J77" i="37"/>
  <c r="K77" i="37" s="1"/>
  <c r="I77" i="37"/>
  <c r="B77" i="37"/>
  <c r="M76" i="37"/>
  <c r="A76" i="37" s="1"/>
  <c r="K76" i="37"/>
  <c r="J76" i="37"/>
  <c r="I76" i="37"/>
  <c r="B76" i="37"/>
  <c r="J75" i="37"/>
  <c r="K75" i="37" s="1"/>
  <c r="I75" i="37"/>
  <c r="M75" i="37" s="1"/>
  <c r="A75" i="37" s="1"/>
  <c r="B75" i="37"/>
  <c r="M74" i="37"/>
  <c r="J74" i="37"/>
  <c r="K74" i="37" s="1"/>
  <c r="I74" i="37"/>
  <c r="B74" i="37"/>
  <c r="A74" i="37"/>
  <c r="M73" i="37"/>
  <c r="A73" i="37" s="1"/>
  <c r="J73" i="37"/>
  <c r="K73" i="37" s="1"/>
  <c r="I73" i="37"/>
  <c r="B73" i="37"/>
  <c r="M72" i="37"/>
  <c r="A72" i="37" s="1"/>
  <c r="K72" i="37"/>
  <c r="J72" i="37"/>
  <c r="I72" i="37"/>
  <c r="B72" i="37"/>
  <c r="J71" i="37"/>
  <c r="K71" i="37" s="1"/>
  <c r="I71" i="37"/>
  <c r="M71" i="37" s="1"/>
  <c r="A71" i="37" s="1"/>
  <c r="B71" i="37"/>
  <c r="M70" i="37"/>
  <c r="J70" i="37"/>
  <c r="K70" i="37" s="1"/>
  <c r="I70" i="37"/>
  <c r="B70" i="37"/>
  <c r="A70" i="37"/>
  <c r="M69" i="37"/>
  <c r="A69" i="37" s="1"/>
  <c r="J69" i="37"/>
  <c r="K69" i="37" s="1"/>
  <c r="I69" i="37"/>
  <c r="B69" i="37"/>
  <c r="M68" i="37"/>
  <c r="A68" i="37" s="1"/>
  <c r="K68" i="37"/>
  <c r="J68" i="37"/>
  <c r="I68" i="37"/>
  <c r="B68" i="37"/>
  <c r="J67" i="37"/>
  <c r="K67" i="37" s="1"/>
  <c r="I67" i="37"/>
  <c r="M67" i="37" s="1"/>
  <c r="A67" i="37" s="1"/>
  <c r="B67" i="37"/>
  <c r="M66" i="37"/>
  <c r="J66" i="37"/>
  <c r="K66" i="37" s="1"/>
  <c r="I66" i="37"/>
  <c r="B66" i="37"/>
  <c r="A66" i="37"/>
  <c r="M65" i="37"/>
  <c r="A65" i="37" s="1"/>
  <c r="J65" i="37"/>
  <c r="K65" i="37" s="1"/>
  <c r="I65" i="37"/>
  <c r="B65" i="37"/>
  <c r="M64" i="37"/>
  <c r="A64" i="37" s="1"/>
  <c r="K64" i="37"/>
  <c r="J64" i="37"/>
  <c r="I64" i="37"/>
  <c r="B64" i="37"/>
  <c r="J63" i="37"/>
  <c r="K63" i="37" s="1"/>
  <c r="I63" i="37"/>
  <c r="M63" i="37" s="1"/>
  <c r="A63" i="37" s="1"/>
  <c r="B63" i="37"/>
  <c r="M62" i="37"/>
  <c r="J62" i="37"/>
  <c r="K62" i="37" s="1"/>
  <c r="I62" i="37"/>
  <c r="B62" i="37"/>
  <c r="A62" i="37"/>
  <c r="M61" i="37"/>
  <c r="A61" i="37" s="1"/>
  <c r="J61" i="37"/>
  <c r="K61" i="37" s="1"/>
  <c r="I61" i="37"/>
  <c r="B61" i="37"/>
  <c r="M60" i="37"/>
  <c r="A60" i="37" s="1"/>
  <c r="K60" i="37"/>
  <c r="J60" i="37"/>
  <c r="I60" i="37"/>
  <c r="B60" i="37"/>
  <c r="J59" i="37"/>
  <c r="K59" i="37" s="1"/>
  <c r="I59" i="37"/>
  <c r="M59" i="37" s="1"/>
  <c r="A59" i="37" s="1"/>
  <c r="B59" i="37"/>
  <c r="M58" i="37"/>
  <c r="J58" i="37"/>
  <c r="K58" i="37" s="1"/>
  <c r="I58" i="37"/>
  <c r="B58" i="37"/>
  <c r="A58" i="37"/>
  <c r="M57" i="37"/>
  <c r="A57" i="37" s="1"/>
  <c r="J57" i="37"/>
  <c r="K57" i="37" s="1"/>
  <c r="I57" i="37"/>
  <c r="B57" i="37"/>
  <c r="M56" i="37"/>
  <c r="A56" i="37" s="1"/>
  <c r="K56" i="37"/>
  <c r="J56" i="37"/>
  <c r="I56" i="37"/>
  <c r="B56" i="37"/>
  <c r="J55" i="37"/>
  <c r="K55" i="37" s="1"/>
  <c r="I55" i="37"/>
  <c r="M55" i="37" s="1"/>
  <c r="A55" i="37" s="1"/>
  <c r="B55" i="37"/>
  <c r="M54" i="37"/>
  <c r="J54" i="37"/>
  <c r="K54" i="37" s="1"/>
  <c r="I54" i="37"/>
  <c r="B54" i="37"/>
  <c r="A54" i="37"/>
  <c r="M53" i="37"/>
  <c r="A53" i="37" s="1"/>
  <c r="J53" i="37"/>
  <c r="K53" i="37" s="1"/>
  <c r="I53" i="37"/>
  <c r="B53" i="37"/>
  <c r="M52" i="37"/>
  <c r="A52" i="37" s="1"/>
  <c r="K52" i="37"/>
  <c r="J52" i="37"/>
  <c r="I52" i="37"/>
  <c r="B52" i="37"/>
  <c r="J51" i="37"/>
  <c r="K51" i="37" s="1"/>
  <c r="I51" i="37"/>
  <c r="M51" i="37" s="1"/>
  <c r="A51" i="37" s="1"/>
  <c r="B51" i="37"/>
  <c r="M50" i="37"/>
  <c r="J50" i="37"/>
  <c r="K50" i="37" s="1"/>
  <c r="I50" i="37"/>
  <c r="B50" i="37"/>
  <c r="A50" i="37"/>
  <c r="M49" i="37"/>
  <c r="A49" i="37" s="1"/>
  <c r="J49" i="37"/>
  <c r="K49" i="37" s="1"/>
  <c r="I49" i="37"/>
  <c r="B49" i="37"/>
  <c r="M48" i="37"/>
  <c r="A48" i="37" s="1"/>
  <c r="K48" i="37"/>
  <c r="J48" i="37"/>
  <c r="I48" i="37"/>
  <c r="B48" i="37"/>
  <c r="J47" i="37"/>
  <c r="K47" i="37" s="1"/>
  <c r="I47" i="37"/>
  <c r="M47" i="37" s="1"/>
  <c r="A47" i="37" s="1"/>
  <c r="B47" i="37"/>
  <c r="M46" i="37"/>
  <c r="J46" i="37"/>
  <c r="K46" i="37" s="1"/>
  <c r="I46" i="37"/>
  <c r="B46" i="37"/>
  <c r="A46" i="37"/>
  <c r="M45" i="37"/>
  <c r="A45" i="37" s="1"/>
  <c r="J45" i="37"/>
  <c r="K45" i="37" s="1"/>
  <c r="I45" i="37"/>
  <c r="B45" i="37"/>
  <c r="M44" i="37"/>
  <c r="A44" i="37" s="1"/>
  <c r="K44" i="37"/>
  <c r="J44" i="37"/>
  <c r="I44" i="37"/>
  <c r="B44" i="37"/>
  <c r="J43" i="37"/>
  <c r="K43" i="37" s="1"/>
  <c r="I43" i="37"/>
  <c r="M43" i="37" s="1"/>
  <c r="A43" i="37" s="1"/>
  <c r="B43" i="37"/>
  <c r="M42" i="37"/>
  <c r="J42" i="37"/>
  <c r="K42" i="37" s="1"/>
  <c r="I42" i="37"/>
  <c r="B42" i="37"/>
  <c r="A42" i="37"/>
  <c r="M41" i="37"/>
  <c r="A41" i="37" s="1"/>
  <c r="J41" i="37"/>
  <c r="K41" i="37" s="1"/>
  <c r="I41" i="37"/>
  <c r="B41" i="37"/>
  <c r="M40" i="37"/>
  <c r="A40" i="37" s="1"/>
  <c r="K40" i="37"/>
  <c r="J40" i="37"/>
  <c r="I40" i="37"/>
  <c r="B40" i="37"/>
  <c r="J39" i="37"/>
  <c r="K39" i="37" s="1"/>
  <c r="I39" i="37"/>
  <c r="M39" i="37" s="1"/>
  <c r="A39" i="37" s="1"/>
  <c r="B39" i="37"/>
  <c r="M38" i="37"/>
  <c r="J38" i="37"/>
  <c r="K38" i="37" s="1"/>
  <c r="I38" i="37"/>
  <c r="B38" i="37"/>
  <c r="A38" i="37"/>
  <c r="M37" i="37"/>
  <c r="A37" i="37" s="1"/>
  <c r="J37" i="37"/>
  <c r="K37" i="37" s="1"/>
  <c r="I37" i="37"/>
  <c r="B37" i="37"/>
  <c r="M36" i="37"/>
  <c r="A36" i="37" s="1"/>
  <c r="K36" i="37"/>
  <c r="J36" i="37"/>
  <c r="I36" i="37"/>
  <c r="B36" i="37"/>
  <c r="J35" i="37"/>
  <c r="K35" i="37" s="1"/>
  <c r="I35" i="37"/>
  <c r="M35" i="37" s="1"/>
  <c r="A35" i="37" s="1"/>
  <c r="B35" i="37"/>
  <c r="M34" i="37"/>
  <c r="J34" i="37"/>
  <c r="K34" i="37" s="1"/>
  <c r="I34" i="37"/>
  <c r="B34" i="37"/>
  <c r="A34" i="37"/>
  <c r="M33" i="37"/>
  <c r="A33" i="37" s="1"/>
  <c r="J33" i="37"/>
  <c r="K33" i="37" s="1"/>
  <c r="I33" i="37"/>
  <c r="B33" i="37"/>
  <c r="M32" i="37"/>
  <c r="A32" i="37" s="1"/>
  <c r="K32" i="37"/>
  <c r="J32" i="37"/>
  <c r="I32" i="37"/>
  <c r="B32" i="37"/>
  <c r="J31" i="37"/>
  <c r="K31" i="37" s="1"/>
  <c r="I31" i="37"/>
  <c r="M31" i="37" s="1"/>
  <c r="A31" i="37" s="1"/>
  <c r="B31" i="37"/>
  <c r="M30" i="37"/>
  <c r="J30" i="37"/>
  <c r="K30" i="37" s="1"/>
  <c r="I30" i="37"/>
  <c r="B30" i="37"/>
  <c r="A30" i="37"/>
  <c r="M29" i="37"/>
  <c r="A29" i="37" s="1"/>
  <c r="J29" i="37"/>
  <c r="K29" i="37" s="1"/>
  <c r="I29" i="37"/>
  <c r="B29" i="37"/>
  <c r="M28" i="37"/>
  <c r="A28" i="37" s="1"/>
  <c r="K28" i="37"/>
  <c r="J28" i="37"/>
  <c r="I28" i="37"/>
  <c r="B28" i="37"/>
  <c r="J27" i="37"/>
  <c r="K27" i="37" s="1"/>
  <c r="I27" i="37"/>
  <c r="M27" i="37" s="1"/>
  <c r="A27" i="37" s="1"/>
  <c r="B27" i="37"/>
  <c r="M26" i="37"/>
  <c r="J26" i="37"/>
  <c r="K26" i="37" s="1"/>
  <c r="I26" i="37"/>
  <c r="B26" i="37"/>
  <c r="A26" i="37"/>
  <c r="M25" i="37"/>
  <c r="A25" i="37" s="1"/>
  <c r="J25" i="37"/>
  <c r="K25" i="37" s="1"/>
  <c r="I25" i="37"/>
  <c r="B25" i="37"/>
  <c r="M24" i="37"/>
  <c r="A24" i="37" s="1"/>
  <c r="K24" i="37"/>
  <c r="J24" i="37"/>
  <c r="I24" i="37"/>
  <c r="B24" i="37"/>
  <c r="J23" i="37"/>
  <c r="K23" i="37" s="1"/>
  <c r="I23" i="37"/>
  <c r="M23" i="37" s="1"/>
  <c r="A23" i="37" s="1"/>
  <c r="B23" i="37"/>
  <c r="M22" i="37"/>
  <c r="J22" i="37"/>
  <c r="K22" i="37" s="1"/>
  <c r="I22" i="37"/>
  <c r="B22" i="37"/>
  <c r="A22" i="37"/>
  <c r="M21" i="37"/>
  <c r="A21" i="37" s="1"/>
  <c r="J21" i="37"/>
  <c r="K21" i="37" s="1"/>
  <c r="I21" i="37"/>
  <c r="B21" i="37"/>
  <c r="M20" i="37"/>
  <c r="A20" i="37" s="1"/>
  <c r="K20" i="37"/>
  <c r="J20" i="37"/>
  <c r="I20" i="37"/>
  <c r="B20" i="37"/>
  <c r="J19" i="37"/>
  <c r="K19" i="37" s="1"/>
  <c r="I19" i="37"/>
  <c r="M19" i="37" s="1"/>
  <c r="A19" i="37" s="1"/>
  <c r="B19" i="37"/>
  <c r="M18" i="37"/>
  <c r="J18" i="37"/>
  <c r="K18" i="37" s="1"/>
  <c r="I18" i="37"/>
  <c r="B18" i="37"/>
  <c r="A18" i="37"/>
  <c r="M17" i="37"/>
  <c r="A17" i="37" s="1"/>
  <c r="J17" i="37"/>
  <c r="K17" i="37" s="1"/>
  <c r="I17" i="37"/>
  <c r="B17" i="37"/>
  <c r="AI16" i="37"/>
  <c r="M16" i="37"/>
  <c r="A16" i="37" s="1"/>
  <c r="K16" i="37"/>
  <c r="J16" i="37"/>
  <c r="I16" i="37"/>
  <c r="B16" i="37"/>
  <c r="J15" i="37"/>
  <c r="K15" i="37" s="1"/>
  <c r="I15" i="37"/>
  <c r="M15" i="37" s="1"/>
  <c r="A15" i="37" s="1"/>
  <c r="B15" i="37"/>
  <c r="AI14" i="37"/>
  <c r="J14" i="37"/>
  <c r="K14" i="37" s="1"/>
  <c r="I14" i="37"/>
  <c r="M14" i="37" s="1"/>
  <c r="A14" i="37" s="1"/>
  <c r="B14" i="37"/>
  <c r="AI13" i="37"/>
  <c r="K13" i="37"/>
  <c r="J13" i="37"/>
  <c r="I13" i="37"/>
  <c r="M13" i="37" s="1"/>
  <c r="A13" i="37" s="1"/>
  <c r="B13" i="37"/>
  <c r="AI12" i="37"/>
  <c r="M12" i="37"/>
  <c r="J12" i="37"/>
  <c r="K12" i="37" s="1"/>
  <c r="I12" i="37"/>
  <c r="B12" i="37"/>
  <c r="A12" i="37"/>
  <c r="M11" i="37"/>
  <c r="A11" i="37" s="1"/>
  <c r="J11" i="37"/>
  <c r="K11" i="37" s="1"/>
  <c r="I11" i="37"/>
  <c r="B11" i="37"/>
  <c r="M10" i="37"/>
  <c r="A10" i="37" s="1"/>
  <c r="K10" i="37"/>
  <c r="J10" i="37"/>
  <c r="I10" i="37"/>
  <c r="B10" i="37"/>
  <c r="J9" i="37"/>
  <c r="K9" i="37" s="1"/>
  <c r="I9" i="37"/>
  <c r="M9" i="37" s="1"/>
  <c r="A9" i="37" s="1"/>
  <c r="B9" i="37"/>
  <c r="J8" i="37"/>
  <c r="K8" i="37" s="1"/>
  <c r="I8" i="37"/>
  <c r="M8" i="37" s="1"/>
  <c r="A8" i="37" s="1"/>
  <c r="B8" i="37"/>
  <c r="K7" i="37"/>
  <c r="J7" i="37"/>
  <c r="I7" i="37"/>
  <c r="M7" i="37" s="1"/>
  <c r="A7" i="37" s="1"/>
  <c r="B7" i="37"/>
  <c r="M6" i="37"/>
  <c r="J6" i="37"/>
  <c r="K6" i="37" s="1"/>
  <c r="I6" i="37"/>
  <c r="B6" i="37"/>
  <c r="A6" i="37"/>
  <c r="K2" i="37"/>
  <c r="L6" i="37" s="1"/>
  <c r="AV29" i="20"/>
  <c r="AW29" i="20" s="1"/>
  <c r="AV28" i="20"/>
  <c r="AW28" i="20" s="1"/>
  <c r="AV27" i="20"/>
  <c r="AW27" i="20" s="1"/>
  <c r="AV26" i="20"/>
  <c r="AW26" i="20" s="1"/>
  <c r="AV25" i="20"/>
  <c r="AW25" i="20" s="1"/>
  <c r="AV24" i="20"/>
  <c r="AW24" i="20" s="1"/>
  <c r="AV23" i="20"/>
  <c r="AW23" i="20" s="1"/>
  <c r="AV22" i="20"/>
  <c r="AW22" i="20" s="1"/>
  <c r="AV21" i="20"/>
  <c r="AW21" i="20" s="1"/>
  <c r="AV20" i="20"/>
  <c r="AW20" i="20" s="1"/>
  <c r="AV19" i="20"/>
  <c r="AW19" i="20" s="1"/>
  <c r="AV18" i="20"/>
  <c r="AW18" i="20" s="1"/>
  <c r="AV17" i="20"/>
  <c r="AW17" i="20" s="1"/>
  <c r="AV16" i="20"/>
  <c r="AW16" i="20" s="1"/>
  <c r="AV15" i="20"/>
  <c r="AW15" i="20" s="1"/>
  <c r="AV14" i="20"/>
  <c r="AW14" i="20" s="1"/>
  <c r="AV13" i="20"/>
  <c r="AW13" i="20" s="1"/>
  <c r="AV12" i="20"/>
  <c r="AW12" i="20" s="1"/>
  <c r="AV11" i="20"/>
  <c r="AW11" i="20" s="1"/>
  <c r="AV10" i="20"/>
  <c r="AW10" i="20" s="1"/>
  <c r="AV9" i="20"/>
  <c r="AW9" i="20" s="1"/>
  <c r="AV8" i="20"/>
  <c r="AW8" i="20" s="1"/>
  <c r="AV6" i="20"/>
  <c r="AW6" i="20" s="1"/>
  <c r="AV7" i="20"/>
  <c r="AW7" i="20" s="1"/>
  <c r="AT29" i="20"/>
  <c r="AU29" i="20" s="1"/>
  <c r="AT28" i="20"/>
  <c r="AU28" i="20" s="1"/>
  <c r="AT27" i="20"/>
  <c r="AU27" i="20" s="1"/>
  <c r="AT26" i="20"/>
  <c r="AU26" i="20" s="1"/>
  <c r="AT25" i="20"/>
  <c r="AU25" i="20" s="1"/>
  <c r="AT24" i="20"/>
  <c r="AU24" i="20" s="1"/>
  <c r="AT23" i="20"/>
  <c r="AU23" i="20" s="1"/>
  <c r="AT22" i="20"/>
  <c r="AU22" i="20" s="1"/>
  <c r="AT21" i="20"/>
  <c r="AU21" i="20" s="1"/>
  <c r="AT20" i="20"/>
  <c r="AU20" i="20" s="1"/>
  <c r="AT19" i="20"/>
  <c r="AU19" i="20" s="1"/>
  <c r="AT18" i="20"/>
  <c r="AU18" i="20" s="1"/>
  <c r="AT17" i="20"/>
  <c r="AU17" i="20" s="1"/>
  <c r="AT16" i="20"/>
  <c r="AU16" i="20" s="1"/>
  <c r="AT15" i="20"/>
  <c r="AU15" i="20" s="1"/>
  <c r="AT14" i="20"/>
  <c r="AU14" i="20" s="1"/>
  <c r="AT13" i="20"/>
  <c r="AU13" i="20" s="1"/>
  <c r="AT12" i="20"/>
  <c r="AU12" i="20" s="1"/>
  <c r="AT11" i="20"/>
  <c r="AU11" i="20" s="1"/>
  <c r="AT10" i="20"/>
  <c r="AU10" i="20" s="1"/>
  <c r="AT9" i="20"/>
  <c r="AU9" i="20" s="1"/>
  <c r="AT8" i="20"/>
  <c r="AU8" i="20" s="1"/>
  <c r="AT6" i="20"/>
  <c r="AU6" i="20" s="1"/>
  <c r="AT7" i="20"/>
  <c r="AU7" i="20" s="1"/>
  <c r="AR6" i="20"/>
  <c r="AR7" i="20"/>
  <c r="AP29" i="20"/>
  <c r="AQ29" i="20" s="1"/>
  <c r="AP28" i="20"/>
  <c r="AQ28" i="20" s="1"/>
  <c r="AP27" i="20"/>
  <c r="AQ27" i="20" s="1"/>
  <c r="AP26" i="20"/>
  <c r="AQ26" i="20" s="1"/>
  <c r="AP25" i="20"/>
  <c r="AQ25" i="20" s="1"/>
  <c r="AP24" i="20"/>
  <c r="AQ24" i="20" s="1"/>
  <c r="AP23" i="20"/>
  <c r="AQ23" i="20" s="1"/>
  <c r="AP22" i="20"/>
  <c r="AQ22" i="20" s="1"/>
  <c r="AP21" i="20"/>
  <c r="AQ21" i="20" s="1"/>
  <c r="AP20" i="20"/>
  <c r="AQ20" i="20" s="1"/>
  <c r="AP19" i="20"/>
  <c r="AQ19" i="20" s="1"/>
  <c r="AP18" i="20"/>
  <c r="AQ18" i="20" s="1"/>
  <c r="AP17" i="20"/>
  <c r="AQ17" i="20" s="1"/>
  <c r="AP16" i="20"/>
  <c r="AQ16" i="20" s="1"/>
  <c r="AP15" i="20"/>
  <c r="AQ15" i="20" s="1"/>
  <c r="AP14" i="20"/>
  <c r="AQ14" i="20" s="1"/>
  <c r="AP13" i="20"/>
  <c r="AQ13" i="20" s="1"/>
  <c r="AP12" i="20"/>
  <c r="AQ12" i="20" s="1"/>
  <c r="AP11" i="20"/>
  <c r="AQ11" i="20" s="1"/>
  <c r="AP10" i="20"/>
  <c r="AQ10" i="20" s="1"/>
  <c r="AP9" i="20"/>
  <c r="AQ9" i="20" s="1"/>
  <c r="AP8" i="20"/>
  <c r="AQ8" i="20" s="1"/>
  <c r="AP6" i="20"/>
  <c r="AQ6" i="20" s="1"/>
  <c r="AP7" i="20"/>
  <c r="AQ7" i="20" s="1"/>
  <c r="AN29" i="20"/>
  <c r="AO29" i="20" s="1"/>
  <c r="AN28" i="20"/>
  <c r="AO28" i="20" s="1"/>
  <c r="AN27" i="20"/>
  <c r="AO27" i="20" s="1"/>
  <c r="AN26" i="20"/>
  <c r="AO26" i="20" s="1"/>
  <c r="AN25" i="20"/>
  <c r="AO25" i="20" s="1"/>
  <c r="AN24" i="20"/>
  <c r="AO24" i="20" s="1"/>
  <c r="AN23" i="20"/>
  <c r="AO23" i="20" s="1"/>
  <c r="AN22" i="20"/>
  <c r="AO22" i="20" s="1"/>
  <c r="AN21" i="20"/>
  <c r="AO21" i="20" s="1"/>
  <c r="AN20" i="20"/>
  <c r="AO20" i="20" s="1"/>
  <c r="AN19" i="20"/>
  <c r="AO19" i="20" s="1"/>
  <c r="AN18" i="20"/>
  <c r="AO18" i="20" s="1"/>
  <c r="AN17" i="20"/>
  <c r="AO17" i="20" s="1"/>
  <c r="AN16" i="20"/>
  <c r="AO16" i="20" s="1"/>
  <c r="AN15" i="20"/>
  <c r="AO15" i="20" s="1"/>
  <c r="AN14" i="20"/>
  <c r="AO14" i="20" s="1"/>
  <c r="AN13" i="20"/>
  <c r="AO13" i="20" s="1"/>
  <c r="AN12" i="20"/>
  <c r="AO12" i="20" s="1"/>
  <c r="AN11" i="20"/>
  <c r="AO11" i="20" s="1"/>
  <c r="AN10" i="20"/>
  <c r="AO10" i="20" s="1"/>
  <c r="AN9" i="20"/>
  <c r="AO9" i="20" s="1"/>
  <c r="AN8" i="20"/>
  <c r="AO8" i="20" s="1"/>
  <c r="AN6" i="20"/>
  <c r="AO6" i="20" s="1"/>
  <c r="AN7" i="20"/>
  <c r="AO7" i="20" s="1"/>
  <c r="J305" i="36"/>
  <c r="K305" i="36" s="1"/>
  <c r="I305" i="36"/>
  <c r="M305" i="36" s="1"/>
  <c r="J304" i="36"/>
  <c r="K304" i="36" s="1"/>
  <c r="I304" i="36"/>
  <c r="M304" i="36" s="1"/>
  <c r="J303" i="36"/>
  <c r="K303" i="36" s="1"/>
  <c r="I303" i="36"/>
  <c r="M303" i="36" s="1"/>
  <c r="M302" i="36"/>
  <c r="J302" i="36"/>
  <c r="K302" i="36" s="1"/>
  <c r="I302" i="36"/>
  <c r="J301" i="36"/>
  <c r="K301" i="36" s="1"/>
  <c r="I301" i="36"/>
  <c r="M301" i="36" s="1"/>
  <c r="J300" i="36"/>
  <c r="K300" i="36" s="1"/>
  <c r="I300" i="36"/>
  <c r="M300" i="36" s="1"/>
  <c r="J299" i="36"/>
  <c r="K299" i="36" s="1"/>
  <c r="I299" i="36"/>
  <c r="M299" i="36" s="1"/>
  <c r="J298" i="36"/>
  <c r="K298" i="36" s="1"/>
  <c r="I298" i="36"/>
  <c r="M298" i="36" s="1"/>
  <c r="J297" i="36"/>
  <c r="K297" i="36" s="1"/>
  <c r="I297" i="36"/>
  <c r="M297" i="36" s="1"/>
  <c r="M296" i="36"/>
  <c r="J296" i="36"/>
  <c r="K296" i="36" s="1"/>
  <c r="I296" i="36"/>
  <c r="J295" i="36"/>
  <c r="K295" i="36" s="1"/>
  <c r="I295" i="36"/>
  <c r="M295" i="36" s="1"/>
  <c r="J294" i="36"/>
  <c r="K294" i="36" s="1"/>
  <c r="I294" i="36"/>
  <c r="M294" i="36" s="1"/>
  <c r="J293" i="36"/>
  <c r="K293" i="36" s="1"/>
  <c r="I293" i="36"/>
  <c r="M293" i="36" s="1"/>
  <c r="J292" i="36"/>
  <c r="K292" i="36" s="1"/>
  <c r="I292" i="36"/>
  <c r="M292" i="36" s="1"/>
  <c r="J291" i="36"/>
  <c r="K291" i="36" s="1"/>
  <c r="I291" i="36"/>
  <c r="M291" i="36" s="1"/>
  <c r="J290" i="36"/>
  <c r="K290" i="36" s="1"/>
  <c r="I290" i="36"/>
  <c r="M290" i="36" s="1"/>
  <c r="J289" i="36"/>
  <c r="K289" i="36" s="1"/>
  <c r="I289" i="36"/>
  <c r="M289" i="36" s="1"/>
  <c r="J288" i="36"/>
  <c r="K288" i="36" s="1"/>
  <c r="I288" i="36"/>
  <c r="M288" i="36" s="1"/>
  <c r="J287" i="36"/>
  <c r="K287" i="36" s="1"/>
  <c r="I287" i="36"/>
  <c r="M287" i="36" s="1"/>
  <c r="M286" i="36"/>
  <c r="J286" i="36"/>
  <c r="K286" i="36" s="1"/>
  <c r="I286" i="36"/>
  <c r="J285" i="36"/>
  <c r="K285" i="36" s="1"/>
  <c r="I285" i="36"/>
  <c r="M285" i="36" s="1"/>
  <c r="J284" i="36"/>
  <c r="K284" i="36" s="1"/>
  <c r="I284" i="36"/>
  <c r="M284" i="36" s="1"/>
  <c r="J283" i="36"/>
  <c r="K283" i="36" s="1"/>
  <c r="I283" i="36"/>
  <c r="M283" i="36" s="1"/>
  <c r="J282" i="36"/>
  <c r="K282" i="36" s="1"/>
  <c r="I282" i="36"/>
  <c r="M282" i="36" s="1"/>
  <c r="J281" i="36"/>
  <c r="K281" i="36" s="1"/>
  <c r="I281" i="36"/>
  <c r="M281" i="36" s="1"/>
  <c r="M280" i="36"/>
  <c r="J280" i="36"/>
  <c r="K280" i="36" s="1"/>
  <c r="I280" i="36"/>
  <c r="J279" i="36"/>
  <c r="K279" i="36" s="1"/>
  <c r="I279" i="36"/>
  <c r="M279" i="36" s="1"/>
  <c r="J278" i="36"/>
  <c r="K278" i="36" s="1"/>
  <c r="I278" i="36"/>
  <c r="M278" i="36" s="1"/>
  <c r="J277" i="36"/>
  <c r="K277" i="36" s="1"/>
  <c r="I277" i="36"/>
  <c r="M277" i="36" s="1"/>
  <c r="J276" i="36"/>
  <c r="K276" i="36" s="1"/>
  <c r="I276" i="36"/>
  <c r="M276" i="36" s="1"/>
  <c r="J275" i="36"/>
  <c r="K275" i="36" s="1"/>
  <c r="I275" i="36"/>
  <c r="M275" i="36" s="1"/>
  <c r="J274" i="36"/>
  <c r="K274" i="36" s="1"/>
  <c r="I274" i="36"/>
  <c r="M274" i="36" s="1"/>
  <c r="J273" i="36"/>
  <c r="K273" i="36" s="1"/>
  <c r="I273" i="36"/>
  <c r="M273" i="36" s="1"/>
  <c r="J272" i="36"/>
  <c r="K272" i="36" s="1"/>
  <c r="I272" i="36"/>
  <c r="M272" i="36" s="1"/>
  <c r="J271" i="36"/>
  <c r="K271" i="36" s="1"/>
  <c r="I271" i="36"/>
  <c r="M271" i="36" s="1"/>
  <c r="M270" i="36"/>
  <c r="J270" i="36"/>
  <c r="K270" i="36" s="1"/>
  <c r="I270" i="36"/>
  <c r="J269" i="36"/>
  <c r="K269" i="36" s="1"/>
  <c r="I269" i="36"/>
  <c r="M269" i="36" s="1"/>
  <c r="J268" i="36"/>
  <c r="K268" i="36" s="1"/>
  <c r="I268" i="36"/>
  <c r="M268" i="36" s="1"/>
  <c r="J267" i="36"/>
  <c r="K267" i="36" s="1"/>
  <c r="I267" i="36"/>
  <c r="M267" i="36" s="1"/>
  <c r="J266" i="36"/>
  <c r="K266" i="36" s="1"/>
  <c r="I266" i="36"/>
  <c r="M266" i="36" s="1"/>
  <c r="J265" i="36"/>
  <c r="K265" i="36" s="1"/>
  <c r="I265" i="36"/>
  <c r="M265" i="36" s="1"/>
  <c r="M264" i="36"/>
  <c r="J264" i="36"/>
  <c r="K264" i="36" s="1"/>
  <c r="I264" i="36"/>
  <c r="J263" i="36"/>
  <c r="K263" i="36" s="1"/>
  <c r="I263" i="36"/>
  <c r="M263" i="36" s="1"/>
  <c r="J262" i="36"/>
  <c r="K262" i="36" s="1"/>
  <c r="I262" i="36"/>
  <c r="M262" i="36" s="1"/>
  <c r="J261" i="36"/>
  <c r="K261" i="36" s="1"/>
  <c r="I261" i="36"/>
  <c r="M261" i="36" s="1"/>
  <c r="J260" i="36"/>
  <c r="K260" i="36" s="1"/>
  <c r="I260" i="36"/>
  <c r="M260" i="36" s="1"/>
  <c r="J259" i="36"/>
  <c r="K259" i="36" s="1"/>
  <c r="I259" i="36"/>
  <c r="M259" i="36" s="1"/>
  <c r="J258" i="36"/>
  <c r="K258" i="36" s="1"/>
  <c r="I258" i="36"/>
  <c r="M258" i="36" s="1"/>
  <c r="J257" i="36"/>
  <c r="K257" i="36" s="1"/>
  <c r="I257" i="36"/>
  <c r="M257" i="36" s="1"/>
  <c r="J256" i="36"/>
  <c r="K256" i="36" s="1"/>
  <c r="I256" i="36"/>
  <c r="M256" i="36" s="1"/>
  <c r="J255" i="36"/>
  <c r="K255" i="36" s="1"/>
  <c r="I255" i="36"/>
  <c r="M255" i="36" s="1"/>
  <c r="M254" i="36"/>
  <c r="J254" i="36"/>
  <c r="K254" i="36" s="1"/>
  <c r="I254" i="36"/>
  <c r="J253" i="36"/>
  <c r="K253" i="36" s="1"/>
  <c r="I253" i="36"/>
  <c r="M253" i="36" s="1"/>
  <c r="J252" i="36"/>
  <c r="K252" i="36" s="1"/>
  <c r="I252" i="36"/>
  <c r="M252" i="36" s="1"/>
  <c r="J251" i="36"/>
  <c r="K251" i="36" s="1"/>
  <c r="I251" i="36"/>
  <c r="M251" i="36" s="1"/>
  <c r="J250" i="36"/>
  <c r="K250" i="36" s="1"/>
  <c r="I250" i="36"/>
  <c r="M250" i="36" s="1"/>
  <c r="J249" i="36"/>
  <c r="K249" i="36" s="1"/>
  <c r="I249" i="36"/>
  <c r="M249" i="36" s="1"/>
  <c r="M248" i="36"/>
  <c r="J248" i="36"/>
  <c r="K248" i="36" s="1"/>
  <c r="I248" i="36"/>
  <c r="J247" i="36"/>
  <c r="K247" i="36" s="1"/>
  <c r="I247" i="36"/>
  <c r="M247" i="36" s="1"/>
  <c r="J246" i="36"/>
  <c r="K246" i="36" s="1"/>
  <c r="I246" i="36"/>
  <c r="M246" i="36" s="1"/>
  <c r="J245" i="36"/>
  <c r="K245" i="36" s="1"/>
  <c r="I245" i="36"/>
  <c r="M245" i="36" s="1"/>
  <c r="J244" i="36"/>
  <c r="K244" i="36" s="1"/>
  <c r="I244" i="36"/>
  <c r="M244" i="36" s="1"/>
  <c r="J243" i="36"/>
  <c r="K243" i="36" s="1"/>
  <c r="I243" i="36"/>
  <c r="M243" i="36" s="1"/>
  <c r="J242" i="36"/>
  <c r="K242" i="36" s="1"/>
  <c r="I242" i="36"/>
  <c r="M242" i="36" s="1"/>
  <c r="J241" i="36"/>
  <c r="K241" i="36" s="1"/>
  <c r="I241" i="36"/>
  <c r="M241" i="36" s="1"/>
  <c r="J240" i="36"/>
  <c r="K240" i="36" s="1"/>
  <c r="I240" i="36"/>
  <c r="M240" i="36" s="1"/>
  <c r="J239" i="36"/>
  <c r="K239" i="36" s="1"/>
  <c r="I239" i="36"/>
  <c r="M239" i="36" s="1"/>
  <c r="M238" i="36"/>
  <c r="J238" i="36"/>
  <c r="K238" i="36" s="1"/>
  <c r="I238" i="36"/>
  <c r="J237" i="36"/>
  <c r="K237" i="36" s="1"/>
  <c r="I237" i="36"/>
  <c r="M237" i="36" s="1"/>
  <c r="J236" i="36"/>
  <c r="K236" i="36" s="1"/>
  <c r="I236" i="36"/>
  <c r="M236" i="36" s="1"/>
  <c r="J235" i="36"/>
  <c r="K235" i="36" s="1"/>
  <c r="I235" i="36"/>
  <c r="M235" i="36" s="1"/>
  <c r="J234" i="36"/>
  <c r="K234" i="36" s="1"/>
  <c r="I234" i="36"/>
  <c r="M234" i="36" s="1"/>
  <c r="J233" i="36"/>
  <c r="K233" i="36" s="1"/>
  <c r="I233" i="36"/>
  <c r="M233" i="36" s="1"/>
  <c r="M232" i="36"/>
  <c r="J232" i="36"/>
  <c r="K232" i="36" s="1"/>
  <c r="I232" i="36"/>
  <c r="J231" i="36"/>
  <c r="K231" i="36" s="1"/>
  <c r="I231" i="36"/>
  <c r="M231" i="36" s="1"/>
  <c r="J230" i="36"/>
  <c r="K230" i="36" s="1"/>
  <c r="I230" i="36"/>
  <c r="M230" i="36" s="1"/>
  <c r="J229" i="36"/>
  <c r="K229" i="36" s="1"/>
  <c r="I229" i="36"/>
  <c r="M229" i="36" s="1"/>
  <c r="J228" i="36"/>
  <c r="K228" i="36" s="1"/>
  <c r="I228" i="36"/>
  <c r="M228" i="36" s="1"/>
  <c r="J227" i="36"/>
  <c r="K227" i="36" s="1"/>
  <c r="I227" i="36"/>
  <c r="M227" i="36" s="1"/>
  <c r="J226" i="36"/>
  <c r="K226" i="36" s="1"/>
  <c r="I226" i="36"/>
  <c r="M226" i="36" s="1"/>
  <c r="J225" i="36"/>
  <c r="K225" i="36" s="1"/>
  <c r="I225" i="36"/>
  <c r="M225" i="36" s="1"/>
  <c r="J224" i="36"/>
  <c r="K224" i="36" s="1"/>
  <c r="I224" i="36"/>
  <c r="M224" i="36" s="1"/>
  <c r="J223" i="36"/>
  <c r="K223" i="36" s="1"/>
  <c r="I223" i="36"/>
  <c r="M223" i="36" s="1"/>
  <c r="M222" i="36"/>
  <c r="J222" i="36"/>
  <c r="K222" i="36" s="1"/>
  <c r="I222" i="36"/>
  <c r="J221" i="36"/>
  <c r="K221" i="36" s="1"/>
  <c r="I221" i="36"/>
  <c r="M221" i="36" s="1"/>
  <c r="J220" i="36"/>
  <c r="K220" i="36" s="1"/>
  <c r="I220" i="36"/>
  <c r="M220" i="36" s="1"/>
  <c r="J219" i="36"/>
  <c r="K219" i="36" s="1"/>
  <c r="I219" i="36"/>
  <c r="M219" i="36" s="1"/>
  <c r="J218" i="36"/>
  <c r="K218" i="36" s="1"/>
  <c r="I218" i="36"/>
  <c r="M218" i="36" s="1"/>
  <c r="J217" i="36"/>
  <c r="K217" i="36" s="1"/>
  <c r="I217" i="36"/>
  <c r="M217" i="36" s="1"/>
  <c r="M216" i="36"/>
  <c r="J216" i="36"/>
  <c r="K216" i="36" s="1"/>
  <c r="I216" i="36"/>
  <c r="J215" i="36"/>
  <c r="K215" i="36" s="1"/>
  <c r="I215" i="36"/>
  <c r="M215" i="36" s="1"/>
  <c r="J214" i="36"/>
  <c r="K214" i="36" s="1"/>
  <c r="I214" i="36"/>
  <c r="M214" i="36" s="1"/>
  <c r="J213" i="36"/>
  <c r="K213" i="36" s="1"/>
  <c r="I213" i="36"/>
  <c r="M213" i="36" s="1"/>
  <c r="J212" i="36"/>
  <c r="K212" i="36" s="1"/>
  <c r="I212" i="36"/>
  <c r="M212" i="36" s="1"/>
  <c r="J211" i="36"/>
  <c r="K211" i="36" s="1"/>
  <c r="I211" i="36"/>
  <c r="M211" i="36" s="1"/>
  <c r="J210" i="36"/>
  <c r="K210" i="36" s="1"/>
  <c r="I210" i="36"/>
  <c r="M210" i="36" s="1"/>
  <c r="J209" i="36"/>
  <c r="K209" i="36" s="1"/>
  <c r="I209" i="36"/>
  <c r="M209" i="36" s="1"/>
  <c r="J208" i="36"/>
  <c r="K208" i="36" s="1"/>
  <c r="I208" i="36"/>
  <c r="M208" i="36" s="1"/>
  <c r="J207" i="36"/>
  <c r="K207" i="36" s="1"/>
  <c r="I207" i="36"/>
  <c r="M207" i="36" s="1"/>
  <c r="M206" i="36"/>
  <c r="J206" i="36"/>
  <c r="K206" i="36" s="1"/>
  <c r="I206" i="36"/>
  <c r="J205" i="36"/>
  <c r="K205" i="36" s="1"/>
  <c r="I205" i="36"/>
  <c r="M205" i="36" s="1"/>
  <c r="J204" i="36"/>
  <c r="K204" i="36" s="1"/>
  <c r="I204" i="36"/>
  <c r="M204" i="36" s="1"/>
  <c r="J203" i="36"/>
  <c r="K203" i="36" s="1"/>
  <c r="I203" i="36"/>
  <c r="M203" i="36" s="1"/>
  <c r="J202" i="36"/>
  <c r="K202" i="36" s="1"/>
  <c r="I202" i="36"/>
  <c r="M202" i="36" s="1"/>
  <c r="J201" i="36"/>
  <c r="K201" i="36" s="1"/>
  <c r="I201" i="36"/>
  <c r="M201" i="36" s="1"/>
  <c r="M200" i="36"/>
  <c r="J200" i="36"/>
  <c r="K200" i="36" s="1"/>
  <c r="I200" i="36"/>
  <c r="J199" i="36"/>
  <c r="K199" i="36" s="1"/>
  <c r="I199" i="36"/>
  <c r="M199" i="36" s="1"/>
  <c r="J198" i="36"/>
  <c r="K198" i="36" s="1"/>
  <c r="I198" i="36"/>
  <c r="M198" i="36" s="1"/>
  <c r="J197" i="36"/>
  <c r="K197" i="36" s="1"/>
  <c r="I197" i="36"/>
  <c r="M197" i="36" s="1"/>
  <c r="J196" i="36"/>
  <c r="K196" i="36" s="1"/>
  <c r="I196" i="36"/>
  <c r="M196" i="36" s="1"/>
  <c r="J195" i="36"/>
  <c r="K195" i="36" s="1"/>
  <c r="I195" i="36"/>
  <c r="M195" i="36" s="1"/>
  <c r="J194" i="36"/>
  <c r="K194" i="36" s="1"/>
  <c r="I194" i="36"/>
  <c r="M194" i="36" s="1"/>
  <c r="J193" i="36"/>
  <c r="K193" i="36" s="1"/>
  <c r="I193" i="36"/>
  <c r="M193" i="36" s="1"/>
  <c r="J192" i="36"/>
  <c r="K192" i="36" s="1"/>
  <c r="I192" i="36"/>
  <c r="M192" i="36" s="1"/>
  <c r="J191" i="36"/>
  <c r="K191" i="36" s="1"/>
  <c r="I191" i="36"/>
  <c r="M191" i="36" s="1"/>
  <c r="M190" i="36"/>
  <c r="J190" i="36"/>
  <c r="K190" i="36" s="1"/>
  <c r="I190" i="36"/>
  <c r="J189" i="36"/>
  <c r="K189" i="36" s="1"/>
  <c r="I189" i="36"/>
  <c r="M189" i="36" s="1"/>
  <c r="J188" i="36"/>
  <c r="K188" i="36" s="1"/>
  <c r="I188" i="36"/>
  <c r="M188" i="36" s="1"/>
  <c r="J187" i="36"/>
  <c r="K187" i="36" s="1"/>
  <c r="I187" i="36"/>
  <c r="M187" i="36" s="1"/>
  <c r="J186" i="36"/>
  <c r="K186" i="36" s="1"/>
  <c r="I186" i="36"/>
  <c r="M186" i="36" s="1"/>
  <c r="J185" i="36"/>
  <c r="K185" i="36" s="1"/>
  <c r="I185" i="36"/>
  <c r="M185" i="36" s="1"/>
  <c r="M184" i="36"/>
  <c r="J184" i="36"/>
  <c r="K184" i="36" s="1"/>
  <c r="I184" i="36"/>
  <c r="J183" i="36"/>
  <c r="K183" i="36" s="1"/>
  <c r="I183" i="36"/>
  <c r="M183" i="36" s="1"/>
  <c r="J182" i="36"/>
  <c r="K182" i="36" s="1"/>
  <c r="I182" i="36"/>
  <c r="M182" i="36" s="1"/>
  <c r="J181" i="36"/>
  <c r="K181" i="36" s="1"/>
  <c r="I181" i="36"/>
  <c r="M181" i="36" s="1"/>
  <c r="J180" i="36"/>
  <c r="K180" i="36" s="1"/>
  <c r="I180" i="36"/>
  <c r="M180" i="36" s="1"/>
  <c r="J179" i="36"/>
  <c r="K179" i="36" s="1"/>
  <c r="I179" i="36"/>
  <c r="M179" i="36" s="1"/>
  <c r="J178" i="36"/>
  <c r="K178" i="36" s="1"/>
  <c r="I178" i="36"/>
  <c r="M178" i="36" s="1"/>
  <c r="J177" i="36"/>
  <c r="K177" i="36" s="1"/>
  <c r="I177" i="36"/>
  <c r="M177" i="36" s="1"/>
  <c r="J176" i="36"/>
  <c r="K176" i="36" s="1"/>
  <c r="I176" i="36"/>
  <c r="M176" i="36" s="1"/>
  <c r="J175" i="36"/>
  <c r="K175" i="36" s="1"/>
  <c r="I175" i="36"/>
  <c r="M175" i="36" s="1"/>
  <c r="M174" i="36"/>
  <c r="J174" i="36"/>
  <c r="K174" i="36" s="1"/>
  <c r="I174" i="36"/>
  <c r="J173" i="36"/>
  <c r="K173" i="36" s="1"/>
  <c r="I173" i="36"/>
  <c r="M173" i="36" s="1"/>
  <c r="J172" i="36"/>
  <c r="K172" i="36" s="1"/>
  <c r="I172" i="36"/>
  <c r="M172" i="36" s="1"/>
  <c r="J171" i="36"/>
  <c r="K171" i="36" s="1"/>
  <c r="I171" i="36"/>
  <c r="M171" i="36" s="1"/>
  <c r="J170" i="36"/>
  <c r="K170" i="36" s="1"/>
  <c r="I170" i="36"/>
  <c r="M170" i="36" s="1"/>
  <c r="J169" i="36"/>
  <c r="K169" i="36" s="1"/>
  <c r="I169" i="36"/>
  <c r="M169" i="36" s="1"/>
  <c r="M168" i="36"/>
  <c r="J168" i="36"/>
  <c r="K168" i="36" s="1"/>
  <c r="I168" i="36"/>
  <c r="J167" i="36"/>
  <c r="K167" i="36" s="1"/>
  <c r="I167" i="36"/>
  <c r="M167" i="36" s="1"/>
  <c r="J166" i="36"/>
  <c r="K166" i="36" s="1"/>
  <c r="I166" i="36"/>
  <c r="M166" i="36" s="1"/>
  <c r="J165" i="36"/>
  <c r="K165" i="36" s="1"/>
  <c r="I165" i="36"/>
  <c r="M165" i="36" s="1"/>
  <c r="J164" i="36"/>
  <c r="K164" i="36" s="1"/>
  <c r="I164" i="36"/>
  <c r="M164" i="36" s="1"/>
  <c r="J163" i="36"/>
  <c r="K163" i="36" s="1"/>
  <c r="I163" i="36"/>
  <c r="M163" i="36" s="1"/>
  <c r="J162" i="36"/>
  <c r="K162" i="36" s="1"/>
  <c r="I162" i="36"/>
  <c r="M162" i="36" s="1"/>
  <c r="J161" i="36"/>
  <c r="K161" i="36" s="1"/>
  <c r="I161" i="36"/>
  <c r="M161" i="36" s="1"/>
  <c r="J160" i="36"/>
  <c r="K160" i="36" s="1"/>
  <c r="I160" i="36"/>
  <c r="M160" i="36" s="1"/>
  <c r="J159" i="36"/>
  <c r="K159" i="36" s="1"/>
  <c r="I159" i="36"/>
  <c r="M159" i="36" s="1"/>
  <c r="M158" i="36"/>
  <c r="J158" i="36"/>
  <c r="K158" i="36" s="1"/>
  <c r="I158" i="36"/>
  <c r="J157" i="36"/>
  <c r="K157" i="36" s="1"/>
  <c r="I157" i="36"/>
  <c r="M157" i="36" s="1"/>
  <c r="J156" i="36"/>
  <c r="K156" i="36" s="1"/>
  <c r="I156" i="36"/>
  <c r="M156" i="36" s="1"/>
  <c r="J155" i="36"/>
  <c r="K155" i="36" s="1"/>
  <c r="I155" i="36"/>
  <c r="M155" i="36" s="1"/>
  <c r="J154" i="36"/>
  <c r="K154" i="36" s="1"/>
  <c r="I154" i="36"/>
  <c r="M154" i="36" s="1"/>
  <c r="J153" i="36"/>
  <c r="K153" i="36" s="1"/>
  <c r="I153" i="36"/>
  <c r="M153" i="36" s="1"/>
  <c r="M152" i="36"/>
  <c r="J152" i="36"/>
  <c r="K152" i="36" s="1"/>
  <c r="I152" i="36"/>
  <c r="J151" i="36"/>
  <c r="K151" i="36" s="1"/>
  <c r="I151" i="36"/>
  <c r="M151" i="36" s="1"/>
  <c r="J150" i="36"/>
  <c r="K150" i="36" s="1"/>
  <c r="I150" i="36"/>
  <c r="M150" i="36" s="1"/>
  <c r="J149" i="36"/>
  <c r="K149" i="36" s="1"/>
  <c r="I149" i="36"/>
  <c r="M149" i="36" s="1"/>
  <c r="J148" i="36"/>
  <c r="K148" i="36" s="1"/>
  <c r="I148" i="36"/>
  <c r="M148" i="36" s="1"/>
  <c r="J147" i="36"/>
  <c r="K147" i="36" s="1"/>
  <c r="I147" i="36"/>
  <c r="M147" i="36" s="1"/>
  <c r="J146" i="36"/>
  <c r="K146" i="36" s="1"/>
  <c r="I146" i="36"/>
  <c r="M146" i="36" s="1"/>
  <c r="J145" i="36"/>
  <c r="K145" i="36" s="1"/>
  <c r="I145" i="36"/>
  <c r="M145" i="36" s="1"/>
  <c r="J144" i="36"/>
  <c r="K144" i="36" s="1"/>
  <c r="I144" i="36"/>
  <c r="M144" i="36" s="1"/>
  <c r="J143" i="36"/>
  <c r="K143" i="36" s="1"/>
  <c r="I143" i="36"/>
  <c r="M143" i="36" s="1"/>
  <c r="M142" i="36"/>
  <c r="J142" i="36"/>
  <c r="K142" i="36" s="1"/>
  <c r="I142" i="36"/>
  <c r="J141" i="36"/>
  <c r="K141" i="36" s="1"/>
  <c r="I141" i="36"/>
  <c r="M141" i="36" s="1"/>
  <c r="J140" i="36"/>
  <c r="K140" i="36" s="1"/>
  <c r="I140" i="36"/>
  <c r="M140" i="36" s="1"/>
  <c r="A140" i="36" s="1"/>
  <c r="B140" i="36"/>
  <c r="M139" i="36"/>
  <c r="K139" i="36"/>
  <c r="J139" i="36"/>
  <c r="I139" i="36"/>
  <c r="B139" i="36"/>
  <c r="A139" i="36"/>
  <c r="M138" i="36"/>
  <c r="A138" i="36" s="1"/>
  <c r="J138" i="36"/>
  <c r="K138" i="36" s="1"/>
  <c r="I138" i="36"/>
  <c r="B138" i="36"/>
  <c r="J137" i="36"/>
  <c r="K137" i="36" s="1"/>
  <c r="I137" i="36"/>
  <c r="M137" i="36" s="1"/>
  <c r="A137" i="36" s="1"/>
  <c r="B137" i="36"/>
  <c r="J136" i="36"/>
  <c r="K136" i="36" s="1"/>
  <c r="I136" i="36"/>
  <c r="M136" i="36" s="1"/>
  <c r="A136" i="36" s="1"/>
  <c r="B136" i="36"/>
  <c r="M135" i="36"/>
  <c r="A135" i="36" s="1"/>
  <c r="J135" i="36"/>
  <c r="K135" i="36" s="1"/>
  <c r="I135" i="36"/>
  <c r="B135" i="36"/>
  <c r="M134" i="36"/>
  <c r="A134" i="36" s="1"/>
  <c r="J134" i="36"/>
  <c r="K134" i="36" s="1"/>
  <c r="I134" i="36"/>
  <c r="B134" i="36"/>
  <c r="J133" i="36"/>
  <c r="K133" i="36" s="1"/>
  <c r="I133" i="36"/>
  <c r="M133" i="36" s="1"/>
  <c r="A133" i="36" s="1"/>
  <c r="B133" i="36"/>
  <c r="J132" i="36"/>
  <c r="K132" i="36" s="1"/>
  <c r="I132" i="36"/>
  <c r="M132" i="36" s="1"/>
  <c r="A132" i="36" s="1"/>
  <c r="B132" i="36"/>
  <c r="M131" i="36"/>
  <c r="A131" i="36" s="1"/>
  <c r="J131" i="36"/>
  <c r="K131" i="36" s="1"/>
  <c r="I131" i="36"/>
  <c r="B131" i="36"/>
  <c r="M130" i="36"/>
  <c r="A130" i="36" s="1"/>
  <c r="J130" i="36"/>
  <c r="K130" i="36" s="1"/>
  <c r="I130" i="36"/>
  <c r="B130" i="36"/>
  <c r="J129" i="36"/>
  <c r="K129" i="36" s="1"/>
  <c r="I129" i="36"/>
  <c r="M129" i="36" s="1"/>
  <c r="A129" i="36" s="1"/>
  <c r="B129" i="36"/>
  <c r="M128" i="36"/>
  <c r="J128" i="36"/>
  <c r="K128" i="36" s="1"/>
  <c r="I128" i="36"/>
  <c r="B128" i="36"/>
  <c r="A128" i="36"/>
  <c r="M127" i="36"/>
  <c r="A127" i="36" s="1"/>
  <c r="J127" i="36"/>
  <c r="K127" i="36" s="1"/>
  <c r="I127" i="36"/>
  <c r="B127" i="36"/>
  <c r="M126" i="36"/>
  <c r="A126" i="36" s="1"/>
  <c r="J126" i="36"/>
  <c r="K126" i="36" s="1"/>
  <c r="I126" i="36"/>
  <c r="B126" i="36"/>
  <c r="J125" i="36"/>
  <c r="K125" i="36" s="1"/>
  <c r="I125" i="36"/>
  <c r="M125" i="36" s="1"/>
  <c r="A125" i="36" s="1"/>
  <c r="B125" i="36"/>
  <c r="M124" i="36"/>
  <c r="J124" i="36"/>
  <c r="K124" i="36" s="1"/>
  <c r="I124" i="36"/>
  <c r="B124" i="36"/>
  <c r="A124" i="36"/>
  <c r="M123" i="36"/>
  <c r="A123" i="36" s="1"/>
  <c r="J123" i="36"/>
  <c r="K123" i="36" s="1"/>
  <c r="I123" i="36"/>
  <c r="B123" i="36"/>
  <c r="M122" i="36"/>
  <c r="A122" i="36" s="1"/>
  <c r="J122" i="36"/>
  <c r="K122" i="36" s="1"/>
  <c r="I122" i="36"/>
  <c r="B122" i="36"/>
  <c r="J121" i="36"/>
  <c r="K121" i="36" s="1"/>
  <c r="I121" i="36"/>
  <c r="M121" i="36" s="1"/>
  <c r="A121" i="36" s="1"/>
  <c r="B121" i="36"/>
  <c r="M120" i="36"/>
  <c r="J120" i="36"/>
  <c r="K120" i="36" s="1"/>
  <c r="I120" i="36"/>
  <c r="B120" i="36"/>
  <c r="A120" i="36"/>
  <c r="M119" i="36"/>
  <c r="A119" i="36" s="1"/>
  <c r="J119" i="36"/>
  <c r="K119" i="36" s="1"/>
  <c r="I119" i="36"/>
  <c r="B119" i="36"/>
  <c r="M118" i="36"/>
  <c r="A118" i="36" s="1"/>
  <c r="J118" i="36"/>
  <c r="K118" i="36" s="1"/>
  <c r="I118" i="36"/>
  <c r="B118" i="36"/>
  <c r="J117" i="36"/>
  <c r="K117" i="36" s="1"/>
  <c r="I117" i="36"/>
  <c r="M117" i="36" s="1"/>
  <c r="A117" i="36" s="1"/>
  <c r="B117" i="36"/>
  <c r="M116" i="36"/>
  <c r="J116" i="36"/>
  <c r="K116" i="36" s="1"/>
  <c r="I116" i="36"/>
  <c r="B116" i="36"/>
  <c r="A116" i="36"/>
  <c r="M115" i="36"/>
  <c r="A115" i="36" s="1"/>
  <c r="J115" i="36"/>
  <c r="K115" i="36" s="1"/>
  <c r="I115" i="36"/>
  <c r="B115" i="36"/>
  <c r="M114" i="36"/>
  <c r="A114" i="36" s="1"/>
  <c r="J114" i="36"/>
  <c r="K114" i="36" s="1"/>
  <c r="I114" i="36"/>
  <c r="B114" i="36"/>
  <c r="J113" i="36"/>
  <c r="K113" i="36" s="1"/>
  <c r="I113" i="36"/>
  <c r="M113" i="36" s="1"/>
  <c r="A113" i="36" s="1"/>
  <c r="B113" i="36"/>
  <c r="M112" i="36"/>
  <c r="J112" i="36"/>
  <c r="K112" i="36" s="1"/>
  <c r="I112" i="36"/>
  <c r="B112" i="36"/>
  <c r="A112" i="36"/>
  <c r="M111" i="36"/>
  <c r="A111" i="36" s="1"/>
  <c r="J111" i="36"/>
  <c r="K111" i="36" s="1"/>
  <c r="I111" i="36"/>
  <c r="B111" i="36"/>
  <c r="M110" i="36"/>
  <c r="A110" i="36" s="1"/>
  <c r="J110" i="36"/>
  <c r="K110" i="36" s="1"/>
  <c r="I110" i="36"/>
  <c r="B110" i="36"/>
  <c r="J109" i="36"/>
  <c r="K109" i="36" s="1"/>
  <c r="I109" i="36"/>
  <c r="M109" i="36" s="1"/>
  <c r="A109" i="36" s="1"/>
  <c r="B109" i="36"/>
  <c r="M108" i="36"/>
  <c r="J108" i="36"/>
  <c r="K108" i="36" s="1"/>
  <c r="I108" i="36"/>
  <c r="B108" i="36"/>
  <c r="A108" i="36"/>
  <c r="M107" i="36"/>
  <c r="A107" i="36" s="1"/>
  <c r="J107" i="36"/>
  <c r="K107" i="36" s="1"/>
  <c r="I107" i="36"/>
  <c r="B107" i="36"/>
  <c r="M106" i="36"/>
  <c r="A106" i="36" s="1"/>
  <c r="J106" i="36"/>
  <c r="K106" i="36" s="1"/>
  <c r="I106" i="36"/>
  <c r="B106" i="36"/>
  <c r="J105" i="36"/>
  <c r="K105" i="36" s="1"/>
  <c r="I105" i="36"/>
  <c r="M105" i="36" s="1"/>
  <c r="A105" i="36" s="1"/>
  <c r="B105" i="36"/>
  <c r="J104" i="36"/>
  <c r="K104" i="36" s="1"/>
  <c r="I104" i="36"/>
  <c r="M104" i="36" s="1"/>
  <c r="A104" i="36" s="1"/>
  <c r="B104" i="36"/>
  <c r="M103" i="36"/>
  <c r="A103" i="36" s="1"/>
  <c r="J103" i="36"/>
  <c r="K103" i="36" s="1"/>
  <c r="I103" i="36"/>
  <c r="B103" i="36"/>
  <c r="M102" i="36"/>
  <c r="A102" i="36" s="1"/>
  <c r="J102" i="36"/>
  <c r="K102" i="36" s="1"/>
  <c r="I102" i="36"/>
  <c r="B102" i="36"/>
  <c r="J101" i="36"/>
  <c r="K101" i="36" s="1"/>
  <c r="I101" i="36"/>
  <c r="M101" i="36" s="1"/>
  <c r="A101" i="36" s="1"/>
  <c r="B101" i="36"/>
  <c r="M100" i="36"/>
  <c r="J100" i="36"/>
  <c r="K100" i="36" s="1"/>
  <c r="I100" i="36"/>
  <c r="B100" i="36"/>
  <c r="A100" i="36"/>
  <c r="M99" i="36"/>
  <c r="A99" i="36" s="1"/>
  <c r="J99" i="36"/>
  <c r="K99" i="36" s="1"/>
  <c r="I99" i="36"/>
  <c r="B99" i="36"/>
  <c r="M98" i="36"/>
  <c r="A98" i="36" s="1"/>
  <c r="J98" i="36"/>
  <c r="K98" i="36" s="1"/>
  <c r="I98" i="36"/>
  <c r="B98" i="36"/>
  <c r="J97" i="36"/>
  <c r="K97" i="36" s="1"/>
  <c r="I97" i="36"/>
  <c r="M97" i="36" s="1"/>
  <c r="A97" i="36" s="1"/>
  <c r="B97" i="36"/>
  <c r="J96" i="36"/>
  <c r="K96" i="36" s="1"/>
  <c r="I96" i="36"/>
  <c r="M96" i="36" s="1"/>
  <c r="A96" i="36" s="1"/>
  <c r="B96" i="36"/>
  <c r="M95" i="36"/>
  <c r="A95" i="36" s="1"/>
  <c r="J95" i="36"/>
  <c r="K95" i="36" s="1"/>
  <c r="I95" i="36"/>
  <c r="B95" i="36"/>
  <c r="M94" i="36"/>
  <c r="A94" i="36" s="1"/>
  <c r="J94" i="36"/>
  <c r="K94" i="36" s="1"/>
  <c r="I94" i="36"/>
  <c r="B94" i="36"/>
  <c r="J93" i="36"/>
  <c r="K93" i="36" s="1"/>
  <c r="I93" i="36"/>
  <c r="M93" i="36" s="1"/>
  <c r="A93" i="36" s="1"/>
  <c r="B93" i="36"/>
  <c r="J92" i="36"/>
  <c r="K92" i="36" s="1"/>
  <c r="I92" i="36"/>
  <c r="M92" i="36" s="1"/>
  <c r="A92" i="36" s="1"/>
  <c r="B92" i="36"/>
  <c r="M91" i="36"/>
  <c r="A91" i="36" s="1"/>
  <c r="J91" i="36"/>
  <c r="K91" i="36" s="1"/>
  <c r="I91" i="36"/>
  <c r="B91" i="36"/>
  <c r="M90" i="36"/>
  <c r="A90" i="36" s="1"/>
  <c r="J90" i="36"/>
  <c r="K90" i="36" s="1"/>
  <c r="I90" i="36"/>
  <c r="B90" i="36"/>
  <c r="J89" i="36"/>
  <c r="K89" i="36" s="1"/>
  <c r="I89" i="36"/>
  <c r="M89" i="36" s="1"/>
  <c r="A89" i="36" s="1"/>
  <c r="B89" i="36"/>
  <c r="J88" i="36"/>
  <c r="K88" i="36" s="1"/>
  <c r="I88" i="36"/>
  <c r="M88" i="36" s="1"/>
  <c r="A88" i="36" s="1"/>
  <c r="B88" i="36"/>
  <c r="M87" i="36"/>
  <c r="A87" i="36" s="1"/>
  <c r="J87" i="36"/>
  <c r="K87" i="36" s="1"/>
  <c r="I87" i="36"/>
  <c r="B87" i="36"/>
  <c r="M86" i="36"/>
  <c r="A86" i="36" s="1"/>
  <c r="J86" i="36"/>
  <c r="K86" i="36" s="1"/>
  <c r="I86" i="36"/>
  <c r="B86" i="36"/>
  <c r="J85" i="36"/>
  <c r="K85" i="36" s="1"/>
  <c r="I85" i="36"/>
  <c r="M85" i="36" s="1"/>
  <c r="A85" i="36" s="1"/>
  <c r="B85" i="36"/>
  <c r="J84" i="36"/>
  <c r="K84" i="36" s="1"/>
  <c r="I84" i="36"/>
  <c r="M84" i="36" s="1"/>
  <c r="A84" i="36" s="1"/>
  <c r="B84" i="36"/>
  <c r="M83" i="36"/>
  <c r="A83" i="36" s="1"/>
  <c r="J83" i="36"/>
  <c r="K83" i="36" s="1"/>
  <c r="I83" i="36"/>
  <c r="B83" i="36"/>
  <c r="M82" i="36"/>
  <c r="A82" i="36" s="1"/>
  <c r="J82" i="36"/>
  <c r="K82" i="36" s="1"/>
  <c r="I82" i="36"/>
  <c r="B82" i="36"/>
  <c r="J81" i="36"/>
  <c r="K81" i="36" s="1"/>
  <c r="I81" i="36"/>
  <c r="M81" i="36" s="1"/>
  <c r="A81" i="36" s="1"/>
  <c r="B81" i="36"/>
  <c r="J80" i="36"/>
  <c r="K80" i="36" s="1"/>
  <c r="I80" i="36"/>
  <c r="M80" i="36" s="1"/>
  <c r="A80" i="36" s="1"/>
  <c r="B80" i="36"/>
  <c r="M79" i="36"/>
  <c r="A79" i="36" s="1"/>
  <c r="J79" i="36"/>
  <c r="K79" i="36" s="1"/>
  <c r="I79" i="36"/>
  <c r="B79" i="36"/>
  <c r="M78" i="36"/>
  <c r="A78" i="36" s="1"/>
  <c r="J78" i="36"/>
  <c r="K78" i="36" s="1"/>
  <c r="I78" i="36"/>
  <c r="B78" i="36"/>
  <c r="J77" i="36"/>
  <c r="K77" i="36" s="1"/>
  <c r="I77" i="36"/>
  <c r="M77" i="36" s="1"/>
  <c r="A77" i="36" s="1"/>
  <c r="B77" i="36"/>
  <c r="J76" i="36"/>
  <c r="K76" i="36" s="1"/>
  <c r="I76" i="36"/>
  <c r="M76" i="36" s="1"/>
  <c r="A76" i="36" s="1"/>
  <c r="B76" i="36"/>
  <c r="M75" i="36"/>
  <c r="A75" i="36" s="1"/>
  <c r="J75" i="36"/>
  <c r="K75" i="36" s="1"/>
  <c r="I75" i="36"/>
  <c r="B75" i="36"/>
  <c r="M74" i="36"/>
  <c r="A74" i="36" s="1"/>
  <c r="J74" i="36"/>
  <c r="K74" i="36" s="1"/>
  <c r="I74" i="36"/>
  <c r="B74" i="36"/>
  <c r="J73" i="36"/>
  <c r="K73" i="36" s="1"/>
  <c r="I73" i="36"/>
  <c r="M73" i="36" s="1"/>
  <c r="A73" i="36" s="1"/>
  <c r="B73" i="36"/>
  <c r="J72" i="36"/>
  <c r="K72" i="36" s="1"/>
  <c r="I72" i="36"/>
  <c r="M72" i="36" s="1"/>
  <c r="A72" i="36" s="1"/>
  <c r="B72" i="36"/>
  <c r="M71" i="36"/>
  <c r="A71" i="36" s="1"/>
  <c r="J71" i="36"/>
  <c r="K71" i="36" s="1"/>
  <c r="I71" i="36"/>
  <c r="B71" i="36"/>
  <c r="M70" i="36"/>
  <c r="A70" i="36" s="1"/>
  <c r="J70" i="36"/>
  <c r="K70" i="36" s="1"/>
  <c r="I70" i="36"/>
  <c r="B70" i="36"/>
  <c r="J69" i="36"/>
  <c r="K69" i="36" s="1"/>
  <c r="I69" i="36"/>
  <c r="M69" i="36" s="1"/>
  <c r="A69" i="36" s="1"/>
  <c r="B69" i="36"/>
  <c r="J68" i="36"/>
  <c r="K68" i="36" s="1"/>
  <c r="I68" i="36"/>
  <c r="M68" i="36" s="1"/>
  <c r="A68" i="36" s="1"/>
  <c r="B68" i="36"/>
  <c r="M67" i="36"/>
  <c r="A67" i="36" s="1"/>
  <c r="J67" i="36"/>
  <c r="K67" i="36" s="1"/>
  <c r="I67" i="36"/>
  <c r="B67" i="36"/>
  <c r="M66" i="36"/>
  <c r="A66" i="36" s="1"/>
  <c r="J66" i="36"/>
  <c r="K66" i="36" s="1"/>
  <c r="I66" i="36"/>
  <c r="B66" i="36"/>
  <c r="J65" i="36"/>
  <c r="K65" i="36" s="1"/>
  <c r="I65" i="36"/>
  <c r="M65" i="36" s="1"/>
  <c r="A65" i="36" s="1"/>
  <c r="B65" i="36"/>
  <c r="J64" i="36"/>
  <c r="K64" i="36" s="1"/>
  <c r="I64" i="36"/>
  <c r="M64" i="36" s="1"/>
  <c r="A64" i="36" s="1"/>
  <c r="B64" i="36"/>
  <c r="M63" i="36"/>
  <c r="A63" i="36" s="1"/>
  <c r="J63" i="36"/>
  <c r="K63" i="36" s="1"/>
  <c r="I63" i="36"/>
  <c r="B63" i="36"/>
  <c r="M62" i="36"/>
  <c r="A62" i="36" s="1"/>
  <c r="J62" i="36"/>
  <c r="K62" i="36" s="1"/>
  <c r="I62" i="36"/>
  <c r="B62" i="36"/>
  <c r="J61" i="36"/>
  <c r="K61" i="36" s="1"/>
  <c r="I61" i="36"/>
  <c r="M61" i="36" s="1"/>
  <c r="A61" i="36" s="1"/>
  <c r="B61" i="36"/>
  <c r="J60" i="36"/>
  <c r="K60" i="36" s="1"/>
  <c r="I60" i="36"/>
  <c r="M60" i="36" s="1"/>
  <c r="A60" i="36" s="1"/>
  <c r="B60" i="36"/>
  <c r="M59" i="36"/>
  <c r="A59" i="36" s="1"/>
  <c r="J59" i="36"/>
  <c r="K59" i="36" s="1"/>
  <c r="I59" i="36"/>
  <c r="B59" i="36"/>
  <c r="M58" i="36"/>
  <c r="A58" i="36" s="1"/>
  <c r="J58" i="36"/>
  <c r="K58" i="36" s="1"/>
  <c r="I58" i="36"/>
  <c r="B58" i="36"/>
  <c r="J57" i="36"/>
  <c r="K57" i="36" s="1"/>
  <c r="I57" i="36"/>
  <c r="M57" i="36" s="1"/>
  <c r="A57" i="36" s="1"/>
  <c r="B57" i="36"/>
  <c r="M56" i="36"/>
  <c r="J56" i="36"/>
  <c r="K56" i="36" s="1"/>
  <c r="I56" i="36"/>
  <c r="B56" i="36"/>
  <c r="A56" i="36"/>
  <c r="M55" i="36"/>
  <c r="A55" i="36" s="1"/>
  <c r="J55" i="36"/>
  <c r="K55" i="36" s="1"/>
  <c r="I55" i="36"/>
  <c r="B55" i="36"/>
  <c r="M54" i="36"/>
  <c r="A54" i="36" s="1"/>
  <c r="J54" i="36"/>
  <c r="K54" i="36" s="1"/>
  <c r="I54" i="36"/>
  <c r="B54" i="36"/>
  <c r="J53" i="36"/>
  <c r="K53" i="36" s="1"/>
  <c r="I53" i="36"/>
  <c r="M53" i="36" s="1"/>
  <c r="A53" i="36" s="1"/>
  <c r="B53" i="36"/>
  <c r="J52" i="36"/>
  <c r="K52" i="36" s="1"/>
  <c r="I52" i="36"/>
  <c r="M52" i="36" s="1"/>
  <c r="A52" i="36" s="1"/>
  <c r="B52" i="36"/>
  <c r="M51" i="36"/>
  <c r="A51" i="36" s="1"/>
  <c r="J51" i="36"/>
  <c r="K51" i="36" s="1"/>
  <c r="I51" i="36"/>
  <c r="B51" i="36"/>
  <c r="M50" i="36"/>
  <c r="A50" i="36" s="1"/>
  <c r="J50" i="36"/>
  <c r="K50" i="36" s="1"/>
  <c r="I50" i="36"/>
  <c r="B50" i="36"/>
  <c r="J49" i="36"/>
  <c r="K49" i="36" s="1"/>
  <c r="I49" i="36"/>
  <c r="M49" i="36" s="1"/>
  <c r="A49" i="36" s="1"/>
  <c r="B49" i="36"/>
  <c r="J48" i="36"/>
  <c r="K48" i="36" s="1"/>
  <c r="I48" i="36"/>
  <c r="M48" i="36" s="1"/>
  <c r="A48" i="36" s="1"/>
  <c r="B48" i="36"/>
  <c r="M47" i="36"/>
  <c r="A47" i="36" s="1"/>
  <c r="J47" i="36"/>
  <c r="K47" i="36" s="1"/>
  <c r="I47" i="36"/>
  <c r="B47" i="36"/>
  <c r="M46" i="36"/>
  <c r="A46" i="36" s="1"/>
  <c r="J46" i="36"/>
  <c r="K46" i="36" s="1"/>
  <c r="I46" i="36"/>
  <c r="B46" i="36"/>
  <c r="J45" i="36"/>
  <c r="K45" i="36" s="1"/>
  <c r="I45" i="36"/>
  <c r="M45" i="36" s="1"/>
  <c r="A45" i="36" s="1"/>
  <c r="B45" i="36"/>
  <c r="J44" i="36"/>
  <c r="K44" i="36" s="1"/>
  <c r="I44" i="36"/>
  <c r="M44" i="36" s="1"/>
  <c r="A44" i="36" s="1"/>
  <c r="B44" i="36"/>
  <c r="M43" i="36"/>
  <c r="A43" i="36" s="1"/>
  <c r="J43" i="36"/>
  <c r="K43" i="36" s="1"/>
  <c r="I43" i="36"/>
  <c r="B43" i="36"/>
  <c r="M42" i="36"/>
  <c r="A42" i="36" s="1"/>
  <c r="J42" i="36"/>
  <c r="K42" i="36" s="1"/>
  <c r="I42" i="36"/>
  <c r="B42" i="36"/>
  <c r="J41" i="36"/>
  <c r="K41" i="36" s="1"/>
  <c r="I41" i="36"/>
  <c r="M41" i="36" s="1"/>
  <c r="A41" i="36" s="1"/>
  <c r="B41" i="36"/>
  <c r="J40" i="36"/>
  <c r="K40" i="36" s="1"/>
  <c r="I40" i="36"/>
  <c r="M40" i="36" s="1"/>
  <c r="A40" i="36" s="1"/>
  <c r="B40" i="36"/>
  <c r="M39" i="36"/>
  <c r="A39" i="36" s="1"/>
  <c r="J39" i="36"/>
  <c r="K39" i="36" s="1"/>
  <c r="I39" i="36"/>
  <c r="B39" i="36"/>
  <c r="M38" i="36"/>
  <c r="A38" i="36" s="1"/>
  <c r="J38" i="36"/>
  <c r="K38" i="36" s="1"/>
  <c r="I38" i="36"/>
  <c r="B38" i="36"/>
  <c r="J37" i="36"/>
  <c r="K37" i="36" s="1"/>
  <c r="I37" i="36"/>
  <c r="M37" i="36" s="1"/>
  <c r="A37" i="36" s="1"/>
  <c r="B37" i="36"/>
  <c r="J36" i="36"/>
  <c r="K36" i="36" s="1"/>
  <c r="I36" i="36"/>
  <c r="M36" i="36" s="1"/>
  <c r="B36" i="36"/>
  <c r="A36" i="36"/>
  <c r="M35" i="36"/>
  <c r="A35" i="36" s="1"/>
  <c r="J35" i="36"/>
  <c r="K35" i="36" s="1"/>
  <c r="I35" i="36"/>
  <c r="B35" i="36"/>
  <c r="M34" i="36"/>
  <c r="A34" i="36" s="1"/>
  <c r="J34" i="36"/>
  <c r="K34" i="36" s="1"/>
  <c r="I34" i="36"/>
  <c r="B34" i="36"/>
  <c r="J33" i="36"/>
  <c r="K33" i="36" s="1"/>
  <c r="I33" i="36"/>
  <c r="M33" i="36" s="1"/>
  <c r="A33" i="36" s="1"/>
  <c r="B33" i="36"/>
  <c r="J32" i="36"/>
  <c r="K32" i="36" s="1"/>
  <c r="I32" i="36"/>
  <c r="M32" i="36" s="1"/>
  <c r="B32" i="36"/>
  <c r="A32" i="36"/>
  <c r="M31" i="36"/>
  <c r="A31" i="36" s="1"/>
  <c r="J31" i="36"/>
  <c r="K31" i="36" s="1"/>
  <c r="I31" i="36"/>
  <c r="B31" i="36"/>
  <c r="M30" i="36"/>
  <c r="A30" i="36" s="1"/>
  <c r="J30" i="36"/>
  <c r="K30" i="36" s="1"/>
  <c r="I30" i="36"/>
  <c r="B30" i="36"/>
  <c r="J29" i="36"/>
  <c r="K29" i="36" s="1"/>
  <c r="I29" i="36"/>
  <c r="M29" i="36" s="1"/>
  <c r="A29" i="36" s="1"/>
  <c r="B29" i="36"/>
  <c r="J28" i="36"/>
  <c r="K28" i="36" s="1"/>
  <c r="I28" i="36"/>
  <c r="M28" i="36" s="1"/>
  <c r="B28" i="36"/>
  <c r="A28" i="36"/>
  <c r="M27" i="36"/>
  <c r="A27" i="36" s="1"/>
  <c r="J27" i="36"/>
  <c r="K27" i="36" s="1"/>
  <c r="I27" i="36"/>
  <c r="B27" i="36"/>
  <c r="M26" i="36"/>
  <c r="A26" i="36" s="1"/>
  <c r="J26" i="36"/>
  <c r="K26" i="36" s="1"/>
  <c r="I26" i="36"/>
  <c r="B26" i="36"/>
  <c r="J25" i="36"/>
  <c r="K25" i="36" s="1"/>
  <c r="I25" i="36"/>
  <c r="M25" i="36" s="1"/>
  <c r="A25" i="36" s="1"/>
  <c r="B25" i="36"/>
  <c r="J24" i="36"/>
  <c r="K24" i="36" s="1"/>
  <c r="I24" i="36"/>
  <c r="M24" i="36" s="1"/>
  <c r="B24" i="36"/>
  <c r="A24" i="36"/>
  <c r="M23" i="36"/>
  <c r="A23" i="36" s="1"/>
  <c r="J23" i="36"/>
  <c r="K23" i="36" s="1"/>
  <c r="I23" i="36"/>
  <c r="B23" i="36"/>
  <c r="M22" i="36"/>
  <c r="A22" i="36" s="1"/>
  <c r="J22" i="36"/>
  <c r="K22" i="36" s="1"/>
  <c r="I22" i="36"/>
  <c r="B22" i="36"/>
  <c r="J21" i="36"/>
  <c r="K21" i="36" s="1"/>
  <c r="I21" i="36"/>
  <c r="M21" i="36" s="1"/>
  <c r="A21" i="36" s="1"/>
  <c r="B21" i="36"/>
  <c r="J20" i="36"/>
  <c r="K20" i="36" s="1"/>
  <c r="I20" i="36"/>
  <c r="M20" i="36" s="1"/>
  <c r="B20" i="36"/>
  <c r="A20" i="36"/>
  <c r="M19" i="36"/>
  <c r="A19" i="36" s="1"/>
  <c r="J19" i="36"/>
  <c r="K19" i="36" s="1"/>
  <c r="I19" i="36"/>
  <c r="B19" i="36"/>
  <c r="M18" i="36"/>
  <c r="A18" i="36" s="1"/>
  <c r="J18" i="36"/>
  <c r="K18" i="36" s="1"/>
  <c r="I18" i="36"/>
  <c r="B18" i="36"/>
  <c r="J17" i="36"/>
  <c r="K17" i="36" s="1"/>
  <c r="I17" i="36"/>
  <c r="M17" i="36" s="1"/>
  <c r="A17" i="36" s="1"/>
  <c r="B17" i="36"/>
  <c r="J16" i="36"/>
  <c r="K16" i="36" s="1"/>
  <c r="I16" i="36"/>
  <c r="M16" i="36" s="1"/>
  <c r="B16" i="36"/>
  <c r="A16" i="36"/>
  <c r="K15" i="36"/>
  <c r="J15" i="36"/>
  <c r="I15" i="36"/>
  <c r="M15" i="36" s="1"/>
  <c r="A15" i="36" s="1"/>
  <c r="B15" i="36"/>
  <c r="AI14" i="36"/>
  <c r="M14" i="36"/>
  <c r="A14" i="36" s="1"/>
  <c r="J14" i="36"/>
  <c r="K14" i="36" s="1"/>
  <c r="I14" i="36"/>
  <c r="B14" i="36"/>
  <c r="AI13" i="36"/>
  <c r="M13" i="36"/>
  <c r="A13" i="36" s="1"/>
  <c r="K13" i="36"/>
  <c r="J13" i="36"/>
  <c r="I13" i="36"/>
  <c r="B13" i="36"/>
  <c r="AI12" i="36"/>
  <c r="M12" i="36"/>
  <c r="A12" i="36" s="1"/>
  <c r="J12" i="36"/>
  <c r="K12" i="36" s="1"/>
  <c r="I12" i="36"/>
  <c r="B12" i="36"/>
  <c r="J11" i="36"/>
  <c r="K11" i="36" s="1"/>
  <c r="I11" i="36"/>
  <c r="M11" i="36" s="1"/>
  <c r="A11" i="36" s="1"/>
  <c r="B11" i="36"/>
  <c r="M10" i="36"/>
  <c r="J10" i="36"/>
  <c r="K10" i="36" s="1"/>
  <c r="I10" i="36"/>
  <c r="B10" i="36"/>
  <c r="A10" i="36"/>
  <c r="M9" i="36"/>
  <c r="A9" i="36" s="1"/>
  <c r="K9" i="36"/>
  <c r="J9" i="36"/>
  <c r="I9" i="36"/>
  <c r="B9" i="36"/>
  <c r="M8" i="36"/>
  <c r="A8" i="36" s="1"/>
  <c r="L8" i="36"/>
  <c r="J8" i="36"/>
  <c r="K8" i="36" s="1"/>
  <c r="I8" i="36"/>
  <c r="B8" i="36"/>
  <c r="M7" i="36"/>
  <c r="A7" i="36" s="1"/>
  <c r="L7" i="36"/>
  <c r="K7" i="36"/>
  <c r="J7" i="36"/>
  <c r="I7" i="36"/>
  <c r="B7" i="36"/>
  <c r="L6" i="36"/>
  <c r="K6" i="36"/>
  <c r="J6" i="36"/>
  <c r="I6" i="36"/>
  <c r="M6" i="36" s="1"/>
  <c r="A6" i="36" s="1"/>
  <c r="B6" i="36"/>
  <c r="K2" i="36"/>
  <c r="L9" i="36" s="1"/>
  <c r="J374" i="35"/>
  <c r="J373" i="35"/>
  <c r="J372" i="35"/>
  <c r="J371" i="35"/>
  <c r="J370" i="35"/>
  <c r="J369" i="35"/>
  <c r="J368" i="35"/>
  <c r="J367" i="35"/>
  <c r="J366" i="35"/>
  <c r="J365" i="35"/>
  <c r="J364" i="35"/>
  <c r="J363" i="35"/>
  <c r="J362" i="35"/>
  <c r="J361" i="35"/>
  <c r="J360" i="35"/>
  <c r="J359" i="35"/>
  <c r="J358" i="35"/>
  <c r="J357" i="35"/>
  <c r="J356" i="35"/>
  <c r="J355" i="35"/>
  <c r="J354" i="35"/>
  <c r="J353" i="35"/>
  <c r="J352" i="35"/>
  <c r="J351" i="35"/>
  <c r="J350" i="35"/>
  <c r="J349" i="35"/>
  <c r="J348" i="35"/>
  <c r="J347" i="35"/>
  <c r="J346" i="35"/>
  <c r="J345" i="35"/>
  <c r="J344" i="35"/>
  <c r="J343" i="35"/>
  <c r="J342" i="35"/>
  <c r="J341" i="35"/>
  <c r="J340" i="35"/>
  <c r="J339" i="35"/>
  <c r="J338" i="35"/>
  <c r="J337" i="35"/>
  <c r="J336" i="35"/>
  <c r="J335" i="35"/>
  <c r="J334" i="35"/>
  <c r="J333" i="35"/>
  <c r="J332" i="35"/>
  <c r="J331" i="35"/>
  <c r="J330" i="35"/>
  <c r="J329" i="35"/>
  <c r="J328" i="35"/>
  <c r="J327" i="35"/>
  <c r="J326" i="35"/>
  <c r="J325" i="35"/>
  <c r="J324" i="35"/>
  <c r="J323" i="35"/>
  <c r="J322" i="35"/>
  <c r="J321" i="35"/>
  <c r="J320" i="35"/>
  <c r="J319" i="35"/>
  <c r="J318" i="35"/>
  <c r="J317" i="35"/>
  <c r="J316" i="35"/>
  <c r="J315" i="35"/>
  <c r="J314" i="35"/>
  <c r="J313" i="35"/>
  <c r="J312" i="35"/>
  <c r="J311" i="35"/>
  <c r="J310" i="35"/>
  <c r="J309" i="35"/>
  <c r="J308" i="35"/>
  <c r="J307" i="35"/>
  <c r="J306" i="35"/>
  <c r="M305" i="35"/>
  <c r="K305" i="35"/>
  <c r="J305" i="35"/>
  <c r="I305" i="35"/>
  <c r="J304" i="35"/>
  <c r="K304" i="35" s="1"/>
  <c r="I304" i="35"/>
  <c r="M304" i="35" s="1"/>
  <c r="M303" i="35"/>
  <c r="K303" i="35"/>
  <c r="J303" i="35"/>
  <c r="I303" i="35"/>
  <c r="J302" i="35"/>
  <c r="K302" i="35" s="1"/>
  <c r="I302" i="35"/>
  <c r="M302" i="35" s="1"/>
  <c r="M301" i="35"/>
  <c r="K301" i="35"/>
  <c r="J301" i="35"/>
  <c r="I301" i="35"/>
  <c r="J300" i="35"/>
  <c r="K300" i="35" s="1"/>
  <c r="I300" i="35"/>
  <c r="M300" i="35" s="1"/>
  <c r="M299" i="35"/>
  <c r="K299" i="35"/>
  <c r="J299" i="35"/>
  <c r="I299" i="35"/>
  <c r="J298" i="35"/>
  <c r="K298" i="35" s="1"/>
  <c r="I298" i="35"/>
  <c r="M298" i="35" s="1"/>
  <c r="M297" i="35"/>
  <c r="K297" i="35"/>
  <c r="J297" i="35"/>
  <c r="I297" i="35"/>
  <c r="J296" i="35"/>
  <c r="K296" i="35" s="1"/>
  <c r="I296" i="35"/>
  <c r="M296" i="35" s="1"/>
  <c r="M295" i="35"/>
  <c r="K295" i="35"/>
  <c r="J295" i="35"/>
  <c r="I295" i="35"/>
  <c r="J294" i="35"/>
  <c r="K294" i="35" s="1"/>
  <c r="I294" i="35"/>
  <c r="M294" i="35" s="1"/>
  <c r="M293" i="35"/>
  <c r="J293" i="35"/>
  <c r="K293" i="35" s="1"/>
  <c r="I293" i="35"/>
  <c r="J292" i="35"/>
  <c r="K292" i="35" s="1"/>
  <c r="I292" i="35"/>
  <c r="M292" i="35" s="1"/>
  <c r="M291" i="35"/>
  <c r="J291" i="35"/>
  <c r="K291" i="35" s="1"/>
  <c r="I291" i="35"/>
  <c r="J290" i="35"/>
  <c r="K290" i="35" s="1"/>
  <c r="I290" i="35"/>
  <c r="M290" i="35" s="1"/>
  <c r="M289" i="35"/>
  <c r="J289" i="35"/>
  <c r="K289" i="35" s="1"/>
  <c r="I289" i="35"/>
  <c r="J288" i="35"/>
  <c r="K288" i="35" s="1"/>
  <c r="I288" i="35"/>
  <c r="M288" i="35" s="1"/>
  <c r="M287" i="35"/>
  <c r="J287" i="35"/>
  <c r="K287" i="35" s="1"/>
  <c r="I287" i="35"/>
  <c r="J286" i="35"/>
  <c r="K286" i="35" s="1"/>
  <c r="I286" i="35"/>
  <c r="M286" i="35" s="1"/>
  <c r="M285" i="35"/>
  <c r="J285" i="35"/>
  <c r="K285" i="35" s="1"/>
  <c r="I285" i="35"/>
  <c r="J284" i="35"/>
  <c r="K284" i="35" s="1"/>
  <c r="I284" i="35"/>
  <c r="M284" i="35" s="1"/>
  <c r="M283" i="35"/>
  <c r="J283" i="35"/>
  <c r="K283" i="35" s="1"/>
  <c r="I283" i="35"/>
  <c r="J282" i="35"/>
  <c r="K282" i="35" s="1"/>
  <c r="I282" i="35"/>
  <c r="M282" i="35" s="1"/>
  <c r="M281" i="35"/>
  <c r="J281" i="35"/>
  <c r="K281" i="35" s="1"/>
  <c r="I281" i="35"/>
  <c r="J280" i="35"/>
  <c r="K280" i="35" s="1"/>
  <c r="I280" i="35"/>
  <c r="M280" i="35" s="1"/>
  <c r="M279" i="35"/>
  <c r="J279" i="35"/>
  <c r="K279" i="35" s="1"/>
  <c r="I279" i="35"/>
  <c r="J278" i="35"/>
  <c r="K278" i="35" s="1"/>
  <c r="I278" i="35"/>
  <c r="M278" i="35" s="1"/>
  <c r="M277" i="35"/>
  <c r="J277" i="35"/>
  <c r="K277" i="35" s="1"/>
  <c r="I277" i="35"/>
  <c r="J276" i="35"/>
  <c r="K276" i="35" s="1"/>
  <c r="I276" i="35"/>
  <c r="M276" i="35" s="1"/>
  <c r="M275" i="35"/>
  <c r="J275" i="35"/>
  <c r="K275" i="35" s="1"/>
  <c r="I275" i="35"/>
  <c r="J274" i="35"/>
  <c r="K274" i="35" s="1"/>
  <c r="I274" i="35"/>
  <c r="M274" i="35" s="1"/>
  <c r="M273" i="35"/>
  <c r="J273" i="35"/>
  <c r="K273" i="35" s="1"/>
  <c r="I273" i="35"/>
  <c r="J272" i="35"/>
  <c r="K272" i="35" s="1"/>
  <c r="I272" i="35"/>
  <c r="M272" i="35" s="1"/>
  <c r="M271" i="35"/>
  <c r="J271" i="35"/>
  <c r="K271" i="35" s="1"/>
  <c r="I271" i="35"/>
  <c r="J270" i="35"/>
  <c r="K270" i="35" s="1"/>
  <c r="I270" i="35"/>
  <c r="M270" i="35" s="1"/>
  <c r="M269" i="35"/>
  <c r="J269" i="35"/>
  <c r="K269" i="35" s="1"/>
  <c r="I269" i="35"/>
  <c r="J268" i="35"/>
  <c r="K268" i="35" s="1"/>
  <c r="I268" i="35"/>
  <c r="M268" i="35" s="1"/>
  <c r="M267" i="35"/>
  <c r="J267" i="35"/>
  <c r="K267" i="35" s="1"/>
  <c r="I267" i="35"/>
  <c r="J266" i="35"/>
  <c r="K266" i="35" s="1"/>
  <c r="I266" i="35"/>
  <c r="M266" i="35" s="1"/>
  <c r="M265" i="35"/>
  <c r="J265" i="35"/>
  <c r="K265" i="35" s="1"/>
  <c r="I265" i="35"/>
  <c r="J264" i="35"/>
  <c r="K264" i="35" s="1"/>
  <c r="I264" i="35"/>
  <c r="M264" i="35" s="1"/>
  <c r="M263" i="35"/>
  <c r="J263" i="35"/>
  <c r="K263" i="35" s="1"/>
  <c r="I263" i="35"/>
  <c r="J262" i="35"/>
  <c r="K262" i="35" s="1"/>
  <c r="I262" i="35"/>
  <c r="M262" i="35" s="1"/>
  <c r="M261" i="35"/>
  <c r="J261" i="35"/>
  <c r="K261" i="35" s="1"/>
  <c r="I261" i="35"/>
  <c r="J260" i="35"/>
  <c r="K260" i="35" s="1"/>
  <c r="I260" i="35"/>
  <c r="M260" i="35" s="1"/>
  <c r="M259" i="35"/>
  <c r="J259" i="35"/>
  <c r="K259" i="35" s="1"/>
  <c r="I259" i="35"/>
  <c r="J258" i="35"/>
  <c r="K258" i="35" s="1"/>
  <c r="I258" i="35"/>
  <c r="M258" i="35" s="1"/>
  <c r="M257" i="35"/>
  <c r="J257" i="35"/>
  <c r="K257" i="35" s="1"/>
  <c r="I257" i="35"/>
  <c r="J256" i="35"/>
  <c r="K256" i="35" s="1"/>
  <c r="I256" i="35"/>
  <c r="M256" i="35" s="1"/>
  <c r="M255" i="35"/>
  <c r="J255" i="35"/>
  <c r="K255" i="35" s="1"/>
  <c r="I255" i="35"/>
  <c r="J254" i="35"/>
  <c r="K254" i="35" s="1"/>
  <c r="I254" i="35"/>
  <c r="M254" i="35" s="1"/>
  <c r="M253" i="35"/>
  <c r="J253" i="35"/>
  <c r="K253" i="35" s="1"/>
  <c r="I253" i="35"/>
  <c r="J252" i="35"/>
  <c r="K252" i="35" s="1"/>
  <c r="I252" i="35"/>
  <c r="M252" i="35" s="1"/>
  <c r="M251" i="35"/>
  <c r="J251" i="35"/>
  <c r="K251" i="35" s="1"/>
  <c r="I251" i="35"/>
  <c r="J250" i="35"/>
  <c r="K250" i="35" s="1"/>
  <c r="I250" i="35"/>
  <c r="M250" i="35" s="1"/>
  <c r="M249" i="35"/>
  <c r="J249" i="35"/>
  <c r="K249" i="35" s="1"/>
  <c r="I249" i="35"/>
  <c r="J248" i="35"/>
  <c r="K248" i="35" s="1"/>
  <c r="I248" i="35"/>
  <c r="M248" i="35" s="1"/>
  <c r="M247" i="35"/>
  <c r="J247" i="35"/>
  <c r="K247" i="35" s="1"/>
  <c r="I247" i="35"/>
  <c r="J246" i="35"/>
  <c r="K246" i="35" s="1"/>
  <c r="I246" i="35"/>
  <c r="M246" i="35" s="1"/>
  <c r="M245" i="35"/>
  <c r="J245" i="35"/>
  <c r="K245" i="35" s="1"/>
  <c r="I245" i="35"/>
  <c r="J244" i="35"/>
  <c r="K244" i="35" s="1"/>
  <c r="I244" i="35"/>
  <c r="M244" i="35" s="1"/>
  <c r="M243" i="35"/>
  <c r="J243" i="35"/>
  <c r="K243" i="35" s="1"/>
  <c r="I243" i="35"/>
  <c r="J242" i="35"/>
  <c r="K242" i="35" s="1"/>
  <c r="I242" i="35"/>
  <c r="M242" i="35" s="1"/>
  <c r="M241" i="35"/>
  <c r="J241" i="35"/>
  <c r="K241" i="35" s="1"/>
  <c r="I241" i="35"/>
  <c r="J240" i="35"/>
  <c r="K240" i="35" s="1"/>
  <c r="I240" i="35"/>
  <c r="M240" i="35" s="1"/>
  <c r="J239" i="35"/>
  <c r="K239" i="35" s="1"/>
  <c r="I239" i="35"/>
  <c r="M239" i="35" s="1"/>
  <c r="J238" i="35"/>
  <c r="K238" i="35" s="1"/>
  <c r="I238" i="35"/>
  <c r="M238" i="35" s="1"/>
  <c r="M237" i="35"/>
  <c r="J237" i="35"/>
  <c r="K237" i="35" s="1"/>
  <c r="I237" i="35"/>
  <c r="J236" i="35"/>
  <c r="K236" i="35" s="1"/>
  <c r="I236" i="35"/>
  <c r="M236" i="35" s="1"/>
  <c r="M235" i="35"/>
  <c r="J235" i="35"/>
  <c r="K235" i="35" s="1"/>
  <c r="I235" i="35"/>
  <c r="J234" i="35"/>
  <c r="K234" i="35" s="1"/>
  <c r="I234" i="35"/>
  <c r="M234" i="35" s="1"/>
  <c r="M233" i="35"/>
  <c r="J233" i="35"/>
  <c r="K233" i="35" s="1"/>
  <c r="I233" i="35"/>
  <c r="J232" i="35"/>
  <c r="K232" i="35" s="1"/>
  <c r="I232" i="35"/>
  <c r="M232" i="35" s="1"/>
  <c r="J231" i="35"/>
  <c r="K231" i="35" s="1"/>
  <c r="I231" i="35"/>
  <c r="M231" i="35" s="1"/>
  <c r="J230" i="35"/>
  <c r="K230" i="35" s="1"/>
  <c r="I230" i="35"/>
  <c r="M230" i="35" s="1"/>
  <c r="M229" i="35"/>
  <c r="J229" i="35"/>
  <c r="K229" i="35" s="1"/>
  <c r="I229" i="35"/>
  <c r="J228" i="35"/>
  <c r="K228" i="35" s="1"/>
  <c r="I228" i="35"/>
  <c r="M228" i="35" s="1"/>
  <c r="M227" i="35"/>
  <c r="J227" i="35"/>
  <c r="K227" i="35" s="1"/>
  <c r="I227" i="35"/>
  <c r="J226" i="35"/>
  <c r="K226" i="35" s="1"/>
  <c r="I226" i="35"/>
  <c r="M226" i="35" s="1"/>
  <c r="M225" i="35"/>
  <c r="J225" i="35"/>
  <c r="K225" i="35" s="1"/>
  <c r="I225" i="35"/>
  <c r="J224" i="35"/>
  <c r="K224" i="35" s="1"/>
  <c r="I224" i="35"/>
  <c r="M224" i="35" s="1"/>
  <c r="J223" i="35"/>
  <c r="K223" i="35" s="1"/>
  <c r="I223" i="35"/>
  <c r="M223" i="35" s="1"/>
  <c r="J222" i="35"/>
  <c r="K222" i="35" s="1"/>
  <c r="I222" i="35"/>
  <c r="M222" i="35" s="1"/>
  <c r="M221" i="35"/>
  <c r="J221" i="35"/>
  <c r="K221" i="35" s="1"/>
  <c r="I221" i="35"/>
  <c r="J220" i="35"/>
  <c r="K220" i="35" s="1"/>
  <c r="I220" i="35"/>
  <c r="M220" i="35" s="1"/>
  <c r="M219" i="35"/>
  <c r="J219" i="35"/>
  <c r="K219" i="35" s="1"/>
  <c r="I219" i="35"/>
  <c r="J218" i="35"/>
  <c r="K218" i="35" s="1"/>
  <c r="I218" i="35"/>
  <c r="M218" i="35" s="1"/>
  <c r="M217" i="35"/>
  <c r="J217" i="35"/>
  <c r="K217" i="35" s="1"/>
  <c r="I217" i="35"/>
  <c r="J216" i="35"/>
  <c r="K216" i="35" s="1"/>
  <c r="I216" i="35"/>
  <c r="M216" i="35" s="1"/>
  <c r="J215" i="35"/>
  <c r="K215" i="35" s="1"/>
  <c r="I215" i="35"/>
  <c r="M215" i="35" s="1"/>
  <c r="J214" i="35"/>
  <c r="K214" i="35" s="1"/>
  <c r="I214" i="35"/>
  <c r="M214" i="35" s="1"/>
  <c r="M213" i="35"/>
  <c r="J213" i="35"/>
  <c r="K213" i="35" s="1"/>
  <c r="I213" i="35"/>
  <c r="J212" i="35"/>
  <c r="K212" i="35" s="1"/>
  <c r="I212" i="35"/>
  <c r="M212" i="35" s="1"/>
  <c r="M211" i="35"/>
  <c r="J211" i="35"/>
  <c r="K211" i="35" s="1"/>
  <c r="I211" i="35"/>
  <c r="J210" i="35"/>
  <c r="K210" i="35" s="1"/>
  <c r="I210" i="35"/>
  <c r="M210" i="35" s="1"/>
  <c r="M209" i="35"/>
  <c r="J209" i="35"/>
  <c r="K209" i="35" s="1"/>
  <c r="I209" i="35"/>
  <c r="J208" i="35"/>
  <c r="K208" i="35" s="1"/>
  <c r="I208" i="35"/>
  <c r="M208" i="35" s="1"/>
  <c r="J207" i="35"/>
  <c r="K207" i="35" s="1"/>
  <c r="I207" i="35"/>
  <c r="M207" i="35" s="1"/>
  <c r="J206" i="35"/>
  <c r="K206" i="35" s="1"/>
  <c r="I206" i="35"/>
  <c r="M206" i="35" s="1"/>
  <c r="M205" i="35"/>
  <c r="J205" i="35"/>
  <c r="K205" i="35" s="1"/>
  <c r="I205" i="35"/>
  <c r="J204" i="35"/>
  <c r="K204" i="35" s="1"/>
  <c r="I204" i="35"/>
  <c r="M204" i="35" s="1"/>
  <c r="M203" i="35"/>
  <c r="J203" i="35"/>
  <c r="K203" i="35" s="1"/>
  <c r="I203" i="35"/>
  <c r="J202" i="35"/>
  <c r="K202" i="35" s="1"/>
  <c r="I202" i="35"/>
  <c r="M202" i="35" s="1"/>
  <c r="M201" i="35"/>
  <c r="J201" i="35"/>
  <c r="K201" i="35" s="1"/>
  <c r="I201" i="35"/>
  <c r="J200" i="35"/>
  <c r="K200" i="35" s="1"/>
  <c r="I200" i="35"/>
  <c r="M200" i="35" s="1"/>
  <c r="J199" i="35"/>
  <c r="K199" i="35" s="1"/>
  <c r="I199" i="35"/>
  <c r="M199" i="35" s="1"/>
  <c r="J198" i="35"/>
  <c r="K198" i="35" s="1"/>
  <c r="I198" i="35"/>
  <c r="M198" i="35" s="1"/>
  <c r="M197" i="35"/>
  <c r="J197" i="35"/>
  <c r="K197" i="35" s="1"/>
  <c r="I197" i="35"/>
  <c r="J196" i="35"/>
  <c r="K196" i="35" s="1"/>
  <c r="I196" i="35"/>
  <c r="M196" i="35" s="1"/>
  <c r="M195" i="35"/>
  <c r="J195" i="35"/>
  <c r="K195" i="35" s="1"/>
  <c r="I195" i="35"/>
  <c r="J194" i="35"/>
  <c r="K194" i="35" s="1"/>
  <c r="I194" i="35"/>
  <c r="M194" i="35" s="1"/>
  <c r="M193" i="35"/>
  <c r="J193" i="35"/>
  <c r="K193" i="35" s="1"/>
  <c r="I193" i="35"/>
  <c r="J192" i="35"/>
  <c r="K192" i="35" s="1"/>
  <c r="I192" i="35"/>
  <c r="M192" i="35" s="1"/>
  <c r="J191" i="35"/>
  <c r="K191" i="35" s="1"/>
  <c r="I191" i="35"/>
  <c r="M191" i="35" s="1"/>
  <c r="J190" i="35"/>
  <c r="K190" i="35" s="1"/>
  <c r="I190" i="35"/>
  <c r="M190" i="35" s="1"/>
  <c r="M189" i="35"/>
  <c r="J189" i="35"/>
  <c r="K189" i="35" s="1"/>
  <c r="I189" i="35"/>
  <c r="J188" i="35"/>
  <c r="K188" i="35" s="1"/>
  <c r="I188" i="35"/>
  <c r="M188" i="35" s="1"/>
  <c r="M187" i="35"/>
  <c r="J187" i="35"/>
  <c r="K187" i="35" s="1"/>
  <c r="I187" i="35"/>
  <c r="J186" i="35"/>
  <c r="K186" i="35" s="1"/>
  <c r="I186" i="35"/>
  <c r="M186" i="35" s="1"/>
  <c r="M185" i="35"/>
  <c r="J185" i="35"/>
  <c r="K185" i="35" s="1"/>
  <c r="I185" i="35"/>
  <c r="J184" i="35"/>
  <c r="K184" i="35" s="1"/>
  <c r="I184" i="35"/>
  <c r="M184" i="35" s="1"/>
  <c r="J183" i="35"/>
  <c r="K183" i="35" s="1"/>
  <c r="I183" i="35"/>
  <c r="M183" i="35" s="1"/>
  <c r="J182" i="35"/>
  <c r="K182" i="35" s="1"/>
  <c r="I182" i="35"/>
  <c r="M182" i="35" s="1"/>
  <c r="M181" i="35"/>
  <c r="J181" i="35"/>
  <c r="K181" i="35" s="1"/>
  <c r="I181" i="35"/>
  <c r="J180" i="35"/>
  <c r="K180" i="35" s="1"/>
  <c r="I180" i="35"/>
  <c r="M180" i="35" s="1"/>
  <c r="M179" i="35"/>
  <c r="J179" i="35"/>
  <c r="K179" i="35" s="1"/>
  <c r="I179" i="35"/>
  <c r="J178" i="35"/>
  <c r="K178" i="35" s="1"/>
  <c r="I178" i="35"/>
  <c r="M178" i="35" s="1"/>
  <c r="M177" i="35"/>
  <c r="J177" i="35"/>
  <c r="K177" i="35" s="1"/>
  <c r="I177" i="35"/>
  <c r="J176" i="35"/>
  <c r="K176" i="35" s="1"/>
  <c r="I176" i="35"/>
  <c r="M176" i="35" s="1"/>
  <c r="J175" i="35"/>
  <c r="K175" i="35" s="1"/>
  <c r="I175" i="35"/>
  <c r="M175" i="35" s="1"/>
  <c r="J174" i="35"/>
  <c r="K174" i="35" s="1"/>
  <c r="I174" i="35"/>
  <c r="M174" i="35" s="1"/>
  <c r="M173" i="35"/>
  <c r="J173" i="35"/>
  <c r="K173" i="35" s="1"/>
  <c r="I173" i="35"/>
  <c r="J172" i="35"/>
  <c r="K172" i="35" s="1"/>
  <c r="I172" i="35"/>
  <c r="M172" i="35" s="1"/>
  <c r="M171" i="35"/>
  <c r="J171" i="35"/>
  <c r="K171" i="35" s="1"/>
  <c r="I171" i="35"/>
  <c r="J170" i="35"/>
  <c r="K170" i="35" s="1"/>
  <c r="I170" i="35"/>
  <c r="M170" i="35" s="1"/>
  <c r="M169" i="35"/>
  <c r="J169" i="35"/>
  <c r="K169" i="35" s="1"/>
  <c r="I169" i="35"/>
  <c r="J168" i="35"/>
  <c r="K168" i="35" s="1"/>
  <c r="I168" i="35"/>
  <c r="M168" i="35" s="1"/>
  <c r="J167" i="35"/>
  <c r="K167" i="35" s="1"/>
  <c r="I167" i="35"/>
  <c r="M167" i="35" s="1"/>
  <c r="J166" i="35"/>
  <c r="K166" i="35" s="1"/>
  <c r="I166" i="35"/>
  <c r="M166" i="35" s="1"/>
  <c r="M165" i="35"/>
  <c r="J165" i="35"/>
  <c r="K165" i="35" s="1"/>
  <c r="I165" i="35"/>
  <c r="J164" i="35"/>
  <c r="K164" i="35" s="1"/>
  <c r="I164" i="35"/>
  <c r="M164" i="35" s="1"/>
  <c r="M163" i="35"/>
  <c r="J163" i="35"/>
  <c r="K163" i="35" s="1"/>
  <c r="I163" i="35"/>
  <c r="J162" i="35"/>
  <c r="K162" i="35" s="1"/>
  <c r="I162" i="35"/>
  <c r="M162" i="35" s="1"/>
  <c r="M161" i="35"/>
  <c r="J161" i="35"/>
  <c r="K161" i="35" s="1"/>
  <c r="I161" i="35"/>
  <c r="J160" i="35"/>
  <c r="K160" i="35" s="1"/>
  <c r="I160" i="35"/>
  <c r="M160" i="35" s="1"/>
  <c r="J159" i="35"/>
  <c r="K159" i="35" s="1"/>
  <c r="I159" i="35"/>
  <c r="M159" i="35" s="1"/>
  <c r="J158" i="35"/>
  <c r="K158" i="35" s="1"/>
  <c r="I158" i="35"/>
  <c r="M158" i="35" s="1"/>
  <c r="M157" i="35"/>
  <c r="J157" i="35"/>
  <c r="K157" i="35" s="1"/>
  <c r="I157" i="35"/>
  <c r="J156" i="35"/>
  <c r="K156" i="35" s="1"/>
  <c r="I156" i="35"/>
  <c r="M156" i="35" s="1"/>
  <c r="M155" i="35"/>
  <c r="J155" i="35"/>
  <c r="K155" i="35" s="1"/>
  <c r="I155" i="35"/>
  <c r="J154" i="35"/>
  <c r="K154" i="35" s="1"/>
  <c r="I154" i="35"/>
  <c r="M154" i="35" s="1"/>
  <c r="M153" i="35"/>
  <c r="J153" i="35"/>
  <c r="K153" i="35" s="1"/>
  <c r="I153" i="35"/>
  <c r="J152" i="35"/>
  <c r="K152" i="35" s="1"/>
  <c r="I152" i="35"/>
  <c r="M152" i="35" s="1"/>
  <c r="J151" i="35"/>
  <c r="K151" i="35" s="1"/>
  <c r="I151" i="35"/>
  <c r="M151" i="35" s="1"/>
  <c r="J150" i="35"/>
  <c r="K150" i="35" s="1"/>
  <c r="I150" i="35"/>
  <c r="M150" i="35" s="1"/>
  <c r="M149" i="35"/>
  <c r="J149" i="35"/>
  <c r="K149" i="35" s="1"/>
  <c r="I149" i="35"/>
  <c r="J148" i="35"/>
  <c r="K148" i="35" s="1"/>
  <c r="I148" i="35"/>
  <c r="M148" i="35" s="1"/>
  <c r="M147" i="35"/>
  <c r="J147" i="35"/>
  <c r="K147" i="35" s="1"/>
  <c r="I147" i="35"/>
  <c r="J146" i="35"/>
  <c r="K146" i="35" s="1"/>
  <c r="I146" i="35"/>
  <c r="M146" i="35" s="1"/>
  <c r="M145" i="35"/>
  <c r="J145" i="35"/>
  <c r="K145" i="35" s="1"/>
  <c r="I145" i="35"/>
  <c r="J144" i="35"/>
  <c r="K144" i="35" s="1"/>
  <c r="I144" i="35"/>
  <c r="M144" i="35" s="1"/>
  <c r="J143" i="35"/>
  <c r="K143" i="35" s="1"/>
  <c r="I143" i="35"/>
  <c r="M143" i="35" s="1"/>
  <c r="J142" i="35"/>
  <c r="K142" i="35" s="1"/>
  <c r="I142" i="35"/>
  <c r="M142" i="35" s="1"/>
  <c r="M141" i="35"/>
  <c r="J141" i="35"/>
  <c r="K141" i="35" s="1"/>
  <c r="I141" i="35"/>
  <c r="J140" i="35"/>
  <c r="K140" i="35" s="1"/>
  <c r="I140" i="35"/>
  <c r="M140" i="35" s="1"/>
  <c r="M139" i="35"/>
  <c r="J139" i="35"/>
  <c r="K139" i="35" s="1"/>
  <c r="I139" i="35"/>
  <c r="J138" i="35"/>
  <c r="K138" i="35" s="1"/>
  <c r="I138" i="35"/>
  <c r="M138" i="35" s="1"/>
  <c r="M137" i="35"/>
  <c r="J137" i="35"/>
  <c r="K137" i="35" s="1"/>
  <c r="I137" i="35"/>
  <c r="J136" i="35"/>
  <c r="K136" i="35" s="1"/>
  <c r="I136" i="35"/>
  <c r="M136" i="35" s="1"/>
  <c r="J135" i="35"/>
  <c r="K135" i="35" s="1"/>
  <c r="I135" i="35"/>
  <c r="M135" i="35" s="1"/>
  <c r="K134" i="35"/>
  <c r="J134" i="35"/>
  <c r="I134" i="35"/>
  <c r="M134" i="35" s="1"/>
  <c r="J133" i="35"/>
  <c r="K133" i="35" s="1"/>
  <c r="I133" i="35"/>
  <c r="M133" i="35" s="1"/>
  <c r="K132" i="35"/>
  <c r="J132" i="35"/>
  <c r="I132" i="35"/>
  <c r="M132" i="35" s="1"/>
  <c r="J131" i="35"/>
  <c r="K131" i="35" s="1"/>
  <c r="I131" i="35"/>
  <c r="M131" i="35" s="1"/>
  <c r="K130" i="35"/>
  <c r="J130" i="35"/>
  <c r="I130" i="35"/>
  <c r="M130" i="35" s="1"/>
  <c r="J129" i="35"/>
  <c r="K129" i="35" s="1"/>
  <c r="I129" i="35"/>
  <c r="M129" i="35" s="1"/>
  <c r="K128" i="35"/>
  <c r="J128" i="35"/>
  <c r="I128" i="35"/>
  <c r="M128" i="35" s="1"/>
  <c r="J127" i="35"/>
  <c r="K127" i="35" s="1"/>
  <c r="I127" i="35"/>
  <c r="M127" i="35" s="1"/>
  <c r="K126" i="35"/>
  <c r="J126" i="35"/>
  <c r="I126" i="35"/>
  <c r="M126" i="35" s="1"/>
  <c r="J125" i="35"/>
  <c r="K125" i="35" s="1"/>
  <c r="I125" i="35"/>
  <c r="M125" i="35" s="1"/>
  <c r="K124" i="35"/>
  <c r="J124" i="35"/>
  <c r="I124" i="35"/>
  <c r="M124" i="35" s="1"/>
  <c r="J123" i="35"/>
  <c r="K123" i="35" s="1"/>
  <c r="I123" i="35"/>
  <c r="M123" i="35" s="1"/>
  <c r="K122" i="35"/>
  <c r="J122" i="35"/>
  <c r="I122" i="35"/>
  <c r="M122" i="35" s="1"/>
  <c r="J121" i="35"/>
  <c r="K121" i="35" s="1"/>
  <c r="I121" i="35"/>
  <c r="M121" i="35" s="1"/>
  <c r="K120" i="35"/>
  <c r="J120" i="35"/>
  <c r="I120" i="35"/>
  <c r="M120" i="35" s="1"/>
  <c r="J119" i="35"/>
  <c r="K119" i="35" s="1"/>
  <c r="I119" i="35"/>
  <c r="M119" i="35" s="1"/>
  <c r="K118" i="35"/>
  <c r="J118" i="35"/>
  <c r="I118" i="35"/>
  <c r="M118" i="35" s="1"/>
  <c r="J117" i="35"/>
  <c r="K117" i="35" s="1"/>
  <c r="I117" i="35"/>
  <c r="M117" i="35" s="1"/>
  <c r="K116" i="35"/>
  <c r="J116" i="35"/>
  <c r="I116" i="35"/>
  <c r="M116" i="35" s="1"/>
  <c r="J115" i="35"/>
  <c r="K115" i="35" s="1"/>
  <c r="I115" i="35"/>
  <c r="M115" i="35" s="1"/>
  <c r="K114" i="35"/>
  <c r="J114" i="35"/>
  <c r="I114" i="35"/>
  <c r="M114" i="35" s="1"/>
  <c r="J113" i="35"/>
  <c r="K113" i="35" s="1"/>
  <c r="I113" i="35"/>
  <c r="M113" i="35" s="1"/>
  <c r="K112" i="35"/>
  <c r="J112" i="35"/>
  <c r="I112" i="35"/>
  <c r="M112" i="35" s="1"/>
  <c r="J111" i="35"/>
  <c r="K111" i="35" s="1"/>
  <c r="I111" i="35"/>
  <c r="M111" i="35" s="1"/>
  <c r="K110" i="35"/>
  <c r="J110" i="35"/>
  <c r="I110" i="35"/>
  <c r="M110" i="35" s="1"/>
  <c r="J109" i="35"/>
  <c r="K109" i="35" s="1"/>
  <c r="I109" i="35"/>
  <c r="M109" i="35" s="1"/>
  <c r="K108" i="35"/>
  <c r="J108" i="35"/>
  <c r="I108" i="35"/>
  <c r="M108" i="35" s="1"/>
  <c r="J107" i="35"/>
  <c r="K107" i="35" s="1"/>
  <c r="I107" i="35"/>
  <c r="M107" i="35" s="1"/>
  <c r="K106" i="35"/>
  <c r="J106" i="35"/>
  <c r="I106" i="35"/>
  <c r="M106" i="35" s="1"/>
  <c r="J105" i="35"/>
  <c r="K105" i="35" s="1"/>
  <c r="I105" i="35"/>
  <c r="M105" i="35" s="1"/>
  <c r="K104" i="35"/>
  <c r="J104" i="35"/>
  <c r="I104" i="35"/>
  <c r="M104" i="35" s="1"/>
  <c r="J103" i="35"/>
  <c r="K103" i="35" s="1"/>
  <c r="I103" i="35"/>
  <c r="M103" i="35" s="1"/>
  <c r="K102" i="35"/>
  <c r="J102" i="35"/>
  <c r="I102" i="35"/>
  <c r="M102" i="35" s="1"/>
  <c r="J101" i="35"/>
  <c r="K101" i="35" s="1"/>
  <c r="I101" i="35"/>
  <c r="M101" i="35" s="1"/>
  <c r="K100" i="35"/>
  <c r="J100" i="35"/>
  <c r="I100" i="35"/>
  <c r="M100" i="35" s="1"/>
  <c r="J99" i="35"/>
  <c r="K99" i="35" s="1"/>
  <c r="I99" i="35"/>
  <c r="M99" i="35" s="1"/>
  <c r="K98" i="35"/>
  <c r="J98" i="35"/>
  <c r="I98" i="35"/>
  <c r="M98" i="35" s="1"/>
  <c r="J97" i="35"/>
  <c r="K97" i="35" s="1"/>
  <c r="I97" i="35"/>
  <c r="M97" i="35" s="1"/>
  <c r="K96" i="35"/>
  <c r="J96" i="35"/>
  <c r="I96" i="35"/>
  <c r="M96" i="35" s="1"/>
  <c r="J95" i="35"/>
  <c r="K95" i="35" s="1"/>
  <c r="I95" i="35"/>
  <c r="M95" i="35" s="1"/>
  <c r="K94" i="35"/>
  <c r="J94" i="35"/>
  <c r="I94" i="35"/>
  <c r="M94" i="35" s="1"/>
  <c r="J93" i="35"/>
  <c r="K93" i="35" s="1"/>
  <c r="I93" i="35"/>
  <c r="M93" i="35" s="1"/>
  <c r="K92" i="35"/>
  <c r="J92" i="35"/>
  <c r="I92" i="35"/>
  <c r="M92" i="35" s="1"/>
  <c r="J91" i="35"/>
  <c r="K91" i="35" s="1"/>
  <c r="I91" i="35"/>
  <c r="M91" i="35" s="1"/>
  <c r="K90" i="35"/>
  <c r="J90" i="35"/>
  <c r="I90" i="35"/>
  <c r="M90" i="35" s="1"/>
  <c r="J89" i="35"/>
  <c r="K89" i="35" s="1"/>
  <c r="I89" i="35"/>
  <c r="M89" i="35" s="1"/>
  <c r="K88" i="35"/>
  <c r="J88" i="35"/>
  <c r="I88" i="35"/>
  <c r="M88" i="35" s="1"/>
  <c r="J87" i="35"/>
  <c r="K87" i="35" s="1"/>
  <c r="I87" i="35"/>
  <c r="M87" i="35" s="1"/>
  <c r="K86" i="35"/>
  <c r="J86" i="35"/>
  <c r="I86" i="35"/>
  <c r="M86" i="35" s="1"/>
  <c r="J85" i="35"/>
  <c r="K85" i="35" s="1"/>
  <c r="I85" i="35"/>
  <c r="M85" i="35" s="1"/>
  <c r="K84" i="35"/>
  <c r="J84" i="35"/>
  <c r="I84" i="35"/>
  <c r="M84" i="35" s="1"/>
  <c r="J83" i="35"/>
  <c r="K83" i="35" s="1"/>
  <c r="I83" i="35"/>
  <c r="M83" i="35" s="1"/>
  <c r="K82" i="35"/>
  <c r="J82" i="35"/>
  <c r="I82" i="35"/>
  <c r="M82" i="35" s="1"/>
  <c r="J81" i="35"/>
  <c r="K81" i="35" s="1"/>
  <c r="I81" i="35"/>
  <c r="M81" i="35" s="1"/>
  <c r="K80" i="35"/>
  <c r="J80" i="35"/>
  <c r="I80" i="35"/>
  <c r="M80" i="35" s="1"/>
  <c r="J79" i="35"/>
  <c r="K79" i="35" s="1"/>
  <c r="I79" i="35"/>
  <c r="M79" i="35" s="1"/>
  <c r="K78" i="35"/>
  <c r="J78" i="35"/>
  <c r="I78" i="35"/>
  <c r="M78" i="35" s="1"/>
  <c r="J77" i="35"/>
  <c r="K77" i="35" s="1"/>
  <c r="I77" i="35"/>
  <c r="M77" i="35" s="1"/>
  <c r="K76" i="35"/>
  <c r="J76" i="35"/>
  <c r="I76" i="35"/>
  <c r="M76" i="35" s="1"/>
  <c r="J75" i="35"/>
  <c r="K75" i="35" s="1"/>
  <c r="I75" i="35"/>
  <c r="M75" i="35" s="1"/>
  <c r="K74" i="35"/>
  <c r="J74" i="35"/>
  <c r="I74" i="35"/>
  <c r="M74" i="35" s="1"/>
  <c r="J73" i="35"/>
  <c r="K73" i="35" s="1"/>
  <c r="I73" i="35"/>
  <c r="M73" i="35" s="1"/>
  <c r="K72" i="35"/>
  <c r="J72" i="35"/>
  <c r="I72" i="35"/>
  <c r="M72" i="35" s="1"/>
  <c r="J71" i="35"/>
  <c r="K71" i="35" s="1"/>
  <c r="I71" i="35"/>
  <c r="M71" i="35" s="1"/>
  <c r="K70" i="35"/>
  <c r="J70" i="35"/>
  <c r="I70" i="35"/>
  <c r="M70" i="35" s="1"/>
  <c r="J69" i="35"/>
  <c r="K69" i="35" s="1"/>
  <c r="I69" i="35"/>
  <c r="M69" i="35" s="1"/>
  <c r="K68" i="35"/>
  <c r="J68" i="35"/>
  <c r="I68" i="35"/>
  <c r="M68" i="35" s="1"/>
  <c r="J67" i="35"/>
  <c r="K67" i="35" s="1"/>
  <c r="I67" i="35"/>
  <c r="M67" i="35" s="1"/>
  <c r="K66" i="35"/>
  <c r="J66" i="35"/>
  <c r="I66" i="35"/>
  <c r="M66" i="35" s="1"/>
  <c r="J65" i="35"/>
  <c r="K65" i="35" s="1"/>
  <c r="I65" i="35"/>
  <c r="M65" i="35" s="1"/>
  <c r="B65" i="35"/>
  <c r="M64" i="35"/>
  <c r="J64" i="35"/>
  <c r="K64" i="35" s="1"/>
  <c r="I64" i="35"/>
  <c r="B64" i="35"/>
  <c r="M63" i="35"/>
  <c r="K63" i="35"/>
  <c r="J63" i="35"/>
  <c r="I63" i="35"/>
  <c r="B63" i="35"/>
  <c r="J62" i="35"/>
  <c r="K62" i="35" s="1"/>
  <c r="I62" i="35"/>
  <c r="M62" i="35" s="1"/>
  <c r="B62" i="35"/>
  <c r="K61" i="35"/>
  <c r="J61" i="35"/>
  <c r="I61" i="35"/>
  <c r="M61" i="35" s="1"/>
  <c r="B61" i="35"/>
  <c r="M60" i="35"/>
  <c r="J60" i="35"/>
  <c r="K60" i="35" s="1"/>
  <c r="I60" i="35"/>
  <c r="B60" i="35"/>
  <c r="K59" i="35"/>
  <c r="J59" i="35"/>
  <c r="I59" i="35"/>
  <c r="M59" i="35" s="1"/>
  <c r="B59" i="35"/>
  <c r="M58" i="35"/>
  <c r="J58" i="35"/>
  <c r="K58" i="35" s="1"/>
  <c r="I58" i="35"/>
  <c r="B58" i="35"/>
  <c r="J57" i="35"/>
  <c r="K57" i="35" s="1"/>
  <c r="I57" i="35"/>
  <c r="M57" i="35" s="1"/>
  <c r="B57" i="35"/>
  <c r="M56" i="35"/>
  <c r="J56" i="35"/>
  <c r="K56" i="35" s="1"/>
  <c r="I56" i="35"/>
  <c r="B56" i="35"/>
  <c r="M55" i="35"/>
  <c r="K55" i="35"/>
  <c r="J55" i="35"/>
  <c r="I55" i="35"/>
  <c r="B55" i="35"/>
  <c r="J54" i="35"/>
  <c r="K54" i="35" s="1"/>
  <c r="I54" i="35"/>
  <c r="M54" i="35" s="1"/>
  <c r="B54" i="35"/>
  <c r="K53" i="35"/>
  <c r="J53" i="35"/>
  <c r="I53" i="35"/>
  <c r="M53" i="35" s="1"/>
  <c r="B53" i="35"/>
  <c r="M52" i="35"/>
  <c r="J52" i="35"/>
  <c r="K52" i="35" s="1"/>
  <c r="I52" i="35"/>
  <c r="B52" i="35"/>
  <c r="K51" i="35"/>
  <c r="J51" i="35"/>
  <c r="I51" i="35"/>
  <c r="M51" i="35" s="1"/>
  <c r="B51" i="35"/>
  <c r="M50" i="35"/>
  <c r="J50" i="35"/>
  <c r="K50" i="35" s="1"/>
  <c r="I50" i="35"/>
  <c r="B50" i="35"/>
  <c r="J49" i="35"/>
  <c r="K49" i="35" s="1"/>
  <c r="I49" i="35"/>
  <c r="M49" i="35" s="1"/>
  <c r="B49" i="35"/>
  <c r="M48" i="35"/>
  <c r="J48" i="35"/>
  <c r="K48" i="35" s="1"/>
  <c r="I48" i="35"/>
  <c r="B48" i="35"/>
  <c r="M47" i="35"/>
  <c r="K47" i="35"/>
  <c r="J47" i="35"/>
  <c r="I47" i="35"/>
  <c r="B47" i="35"/>
  <c r="U46" i="35"/>
  <c r="T46" i="35"/>
  <c r="R46" i="35"/>
  <c r="M46" i="35"/>
  <c r="K46" i="35"/>
  <c r="J46" i="35"/>
  <c r="I46" i="35"/>
  <c r="B46" i="35"/>
  <c r="J45" i="35"/>
  <c r="K45" i="35" s="1"/>
  <c r="I45" i="35"/>
  <c r="M45" i="35" s="1"/>
  <c r="B45" i="35"/>
  <c r="K44" i="35"/>
  <c r="J44" i="35"/>
  <c r="I44" i="35"/>
  <c r="M44" i="35" s="1"/>
  <c r="B44" i="35"/>
  <c r="M43" i="35"/>
  <c r="J43" i="35"/>
  <c r="K43" i="35" s="1"/>
  <c r="I43" i="35"/>
  <c r="B43" i="35"/>
  <c r="K42" i="35"/>
  <c r="J42" i="35"/>
  <c r="I42" i="35"/>
  <c r="M42" i="35" s="1"/>
  <c r="B42" i="35"/>
  <c r="M41" i="35"/>
  <c r="J41" i="35"/>
  <c r="K41" i="35" s="1"/>
  <c r="I41" i="35"/>
  <c r="B41" i="35"/>
  <c r="J40" i="35"/>
  <c r="K40" i="35" s="1"/>
  <c r="I40" i="35"/>
  <c r="M40" i="35" s="1"/>
  <c r="B40" i="35"/>
  <c r="M39" i="35"/>
  <c r="J39" i="35"/>
  <c r="K39" i="35" s="1"/>
  <c r="I39" i="35"/>
  <c r="B39" i="35"/>
  <c r="M38" i="35"/>
  <c r="K38" i="35"/>
  <c r="J38" i="35"/>
  <c r="I38" i="35"/>
  <c r="B38" i="35"/>
  <c r="J37" i="35"/>
  <c r="K37" i="35" s="1"/>
  <c r="I37" i="35"/>
  <c r="M37" i="35" s="1"/>
  <c r="A37" i="35" s="1"/>
  <c r="B37" i="35"/>
  <c r="M36" i="35"/>
  <c r="J36" i="35"/>
  <c r="K36" i="35" s="1"/>
  <c r="I36" i="35"/>
  <c r="B36" i="35"/>
  <c r="A36" i="35"/>
  <c r="M35" i="35"/>
  <c r="A35" i="35" s="1"/>
  <c r="J35" i="35"/>
  <c r="K35" i="35" s="1"/>
  <c r="I35" i="35"/>
  <c r="B35" i="35"/>
  <c r="M34" i="35"/>
  <c r="A34" i="35" s="1"/>
  <c r="J34" i="35"/>
  <c r="K34" i="35" s="1"/>
  <c r="I34" i="35"/>
  <c r="B34" i="35"/>
  <c r="J33" i="35"/>
  <c r="K33" i="35" s="1"/>
  <c r="I33" i="35"/>
  <c r="M33" i="35" s="1"/>
  <c r="A33" i="35" s="1"/>
  <c r="B33" i="35"/>
  <c r="M32" i="35"/>
  <c r="J32" i="35"/>
  <c r="K32" i="35" s="1"/>
  <c r="I32" i="35"/>
  <c r="B32" i="35"/>
  <c r="A32" i="35"/>
  <c r="M31" i="35"/>
  <c r="A31" i="35" s="1"/>
  <c r="J31" i="35"/>
  <c r="K31" i="35" s="1"/>
  <c r="I31" i="35"/>
  <c r="B31" i="35"/>
  <c r="M30" i="35"/>
  <c r="A30" i="35" s="1"/>
  <c r="J30" i="35"/>
  <c r="K30" i="35" s="1"/>
  <c r="I30" i="35"/>
  <c r="B30" i="35"/>
  <c r="J29" i="35"/>
  <c r="K29" i="35" s="1"/>
  <c r="I29" i="35"/>
  <c r="M29" i="35" s="1"/>
  <c r="A29" i="35" s="1"/>
  <c r="B29" i="35"/>
  <c r="M28" i="35"/>
  <c r="J28" i="35"/>
  <c r="K28" i="35" s="1"/>
  <c r="I28" i="35"/>
  <c r="B28" i="35"/>
  <c r="A28" i="35"/>
  <c r="M27" i="35"/>
  <c r="A27" i="35" s="1"/>
  <c r="J27" i="35"/>
  <c r="K27" i="35" s="1"/>
  <c r="I27" i="35"/>
  <c r="B27" i="35"/>
  <c r="M26" i="35"/>
  <c r="A26" i="35" s="1"/>
  <c r="J26" i="35"/>
  <c r="K26" i="35" s="1"/>
  <c r="I26" i="35"/>
  <c r="B26" i="35"/>
  <c r="J25" i="35"/>
  <c r="K25" i="35" s="1"/>
  <c r="I25" i="35"/>
  <c r="M25" i="35" s="1"/>
  <c r="A25" i="35" s="1"/>
  <c r="B25" i="35"/>
  <c r="M24" i="35"/>
  <c r="J24" i="35"/>
  <c r="K24" i="35" s="1"/>
  <c r="I24" i="35"/>
  <c r="B24" i="35"/>
  <c r="A24" i="35"/>
  <c r="M23" i="35"/>
  <c r="A23" i="35" s="1"/>
  <c r="J23" i="35"/>
  <c r="K23" i="35" s="1"/>
  <c r="I23" i="35"/>
  <c r="B23" i="35"/>
  <c r="M22" i="35"/>
  <c r="A22" i="35" s="1"/>
  <c r="J22" i="35"/>
  <c r="K22" i="35" s="1"/>
  <c r="I22" i="35"/>
  <c r="B22" i="35"/>
  <c r="J21" i="35"/>
  <c r="K21" i="35" s="1"/>
  <c r="I21" i="35"/>
  <c r="M21" i="35" s="1"/>
  <c r="A21" i="35" s="1"/>
  <c r="B21" i="35"/>
  <c r="M20" i="35"/>
  <c r="J20" i="35"/>
  <c r="K20" i="35" s="1"/>
  <c r="I20" i="35"/>
  <c r="B20" i="35"/>
  <c r="A20" i="35"/>
  <c r="M19" i="35"/>
  <c r="A19" i="35" s="1"/>
  <c r="J19" i="35"/>
  <c r="K19" i="35" s="1"/>
  <c r="I19" i="35"/>
  <c r="B19" i="35"/>
  <c r="M18" i="35"/>
  <c r="A18" i="35" s="1"/>
  <c r="J18" i="35"/>
  <c r="K18" i="35" s="1"/>
  <c r="I18" i="35"/>
  <c r="B18" i="35"/>
  <c r="J17" i="35"/>
  <c r="K17" i="35" s="1"/>
  <c r="I17" i="35"/>
  <c r="M17" i="35" s="1"/>
  <c r="A17" i="35" s="1"/>
  <c r="B17" i="35"/>
  <c r="K16" i="35"/>
  <c r="J16" i="35"/>
  <c r="I16" i="35"/>
  <c r="M16" i="35" s="1"/>
  <c r="A16" i="35" s="1"/>
  <c r="B16" i="35"/>
  <c r="K15" i="35"/>
  <c r="J15" i="35"/>
  <c r="I15" i="35"/>
  <c r="M15" i="35" s="1"/>
  <c r="A15" i="35" s="1"/>
  <c r="B15" i="35"/>
  <c r="AI14" i="35"/>
  <c r="AI16" i="35" s="1"/>
  <c r="M14" i="35"/>
  <c r="A14" i="35" s="1"/>
  <c r="J14" i="35"/>
  <c r="K14" i="35" s="1"/>
  <c r="I14" i="35"/>
  <c r="B14" i="35"/>
  <c r="AI13" i="35"/>
  <c r="M13" i="35"/>
  <c r="A13" i="35" s="1"/>
  <c r="K13" i="35"/>
  <c r="J13" i="35"/>
  <c r="I13" i="35"/>
  <c r="B13" i="35"/>
  <c r="AI12" i="35"/>
  <c r="M12" i="35"/>
  <c r="A12" i="35" s="1"/>
  <c r="J12" i="35"/>
  <c r="K12" i="35" s="1"/>
  <c r="I12" i="35"/>
  <c r="B12" i="35"/>
  <c r="J11" i="35"/>
  <c r="K11" i="35" s="1"/>
  <c r="I11" i="35"/>
  <c r="M11" i="35" s="1"/>
  <c r="A11" i="35" s="1"/>
  <c r="B11" i="35"/>
  <c r="M10" i="35"/>
  <c r="J10" i="35"/>
  <c r="K10" i="35" s="1"/>
  <c r="I10" i="35"/>
  <c r="B10" i="35"/>
  <c r="A10" i="35"/>
  <c r="M9" i="35"/>
  <c r="A9" i="35" s="1"/>
  <c r="K9" i="35"/>
  <c r="J9" i="35"/>
  <c r="I9" i="35"/>
  <c r="B9" i="35"/>
  <c r="M8" i="35"/>
  <c r="A8" i="35" s="1"/>
  <c r="L8" i="35"/>
  <c r="J8" i="35"/>
  <c r="K8" i="35" s="1"/>
  <c r="I8" i="35"/>
  <c r="B8" i="35"/>
  <c r="L7" i="35"/>
  <c r="K7" i="35"/>
  <c r="J7" i="35"/>
  <c r="I7" i="35"/>
  <c r="M7" i="35" s="1"/>
  <c r="A7" i="35" s="1"/>
  <c r="B7" i="35"/>
  <c r="J6" i="35"/>
  <c r="K6" i="35" s="1"/>
  <c r="I6" i="35"/>
  <c r="M6" i="35" s="1"/>
  <c r="A6" i="35" s="1"/>
  <c r="B6" i="35"/>
  <c r="K2" i="35"/>
  <c r="L9" i="35" s="1"/>
  <c r="J374" i="34"/>
  <c r="J373" i="34"/>
  <c r="J372" i="34"/>
  <c r="J371" i="34"/>
  <c r="J370" i="34"/>
  <c r="J369" i="34"/>
  <c r="J368" i="34"/>
  <c r="J367" i="34"/>
  <c r="J366" i="34"/>
  <c r="J365" i="34"/>
  <c r="J364" i="34"/>
  <c r="J363" i="34"/>
  <c r="J362" i="34"/>
  <c r="J361" i="34"/>
  <c r="J360" i="34"/>
  <c r="J359" i="34"/>
  <c r="J358" i="34"/>
  <c r="J357" i="34"/>
  <c r="J356" i="34"/>
  <c r="J355" i="34"/>
  <c r="J354" i="34"/>
  <c r="J353" i="34"/>
  <c r="J352" i="34"/>
  <c r="J351" i="34"/>
  <c r="J350" i="34"/>
  <c r="J349" i="34"/>
  <c r="J348" i="34"/>
  <c r="J347" i="34"/>
  <c r="J346" i="34"/>
  <c r="J345" i="34"/>
  <c r="J344" i="34"/>
  <c r="J343" i="34"/>
  <c r="J342" i="34"/>
  <c r="J341" i="34"/>
  <c r="J340" i="34"/>
  <c r="J339" i="34"/>
  <c r="J338" i="34"/>
  <c r="J337" i="34"/>
  <c r="J336" i="34"/>
  <c r="J335" i="34"/>
  <c r="J334" i="34"/>
  <c r="J333" i="34"/>
  <c r="J332" i="34"/>
  <c r="J331" i="34"/>
  <c r="J330" i="34"/>
  <c r="J329" i="34"/>
  <c r="J328" i="34"/>
  <c r="J327" i="34"/>
  <c r="J326" i="34"/>
  <c r="J325" i="34"/>
  <c r="J324" i="34"/>
  <c r="J323" i="34"/>
  <c r="J322" i="34"/>
  <c r="J321" i="34"/>
  <c r="J320" i="34"/>
  <c r="J319" i="34"/>
  <c r="J318" i="34"/>
  <c r="J317" i="34"/>
  <c r="J316" i="34"/>
  <c r="J315" i="34"/>
  <c r="J314" i="34"/>
  <c r="J313" i="34"/>
  <c r="J312" i="34"/>
  <c r="J311" i="34"/>
  <c r="J310" i="34"/>
  <c r="J309" i="34"/>
  <c r="J308" i="34"/>
  <c r="J307" i="34"/>
  <c r="J306" i="34"/>
  <c r="J305" i="34"/>
  <c r="K305" i="34" s="1"/>
  <c r="I305" i="34"/>
  <c r="M305" i="34" s="1"/>
  <c r="J304" i="34"/>
  <c r="K304" i="34" s="1"/>
  <c r="I304" i="34"/>
  <c r="M304" i="34" s="1"/>
  <c r="J303" i="34"/>
  <c r="K303" i="34" s="1"/>
  <c r="I303" i="34"/>
  <c r="M303" i="34" s="1"/>
  <c r="J302" i="34"/>
  <c r="K302" i="34" s="1"/>
  <c r="I302" i="34"/>
  <c r="M302" i="34" s="1"/>
  <c r="K301" i="34"/>
  <c r="J301" i="34"/>
  <c r="I301" i="34"/>
  <c r="M301" i="34" s="1"/>
  <c r="J300" i="34"/>
  <c r="K300" i="34" s="1"/>
  <c r="I300" i="34"/>
  <c r="M300" i="34" s="1"/>
  <c r="J299" i="34"/>
  <c r="K299" i="34" s="1"/>
  <c r="I299" i="34"/>
  <c r="M299" i="34" s="1"/>
  <c r="J298" i="34"/>
  <c r="K298" i="34" s="1"/>
  <c r="I298" i="34"/>
  <c r="M298" i="34" s="1"/>
  <c r="J297" i="34"/>
  <c r="K297" i="34" s="1"/>
  <c r="I297" i="34"/>
  <c r="M297" i="34" s="1"/>
  <c r="J296" i="34"/>
  <c r="K296" i="34" s="1"/>
  <c r="I296" i="34"/>
  <c r="M296" i="34" s="1"/>
  <c r="J295" i="34"/>
  <c r="K295" i="34" s="1"/>
  <c r="I295" i="34"/>
  <c r="M295" i="34" s="1"/>
  <c r="J294" i="34"/>
  <c r="K294" i="34" s="1"/>
  <c r="I294" i="34"/>
  <c r="M294" i="34" s="1"/>
  <c r="J293" i="34"/>
  <c r="K293" i="34" s="1"/>
  <c r="I293" i="34"/>
  <c r="M293" i="34" s="1"/>
  <c r="J292" i="34"/>
  <c r="K292" i="34" s="1"/>
  <c r="I292" i="34"/>
  <c r="M292" i="34" s="1"/>
  <c r="J291" i="34"/>
  <c r="K291" i="34" s="1"/>
  <c r="I291" i="34"/>
  <c r="M291" i="34" s="1"/>
  <c r="J290" i="34"/>
  <c r="K290" i="34" s="1"/>
  <c r="I290" i="34"/>
  <c r="M290" i="34" s="1"/>
  <c r="J289" i="34"/>
  <c r="K289" i="34" s="1"/>
  <c r="I289" i="34"/>
  <c r="M289" i="34" s="1"/>
  <c r="J288" i="34"/>
  <c r="K288" i="34" s="1"/>
  <c r="I288" i="34"/>
  <c r="M288" i="34" s="1"/>
  <c r="J287" i="34"/>
  <c r="K287" i="34" s="1"/>
  <c r="I287" i="34"/>
  <c r="M287" i="34" s="1"/>
  <c r="J286" i="34"/>
  <c r="K286" i="34" s="1"/>
  <c r="I286" i="34"/>
  <c r="M286" i="34" s="1"/>
  <c r="J285" i="34"/>
  <c r="K285" i="34" s="1"/>
  <c r="I285" i="34"/>
  <c r="M285" i="34" s="1"/>
  <c r="J284" i="34"/>
  <c r="K284" i="34" s="1"/>
  <c r="I284" i="34"/>
  <c r="M284" i="34" s="1"/>
  <c r="J283" i="34"/>
  <c r="K283" i="34" s="1"/>
  <c r="I283" i="34"/>
  <c r="M283" i="34" s="1"/>
  <c r="J282" i="34"/>
  <c r="K282" i="34" s="1"/>
  <c r="I282" i="34"/>
  <c r="M282" i="34" s="1"/>
  <c r="J281" i="34"/>
  <c r="K281" i="34" s="1"/>
  <c r="I281" i="34"/>
  <c r="M281" i="34" s="1"/>
  <c r="J280" i="34"/>
  <c r="K280" i="34" s="1"/>
  <c r="I280" i="34"/>
  <c r="M280" i="34" s="1"/>
  <c r="J279" i="34"/>
  <c r="K279" i="34" s="1"/>
  <c r="I279" i="34"/>
  <c r="M279" i="34" s="1"/>
  <c r="J278" i="34"/>
  <c r="K278" i="34" s="1"/>
  <c r="I278" i="34"/>
  <c r="M278" i="34" s="1"/>
  <c r="J277" i="34"/>
  <c r="K277" i="34" s="1"/>
  <c r="I277" i="34"/>
  <c r="M277" i="34" s="1"/>
  <c r="J276" i="34"/>
  <c r="K276" i="34" s="1"/>
  <c r="I276" i="34"/>
  <c r="M276" i="34" s="1"/>
  <c r="J275" i="34"/>
  <c r="K275" i="34" s="1"/>
  <c r="I275" i="34"/>
  <c r="M275" i="34" s="1"/>
  <c r="J274" i="34"/>
  <c r="K274" i="34" s="1"/>
  <c r="I274" i="34"/>
  <c r="M274" i="34" s="1"/>
  <c r="J273" i="34"/>
  <c r="K273" i="34" s="1"/>
  <c r="I273" i="34"/>
  <c r="M273" i="34" s="1"/>
  <c r="J272" i="34"/>
  <c r="K272" i="34" s="1"/>
  <c r="I272" i="34"/>
  <c r="M272" i="34" s="1"/>
  <c r="J271" i="34"/>
  <c r="K271" i="34" s="1"/>
  <c r="I271" i="34"/>
  <c r="M271" i="34" s="1"/>
  <c r="J270" i="34"/>
  <c r="K270" i="34" s="1"/>
  <c r="I270" i="34"/>
  <c r="M270" i="34" s="1"/>
  <c r="K269" i="34"/>
  <c r="J269" i="34"/>
  <c r="I269" i="34"/>
  <c r="M269" i="34" s="1"/>
  <c r="J268" i="34"/>
  <c r="K268" i="34" s="1"/>
  <c r="I268" i="34"/>
  <c r="M268" i="34" s="1"/>
  <c r="J267" i="34"/>
  <c r="K267" i="34" s="1"/>
  <c r="I267" i="34"/>
  <c r="M267" i="34" s="1"/>
  <c r="J266" i="34"/>
  <c r="K266" i="34" s="1"/>
  <c r="I266" i="34"/>
  <c r="M266" i="34" s="1"/>
  <c r="J265" i="34"/>
  <c r="K265" i="34" s="1"/>
  <c r="I265" i="34"/>
  <c r="M265" i="34" s="1"/>
  <c r="J264" i="34"/>
  <c r="K264" i="34" s="1"/>
  <c r="I264" i="34"/>
  <c r="M264" i="34" s="1"/>
  <c r="J263" i="34"/>
  <c r="K263" i="34" s="1"/>
  <c r="I263" i="34"/>
  <c r="M263" i="34" s="1"/>
  <c r="J262" i="34"/>
  <c r="K262" i="34" s="1"/>
  <c r="I262" i="34"/>
  <c r="M262" i="34" s="1"/>
  <c r="J261" i="34"/>
  <c r="K261" i="34" s="1"/>
  <c r="I261" i="34"/>
  <c r="M261" i="34" s="1"/>
  <c r="J260" i="34"/>
  <c r="K260" i="34" s="1"/>
  <c r="I260" i="34"/>
  <c r="M260" i="34" s="1"/>
  <c r="J259" i="34"/>
  <c r="K259" i="34" s="1"/>
  <c r="I259" i="34"/>
  <c r="M259" i="34" s="1"/>
  <c r="J258" i="34"/>
  <c r="K258" i="34" s="1"/>
  <c r="I258" i="34"/>
  <c r="M258" i="34" s="1"/>
  <c r="J257" i="34"/>
  <c r="K257" i="34" s="1"/>
  <c r="I257" i="34"/>
  <c r="M257" i="34" s="1"/>
  <c r="J256" i="34"/>
  <c r="K256" i="34" s="1"/>
  <c r="I256" i="34"/>
  <c r="M256" i="34" s="1"/>
  <c r="J255" i="34"/>
  <c r="K255" i="34" s="1"/>
  <c r="I255" i="34"/>
  <c r="M255" i="34" s="1"/>
  <c r="J254" i="34"/>
  <c r="K254" i="34" s="1"/>
  <c r="I254" i="34"/>
  <c r="M254" i="34" s="1"/>
  <c r="J253" i="34"/>
  <c r="K253" i="34" s="1"/>
  <c r="I253" i="34"/>
  <c r="M253" i="34" s="1"/>
  <c r="J252" i="34"/>
  <c r="K252" i="34" s="1"/>
  <c r="I252" i="34"/>
  <c r="M252" i="34" s="1"/>
  <c r="J251" i="34"/>
  <c r="K251" i="34" s="1"/>
  <c r="I251" i="34"/>
  <c r="M251" i="34" s="1"/>
  <c r="J250" i="34"/>
  <c r="K250" i="34" s="1"/>
  <c r="I250" i="34"/>
  <c r="M250" i="34" s="1"/>
  <c r="J249" i="34"/>
  <c r="K249" i="34" s="1"/>
  <c r="I249" i="34"/>
  <c r="M249" i="34" s="1"/>
  <c r="J248" i="34"/>
  <c r="K248" i="34" s="1"/>
  <c r="I248" i="34"/>
  <c r="M248" i="34" s="1"/>
  <c r="J247" i="34"/>
  <c r="K247" i="34" s="1"/>
  <c r="I247" i="34"/>
  <c r="M247" i="34" s="1"/>
  <c r="J246" i="34"/>
  <c r="K246" i="34" s="1"/>
  <c r="I246" i="34"/>
  <c r="M246" i="34" s="1"/>
  <c r="J245" i="34"/>
  <c r="K245" i="34" s="1"/>
  <c r="I245" i="34"/>
  <c r="M245" i="34" s="1"/>
  <c r="J244" i="34"/>
  <c r="K244" i="34" s="1"/>
  <c r="I244" i="34"/>
  <c r="M244" i="34" s="1"/>
  <c r="J243" i="34"/>
  <c r="K243" i="34" s="1"/>
  <c r="I243" i="34"/>
  <c r="M243" i="34" s="1"/>
  <c r="J242" i="34"/>
  <c r="K242" i="34" s="1"/>
  <c r="I242" i="34"/>
  <c r="M242" i="34" s="1"/>
  <c r="J241" i="34"/>
  <c r="K241" i="34" s="1"/>
  <c r="I241" i="34"/>
  <c r="M241" i="34" s="1"/>
  <c r="J240" i="34"/>
  <c r="K240" i="34" s="1"/>
  <c r="I240" i="34"/>
  <c r="M240" i="34" s="1"/>
  <c r="J239" i="34"/>
  <c r="K239" i="34" s="1"/>
  <c r="I239" i="34"/>
  <c r="M239" i="34" s="1"/>
  <c r="J238" i="34"/>
  <c r="K238" i="34" s="1"/>
  <c r="I238" i="34"/>
  <c r="M238" i="34" s="1"/>
  <c r="J237" i="34"/>
  <c r="K237" i="34" s="1"/>
  <c r="I237" i="34"/>
  <c r="M237" i="34" s="1"/>
  <c r="J236" i="34"/>
  <c r="K236" i="34" s="1"/>
  <c r="I236" i="34"/>
  <c r="M236" i="34" s="1"/>
  <c r="J235" i="34"/>
  <c r="K235" i="34" s="1"/>
  <c r="I235" i="34"/>
  <c r="M235" i="34" s="1"/>
  <c r="J234" i="34"/>
  <c r="K234" i="34" s="1"/>
  <c r="I234" i="34"/>
  <c r="M234" i="34" s="1"/>
  <c r="K233" i="34"/>
  <c r="J233" i="34"/>
  <c r="I233" i="34"/>
  <c r="M233" i="34" s="1"/>
  <c r="J232" i="34"/>
  <c r="K232" i="34" s="1"/>
  <c r="I232" i="34"/>
  <c r="M232" i="34" s="1"/>
  <c r="J231" i="34"/>
  <c r="K231" i="34" s="1"/>
  <c r="I231" i="34"/>
  <c r="M231" i="34" s="1"/>
  <c r="J230" i="34"/>
  <c r="K230" i="34" s="1"/>
  <c r="I230" i="34"/>
  <c r="M230" i="34" s="1"/>
  <c r="J229" i="34"/>
  <c r="K229" i="34" s="1"/>
  <c r="I229" i="34"/>
  <c r="M229" i="34" s="1"/>
  <c r="J228" i="34"/>
  <c r="K228" i="34" s="1"/>
  <c r="I228" i="34"/>
  <c r="M228" i="34" s="1"/>
  <c r="J227" i="34"/>
  <c r="K227" i="34" s="1"/>
  <c r="I227" i="34"/>
  <c r="M227" i="34" s="1"/>
  <c r="J226" i="34"/>
  <c r="K226" i="34" s="1"/>
  <c r="I226" i="34"/>
  <c r="M226" i="34" s="1"/>
  <c r="J225" i="34"/>
  <c r="K225" i="34" s="1"/>
  <c r="I225" i="34"/>
  <c r="M225" i="34" s="1"/>
  <c r="J224" i="34"/>
  <c r="K224" i="34" s="1"/>
  <c r="I224" i="34"/>
  <c r="M224" i="34" s="1"/>
  <c r="J223" i="34"/>
  <c r="K223" i="34" s="1"/>
  <c r="I223" i="34"/>
  <c r="M223" i="34" s="1"/>
  <c r="J222" i="34"/>
  <c r="K222" i="34" s="1"/>
  <c r="I222" i="34"/>
  <c r="M222" i="34" s="1"/>
  <c r="J221" i="34"/>
  <c r="K221" i="34" s="1"/>
  <c r="I221" i="34"/>
  <c r="M221" i="34" s="1"/>
  <c r="J220" i="34"/>
  <c r="K220" i="34" s="1"/>
  <c r="I220" i="34"/>
  <c r="M220" i="34" s="1"/>
  <c r="J219" i="34"/>
  <c r="K219" i="34" s="1"/>
  <c r="I219" i="34"/>
  <c r="M219" i="34" s="1"/>
  <c r="J218" i="34"/>
  <c r="K218" i="34" s="1"/>
  <c r="I218" i="34"/>
  <c r="M218" i="34" s="1"/>
  <c r="J217" i="34"/>
  <c r="K217" i="34" s="1"/>
  <c r="I217" i="34"/>
  <c r="M217" i="34" s="1"/>
  <c r="J216" i="34"/>
  <c r="K216" i="34" s="1"/>
  <c r="I216" i="34"/>
  <c r="M216" i="34" s="1"/>
  <c r="J215" i="34"/>
  <c r="K215" i="34" s="1"/>
  <c r="I215" i="34"/>
  <c r="M215" i="34" s="1"/>
  <c r="J214" i="34"/>
  <c r="K214" i="34" s="1"/>
  <c r="I214" i="34"/>
  <c r="M214" i="34" s="1"/>
  <c r="J213" i="34"/>
  <c r="K213" i="34" s="1"/>
  <c r="I213" i="34"/>
  <c r="M213" i="34" s="1"/>
  <c r="J212" i="34"/>
  <c r="K212" i="34" s="1"/>
  <c r="I212" i="34"/>
  <c r="M212" i="34" s="1"/>
  <c r="J211" i="34"/>
  <c r="K211" i="34" s="1"/>
  <c r="I211" i="34"/>
  <c r="M211" i="34" s="1"/>
  <c r="J210" i="34"/>
  <c r="K210" i="34" s="1"/>
  <c r="I210" i="34"/>
  <c r="M210" i="34" s="1"/>
  <c r="J209" i="34"/>
  <c r="K209" i="34" s="1"/>
  <c r="I209" i="34"/>
  <c r="M209" i="34" s="1"/>
  <c r="J208" i="34"/>
  <c r="K208" i="34" s="1"/>
  <c r="I208" i="34"/>
  <c r="M208" i="34" s="1"/>
  <c r="J207" i="34"/>
  <c r="K207" i="34" s="1"/>
  <c r="I207" i="34"/>
  <c r="M207" i="34" s="1"/>
  <c r="J206" i="34"/>
  <c r="K206" i="34" s="1"/>
  <c r="I206" i="34"/>
  <c r="M206" i="34" s="1"/>
  <c r="J205" i="34"/>
  <c r="K205" i="34" s="1"/>
  <c r="I205" i="34"/>
  <c r="M205" i="34" s="1"/>
  <c r="J204" i="34"/>
  <c r="K204" i="34" s="1"/>
  <c r="I204" i="34"/>
  <c r="M204" i="34" s="1"/>
  <c r="J203" i="34"/>
  <c r="K203" i="34" s="1"/>
  <c r="I203" i="34"/>
  <c r="M203" i="34" s="1"/>
  <c r="J202" i="34"/>
  <c r="K202" i="34" s="1"/>
  <c r="I202" i="34"/>
  <c r="M202" i="34" s="1"/>
  <c r="K201" i="34"/>
  <c r="J201" i="34"/>
  <c r="I201" i="34"/>
  <c r="M201" i="34" s="1"/>
  <c r="J200" i="34"/>
  <c r="K200" i="34" s="1"/>
  <c r="I200" i="34"/>
  <c r="M200" i="34" s="1"/>
  <c r="J199" i="34"/>
  <c r="K199" i="34" s="1"/>
  <c r="I199" i="34"/>
  <c r="M199" i="34" s="1"/>
  <c r="J198" i="34"/>
  <c r="K198" i="34" s="1"/>
  <c r="I198" i="34"/>
  <c r="M198" i="34" s="1"/>
  <c r="J197" i="34"/>
  <c r="K197" i="34" s="1"/>
  <c r="I197" i="34"/>
  <c r="M197" i="34" s="1"/>
  <c r="J196" i="34"/>
  <c r="K196" i="34" s="1"/>
  <c r="I196" i="34"/>
  <c r="M196" i="34" s="1"/>
  <c r="J195" i="34"/>
  <c r="K195" i="34" s="1"/>
  <c r="I195" i="34"/>
  <c r="M195" i="34" s="1"/>
  <c r="J194" i="34"/>
  <c r="K194" i="34" s="1"/>
  <c r="I194" i="34"/>
  <c r="M194" i="34" s="1"/>
  <c r="J193" i="34"/>
  <c r="K193" i="34" s="1"/>
  <c r="I193" i="34"/>
  <c r="M193" i="34" s="1"/>
  <c r="J192" i="34"/>
  <c r="K192" i="34" s="1"/>
  <c r="I192" i="34"/>
  <c r="M192" i="34" s="1"/>
  <c r="J191" i="34"/>
  <c r="K191" i="34" s="1"/>
  <c r="I191" i="34"/>
  <c r="M191" i="34" s="1"/>
  <c r="J190" i="34"/>
  <c r="K190" i="34" s="1"/>
  <c r="I190" i="34"/>
  <c r="M190" i="34" s="1"/>
  <c r="J189" i="34"/>
  <c r="K189" i="34" s="1"/>
  <c r="I189" i="34"/>
  <c r="M189" i="34" s="1"/>
  <c r="J188" i="34"/>
  <c r="K188" i="34" s="1"/>
  <c r="I188" i="34"/>
  <c r="M188" i="34" s="1"/>
  <c r="J187" i="34"/>
  <c r="K187" i="34" s="1"/>
  <c r="I187" i="34"/>
  <c r="M187" i="34" s="1"/>
  <c r="J186" i="34"/>
  <c r="K186" i="34" s="1"/>
  <c r="I186" i="34"/>
  <c r="M186" i="34" s="1"/>
  <c r="J185" i="34"/>
  <c r="K185" i="34" s="1"/>
  <c r="I185" i="34"/>
  <c r="M185" i="34" s="1"/>
  <c r="J184" i="34"/>
  <c r="K184" i="34" s="1"/>
  <c r="I184" i="34"/>
  <c r="M184" i="34" s="1"/>
  <c r="J183" i="34"/>
  <c r="K183" i="34" s="1"/>
  <c r="I183" i="34"/>
  <c r="M183" i="34" s="1"/>
  <c r="J182" i="34"/>
  <c r="K182" i="34" s="1"/>
  <c r="I182" i="34"/>
  <c r="M182" i="34" s="1"/>
  <c r="J181" i="34"/>
  <c r="K181" i="34" s="1"/>
  <c r="I181" i="34"/>
  <c r="M181" i="34" s="1"/>
  <c r="J180" i="34"/>
  <c r="K180" i="34" s="1"/>
  <c r="I180" i="34"/>
  <c r="M180" i="34" s="1"/>
  <c r="J179" i="34"/>
  <c r="K179" i="34" s="1"/>
  <c r="I179" i="34"/>
  <c r="M179" i="34" s="1"/>
  <c r="J178" i="34"/>
  <c r="K178" i="34" s="1"/>
  <c r="I178" i="34"/>
  <c r="M178" i="34" s="1"/>
  <c r="J177" i="34"/>
  <c r="K177" i="34" s="1"/>
  <c r="I177" i="34"/>
  <c r="M177" i="34" s="1"/>
  <c r="J176" i="34"/>
  <c r="K176" i="34" s="1"/>
  <c r="I176" i="34"/>
  <c r="M176" i="34" s="1"/>
  <c r="J175" i="34"/>
  <c r="K175" i="34" s="1"/>
  <c r="I175" i="34"/>
  <c r="M175" i="34" s="1"/>
  <c r="J174" i="34"/>
  <c r="K174" i="34" s="1"/>
  <c r="I174" i="34"/>
  <c r="M174" i="34" s="1"/>
  <c r="J173" i="34"/>
  <c r="K173" i="34" s="1"/>
  <c r="I173" i="34"/>
  <c r="M173" i="34" s="1"/>
  <c r="J172" i="34"/>
  <c r="K172" i="34" s="1"/>
  <c r="I172" i="34"/>
  <c r="M172" i="34" s="1"/>
  <c r="J171" i="34"/>
  <c r="K171" i="34" s="1"/>
  <c r="I171" i="34"/>
  <c r="M171" i="34" s="1"/>
  <c r="J170" i="34"/>
  <c r="K170" i="34" s="1"/>
  <c r="I170" i="34"/>
  <c r="M170" i="34" s="1"/>
  <c r="K169" i="34"/>
  <c r="J169" i="34"/>
  <c r="I169" i="34"/>
  <c r="M169" i="34" s="1"/>
  <c r="J168" i="34"/>
  <c r="K168" i="34" s="1"/>
  <c r="I168" i="34"/>
  <c r="M168" i="34" s="1"/>
  <c r="J167" i="34"/>
  <c r="K167" i="34" s="1"/>
  <c r="I167" i="34"/>
  <c r="M167" i="34" s="1"/>
  <c r="J166" i="34"/>
  <c r="K166" i="34" s="1"/>
  <c r="I166" i="34"/>
  <c r="M166" i="34" s="1"/>
  <c r="J165" i="34"/>
  <c r="K165" i="34" s="1"/>
  <c r="I165" i="34"/>
  <c r="M165" i="34" s="1"/>
  <c r="J164" i="34"/>
  <c r="K164" i="34" s="1"/>
  <c r="I164" i="34"/>
  <c r="M164" i="34" s="1"/>
  <c r="J163" i="34"/>
  <c r="K163" i="34" s="1"/>
  <c r="I163" i="34"/>
  <c r="M163" i="34" s="1"/>
  <c r="J162" i="34"/>
  <c r="K162" i="34" s="1"/>
  <c r="I162" i="34"/>
  <c r="M162" i="34" s="1"/>
  <c r="J161" i="34"/>
  <c r="K161" i="34" s="1"/>
  <c r="I161" i="34"/>
  <c r="M161" i="34" s="1"/>
  <c r="J160" i="34"/>
  <c r="K160" i="34" s="1"/>
  <c r="I160" i="34"/>
  <c r="M160" i="34" s="1"/>
  <c r="J159" i="34"/>
  <c r="K159" i="34" s="1"/>
  <c r="I159" i="34"/>
  <c r="M159" i="34" s="1"/>
  <c r="J158" i="34"/>
  <c r="K158" i="34" s="1"/>
  <c r="I158" i="34"/>
  <c r="M158" i="34" s="1"/>
  <c r="J157" i="34"/>
  <c r="K157" i="34" s="1"/>
  <c r="I157" i="34"/>
  <c r="M157" i="34" s="1"/>
  <c r="J156" i="34"/>
  <c r="K156" i="34" s="1"/>
  <c r="I156" i="34"/>
  <c r="M156" i="34" s="1"/>
  <c r="J155" i="34"/>
  <c r="K155" i="34" s="1"/>
  <c r="I155" i="34"/>
  <c r="M155" i="34" s="1"/>
  <c r="J154" i="34"/>
  <c r="K154" i="34" s="1"/>
  <c r="I154" i="34"/>
  <c r="M154" i="34" s="1"/>
  <c r="J153" i="34"/>
  <c r="K153" i="34" s="1"/>
  <c r="I153" i="34"/>
  <c r="M153" i="34" s="1"/>
  <c r="J152" i="34"/>
  <c r="K152" i="34" s="1"/>
  <c r="I152" i="34"/>
  <c r="M152" i="34" s="1"/>
  <c r="J151" i="34"/>
  <c r="K151" i="34" s="1"/>
  <c r="I151" i="34"/>
  <c r="M151" i="34" s="1"/>
  <c r="J150" i="34"/>
  <c r="K150" i="34" s="1"/>
  <c r="I150" i="34"/>
  <c r="M150" i="34" s="1"/>
  <c r="J149" i="34"/>
  <c r="K149" i="34" s="1"/>
  <c r="I149" i="34"/>
  <c r="M149" i="34" s="1"/>
  <c r="J148" i="34"/>
  <c r="K148" i="34" s="1"/>
  <c r="I148" i="34"/>
  <c r="M148" i="34" s="1"/>
  <c r="J147" i="34"/>
  <c r="K147" i="34" s="1"/>
  <c r="I147" i="34"/>
  <c r="M147" i="34" s="1"/>
  <c r="J146" i="34"/>
  <c r="K146" i="34" s="1"/>
  <c r="I146" i="34"/>
  <c r="M146" i="34" s="1"/>
  <c r="J145" i="34"/>
  <c r="K145" i="34" s="1"/>
  <c r="I145" i="34"/>
  <c r="M145" i="34" s="1"/>
  <c r="J144" i="34"/>
  <c r="K144" i="34" s="1"/>
  <c r="I144" i="34"/>
  <c r="M144" i="34" s="1"/>
  <c r="J143" i="34"/>
  <c r="K143" i="34" s="1"/>
  <c r="I143" i="34"/>
  <c r="M143" i="34" s="1"/>
  <c r="J142" i="34"/>
  <c r="K142" i="34" s="1"/>
  <c r="I142" i="34"/>
  <c r="M142" i="34" s="1"/>
  <c r="J141" i="34"/>
  <c r="K141" i="34" s="1"/>
  <c r="I141" i="34"/>
  <c r="M141" i="34" s="1"/>
  <c r="J140" i="34"/>
  <c r="K140" i="34" s="1"/>
  <c r="I140" i="34"/>
  <c r="M140" i="34" s="1"/>
  <c r="K139" i="34"/>
  <c r="J139" i="34"/>
  <c r="I139" i="34"/>
  <c r="M139" i="34" s="1"/>
  <c r="J138" i="34"/>
  <c r="K138" i="34" s="1"/>
  <c r="I138" i="34"/>
  <c r="M138" i="34" s="1"/>
  <c r="J137" i="34"/>
  <c r="K137" i="34" s="1"/>
  <c r="I137" i="34"/>
  <c r="M137" i="34" s="1"/>
  <c r="J136" i="34"/>
  <c r="K136" i="34" s="1"/>
  <c r="I136" i="34"/>
  <c r="M136" i="34" s="1"/>
  <c r="J135" i="34"/>
  <c r="K135" i="34" s="1"/>
  <c r="I135" i="34"/>
  <c r="M135" i="34" s="1"/>
  <c r="J134" i="34"/>
  <c r="K134" i="34" s="1"/>
  <c r="I134" i="34"/>
  <c r="M134" i="34" s="1"/>
  <c r="J133" i="34"/>
  <c r="K133" i="34" s="1"/>
  <c r="I133" i="34"/>
  <c r="M133" i="34" s="1"/>
  <c r="J132" i="34"/>
  <c r="K132" i="34" s="1"/>
  <c r="I132" i="34"/>
  <c r="M132" i="34" s="1"/>
  <c r="J131" i="34"/>
  <c r="K131" i="34" s="1"/>
  <c r="I131" i="34"/>
  <c r="M131" i="34" s="1"/>
  <c r="J130" i="34"/>
  <c r="K130" i="34" s="1"/>
  <c r="I130" i="34"/>
  <c r="M130" i="34" s="1"/>
  <c r="J129" i="34"/>
  <c r="K129" i="34" s="1"/>
  <c r="I129" i="34"/>
  <c r="M129" i="34" s="1"/>
  <c r="J128" i="34"/>
  <c r="K128" i="34" s="1"/>
  <c r="I128" i="34"/>
  <c r="M128" i="34" s="1"/>
  <c r="J127" i="34"/>
  <c r="K127" i="34" s="1"/>
  <c r="I127" i="34"/>
  <c r="M127" i="34" s="1"/>
  <c r="J126" i="34"/>
  <c r="K126" i="34" s="1"/>
  <c r="I126" i="34"/>
  <c r="M126" i="34" s="1"/>
  <c r="J125" i="34"/>
  <c r="K125" i="34" s="1"/>
  <c r="I125" i="34"/>
  <c r="M125" i="34" s="1"/>
  <c r="J124" i="34"/>
  <c r="K124" i="34" s="1"/>
  <c r="I124" i="34"/>
  <c r="M124" i="34" s="1"/>
  <c r="J123" i="34"/>
  <c r="K123" i="34" s="1"/>
  <c r="I123" i="34"/>
  <c r="M123" i="34" s="1"/>
  <c r="J122" i="34"/>
  <c r="K122" i="34" s="1"/>
  <c r="I122" i="34"/>
  <c r="M122" i="34" s="1"/>
  <c r="J121" i="34"/>
  <c r="K121" i="34" s="1"/>
  <c r="I121" i="34"/>
  <c r="M121" i="34" s="1"/>
  <c r="J120" i="34"/>
  <c r="K120" i="34" s="1"/>
  <c r="I120" i="34"/>
  <c r="M120" i="34" s="1"/>
  <c r="J119" i="34"/>
  <c r="K119" i="34" s="1"/>
  <c r="I119" i="34"/>
  <c r="M119" i="34" s="1"/>
  <c r="J118" i="34"/>
  <c r="K118" i="34" s="1"/>
  <c r="I118" i="34"/>
  <c r="M118" i="34" s="1"/>
  <c r="J117" i="34"/>
  <c r="K117" i="34" s="1"/>
  <c r="I117" i="34"/>
  <c r="M117" i="34" s="1"/>
  <c r="M116" i="34"/>
  <c r="J116" i="34"/>
  <c r="K116" i="34" s="1"/>
  <c r="I116" i="34"/>
  <c r="J115" i="34"/>
  <c r="K115" i="34" s="1"/>
  <c r="I115" i="34"/>
  <c r="M115" i="34" s="1"/>
  <c r="J114" i="34"/>
  <c r="K114" i="34" s="1"/>
  <c r="I114" i="34"/>
  <c r="M114" i="34" s="1"/>
  <c r="J113" i="34"/>
  <c r="K113" i="34" s="1"/>
  <c r="I113" i="34"/>
  <c r="M113" i="34" s="1"/>
  <c r="J112" i="34"/>
  <c r="K112" i="34" s="1"/>
  <c r="I112" i="34"/>
  <c r="M112" i="34" s="1"/>
  <c r="J111" i="34"/>
  <c r="K111" i="34" s="1"/>
  <c r="I111" i="34"/>
  <c r="M111" i="34" s="1"/>
  <c r="J110" i="34"/>
  <c r="K110" i="34" s="1"/>
  <c r="I110" i="34"/>
  <c r="M110" i="34" s="1"/>
  <c r="J109" i="34"/>
  <c r="K109" i="34" s="1"/>
  <c r="I109" i="34"/>
  <c r="M109" i="34" s="1"/>
  <c r="J108" i="34"/>
  <c r="K108" i="34" s="1"/>
  <c r="I108" i="34"/>
  <c r="M108" i="34" s="1"/>
  <c r="J107" i="34"/>
  <c r="K107" i="34" s="1"/>
  <c r="I107" i="34"/>
  <c r="M107" i="34" s="1"/>
  <c r="J106" i="34"/>
  <c r="K106" i="34" s="1"/>
  <c r="I106" i="34"/>
  <c r="M106" i="34" s="1"/>
  <c r="J105" i="34"/>
  <c r="K105" i="34" s="1"/>
  <c r="I105" i="34"/>
  <c r="M105" i="34" s="1"/>
  <c r="J104" i="34"/>
  <c r="K104" i="34" s="1"/>
  <c r="I104" i="34"/>
  <c r="M104" i="34" s="1"/>
  <c r="J103" i="34"/>
  <c r="K103" i="34" s="1"/>
  <c r="I103" i="34"/>
  <c r="M103" i="34" s="1"/>
  <c r="J102" i="34"/>
  <c r="K102" i="34" s="1"/>
  <c r="I102" i="34"/>
  <c r="M102" i="34" s="1"/>
  <c r="J101" i="34"/>
  <c r="K101" i="34" s="1"/>
  <c r="I101" i="34"/>
  <c r="M101" i="34" s="1"/>
  <c r="M100" i="34"/>
  <c r="J100" i="34"/>
  <c r="K100" i="34" s="1"/>
  <c r="I100" i="34"/>
  <c r="J99" i="34"/>
  <c r="K99" i="34" s="1"/>
  <c r="I99" i="34"/>
  <c r="M99" i="34" s="1"/>
  <c r="J98" i="34"/>
  <c r="K98" i="34" s="1"/>
  <c r="I98" i="34"/>
  <c r="M98" i="34" s="1"/>
  <c r="J97" i="34"/>
  <c r="K97" i="34" s="1"/>
  <c r="I97" i="34"/>
  <c r="M97" i="34" s="1"/>
  <c r="J96" i="34"/>
  <c r="K96" i="34" s="1"/>
  <c r="I96" i="34"/>
  <c r="M96" i="34" s="1"/>
  <c r="J95" i="34"/>
  <c r="K95" i="34" s="1"/>
  <c r="I95" i="34"/>
  <c r="M95" i="34" s="1"/>
  <c r="J94" i="34"/>
  <c r="K94" i="34" s="1"/>
  <c r="I94" i="34"/>
  <c r="M94" i="34" s="1"/>
  <c r="J93" i="34"/>
  <c r="K93" i="34" s="1"/>
  <c r="I93" i="34"/>
  <c r="M93" i="34" s="1"/>
  <c r="J92" i="34"/>
  <c r="K92" i="34" s="1"/>
  <c r="I92" i="34"/>
  <c r="M92" i="34" s="1"/>
  <c r="J91" i="34"/>
  <c r="K91" i="34" s="1"/>
  <c r="I91" i="34"/>
  <c r="M91" i="34" s="1"/>
  <c r="J90" i="34"/>
  <c r="K90" i="34" s="1"/>
  <c r="I90" i="34"/>
  <c r="M90" i="34" s="1"/>
  <c r="J89" i="34"/>
  <c r="K89" i="34" s="1"/>
  <c r="I89" i="34"/>
  <c r="M89" i="34" s="1"/>
  <c r="J88" i="34"/>
  <c r="K88" i="34" s="1"/>
  <c r="I88" i="34"/>
  <c r="M88" i="34" s="1"/>
  <c r="J87" i="34"/>
  <c r="K87" i="34" s="1"/>
  <c r="I87" i="34"/>
  <c r="M87" i="34" s="1"/>
  <c r="J86" i="34"/>
  <c r="K86" i="34" s="1"/>
  <c r="I86" i="34"/>
  <c r="M86" i="34" s="1"/>
  <c r="J85" i="34"/>
  <c r="K85" i="34" s="1"/>
  <c r="I85" i="34"/>
  <c r="M85" i="34" s="1"/>
  <c r="J84" i="34"/>
  <c r="K84" i="34" s="1"/>
  <c r="I84" i="34"/>
  <c r="M84" i="34" s="1"/>
  <c r="J83" i="34"/>
  <c r="K83" i="34" s="1"/>
  <c r="I83" i="34"/>
  <c r="M83" i="34" s="1"/>
  <c r="J82" i="34"/>
  <c r="K82" i="34" s="1"/>
  <c r="I82" i="34"/>
  <c r="M82" i="34" s="1"/>
  <c r="J81" i="34"/>
  <c r="K81" i="34" s="1"/>
  <c r="I81" i="34"/>
  <c r="M81" i="34" s="1"/>
  <c r="J80" i="34"/>
  <c r="K80" i="34" s="1"/>
  <c r="I80" i="34"/>
  <c r="M80" i="34" s="1"/>
  <c r="J79" i="34"/>
  <c r="K79" i="34" s="1"/>
  <c r="I79" i="34"/>
  <c r="M79" i="34" s="1"/>
  <c r="M78" i="34"/>
  <c r="J78" i="34"/>
  <c r="K78" i="34" s="1"/>
  <c r="I78" i="34"/>
  <c r="J77" i="34"/>
  <c r="K77" i="34" s="1"/>
  <c r="I77" i="34"/>
  <c r="M77" i="34" s="1"/>
  <c r="J76" i="34"/>
  <c r="K76" i="34" s="1"/>
  <c r="I76" i="34"/>
  <c r="M76" i="34" s="1"/>
  <c r="J75" i="34"/>
  <c r="K75" i="34" s="1"/>
  <c r="I75" i="34"/>
  <c r="M75" i="34" s="1"/>
  <c r="J74" i="34"/>
  <c r="K74" i="34" s="1"/>
  <c r="I74" i="34"/>
  <c r="M74" i="34" s="1"/>
  <c r="J73" i="34"/>
  <c r="K73" i="34" s="1"/>
  <c r="I73" i="34"/>
  <c r="M73" i="34" s="1"/>
  <c r="J72" i="34"/>
  <c r="K72" i="34" s="1"/>
  <c r="I72" i="34"/>
  <c r="M72" i="34" s="1"/>
  <c r="J71" i="34"/>
  <c r="K71" i="34" s="1"/>
  <c r="I71" i="34"/>
  <c r="M71" i="34" s="1"/>
  <c r="J70" i="34"/>
  <c r="K70" i="34" s="1"/>
  <c r="I70" i="34"/>
  <c r="M70" i="34" s="1"/>
  <c r="J69" i="34"/>
  <c r="K69" i="34" s="1"/>
  <c r="I69" i="34"/>
  <c r="M69" i="34" s="1"/>
  <c r="J68" i="34"/>
  <c r="K68" i="34" s="1"/>
  <c r="I68" i="34"/>
  <c r="M68" i="34" s="1"/>
  <c r="J67" i="34"/>
  <c r="K67" i="34" s="1"/>
  <c r="I67" i="34"/>
  <c r="M67" i="34" s="1"/>
  <c r="J66" i="34"/>
  <c r="K66" i="34" s="1"/>
  <c r="I66" i="34"/>
  <c r="M66" i="34" s="1"/>
  <c r="J65" i="34"/>
  <c r="K65" i="34" s="1"/>
  <c r="I65" i="34"/>
  <c r="M65" i="34" s="1"/>
  <c r="B65" i="34"/>
  <c r="J64" i="34"/>
  <c r="K64" i="34" s="1"/>
  <c r="I64" i="34"/>
  <c r="M64" i="34" s="1"/>
  <c r="B64" i="34"/>
  <c r="J63" i="34"/>
  <c r="K63" i="34" s="1"/>
  <c r="I63" i="34"/>
  <c r="M63" i="34" s="1"/>
  <c r="B63" i="34"/>
  <c r="J62" i="34"/>
  <c r="K62" i="34" s="1"/>
  <c r="I62" i="34"/>
  <c r="M62" i="34" s="1"/>
  <c r="B62" i="34"/>
  <c r="J61" i="34"/>
  <c r="K61" i="34" s="1"/>
  <c r="I61" i="34"/>
  <c r="M61" i="34" s="1"/>
  <c r="B61" i="34"/>
  <c r="J60" i="34"/>
  <c r="K60" i="34" s="1"/>
  <c r="I60" i="34"/>
  <c r="M60" i="34" s="1"/>
  <c r="B60" i="34"/>
  <c r="M59" i="34"/>
  <c r="J59" i="34"/>
  <c r="K59" i="34" s="1"/>
  <c r="I59" i="34"/>
  <c r="B59" i="34"/>
  <c r="J58" i="34"/>
  <c r="K58" i="34" s="1"/>
  <c r="I58" i="34"/>
  <c r="M58" i="34" s="1"/>
  <c r="B58" i="34"/>
  <c r="J57" i="34"/>
  <c r="K57" i="34" s="1"/>
  <c r="I57" i="34"/>
  <c r="M57" i="34" s="1"/>
  <c r="B57" i="34"/>
  <c r="J56" i="34"/>
  <c r="K56" i="34" s="1"/>
  <c r="I56" i="34"/>
  <c r="M56" i="34" s="1"/>
  <c r="B56" i="34"/>
  <c r="J55" i="34"/>
  <c r="K55" i="34" s="1"/>
  <c r="I55" i="34"/>
  <c r="M55" i="34" s="1"/>
  <c r="B55" i="34"/>
  <c r="J54" i="34"/>
  <c r="K54" i="34" s="1"/>
  <c r="I54" i="34"/>
  <c r="M54" i="34" s="1"/>
  <c r="B54" i="34"/>
  <c r="J53" i="34"/>
  <c r="K53" i="34" s="1"/>
  <c r="I53" i="34"/>
  <c r="M53" i="34" s="1"/>
  <c r="B53" i="34"/>
  <c r="J52" i="34"/>
  <c r="K52" i="34" s="1"/>
  <c r="I52" i="34"/>
  <c r="M52" i="34" s="1"/>
  <c r="B52" i="34"/>
  <c r="K51" i="34"/>
  <c r="J51" i="34"/>
  <c r="I51" i="34"/>
  <c r="M51" i="34" s="1"/>
  <c r="B51" i="34"/>
  <c r="J50" i="34"/>
  <c r="K50" i="34" s="1"/>
  <c r="I50" i="34"/>
  <c r="M50" i="34" s="1"/>
  <c r="B50" i="34"/>
  <c r="J49" i="34"/>
  <c r="K49" i="34" s="1"/>
  <c r="I49" i="34"/>
  <c r="M49" i="34" s="1"/>
  <c r="B49" i="34"/>
  <c r="J48" i="34"/>
  <c r="K48" i="34" s="1"/>
  <c r="I48" i="34"/>
  <c r="M48" i="34" s="1"/>
  <c r="B48" i="34"/>
  <c r="J47" i="34"/>
  <c r="K47" i="34" s="1"/>
  <c r="I47" i="34"/>
  <c r="M47" i="34" s="1"/>
  <c r="B47" i="34"/>
  <c r="T46" i="34"/>
  <c r="R46" i="34"/>
  <c r="U46" i="34" s="1"/>
  <c r="J46" i="34"/>
  <c r="K46" i="34" s="1"/>
  <c r="I46" i="34"/>
  <c r="M46" i="34" s="1"/>
  <c r="B46" i="34"/>
  <c r="J45" i="34"/>
  <c r="K45" i="34" s="1"/>
  <c r="I45" i="34"/>
  <c r="M45" i="34" s="1"/>
  <c r="B45" i="34"/>
  <c r="J44" i="34"/>
  <c r="K44" i="34" s="1"/>
  <c r="I44" i="34"/>
  <c r="M44" i="34" s="1"/>
  <c r="B44" i="34"/>
  <c r="J43" i="34"/>
  <c r="K43" i="34" s="1"/>
  <c r="I43" i="34"/>
  <c r="M43" i="34" s="1"/>
  <c r="B43" i="34"/>
  <c r="K42" i="34"/>
  <c r="J42" i="34"/>
  <c r="I42" i="34"/>
  <c r="M42" i="34" s="1"/>
  <c r="B42" i="34"/>
  <c r="J41" i="34"/>
  <c r="K41" i="34" s="1"/>
  <c r="I41" i="34"/>
  <c r="M41" i="34" s="1"/>
  <c r="B41" i="34"/>
  <c r="J40" i="34"/>
  <c r="K40" i="34" s="1"/>
  <c r="I40" i="34"/>
  <c r="M40" i="34" s="1"/>
  <c r="B40" i="34"/>
  <c r="J39" i="34"/>
  <c r="K39" i="34" s="1"/>
  <c r="I39" i="34"/>
  <c r="M39" i="34" s="1"/>
  <c r="B39" i="34"/>
  <c r="J38" i="34"/>
  <c r="K38" i="34" s="1"/>
  <c r="I38" i="34"/>
  <c r="M38" i="34" s="1"/>
  <c r="B38" i="34"/>
  <c r="J37" i="34"/>
  <c r="K37" i="34" s="1"/>
  <c r="I37" i="34"/>
  <c r="M37" i="34" s="1"/>
  <c r="A37" i="34" s="1"/>
  <c r="B37" i="34"/>
  <c r="J36" i="34"/>
  <c r="K36" i="34" s="1"/>
  <c r="I36" i="34"/>
  <c r="M36" i="34" s="1"/>
  <c r="A36" i="34" s="1"/>
  <c r="B36" i="34"/>
  <c r="K35" i="34"/>
  <c r="J35" i="34"/>
  <c r="I35" i="34"/>
  <c r="M35" i="34" s="1"/>
  <c r="A35" i="34" s="1"/>
  <c r="B35" i="34"/>
  <c r="J34" i="34"/>
  <c r="K34" i="34" s="1"/>
  <c r="I34" i="34"/>
  <c r="M34" i="34" s="1"/>
  <c r="A34" i="34" s="1"/>
  <c r="B34" i="34"/>
  <c r="J33" i="34"/>
  <c r="K33" i="34" s="1"/>
  <c r="I33" i="34"/>
  <c r="M33" i="34" s="1"/>
  <c r="A33" i="34" s="1"/>
  <c r="B33" i="34"/>
  <c r="J32" i="34"/>
  <c r="K32" i="34" s="1"/>
  <c r="I32" i="34"/>
  <c r="B32" i="34"/>
  <c r="J31" i="34"/>
  <c r="K31" i="34" s="1"/>
  <c r="I31" i="34"/>
  <c r="B31" i="34"/>
  <c r="J30" i="34"/>
  <c r="K30" i="34" s="1"/>
  <c r="I30" i="34"/>
  <c r="M30" i="34" s="1"/>
  <c r="A30" i="34" s="1"/>
  <c r="B30" i="34"/>
  <c r="J29" i="34"/>
  <c r="K29" i="34" s="1"/>
  <c r="I29" i="34"/>
  <c r="B29" i="34"/>
  <c r="K28" i="34"/>
  <c r="J28" i="34"/>
  <c r="I28" i="34"/>
  <c r="B28" i="34"/>
  <c r="J27" i="34"/>
  <c r="K27" i="34" s="1"/>
  <c r="I27" i="34"/>
  <c r="M27" i="34" s="1"/>
  <c r="A27" i="34" s="1"/>
  <c r="B27" i="34"/>
  <c r="J26" i="34"/>
  <c r="K26" i="34" s="1"/>
  <c r="I26" i="34"/>
  <c r="M26" i="34" s="1"/>
  <c r="A26" i="34" s="1"/>
  <c r="B26" i="34"/>
  <c r="J25" i="34"/>
  <c r="K25" i="34" s="1"/>
  <c r="I25" i="34"/>
  <c r="M25" i="34" s="1"/>
  <c r="A25" i="34" s="1"/>
  <c r="B25" i="34"/>
  <c r="M24" i="34"/>
  <c r="A24" i="34" s="1"/>
  <c r="J24" i="34"/>
  <c r="K24" i="34" s="1"/>
  <c r="I24" i="34"/>
  <c r="B24" i="34"/>
  <c r="J23" i="34"/>
  <c r="K23" i="34" s="1"/>
  <c r="I23" i="34"/>
  <c r="B23" i="34"/>
  <c r="J22" i="34"/>
  <c r="K22" i="34" s="1"/>
  <c r="I22" i="34"/>
  <c r="M22" i="34" s="1"/>
  <c r="A22" i="34" s="1"/>
  <c r="B22" i="34"/>
  <c r="J21" i="34"/>
  <c r="K21" i="34" s="1"/>
  <c r="I21" i="34"/>
  <c r="B21" i="34"/>
  <c r="J20" i="34"/>
  <c r="K20" i="34" s="1"/>
  <c r="I20" i="34"/>
  <c r="B20" i="34"/>
  <c r="J19" i="34"/>
  <c r="K19" i="34" s="1"/>
  <c r="M19" i="34" s="1"/>
  <c r="A19" i="34" s="1"/>
  <c r="I19" i="34"/>
  <c r="B19" i="34"/>
  <c r="J18" i="34"/>
  <c r="K18" i="34" s="1"/>
  <c r="I18" i="34"/>
  <c r="B18" i="34"/>
  <c r="J17" i="34"/>
  <c r="K17" i="34" s="1"/>
  <c r="I17" i="34"/>
  <c r="M17" i="34" s="1"/>
  <c r="A17" i="34" s="1"/>
  <c r="B17" i="34"/>
  <c r="J16" i="34"/>
  <c r="K16" i="34" s="1"/>
  <c r="I16" i="34"/>
  <c r="M16" i="34" s="1"/>
  <c r="A16" i="34" s="1"/>
  <c r="B16" i="34"/>
  <c r="J15" i="34"/>
  <c r="K15" i="34" s="1"/>
  <c r="I15" i="34"/>
  <c r="M15" i="34" s="1"/>
  <c r="A15" i="34" s="1"/>
  <c r="B15" i="34"/>
  <c r="AI14" i="34"/>
  <c r="K14" i="34"/>
  <c r="J14" i="34"/>
  <c r="I14" i="34"/>
  <c r="M14" i="34" s="1"/>
  <c r="A14" i="34" s="1"/>
  <c r="B14" i="34"/>
  <c r="AI13" i="34"/>
  <c r="AI16" i="34" s="1"/>
  <c r="J13" i="34"/>
  <c r="K13" i="34" s="1"/>
  <c r="I13" i="34"/>
  <c r="M13" i="34" s="1"/>
  <c r="A13" i="34" s="1"/>
  <c r="B13" i="34"/>
  <c r="AI12" i="34"/>
  <c r="J12" i="34"/>
  <c r="K12" i="34" s="1"/>
  <c r="I12" i="34"/>
  <c r="B12" i="34"/>
  <c r="J11" i="34"/>
  <c r="K11" i="34" s="1"/>
  <c r="I11" i="34"/>
  <c r="M11" i="34" s="1"/>
  <c r="A11" i="34" s="1"/>
  <c r="B11" i="34"/>
  <c r="J10" i="34"/>
  <c r="K10" i="34" s="1"/>
  <c r="M10" i="34" s="1"/>
  <c r="A10" i="34" s="1"/>
  <c r="I10" i="34"/>
  <c r="B10" i="34"/>
  <c r="J9" i="34"/>
  <c r="K9" i="34" s="1"/>
  <c r="I9" i="34"/>
  <c r="B9" i="34"/>
  <c r="J8" i="34"/>
  <c r="K8" i="34" s="1"/>
  <c r="I8" i="34"/>
  <c r="B8" i="34"/>
  <c r="J7" i="34"/>
  <c r="K7" i="34" s="1"/>
  <c r="I7" i="34"/>
  <c r="B7" i="34"/>
  <c r="J6" i="34"/>
  <c r="K6" i="34" s="1"/>
  <c r="I6" i="34"/>
  <c r="B6" i="34"/>
  <c r="AR24" i="20" s="1"/>
  <c r="K2" i="34"/>
  <c r="L6" i="34" s="1"/>
  <c r="J305" i="33"/>
  <c r="K305" i="33" s="1"/>
  <c r="I305" i="33"/>
  <c r="M305" i="33" s="1"/>
  <c r="J304" i="33"/>
  <c r="K304" i="33" s="1"/>
  <c r="I304" i="33"/>
  <c r="M304" i="33" s="1"/>
  <c r="J303" i="33"/>
  <c r="K303" i="33" s="1"/>
  <c r="I303" i="33"/>
  <c r="M303" i="33" s="1"/>
  <c r="J302" i="33"/>
  <c r="K302" i="33" s="1"/>
  <c r="I302" i="33"/>
  <c r="M302" i="33" s="1"/>
  <c r="J301" i="33"/>
  <c r="K301" i="33" s="1"/>
  <c r="I301" i="33"/>
  <c r="M301" i="33" s="1"/>
  <c r="J300" i="33"/>
  <c r="K300" i="33" s="1"/>
  <c r="I300" i="33"/>
  <c r="M300" i="33" s="1"/>
  <c r="J299" i="33"/>
  <c r="K299" i="33" s="1"/>
  <c r="I299" i="33"/>
  <c r="M299" i="33" s="1"/>
  <c r="J298" i="33"/>
  <c r="K298" i="33" s="1"/>
  <c r="I298" i="33"/>
  <c r="M298" i="33" s="1"/>
  <c r="J297" i="33"/>
  <c r="K297" i="33" s="1"/>
  <c r="I297" i="33"/>
  <c r="M297" i="33" s="1"/>
  <c r="J296" i="33"/>
  <c r="K296" i="33" s="1"/>
  <c r="I296" i="33"/>
  <c r="M296" i="33" s="1"/>
  <c r="J295" i="33"/>
  <c r="K295" i="33" s="1"/>
  <c r="I295" i="33"/>
  <c r="M295" i="33" s="1"/>
  <c r="J294" i="33"/>
  <c r="K294" i="33" s="1"/>
  <c r="I294" i="33"/>
  <c r="M294" i="33" s="1"/>
  <c r="J293" i="33"/>
  <c r="K293" i="33" s="1"/>
  <c r="I293" i="33"/>
  <c r="M293" i="33" s="1"/>
  <c r="J292" i="33"/>
  <c r="K292" i="33" s="1"/>
  <c r="I292" i="33"/>
  <c r="M292" i="33" s="1"/>
  <c r="J291" i="33"/>
  <c r="K291" i="33" s="1"/>
  <c r="I291" i="33"/>
  <c r="M291" i="33" s="1"/>
  <c r="J290" i="33"/>
  <c r="K290" i="33" s="1"/>
  <c r="I290" i="33"/>
  <c r="M290" i="33" s="1"/>
  <c r="J289" i="33"/>
  <c r="K289" i="33" s="1"/>
  <c r="I289" i="33"/>
  <c r="M289" i="33" s="1"/>
  <c r="J288" i="33"/>
  <c r="K288" i="33" s="1"/>
  <c r="I288" i="33"/>
  <c r="M288" i="33" s="1"/>
  <c r="J287" i="33"/>
  <c r="K287" i="33" s="1"/>
  <c r="I287" i="33"/>
  <c r="M287" i="33" s="1"/>
  <c r="J286" i="33"/>
  <c r="K286" i="33" s="1"/>
  <c r="I286" i="33"/>
  <c r="M286" i="33" s="1"/>
  <c r="J285" i="33"/>
  <c r="K285" i="33" s="1"/>
  <c r="I285" i="33"/>
  <c r="M285" i="33" s="1"/>
  <c r="J284" i="33"/>
  <c r="K284" i="33" s="1"/>
  <c r="I284" i="33"/>
  <c r="M284" i="33" s="1"/>
  <c r="J283" i="33"/>
  <c r="K283" i="33" s="1"/>
  <c r="I283" i="33"/>
  <c r="M283" i="33" s="1"/>
  <c r="J282" i="33"/>
  <c r="K282" i="33" s="1"/>
  <c r="I282" i="33"/>
  <c r="M282" i="33" s="1"/>
  <c r="J281" i="33"/>
  <c r="K281" i="33" s="1"/>
  <c r="I281" i="33"/>
  <c r="M281" i="33" s="1"/>
  <c r="J280" i="33"/>
  <c r="K280" i="33" s="1"/>
  <c r="I280" i="33"/>
  <c r="M280" i="33" s="1"/>
  <c r="J279" i="33"/>
  <c r="K279" i="33" s="1"/>
  <c r="I279" i="33"/>
  <c r="M279" i="33" s="1"/>
  <c r="J278" i="33"/>
  <c r="K278" i="33" s="1"/>
  <c r="I278" i="33"/>
  <c r="M278" i="33" s="1"/>
  <c r="J277" i="33"/>
  <c r="K277" i="33" s="1"/>
  <c r="I277" i="33"/>
  <c r="M277" i="33" s="1"/>
  <c r="J276" i="33"/>
  <c r="K276" i="33" s="1"/>
  <c r="I276" i="33"/>
  <c r="M276" i="33" s="1"/>
  <c r="J275" i="33"/>
  <c r="K275" i="33" s="1"/>
  <c r="I275" i="33"/>
  <c r="M275" i="33" s="1"/>
  <c r="J274" i="33"/>
  <c r="K274" i="33" s="1"/>
  <c r="I274" i="33"/>
  <c r="M274" i="33" s="1"/>
  <c r="J273" i="33"/>
  <c r="K273" i="33" s="1"/>
  <c r="I273" i="33"/>
  <c r="M273" i="33" s="1"/>
  <c r="J272" i="33"/>
  <c r="K272" i="33" s="1"/>
  <c r="I272" i="33"/>
  <c r="M272" i="33" s="1"/>
  <c r="J271" i="33"/>
  <c r="K271" i="33" s="1"/>
  <c r="I271" i="33"/>
  <c r="M271" i="33" s="1"/>
  <c r="J270" i="33"/>
  <c r="K270" i="33" s="1"/>
  <c r="I270" i="33"/>
  <c r="M270" i="33" s="1"/>
  <c r="J269" i="33"/>
  <c r="K269" i="33" s="1"/>
  <c r="I269" i="33"/>
  <c r="M269" i="33" s="1"/>
  <c r="J268" i="33"/>
  <c r="K268" i="33" s="1"/>
  <c r="I268" i="33"/>
  <c r="M268" i="33" s="1"/>
  <c r="J267" i="33"/>
  <c r="K267" i="33" s="1"/>
  <c r="I267" i="33"/>
  <c r="M267" i="33" s="1"/>
  <c r="J266" i="33"/>
  <c r="K266" i="33" s="1"/>
  <c r="I266" i="33"/>
  <c r="M266" i="33" s="1"/>
  <c r="J265" i="33"/>
  <c r="K265" i="33" s="1"/>
  <c r="I265" i="33"/>
  <c r="M265" i="33" s="1"/>
  <c r="J264" i="33"/>
  <c r="K264" i="33" s="1"/>
  <c r="I264" i="33"/>
  <c r="M264" i="33" s="1"/>
  <c r="J263" i="33"/>
  <c r="K263" i="33" s="1"/>
  <c r="I263" i="33"/>
  <c r="M263" i="33" s="1"/>
  <c r="J262" i="33"/>
  <c r="K262" i="33" s="1"/>
  <c r="I262" i="33"/>
  <c r="M262" i="33" s="1"/>
  <c r="J261" i="33"/>
  <c r="K261" i="33" s="1"/>
  <c r="I261" i="33"/>
  <c r="M261" i="33" s="1"/>
  <c r="J260" i="33"/>
  <c r="K260" i="33" s="1"/>
  <c r="I260" i="33"/>
  <c r="M260" i="33" s="1"/>
  <c r="J259" i="33"/>
  <c r="K259" i="33" s="1"/>
  <c r="I259" i="33"/>
  <c r="M259" i="33" s="1"/>
  <c r="J258" i="33"/>
  <c r="K258" i="33" s="1"/>
  <c r="I258" i="33"/>
  <c r="M258" i="33" s="1"/>
  <c r="J257" i="33"/>
  <c r="K257" i="33" s="1"/>
  <c r="I257" i="33"/>
  <c r="M257" i="33" s="1"/>
  <c r="J256" i="33"/>
  <c r="K256" i="33" s="1"/>
  <c r="I256" i="33"/>
  <c r="M256" i="33" s="1"/>
  <c r="J255" i="33"/>
  <c r="K255" i="33" s="1"/>
  <c r="I255" i="33"/>
  <c r="M255" i="33" s="1"/>
  <c r="J254" i="33"/>
  <c r="K254" i="33" s="1"/>
  <c r="I254" i="33"/>
  <c r="M254" i="33" s="1"/>
  <c r="J253" i="33"/>
  <c r="K253" i="33" s="1"/>
  <c r="I253" i="33"/>
  <c r="M253" i="33" s="1"/>
  <c r="J252" i="33"/>
  <c r="K252" i="33" s="1"/>
  <c r="I252" i="33"/>
  <c r="M252" i="33" s="1"/>
  <c r="J251" i="33"/>
  <c r="K251" i="33" s="1"/>
  <c r="I251" i="33"/>
  <c r="M251" i="33" s="1"/>
  <c r="J250" i="33"/>
  <c r="K250" i="33" s="1"/>
  <c r="I250" i="33"/>
  <c r="M250" i="33" s="1"/>
  <c r="J249" i="33"/>
  <c r="K249" i="33" s="1"/>
  <c r="I249" i="33"/>
  <c r="M249" i="33" s="1"/>
  <c r="J248" i="33"/>
  <c r="K248" i="33" s="1"/>
  <c r="I248" i="33"/>
  <c r="M248" i="33" s="1"/>
  <c r="J247" i="33"/>
  <c r="K247" i="33" s="1"/>
  <c r="I247" i="33"/>
  <c r="M247" i="33" s="1"/>
  <c r="J246" i="33"/>
  <c r="K246" i="33" s="1"/>
  <c r="I246" i="33"/>
  <c r="M246" i="33" s="1"/>
  <c r="J245" i="33"/>
  <c r="K245" i="33" s="1"/>
  <c r="I245" i="33"/>
  <c r="M245" i="33" s="1"/>
  <c r="J244" i="33"/>
  <c r="K244" i="33" s="1"/>
  <c r="I244" i="33"/>
  <c r="M244" i="33" s="1"/>
  <c r="J243" i="33"/>
  <c r="K243" i="33" s="1"/>
  <c r="I243" i="33"/>
  <c r="M243" i="33" s="1"/>
  <c r="J242" i="33"/>
  <c r="K242" i="33" s="1"/>
  <c r="I242" i="33"/>
  <c r="M242" i="33" s="1"/>
  <c r="J241" i="33"/>
  <c r="K241" i="33" s="1"/>
  <c r="I241" i="33"/>
  <c r="M241" i="33" s="1"/>
  <c r="J240" i="33"/>
  <c r="K240" i="33" s="1"/>
  <c r="I240" i="33"/>
  <c r="M240" i="33" s="1"/>
  <c r="J239" i="33"/>
  <c r="K239" i="33" s="1"/>
  <c r="I239" i="33"/>
  <c r="M239" i="33" s="1"/>
  <c r="J238" i="33"/>
  <c r="K238" i="33" s="1"/>
  <c r="I238" i="33"/>
  <c r="M238" i="33" s="1"/>
  <c r="J237" i="33"/>
  <c r="K237" i="33" s="1"/>
  <c r="I237" i="33"/>
  <c r="M237" i="33" s="1"/>
  <c r="J236" i="33"/>
  <c r="K236" i="33" s="1"/>
  <c r="I236" i="33"/>
  <c r="M236" i="33" s="1"/>
  <c r="J235" i="33"/>
  <c r="K235" i="33" s="1"/>
  <c r="I235" i="33"/>
  <c r="M235" i="33" s="1"/>
  <c r="J234" i="33"/>
  <c r="K234" i="33" s="1"/>
  <c r="I234" i="33"/>
  <c r="M234" i="33" s="1"/>
  <c r="J233" i="33"/>
  <c r="K233" i="33" s="1"/>
  <c r="I233" i="33"/>
  <c r="M233" i="33" s="1"/>
  <c r="J232" i="33"/>
  <c r="K232" i="33" s="1"/>
  <c r="I232" i="33"/>
  <c r="M232" i="33" s="1"/>
  <c r="J231" i="33"/>
  <c r="K231" i="33" s="1"/>
  <c r="I231" i="33"/>
  <c r="M231" i="33" s="1"/>
  <c r="J230" i="33"/>
  <c r="K230" i="33" s="1"/>
  <c r="I230" i="33"/>
  <c r="M230" i="33" s="1"/>
  <c r="J229" i="33"/>
  <c r="K229" i="33" s="1"/>
  <c r="I229" i="33"/>
  <c r="M229" i="33" s="1"/>
  <c r="J228" i="33"/>
  <c r="K228" i="33" s="1"/>
  <c r="I228" i="33"/>
  <c r="M228" i="33" s="1"/>
  <c r="J227" i="33"/>
  <c r="K227" i="33" s="1"/>
  <c r="I227" i="33"/>
  <c r="M227" i="33" s="1"/>
  <c r="J226" i="33"/>
  <c r="K226" i="33" s="1"/>
  <c r="I226" i="33"/>
  <c r="M226" i="33" s="1"/>
  <c r="J225" i="33"/>
  <c r="K225" i="33" s="1"/>
  <c r="I225" i="33"/>
  <c r="M225" i="33" s="1"/>
  <c r="J224" i="33"/>
  <c r="K224" i="33" s="1"/>
  <c r="I224" i="33"/>
  <c r="M224" i="33" s="1"/>
  <c r="J223" i="33"/>
  <c r="K223" i="33" s="1"/>
  <c r="I223" i="33"/>
  <c r="M223" i="33" s="1"/>
  <c r="J222" i="33"/>
  <c r="K222" i="33" s="1"/>
  <c r="I222" i="33"/>
  <c r="M222" i="33" s="1"/>
  <c r="J221" i="33"/>
  <c r="K221" i="33" s="1"/>
  <c r="I221" i="33"/>
  <c r="M221" i="33" s="1"/>
  <c r="J220" i="33"/>
  <c r="K220" i="33" s="1"/>
  <c r="I220" i="33"/>
  <c r="M220" i="33" s="1"/>
  <c r="J219" i="33"/>
  <c r="K219" i="33" s="1"/>
  <c r="I219" i="33"/>
  <c r="M219" i="33" s="1"/>
  <c r="J218" i="33"/>
  <c r="K218" i="33" s="1"/>
  <c r="I218" i="33"/>
  <c r="M218" i="33" s="1"/>
  <c r="J217" i="33"/>
  <c r="K217" i="33" s="1"/>
  <c r="I217" i="33"/>
  <c r="M217" i="33" s="1"/>
  <c r="J216" i="33"/>
  <c r="K216" i="33" s="1"/>
  <c r="I216" i="33"/>
  <c r="M216" i="33" s="1"/>
  <c r="J215" i="33"/>
  <c r="K215" i="33" s="1"/>
  <c r="I215" i="33"/>
  <c r="M215" i="33" s="1"/>
  <c r="J214" i="33"/>
  <c r="K214" i="33" s="1"/>
  <c r="I214" i="33"/>
  <c r="M214" i="33" s="1"/>
  <c r="J213" i="33"/>
  <c r="K213" i="33" s="1"/>
  <c r="I213" i="33"/>
  <c r="M213" i="33" s="1"/>
  <c r="J212" i="33"/>
  <c r="K212" i="33" s="1"/>
  <c r="I212" i="33"/>
  <c r="M212" i="33" s="1"/>
  <c r="J211" i="33"/>
  <c r="K211" i="33" s="1"/>
  <c r="I211" i="33"/>
  <c r="M211" i="33" s="1"/>
  <c r="J210" i="33"/>
  <c r="K210" i="33" s="1"/>
  <c r="I210" i="33"/>
  <c r="M210" i="33" s="1"/>
  <c r="J209" i="33"/>
  <c r="K209" i="33" s="1"/>
  <c r="I209" i="33"/>
  <c r="M209" i="33" s="1"/>
  <c r="J208" i="33"/>
  <c r="K208" i="33" s="1"/>
  <c r="I208" i="33"/>
  <c r="M208" i="33" s="1"/>
  <c r="J207" i="33"/>
  <c r="K207" i="33" s="1"/>
  <c r="I207" i="33"/>
  <c r="M207" i="33" s="1"/>
  <c r="J206" i="33"/>
  <c r="K206" i="33" s="1"/>
  <c r="I206" i="33"/>
  <c r="M206" i="33" s="1"/>
  <c r="J205" i="33"/>
  <c r="K205" i="33" s="1"/>
  <c r="I205" i="33"/>
  <c r="M205" i="33" s="1"/>
  <c r="J204" i="33"/>
  <c r="K204" i="33" s="1"/>
  <c r="I204" i="33"/>
  <c r="M204" i="33" s="1"/>
  <c r="J203" i="33"/>
  <c r="K203" i="33" s="1"/>
  <c r="I203" i="33"/>
  <c r="M203" i="33" s="1"/>
  <c r="J202" i="33"/>
  <c r="K202" i="33" s="1"/>
  <c r="I202" i="33"/>
  <c r="M202" i="33" s="1"/>
  <c r="J201" i="33"/>
  <c r="K201" i="33" s="1"/>
  <c r="I201" i="33"/>
  <c r="M201" i="33" s="1"/>
  <c r="J200" i="33"/>
  <c r="K200" i="33" s="1"/>
  <c r="I200" i="33"/>
  <c r="M200" i="33" s="1"/>
  <c r="J199" i="33"/>
  <c r="K199" i="33" s="1"/>
  <c r="I199" i="33"/>
  <c r="M199" i="33" s="1"/>
  <c r="J198" i="33"/>
  <c r="K198" i="33" s="1"/>
  <c r="I198" i="33"/>
  <c r="M198" i="33" s="1"/>
  <c r="J197" i="33"/>
  <c r="K197" i="33" s="1"/>
  <c r="I197" i="33"/>
  <c r="M197" i="33" s="1"/>
  <c r="J196" i="33"/>
  <c r="K196" i="33" s="1"/>
  <c r="I196" i="33"/>
  <c r="M196" i="33" s="1"/>
  <c r="J195" i="33"/>
  <c r="K195" i="33" s="1"/>
  <c r="I195" i="33"/>
  <c r="M195" i="33" s="1"/>
  <c r="J194" i="33"/>
  <c r="K194" i="33" s="1"/>
  <c r="I194" i="33"/>
  <c r="M194" i="33" s="1"/>
  <c r="J193" i="33"/>
  <c r="K193" i="33" s="1"/>
  <c r="I193" i="33"/>
  <c r="M193" i="33" s="1"/>
  <c r="J192" i="33"/>
  <c r="K192" i="33" s="1"/>
  <c r="I192" i="33"/>
  <c r="M192" i="33" s="1"/>
  <c r="J191" i="33"/>
  <c r="K191" i="33" s="1"/>
  <c r="I191" i="33"/>
  <c r="M191" i="33" s="1"/>
  <c r="J190" i="33"/>
  <c r="K190" i="33" s="1"/>
  <c r="I190" i="33"/>
  <c r="M190" i="33" s="1"/>
  <c r="J189" i="33"/>
  <c r="K189" i="33" s="1"/>
  <c r="I189" i="33"/>
  <c r="M189" i="33" s="1"/>
  <c r="J188" i="33"/>
  <c r="K188" i="33" s="1"/>
  <c r="I188" i="33"/>
  <c r="M188" i="33" s="1"/>
  <c r="J187" i="33"/>
  <c r="K187" i="33" s="1"/>
  <c r="I187" i="33"/>
  <c r="M187" i="33" s="1"/>
  <c r="J186" i="33"/>
  <c r="K186" i="33" s="1"/>
  <c r="I186" i="33"/>
  <c r="M186" i="33" s="1"/>
  <c r="J185" i="33"/>
  <c r="K185" i="33" s="1"/>
  <c r="I185" i="33"/>
  <c r="M185" i="33" s="1"/>
  <c r="J184" i="33"/>
  <c r="K184" i="33" s="1"/>
  <c r="I184" i="33"/>
  <c r="M184" i="33" s="1"/>
  <c r="J183" i="33"/>
  <c r="K183" i="33" s="1"/>
  <c r="I183" i="33"/>
  <c r="M183" i="33" s="1"/>
  <c r="J182" i="33"/>
  <c r="K182" i="33" s="1"/>
  <c r="I182" i="33"/>
  <c r="M182" i="33" s="1"/>
  <c r="J181" i="33"/>
  <c r="K181" i="33" s="1"/>
  <c r="I181" i="33"/>
  <c r="M181" i="33" s="1"/>
  <c r="J180" i="33"/>
  <c r="K180" i="33" s="1"/>
  <c r="I180" i="33"/>
  <c r="M180" i="33" s="1"/>
  <c r="J179" i="33"/>
  <c r="K179" i="33" s="1"/>
  <c r="I179" i="33"/>
  <c r="M179" i="33" s="1"/>
  <c r="J178" i="33"/>
  <c r="K178" i="33" s="1"/>
  <c r="I178" i="33"/>
  <c r="M178" i="33" s="1"/>
  <c r="J177" i="33"/>
  <c r="K177" i="33" s="1"/>
  <c r="I177" i="33"/>
  <c r="M177" i="33" s="1"/>
  <c r="J176" i="33"/>
  <c r="K176" i="33" s="1"/>
  <c r="I176" i="33"/>
  <c r="M176" i="33" s="1"/>
  <c r="J175" i="33"/>
  <c r="K175" i="33" s="1"/>
  <c r="I175" i="33"/>
  <c r="M175" i="33" s="1"/>
  <c r="J174" i="33"/>
  <c r="K174" i="33" s="1"/>
  <c r="I174" i="33"/>
  <c r="M174" i="33" s="1"/>
  <c r="J173" i="33"/>
  <c r="K173" i="33" s="1"/>
  <c r="I173" i="33"/>
  <c r="M173" i="33" s="1"/>
  <c r="J172" i="33"/>
  <c r="K172" i="33" s="1"/>
  <c r="I172" i="33"/>
  <c r="M172" i="33" s="1"/>
  <c r="J171" i="33"/>
  <c r="K171" i="33" s="1"/>
  <c r="I171" i="33"/>
  <c r="M171" i="33" s="1"/>
  <c r="J170" i="33"/>
  <c r="K170" i="33" s="1"/>
  <c r="I170" i="33"/>
  <c r="M170" i="33" s="1"/>
  <c r="J169" i="33"/>
  <c r="K169" i="33" s="1"/>
  <c r="I169" i="33"/>
  <c r="M169" i="33" s="1"/>
  <c r="J168" i="33"/>
  <c r="K168" i="33" s="1"/>
  <c r="I168" i="33"/>
  <c r="M168" i="33" s="1"/>
  <c r="J167" i="33"/>
  <c r="K167" i="33" s="1"/>
  <c r="I167" i="33"/>
  <c r="M167" i="33" s="1"/>
  <c r="J166" i="33"/>
  <c r="K166" i="33" s="1"/>
  <c r="I166" i="33"/>
  <c r="M166" i="33" s="1"/>
  <c r="J165" i="33"/>
  <c r="K165" i="33" s="1"/>
  <c r="I165" i="33"/>
  <c r="M165" i="33" s="1"/>
  <c r="J164" i="33"/>
  <c r="K164" i="33" s="1"/>
  <c r="I164" i="33"/>
  <c r="M164" i="33" s="1"/>
  <c r="J163" i="33"/>
  <c r="K163" i="33" s="1"/>
  <c r="I163" i="33"/>
  <c r="M163" i="33" s="1"/>
  <c r="J162" i="33"/>
  <c r="K162" i="33" s="1"/>
  <c r="I162" i="33"/>
  <c r="M162" i="33" s="1"/>
  <c r="J161" i="33"/>
  <c r="K161" i="33" s="1"/>
  <c r="I161" i="33"/>
  <c r="M161" i="33" s="1"/>
  <c r="J160" i="33"/>
  <c r="K160" i="33" s="1"/>
  <c r="I160" i="33"/>
  <c r="M160" i="33" s="1"/>
  <c r="J159" i="33"/>
  <c r="K159" i="33" s="1"/>
  <c r="I159" i="33"/>
  <c r="M159" i="33" s="1"/>
  <c r="J158" i="33"/>
  <c r="K158" i="33" s="1"/>
  <c r="I158" i="33"/>
  <c r="M158" i="33" s="1"/>
  <c r="J157" i="33"/>
  <c r="K157" i="33" s="1"/>
  <c r="I157" i="33"/>
  <c r="M157" i="33" s="1"/>
  <c r="J156" i="33"/>
  <c r="K156" i="33" s="1"/>
  <c r="I156" i="33"/>
  <c r="M156" i="33" s="1"/>
  <c r="J155" i="33"/>
  <c r="K155" i="33" s="1"/>
  <c r="I155" i="33"/>
  <c r="M155" i="33" s="1"/>
  <c r="J154" i="33"/>
  <c r="K154" i="33" s="1"/>
  <c r="I154" i="33"/>
  <c r="M154" i="33" s="1"/>
  <c r="J153" i="33"/>
  <c r="K153" i="33" s="1"/>
  <c r="I153" i="33"/>
  <c r="M153" i="33" s="1"/>
  <c r="J152" i="33"/>
  <c r="K152" i="33" s="1"/>
  <c r="I152" i="33"/>
  <c r="M152" i="33" s="1"/>
  <c r="J151" i="33"/>
  <c r="K151" i="33" s="1"/>
  <c r="I151" i="33"/>
  <c r="M151" i="33" s="1"/>
  <c r="J150" i="33"/>
  <c r="K150" i="33" s="1"/>
  <c r="I150" i="33"/>
  <c r="M150" i="33" s="1"/>
  <c r="J149" i="33"/>
  <c r="K149" i="33" s="1"/>
  <c r="I149" i="33"/>
  <c r="M149" i="33" s="1"/>
  <c r="J148" i="33"/>
  <c r="K148" i="33" s="1"/>
  <c r="I148" i="33"/>
  <c r="M148" i="33" s="1"/>
  <c r="J147" i="33"/>
  <c r="K147" i="33" s="1"/>
  <c r="I147" i="33"/>
  <c r="M147" i="33" s="1"/>
  <c r="J146" i="33"/>
  <c r="K146" i="33" s="1"/>
  <c r="I146" i="33"/>
  <c r="M146" i="33" s="1"/>
  <c r="J145" i="33"/>
  <c r="K145" i="33" s="1"/>
  <c r="I145" i="33"/>
  <c r="M145" i="33" s="1"/>
  <c r="J144" i="33"/>
  <c r="K144" i="33" s="1"/>
  <c r="I144" i="33"/>
  <c r="M144" i="33" s="1"/>
  <c r="J143" i="33"/>
  <c r="K143" i="33" s="1"/>
  <c r="I143" i="33"/>
  <c r="M143" i="33" s="1"/>
  <c r="J142" i="33"/>
  <c r="K142" i="33" s="1"/>
  <c r="I142" i="33"/>
  <c r="M142" i="33" s="1"/>
  <c r="J141" i="33"/>
  <c r="K141" i="33" s="1"/>
  <c r="I141" i="33"/>
  <c r="M141" i="33" s="1"/>
  <c r="J140" i="33"/>
  <c r="K140" i="33" s="1"/>
  <c r="I140" i="33"/>
  <c r="M140" i="33" s="1"/>
  <c r="M139" i="33"/>
  <c r="J139" i="33"/>
  <c r="K139" i="33" s="1"/>
  <c r="I139" i="33"/>
  <c r="M138" i="33"/>
  <c r="J138" i="33"/>
  <c r="K138" i="33" s="1"/>
  <c r="I138" i="33"/>
  <c r="J137" i="33"/>
  <c r="K137" i="33" s="1"/>
  <c r="I137" i="33"/>
  <c r="M137" i="33" s="1"/>
  <c r="M136" i="33"/>
  <c r="K136" i="33"/>
  <c r="J136" i="33"/>
  <c r="I136" i="33"/>
  <c r="J135" i="33"/>
  <c r="K135" i="33" s="1"/>
  <c r="I135" i="33"/>
  <c r="M135" i="33" s="1"/>
  <c r="M134" i="33"/>
  <c r="K134" i="33"/>
  <c r="J134" i="33"/>
  <c r="I134" i="33"/>
  <c r="J133" i="33"/>
  <c r="K133" i="33" s="1"/>
  <c r="I133" i="33"/>
  <c r="M133" i="33" s="1"/>
  <c r="M132" i="33"/>
  <c r="K132" i="33"/>
  <c r="J132" i="33"/>
  <c r="I132" i="33"/>
  <c r="J131" i="33"/>
  <c r="K131" i="33" s="1"/>
  <c r="I131" i="33"/>
  <c r="M131" i="33" s="1"/>
  <c r="M130" i="33"/>
  <c r="K130" i="33"/>
  <c r="J130" i="33"/>
  <c r="I130" i="33"/>
  <c r="J129" i="33"/>
  <c r="K129" i="33" s="1"/>
  <c r="I129" i="33"/>
  <c r="M129" i="33" s="1"/>
  <c r="M128" i="33"/>
  <c r="K128" i="33"/>
  <c r="J128" i="33"/>
  <c r="I128" i="33"/>
  <c r="J127" i="33"/>
  <c r="K127" i="33" s="1"/>
  <c r="I127" i="33"/>
  <c r="M127" i="33" s="1"/>
  <c r="M126" i="33"/>
  <c r="K126" i="33"/>
  <c r="J126" i="33"/>
  <c r="I126" i="33"/>
  <c r="J125" i="33"/>
  <c r="K125" i="33" s="1"/>
  <c r="I125" i="33"/>
  <c r="M125" i="33" s="1"/>
  <c r="M124" i="33"/>
  <c r="K124" i="33"/>
  <c r="J124" i="33"/>
  <c r="I124" i="33"/>
  <c r="J123" i="33"/>
  <c r="K123" i="33" s="1"/>
  <c r="I123" i="33"/>
  <c r="M123" i="33" s="1"/>
  <c r="M122" i="33"/>
  <c r="K122" i="33"/>
  <c r="J122" i="33"/>
  <c r="I122" i="33"/>
  <c r="J121" i="33"/>
  <c r="K121" i="33" s="1"/>
  <c r="I121" i="33"/>
  <c r="M121" i="33" s="1"/>
  <c r="M120" i="33"/>
  <c r="K120" i="33"/>
  <c r="J120" i="33"/>
  <c r="I120" i="33"/>
  <c r="J119" i="33"/>
  <c r="K119" i="33" s="1"/>
  <c r="I119" i="33"/>
  <c r="M119" i="33" s="1"/>
  <c r="M118" i="33"/>
  <c r="K118" i="33"/>
  <c r="J118" i="33"/>
  <c r="I118" i="33"/>
  <c r="J117" i="33"/>
  <c r="K117" i="33" s="1"/>
  <c r="I117" i="33"/>
  <c r="M117" i="33" s="1"/>
  <c r="M116" i="33"/>
  <c r="K116" i="33"/>
  <c r="J116" i="33"/>
  <c r="I116" i="33"/>
  <c r="J115" i="33"/>
  <c r="K115" i="33" s="1"/>
  <c r="I115" i="33"/>
  <c r="M115" i="33" s="1"/>
  <c r="M114" i="33"/>
  <c r="K114" i="33"/>
  <c r="J114" i="33"/>
  <c r="I114" i="33"/>
  <c r="J113" i="33"/>
  <c r="K113" i="33" s="1"/>
  <c r="I113" i="33"/>
  <c r="M113" i="33" s="1"/>
  <c r="M112" i="33"/>
  <c r="K112" i="33"/>
  <c r="J112" i="33"/>
  <c r="I112" i="33"/>
  <c r="J111" i="33"/>
  <c r="K111" i="33" s="1"/>
  <c r="I111" i="33"/>
  <c r="M111" i="33" s="1"/>
  <c r="M110" i="33"/>
  <c r="K110" i="33"/>
  <c r="J110" i="33"/>
  <c r="I110" i="33"/>
  <c r="J109" i="33"/>
  <c r="K109" i="33" s="1"/>
  <c r="I109" i="33"/>
  <c r="M109" i="33" s="1"/>
  <c r="M108" i="33"/>
  <c r="K108" i="33"/>
  <c r="J108" i="33"/>
  <c r="I108" i="33"/>
  <c r="J107" i="33"/>
  <c r="K107" i="33" s="1"/>
  <c r="I107" i="33"/>
  <c r="M107" i="33" s="1"/>
  <c r="M106" i="33"/>
  <c r="K106" i="33"/>
  <c r="J106" i="33"/>
  <c r="I106" i="33"/>
  <c r="J105" i="33"/>
  <c r="K105" i="33" s="1"/>
  <c r="I105" i="33"/>
  <c r="M105" i="33" s="1"/>
  <c r="M104" i="33"/>
  <c r="K104" i="33"/>
  <c r="J104" i="33"/>
  <c r="I104" i="33"/>
  <c r="J103" i="33"/>
  <c r="K103" i="33" s="1"/>
  <c r="I103" i="33"/>
  <c r="M103" i="33" s="1"/>
  <c r="M102" i="33"/>
  <c r="K102" i="33"/>
  <c r="J102" i="33"/>
  <c r="I102" i="33"/>
  <c r="J101" i="33"/>
  <c r="K101" i="33" s="1"/>
  <c r="I101" i="33"/>
  <c r="M101" i="33" s="1"/>
  <c r="M100" i="33"/>
  <c r="K100" i="33"/>
  <c r="J100" i="33"/>
  <c r="I100" i="33"/>
  <c r="J99" i="33"/>
  <c r="K99" i="33" s="1"/>
  <c r="I99" i="33"/>
  <c r="M99" i="33" s="1"/>
  <c r="M98" i="33"/>
  <c r="K98" i="33"/>
  <c r="J98" i="33"/>
  <c r="I98" i="33"/>
  <c r="J97" i="33"/>
  <c r="K97" i="33" s="1"/>
  <c r="I97" i="33"/>
  <c r="M97" i="33" s="1"/>
  <c r="M96" i="33"/>
  <c r="K96" i="33"/>
  <c r="J96" i="33"/>
  <c r="I96" i="33"/>
  <c r="J95" i="33"/>
  <c r="K95" i="33" s="1"/>
  <c r="I95" i="33"/>
  <c r="M95" i="33" s="1"/>
  <c r="M94" i="33"/>
  <c r="K94" i="33"/>
  <c r="J94" i="33"/>
  <c r="I94" i="33"/>
  <c r="J93" i="33"/>
  <c r="K93" i="33" s="1"/>
  <c r="I93" i="33"/>
  <c r="M93" i="33" s="1"/>
  <c r="M92" i="33"/>
  <c r="K92" i="33"/>
  <c r="J92" i="33"/>
  <c r="I92" i="33"/>
  <c r="J91" i="33"/>
  <c r="K91" i="33" s="1"/>
  <c r="I91" i="33"/>
  <c r="M91" i="33" s="1"/>
  <c r="M90" i="33"/>
  <c r="K90" i="33"/>
  <c r="J90" i="33"/>
  <c r="I90" i="33"/>
  <c r="J89" i="33"/>
  <c r="K89" i="33" s="1"/>
  <c r="I89" i="33"/>
  <c r="M89" i="33" s="1"/>
  <c r="M88" i="33"/>
  <c r="K88" i="33"/>
  <c r="J88" i="33"/>
  <c r="I88" i="33"/>
  <c r="J87" i="33"/>
  <c r="K87" i="33" s="1"/>
  <c r="I87" i="33"/>
  <c r="M87" i="33" s="1"/>
  <c r="M86" i="33"/>
  <c r="K86" i="33"/>
  <c r="J86" i="33"/>
  <c r="I86" i="33"/>
  <c r="J85" i="33"/>
  <c r="K85" i="33" s="1"/>
  <c r="I85" i="33"/>
  <c r="M85" i="33" s="1"/>
  <c r="M84" i="33"/>
  <c r="K84" i="33"/>
  <c r="J84" i="33"/>
  <c r="I84" i="33"/>
  <c r="J83" i="33"/>
  <c r="K83" i="33" s="1"/>
  <c r="I83" i="33"/>
  <c r="M83" i="33" s="1"/>
  <c r="M82" i="33"/>
  <c r="K82" i="33"/>
  <c r="J82" i="33"/>
  <c r="I82" i="33"/>
  <c r="J81" i="33"/>
  <c r="K81" i="33" s="1"/>
  <c r="I81" i="33"/>
  <c r="M81" i="33" s="1"/>
  <c r="M80" i="33"/>
  <c r="K80" i="33"/>
  <c r="J80" i="33"/>
  <c r="I80" i="33"/>
  <c r="J79" i="33"/>
  <c r="K79" i="33" s="1"/>
  <c r="I79" i="33"/>
  <c r="M79" i="33" s="1"/>
  <c r="A79" i="33" s="1"/>
  <c r="M78" i="33"/>
  <c r="J78" i="33"/>
  <c r="K78" i="33" s="1"/>
  <c r="I78" i="33"/>
  <c r="A78" i="33"/>
  <c r="M77" i="33"/>
  <c r="A77" i="33" s="1"/>
  <c r="K77" i="33"/>
  <c r="J77" i="33"/>
  <c r="I77" i="33"/>
  <c r="J76" i="33"/>
  <c r="K76" i="33" s="1"/>
  <c r="I76" i="33"/>
  <c r="M76" i="33" s="1"/>
  <c r="A76" i="33" s="1"/>
  <c r="M75" i="33"/>
  <c r="A75" i="33" s="1"/>
  <c r="K75" i="33"/>
  <c r="J75" i="33"/>
  <c r="I75" i="33"/>
  <c r="J74" i="33"/>
  <c r="K74" i="33" s="1"/>
  <c r="I74" i="33"/>
  <c r="M74" i="33" s="1"/>
  <c r="A74" i="33" s="1"/>
  <c r="K73" i="33"/>
  <c r="J73" i="33"/>
  <c r="I73" i="33"/>
  <c r="M73" i="33" s="1"/>
  <c r="A73" i="33" s="1"/>
  <c r="M72" i="33"/>
  <c r="A72" i="33" s="1"/>
  <c r="K72" i="33"/>
  <c r="J72" i="33"/>
  <c r="I72" i="33"/>
  <c r="J71" i="33"/>
  <c r="K71" i="33" s="1"/>
  <c r="I71" i="33"/>
  <c r="M71" i="33" s="1"/>
  <c r="A71" i="33" s="1"/>
  <c r="M70" i="33"/>
  <c r="J70" i="33"/>
  <c r="K70" i="33" s="1"/>
  <c r="I70" i="33"/>
  <c r="A70" i="33"/>
  <c r="M69" i="33"/>
  <c r="A69" i="33" s="1"/>
  <c r="K69" i="33"/>
  <c r="J69" i="33"/>
  <c r="I69" i="33"/>
  <c r="J68" i="33"/>
  <c r="K68" i="33" s="1"/>
  <c r="I68" i="33"/>
  <c r="M68" i="33" s="1"/>
  <c r="A68" i="33" s="1"/>
  <c r="M67" i="33"/>
  <c r="A67" i="33" s="1"/>
  <c r="K67" i="33"/>
  <c r="J67" i="33"/>
  <c r="I67" i="33"/>
  <c r="J66" i="33"/>
  <c r="K66" i="33" s="1"/>
  <c r="I66" i="33"/>
  <c r="M66" i="33" s="1"/>
  <c r="A66" i="33" s="1"/>
  <c r="K65" i="33"/>
  <c r="J65" i="33"/>
  <c r="I65" i="33"/>
  <c r="M65" i="33" s="1"/>
  <c r="A65" i="33" s="1"/>
  <c r="B65" i="33"/>
  <c r="M64" i="33"/>
  <c r="A64" i="33" s="1"/>
  <c r="K64" i="33"/>
  <c r="J64" i="33"/>
  <c r="I64" i="33"/>
  <c r="B64" i="33"/>
  <c r="M63" i="33"/>
  <c r="A63" i="33" s="1"/>
  <c r="K63" i="33"/>
  <c r="J63" i="33"/>
  <c r="I63" i="33"/>
  <c r="B63" i="33"/>
  <c r="J62" i="33"/>
  <c r="K62" i="33" s="1"/>
  <c r="I62" i="33"/>
  <c r="M62" i="33" s="1"/>
  <c r="A62" i="33" s="1"/>
  <c r="B62" i="33"/>
  <c r="K61" i="33"/>
  <c r="J61" i="33"/>
  <c r="I61" i="33"/>
  <c r="M61" i="33" s="1"/>
  <c r="A61" i="33" s="1"/>
  <c r="B61" i="33"/>
  <c r="M60" i="33"/>
  <c r="A60" i="33" s="1"/>
  <c r="K60" i="33"/>
  <c r="J60" i="33"/>
  <c r="I60" i="33"/>
  <c r="B60" i="33"/>
  <c r="M59" i="33"/>
  <c r="A59" i="33" s="1"/>
  <c r="K59" i="33"/>
  <c r="J59" i="33"/>
  <c r="I59" i="33"/>
  <c r="B59" i="33"/>
  <c r="J58" i="33"/>
  <c r="K58" i="33" s="1"/>
  <c r="I58" i="33"/>
  <c r="M58" i="33" s="1"/>
  <c r="A58" i="33" s="1"/>
  <c r="B58" i="33"/>
  <c r="K57" i="33"/>
  <c r="J57" i="33"/>
  <c r="I57" i="33"/>
  <c r="M57" i="33" s="1"/>
  <c r="A57" i="33" s="1"/>
  <c r="B57" i="33"/>
  <c r="M56" i="33"/>
  <c r="A56" i="33" s="1"/>
  <c r="K56" i="33"/>
  <c r="J56" i="33"/>
  <c r="I56" i="33"/>
  <c r="B56" i="33"/>
  <c r="M55" i="33"/>
  <c r="A55" i="33" s="1"/>
  <c r="K55" i="33"/>
  <c r="J55" i="33"/>
  <c r="I55" i="33"/>
  <c r="B55" i="33"/>
  <c r="J54" i="33"/>
  <c r="K54" i="33" s="1"/>
  <c r="I54" i="33"/>
  <c r="M54" i="33" s="1"/>
  <c r="A54" i="33" s="1"/>
  <c r="B54" i="33"/>
  <c r="K53" i="33"/>
  <c r="J53" i="33"/>
  <c r="I53" i="33"/>
  <c r="M53" i="33" s="1"/>
  <c r="A53" i="33" s="1"/>
  <c r="B53" i="33"/>
  <c r="M52" i="33"/>
  <c r="A52" i="33" s="1"/>
  <c r="K52" i="33"/>
  <c r="J52" i="33"/>
  <c r="I52" i="33"/>
  <c r="B52" i="33"/>
  <c r="M51" i="33"/>
  <c r="A51" i="33" s="1"/>
  <c r="K51" i="33"/>
  <c r="J51" i="33"/>
  <c r="I51" i="33"/>
  <c r="B51" i="33"/>
  <c r="J50" i="33"/>
  <c r="K50" i="33" s="1"/>
  <c r="I50" i="33"/>
  <c r="M50" i="33" s="1"/>
  <c r="A50" i="33" s="1"/>
  <c r="B50" i="33"/>
  <c r="K49" i="33"/>
  <c r="J49" i="33"/>
  <c r="I49" i="33"/>
  <c r="M49" i="33" s="1"/>
  <c r="A49" i="33" s="1"/>
  <c r="B49" i="33"/>
  <c r="M48" i="33"/>
  <c r="A48" i="33" s="1"/>
  <c r="K48" i="33"/>
  <c r="J48" i="33"/>
  <c r="I48" i="33"/>
  <c r="B48" i="33"/>
  <c r="M47" i="33"/>
  <c r="A47" i="33" s="1"/>
  <c r="K47" i="33"/>
  <c r="J47" i="33"/>
  <c r="I47" i="33"/>
  <c r="B47" i="33"/>
  <c r="T46" i="33"/>
  <c r="R46" i="33"/>
  <c r="U46" i="33" s="1"/>
  <c r="M46" i="33"/>
  <c r="A46" i="33" s="1"/>
  <c r="K46" i="33"/>
  <c r="J46" i="33"/>
  <c r="I46" i="33"/>
  <c r="B46" i="33"/>
  <c r="J45" i="33"/>
  <c r="K45" i="33" s="1"/>
  <c r="I45" i="33"/>
  <c r="M45" i="33" s="1"/>
  <c r="A45" i="33" s="1"/>
  <c r="B45" i="33"/>
  <c r="J44" i="33"/>
  <c r="K44" i="33" s="1"/>
  <c r="I44" i="33"/>
  <c r="M44" i="33" s="1"/>
  <c r="A44" i="33" s="1"/>
  <c r="B44" i="33"/>
  <c r="M43" i="33"/>
  <c r="J43" i="33"/>
  <c r="K43" i="33" s="1"/>
  <c r="I43" i="33"/>
  <c r="B43" i="33"/>
  <c r="A43" i="33"/>
  <c r="M42" i="33"/>
  <c r="A42" i="33" s="1"/>
  <c r="K42" i="33"/>
  <c r="J42" i="33"/>
  <c r="I42" i="33"/>
  <c r="B42" i="33"/>
  <c r="J41" i="33"/>
  <c r="K41" i="33" s="1"/>
  <c r="I41" i="33"/>
  <c r="M41" i="33" s="1"/>
  <c r="A41" i="33" s="1"/>
  <c r="B41" i="33"/>
  <c r="J40" i="33"/>
  <c r="K40" i="33" s="1"/>
  <c r="I40" i="33"/>
  <c r="M40" i="33" s="1"/>
  <c r="A40" i="33" s="1"/>
  <c r="B40" i="33"/>
  <c r="M39" i="33"/>
  <c r="J39" i="33"/>
  <c r="K39" i="33" s="1"/>
  <c r="I39" i="33"/>
  <c r="B39" i="33"/>
  <c r="A39" i="33"/>
  <c r="M38" i="33"/>
  <c r="A38" i="33" s="1"/>
  <c r="K38" i="33"/>
  <c r="J38" i="33"/>
  <c r="I38" i="33"/>
  <c r="B38" i="33"/>
  <c r="J37" i="33"/>
  <c r="K37" i="33" s="1"/>
  <c r="I37" i="33"/>
  <c r="M37" i="33" s="1"/>
  <c r="A37" i="33" s="1"/>
  <c r="B37" i="33"/>
  <c r="J36" i="33"/>
  <c r="K36" i="33" s="1"/>
  <c r="I36" i="33"/>
  <c r="M36" i="33" s="1"/>
  <c r="A36" i="33" s="1"/>
  <c r="B36" i="33"/>
  <c r="M35" i="33"/>
  <c r="J35" i="33"/>
  <c r="K35" i="33" s="1"/>
  <c r="I35" i="33"/>
  <c r="B35" i="33"/>
  <c r="A35" i="33"/>
  <c r="M34" i="33"/>
  <c r="A34" i="33" s="1"/>
  <c r="K34" i="33"/>
  <c r="J34" i="33"/>
  <c r="I34" i="33"/>
  <c r="B34" i="33"/>
  <c r="J33" i="33"/>
  <c r="K33" i="33" s="1"/>
  <c r="I33" i="33"/>
  <c r="M33" i="33" s="1"/>
  <c r="A33" i="33" s="1"/>
  <c r="B33" i="33"/>
  <c r="J32" i="33"/>
  <c r="K32" i="33" s="1"/>
  <c r="I32" i="33"/>
  <c r="M32" i="33" s="1"/>
  <c r="A32" i="33" s="1"/>
  <c r="B32" i="33"/>
  <c r="M31" i="33"/>
  <c r="J31" i="33"/>
  <c r="K31" i="33" s="1"/>
  <c r="I31" i="33"/>
  <c r="B31" i="33"/>
  <c r="A31" i="33"/>
  <c r="M30" i="33"/>
  <c r="A30" i="33" s="1"/>
  <c r="K30" i="33"/>
  <c r="J30" i="33"/>
  <c r="I30" i="33"/>
  <c r="B30" i="33"/>
  <c r="J29" i="33"/>
  <c r="K29" i="33" s="1"/>
  <c r="I29" i="33"/>
  <c r="M29" i="33" s="1"/>
  <c r="A29" i="33" s="1"/>
  <c r="B29" i="33"/>
  <c r="J28" i="33"/>
  <c r="K28" i="33" s="1"/>
  <c r="I28" i="33"/>
  <c r="M28" i="33" s="1"/>
  <c r="A28" i="33" s="1"/>
  <c r="B28" i="33"/>
  <c r="M27" i="33"/>
  <c r="J27" i="33"/>
  <c r="K27" i="33" s="1"/>
  <c r="I27" i="33"/>
  <c r="B27" i="33"/>
  <c r="A27" i="33"/>
  <c r="M26" i="33"/>
  <c r="A26" i="33" s="1"/>
  <c r="K26" i="33"/>
  <c r="J26" i="33"/>
  <c r="I26" i="33"/>
  <c r="B26" i="33"/>
  <c r="J25" i="33"/>
  <c r="K25" i="33" s="1"/>
  <c r="I25" i="33"/>
  <c r="M25" i="33" s="1"/>
  <c r="A25" i="33" s="1"/>
  <c r="B25" i="33"/>
  <c r="J24" i="33"/>
  <c r="K24" i="33" s="1"/>
  <c r="I24" i="33"/>
  <c r="M24" i="33" s="1"/>
  <c r="A24" i="33" s="1"/>
  <c r="B24" i="33"/>
  <c r="M23" i="33"/>
  <c r="J23" i="33"/>
  <c r="K23" i="33" s="1"/>
  <c r="I23" i="33"/>
  <c r="B23" i="33"/>
  <c r="A23" i="33"/>
  <c r="M22" i="33"/>
  <c r="A22" i="33" s="1"/>
  <c r="K22" i="33"/>
  <c r="J22" i="33"/>
  <c r="I22" i="33"/>
  <c r="B22" i="33"/>
  <c r="J21" i="33"/>
  <c r="K21" i="33" s="1"/>
  <c r="I21" i="33"/>
  <c r="M21" i="33" s="1"/>
  <c r="A21" i="33" s="1"/>
  <c r="B21" i="33"/>
  <c r="J20" i="33"/>
  <c r="K20" i="33" s="1"/>
  <c r="I20" i="33"/>
  <c r="M20" i="33" s="1"/>
  <c r="A20" i="33" s="1"/>
  <c r="B20" i="33"/>
  <c r="M19" i="33"/>
  <c r="J19" i="33"/>
  <c r="K19" i="33" s="1"/>
  <c r="I19" i="33"/>
  <c r="B19" i="33"/>
  <c r="A19" i="33"/>
  <c r="M18" i="33"/>
  <c r="A18" i="33" s="1"/>
  <c r="K18" i="33"/>
  <c r="J18" i="33"/>
  <c r="I18" i="33"/>
  <c r="B18" i="33"/>
  <c r="J17" i="33"/>
  <c r="K17" i="33" s="1"/>
  <c r="I17" i="33"/>
  <c r="M17" i="33" s="1"/>
  <c r="A17" i="33" s="1"/>
  <c r="B17" i="33"/>
  <c r="J16" i="33"/>
  <c r="K16" i="33" s="1"/>
  <c r="I16" i="33"/>
  <c r="M16" i="33" s="1"/>
  <c r="A16" i="33" s="1"/>
  <c r="B16" i="33"/>
  <c r="K15" i="33"/>
  <c r="J15" i="33"/>
  <c r="I15" i="33"/>
  <c r="M15" i="33" s="1"/>
  <c r="A15" i="33" s="1"/>
  <c r="B15" i="33"/>
  <c r="AI14" i="33"/>
  <c r="M14" i="33"/>
  <c r="J14" i="33"/>
  <c r="K14" i="33" s="1"/>
  <c r="I14" i="33"/>
  <c r="B14" i="33"/>
  <c r="A14" i="33"/>
  <c r="AI13" i="33"/>
  <c r="M13" i="33"/>
  <c r="A13" i="33" s="1"/>
  <c r="K13" i="33"/>
  <c r="J13" i="33"/>
  <c r="I13" i="33"/>
  <c r="B13" i="33"/>
  <c r="AI12" i="33"/>
  <c r="AI16" i="33" s="1"/>
  <c r="M12" i="33"/>
  <c r="A12" i="33" s="1"/>
  <c r="K12" i="33"/>
  <c r="J12" i="33"/>
  <c r="I12" i="33"/>
  <c r="B12" i="33"/>
  <c r="J11" i="33"/>
  <c r="K11" i="33" s="1"/>
  <c r="I11" i="33"/>
  <c r="M11" i="33" s="1"/>
  <c r="A11" i="33" s="1"/>
  <c r="B11" i="33"/>
  <c r="J10" i="33"/>
  <c r="K10" i="33" s="1"/>
  <c r="I10" i="33"/>
  <c r="M10" i="33" s="1"/>
  <c r="A10" i="33" s="1"/>
  <c r="B10" i="33"/>
  <c r="K9" i="33"/>
  <c r="J9" i="33"/>
  <c r="I9" i="33"/>
  <c r="M9" i="33" s="1"/>
  <c r="A9" i="33" s="1"/>
  <c r="B9" i="33"/>
  <c r="M8" i="33"/>
  <c r="J8" i="33"/>
  <c r="K8" i="33" s="1"/>
  <c r="I8" i="33"/>
  <c r="B8" i="33"/>
  <c r="A8" i="33"/>
  <c r="M7" i="33"/>
  <c r="A7" i="33" s="1"/>
  <c r="L7" i="33"/>
  <c r="K7" i="33"/>
  <c r="J7" i="33"/>
  <c r="I7" i="33"/>
  <c r="B7" i="33"/>
  <c r="M6" i="33"/>
  <c r="A6" i="33" s="1"/>
  <c r="L6" i="33"/>
  <c r="K6" i="33"/>
  <c r="J6" i="33"/>
  <c r="I6" i="33"/>
  <c r="B6" i="33"/>
  <c r="K2" i="33"/>
  <c r="L8" i="33" s="1"/>
  <c r="J305" i="32"/>
  <c r="K305" i="32" s="1"/>
  <c r="I305" i="32"/>
  <c r="M305" i="32" s="1"/>
  <c r="J304" i="32"/>
  <c r="K304" i="32" s="1"/>
  <c r="I304" i="32"/>
  <c r="M304" i="32" s="1"/>
  <c r="J303" i="32"/>
  <c r="K303" i="32" s="1"/>
  <c r="I303" i="32"/>
  <c r="M303" i="32" s="1"/>
  <c r="J302" i="32"/>
  <c r="K302" i="32" s="1"/>
  <c r="I302" i="32"/>
  <c r="M302" i="32" s="1"/>
  <c r="J301" i="32"/>
  <c r="K301" i="32" s="1"/>
  <c r="I301" i="32"/>
  <c r="M301" i="32" s="1"/>
  <c r="J300" i="32"/>
  <c r="K300" i="32" s="1"/>
  <c r="I300" i="32"/>
  <c r="M300" i="32" s="1"/>
  <c r="J299" i="32"/>
  <c r="K299" i="32" s="1"/>
  <c r="I299" i="32"/>
  <c r="M299" i="32" s="1"/>
  <c r="J298" i="32"/>
  <c r="K298" i="32" s="1"/>
  <c r="I298" i="32"/>
  <c r="M298" i="32" s="1"/>
  <c r="J297" i="32"/>
  <c r="K297" i="32" s="1"/>
  <c r="I297" i="32"/>
  <c r="M297" i="32" s="1"/>
  <c r="J296" i="32"/>
  <c r="K296" i="32" s="1"/>
  <c r="I296" i="32"/>
  <c r="M296" i="32" s="1"/>
  <c r="J295" i="32"/>
  <c r="K295" i="32" s="1"/>
  <c r="I295" i="32"/>
  <c r="M295" i="32" s="1"/>
  <c r="J294" i="32"/>
  <c r="K294" i="32" s="1"/>
  <c r="I294" i="32"/>
  <c r="M294" i="32" s="1"/>
  <c r="J293" i="32"/>
  <c r="K293" i="32" s="1"/>
  <c r="I293" i="32"/>
  <c r="M293" i="32" s="1"/>
  <c r="J292" i="32"/>
  <c r="K292" i="32" s="1"/>
  <c r="I292" i="32"/>
  <c r="M292" i="32" s="1"/>
  <c r="J291" i="32"/>
  <c r="K291" i="32" s="1"/>
  <c r="I291" i="32"/>
  <c r="M291" i="32" s="1"/>
  <c r="J290" i="32"/>
  <c r="K290" i="32" s="1"/>
  <c r="I290" i="32"/>
  <c r="M290" i="32" s="1"/>
  <c r="J289" i="32"/>
  <c r="K289" i="32" s="1"/>
  <c r="I289" i="32"/>
  <c r="M289" i="32" s="1"/>
  <c r="J288" i="32"/>
  <c r="K288" i="32" s="1"/>
  <c r="I288" i="32"/>
  <c r="M288" i="32" s="1"/>
  <c r="J287" i="32"/>
  <c r="K287" i="32" s="1"/>
  <c r="I287" i="32"/>
  <c r="M287" i="32" s="1"/>
  <c r="J286" i="32"/>
  <c r="K286" i="32" s="1"/>
  <c r="I286" i="32"/>
  <c r="M286" i="32" s="1"/>
  <c r="J285" i="32"/>
  <c r="K285" i="32" s="1"/>
  <c r="I285" i="32"/>
  <c r="M285" i="32" s="1"/>
  <c r="J284" i="32"/>
  <c r="K284" i="32" s="1"/>
  <c r="I284" i="32"/>
  <c r="M284" i="32" s="1"/>
  <c r="J283" i="32"/>
  <c r="K283" i="32" s="1"/>
  <c r="I283" i="32"/>
  <c r="M283" i="32" s="1"/>
  <c r="J282" i="32"/>
  <c r="K282" i="32" s="1"/>
  <c r="I282" i="32"/>
  <c r="M282" i="32" s="1"/>
  <c r="J281" i="32"/>
  <c r="K281" i="32" s="1"/>
  <c r="I281" i="32"/>
  <c r="M281" i="32" s="1"/>
  <c r="J280" i="32"/>
  <c r="K280" i="32" s="1"/>
  <c r="I280" i="32"/>
  <c r="M280" i="32" s="1"/>
  <c r="J279" i="32"/>
  <c r="K279" i="32" s="1"/>
  <c r="I279" i="32"/>
  <c r="M279" i="32" s="1"/>
  <c r="J278" i="32"/>
  <c r="K278" i="32" s="1"/>
  <c r="I278" i="32"/>
  <c r="M278" i="32" s="1"/>
  <c r="J277" i="32"/>
  <c r="K277" i="32" s="1"/>
  <c r="I277" i="32"/>
  <c r="M277" i="32" s="1"/>
  <c r="J276" i="32"/>
  <c r="K276" i="32" s="1"/>
  <c r="I276" i="32"/>
  <c r="M276" i="32" s="1"/>
  <c r="J275" i="32"/>
  <c r="K275" i="32" s="1"/>
  <c r="I275" i="32"/>
  <c r="M275" i="32" s="1"/>
  <c r="J274" i="32"/>
  <c r="K274" i="32" s="1"/>
  <c r="I274" i="32"/>
  <c r="M274" i="32" s="1"/>
  <c r="J273" i="32"/>
  <c r="K273" i="32" s="1"/>
  <c r="I273" i="32"/>
  <c r="M273" i="32" s="1"/>
  <c r="J272" i="32"/>
  <c r="K272" i="32" s="1"/>
  <c r="I272" i="32"/>
  <c r="M272" i="32" s="1"/>
  <c r="J271" i="32"/>
  <c r="K271" i="32" s="1"/>
  <c r="I271" i="32"/>
  <c r="M271" i="32" s="1"/>
  <c r="J270" i="32"/>
  <c r="K270" i="32" s="1"/>
  <c r="I270" i="32"/>
  <c r="M270" i="32" s="1"/>
  <c r="J269" i="32"/>
  <c r="K269" i="32" s="1"/>
  <c r="I269" i="32"/>
  <c r="M269" i="32" s="1"/>
  <c r="J268" i="32"/>
  <c r="K268" i="32" s="1"/>
  <c r="I268" i="32"/>
  <c r="M268" i="32" s="1"/>
  <c r="J267" i="32"/>
  <c r="K267" i="32" s="1"/>
  <c r="I267" i="32"/>
  <c r="M267" i="32" s="1"/>
  <c r="J266" i="32"/>
  <c r="K266" i="32" s="1"/>
  <c r="I266" i="32"/>
  <c r="M266" i="32" s="1"/>
  <c r="J265" i="32"/>
  <c r="K265" i="32" s="1"/>
  <c r="I265" i="32"/>
  <c r="M265" i="32" s="1"/>
  <c r="J264" i="32"/>
  <c r="K264" i="32" s="1"/>
  <c r="I264" i="32"/>
  <c r="M264" i="32" s="1"/>
  <c r="J263" i="32"/>
  <c r="K263" i="32" s="1"/>
  <c r="I263" i="32"/>
  <c r="M263" i="32" s="1"/>
  <c r="J262" i="32"/>
  <c r="K262" i="32" s="1"/>
  <c r="I262" i="32"/>
  <c r="M262" i="32" s="1"/>
  <c r="J261" i="32"/>
  <c r="K261" i="32" s="1"/>
  <c r="I261" i="32"/>
  <c r="M261" i="32" s="1"/>
  <c r="J260" i="32"/>
  <c r="K260" i="32" s="1"/>
  <c r="I260" i="32"/>
  <c r="M260" i="32" s="1"/>
  <c r="J259" i="32"/>
  <c r="K259" i="32" s="1"/>
  <c r="I259" i="32"/>
  <c r="M259" i="32" s="1"/>
  <c r="J258" i="32"/>
  <c r="K258" i="32" s="1"/>
  <c r="I258" i="32"/>
  <c r="M258" i="32" s="1"/>
  <c r="J257" i="32"/>
  <c r="K257" i="32" s="1"/>
  <c r="I257" i="32"/>
  <c r="M257" i="32" s="1"/>
  <c r="J256" i="32"/>
  <c r="K256" i="32" s="1"/>
  <c r="I256" i="32"/>
  <c r="M256" i="32" s="1"/>
  <c r="J255" i="32"/>
  <c r="K255" i="32" s="1"/>
  <c r="I255" i="32"/>
  <c r="M255" i="32" s="1"/>
  <c r="J254" i="32"/>
  <c r="K254" i="32" s="1"/>
  <c r="I254" i="32"/>
  <c r="M254" i="32" s="1"/>
  <c r="J253" i="32"/>
  <c r="K253" i="32" s="1"/>
  <c r="I253" i="32"/>
  <c r="M253" i="32" s="1"/>
  <c r="J252" i="32"/>
  <c r="K252" i="32" s="1"/>
  <c r="I252" i="32"/>
  <c r="M252" i="32" s="1"/>
  <c r="J251" i="32"/>
  <c r="K251" i="32" s="1"/>
  <c r="I251" i="32"/>
  <c r="M251" i="32" s="1"/>
  <c r="J250" i="32"/>
  <c r="K250" i="32" s="1"/>
  <c r="I250" i="32"/>
  <c r="M250" i="32" s="1"/>
  <c r="J249" i="32"/>
  <c r="K249" i="32" s="1"/>
  <c r="I249" i="32"/>
  <c r="M249" i="32" s="1"/>
  <c r="J248" i="32"/>
  <c r="K248" i="32" s="1"/>
  <c r="I248" i="32"/>
  <c r="M248" i="32" s="1"/>
  <c r="J247" i="32"/>
  <c r="K247" i="32" s="1"/>
  <c r="I247" i="32"/>
  <c r="M247" i="32" s="1"/>
  <c r="J246" i="32"/>
  <c r="K246" i="32" s="1"/>
  <c r="I246" i="32"/>
  <c r="M246" i="32" s="1"/>
  <c r="J245" i="32"/>
  <c r="K245" i="32" s="1"/>
  <c r="I245" i="32"/>
  <c r="M245" i="32" s="1"/>
  <c r="J244" i="32"/>
  <c r="K244" i="32" s="1"/>
  <c r="I244" i="32"/>
  <c r="M244" i="32" s="1"/>
  <c r="J243" i="32"/>
  <c r="K243" i="32" s="1"/>
  <c r="I243" i="32"/>
  <c r="M243" i="32" s="1"/>
  <c r="J242" i="32"/>
  <c r="K242" i="32" s="1"/>
  <c r="I242" i="32"/>
  <c r="M242" i="32" s="1"/>
  <c r="J241" i="32"/>
  <c r="K241" i="32" s="1"/>
  <c r="I241" i="32"/>
  <c r="M241" i="32" s="1"/>
  <c r="J240" i="32"/>
  <c r="K240" i="32" s="1"/>
  <c r="I240" i="32"/>
  <c r="M240" i="32" s="1"/>
  <c r="J239" i="32"/>
  <c r="K239" i="32" s="1"/>
  <c r="I239" i="32"/>
  <c r="M239" i="32" s="1"/>
  <c r="J238" i="32"/>
  <c r="K238" i="32" s="1"/>
  <c r="I238" i="32"/>
  <c r="M238" i="32" s="1"/>
  <c r="J237" i="32"/>
  <c r="K237" i="32" s="1"/>
  <c r="I237" i="32"/>
  <c r="M237" i="32" s="1"/>
  <c r="J236" i="32"/>
  <c r="K236" i="32" s="1"/>
  <c r="I236" i="32"/>
  <c r="M236" i="32" s="1"/>
  <c r="J235" i="32"/>
  <c r="K235" i="32" s="1"/>
  <c r="I235" i="32"/>
  <c r="M235" i="32" s="1"/>
  <c r="J234" i="32"/>
  <c r="K234" i="32" s="1"/>
  <c r="I234" i="32"/>
  <c r="M234" i="32" s="1"/>
  <c r="J233" i="32"/>
  <c r="K233" i="32" s="1"/>
  <c r="I233" i="32"/>
  <c r="M233" i="32" s="1"/>
  <c r="J232" i="32"/>
  <c r="K232" i="32" s="1"/>
  <c r="I232" i="32"/>
  <c r="M232" i="32" s="1"/>
  <c r="J231" i="32"/>
  <c r="K231" i="32" s="1"/>
  <c r="I231" i="32"/>
  <c r="M231" i="32" s="1"/>
  <c r="J230" i="32"/>
  <c r="K230" i="32" s="1"/>
  <c r="I230" i="32"/>
  <c r="M230" i="32" s="1"/>
  <c r="J229" i="32"/>
  <c r="K229" i="32" s="1"/>
  <c r="I229" i="32"/>
  <c r="M229" i="32" s="1"/>
  <c r="J228" i="32"/>
  <c r="K228" i="32" s="1"/>
  <c r="I228" i="32"/>
  <c r="M228" i="32" s="1"/>
  <c r="J227" i="32"/>
  <c r="K227" i="32" s="1"/>
  <c r="I227" i="32"/>
  <c r="M227" i="32" s="1"/>
  <c r="J226" i="32"/>
  <c r="K226" i="32" s="1"/>
  <c r="I226" i="32"/>
  <c r="M226" i="32" s="1"/>
  <c r="J225" i="32"/>
  <c r="K225" i="32" s="1"/>
  <c r="I225" i="32"/>
  <c r="M225" i="32" s="1"/>
  <c r="J224" i="32"/>
  <c r="K224" i="32" s="1"/>
  <c r="I224" i="32"/>
  <c r="M224" i="32" s="1"/>
  <c r="J223" i="32"/>
  <c r="K223" i="32" s="1"/>
  <c r="I223" i="32"/>
  <c r="M223" i="32" s="1"/>
  <c r="J222" i="32"/>
  <c r="K222" i="32" s="1"/>
  <c r="I222" i="32"/>
  <c r="M222" i="32" s="1"/>
  <c r="J221" i="32"/>
  <c r="K221" i="32" s="1"/>
  <c r="I221" i="32"/>
  <c r="M221" i="32" s="1"/>
  <c r="J220" i="32"/>
  <c r="K220" i="32" s="1"/>
  <c r="I220" i="32"/>
  <c r="M220" i="32" s="1"/>
  <c r="J219" i="32"/>
  <c r="K219" i="32" s="1"/>
  <c r="I219" i="32"/>
  <c r="M219" i="32" s="1"/>
  <c r="J218" i="32"/>
  <c r="K218" i="32" s="1"/>
  <c r="I218" i="32"/>
  <c r="M218" i="32" s="1"/>
  <c r="J217" i="32"/>
  <c r="K217" i="32" s="1"/>
  <c r="I217" i="32"/>
  <c r="M217" i="32" s="1"/>
  <c r="J216" i="32"/>
  <c r="K216" i="32" s="1"/>
  <c r="I216" i="32"/>
  <c r="M216" i="32" s="1"/>
  <c r="J215" i="32"/>
  <c r="K215" i="32" s="1"/>
  <c r="I215" i="32"/>
  <c r="M215" i="32" s="1"/>
  <c r="J214" i="32"/>
  <c r="K214" i="32" s="1"/>
  <c r="I214" i="32"/>
  <c r="M214" i="32" s="1"/>
  <c r="J213" i="32"/>
  <c r="K213" i="32" s="1"/>
  <c r="I213" i="32"/>
  <c r="M213" i="32" s="1"/>
  <c r="J212" i="32"/>
  <c r="K212" i="32" s="1"/>
  <c r="I212" i="32"/>
  <c r="M212" i="32" s="1"/>
  <c r="J211" i="32"/>
  <c r="K211" i="32" s="1"/>
  <c r="I211" i="32"/>
  <c r="M211" i="32" s="1"/>
  <c r="J210" i="32"/>
  <c r="K210" i="32" s="1"/>
  <c r="I210" i="32"/>
  <c r="M210" i="32" s="1"/>
  <c r="J209" i="32"/>
  <c r="K209" i="32" s="1"/>
  <c r="I209" i="32"/>
  <c r="M209" i="32" s="1"/>
  <c r="J208" i="32"/>
  <c r="K208" i="32" s="1"/>
  <c r="I208" i="32"/>
  <c r="M208" i="32" s="1"/>
  <c r="J207" i="32"/>
  <c r="K207" i="32" s="1"/>
  <c r="I207" i="32"/>
  <c r="M207" i="32" s="1"/>
  <c r="J206" i="32"/>
  <c r="K206" i="32" s="1"/>
  <c r="I206" i="32"/>
  <c r="M206" i="32" s="1"/>
  <c r="J205" i="32"/>
  <c r="K205" i="32" s="1"/>
  <c r="I205" i="32"/>
  <c r="M205" i="32" s="1"/>
  <c r="J204" i="32"/>
  <c r="K204" i="32" s="1"/>
  <c r="I204" i="32"/>
  <c r="M204" i="32" s="1"/>
  <c r="J203" i="32"/>
  <c r="K203" i="32" s="1"/>
  <c r="I203" i="32"/>
  <c r="M203" i="32" s="1"/>
  <c r="J202" i="32"/>
  <c r="K202" i="32" s="1"/>
  <c r="I202" i="32"/>
  <c r="M202" i="32" s="1"/>
  <c r="J201" i="32"/>
  <c r="K201" i="32" s="1"/>
  <c r="I201" i="32"/>
  <c r="M201" i="32" s="1"/>
  <c r="J200" i="32"/>
  <c r="K200" i="32" s="1"/>
  <c r="I200" i="32"/>
  <c r="M200" i="32" s="1"/>
  <c r="J199" i="32"/>
  <c r="K199" i="32" s="1"/>
  <c r="I199" i="32"/>
  <c r="M199" i="32" s="1"/>
  <c r="J198" i="32"/>
  <c r="K198" i="32" s="1"/>
  <c r="I198" i="32"/>
  <c r="M198" i="32" s="1"/>
  <c r="J197" i="32"/>
  <c r="K197" i="32" s="1"/>
  <c r="I197" i="32"/>
  <c r="M197" i="32" s="1"/>
  <c r="J196" i="32"/>
  <c r="K196" i="32" s="1"/>
  <c r="I196" i="32"/>
  <c r="M196" i="32" s="1"/>
  <c r="J195" i="32"/>
  <c r="K195" i="32" s="1"/>
  <c r="I195" i="32"/>
  <c r="M195" i="32" s="1"/>
  <c r="J194" i="32"/>
  <c r="K194" i="32" s="1"/>
  <c r="I194" i="32"/>
  <c r="M194" i="32" s="1"/>
  <c r="J193" i="32"/>
  <c r="K193" i="32" s="1"/>
  <c r="I193" i="32"/>
  <c r="M193" i="32" s="1"/>
  <c r="J192" i="32"/>
  <c r="K192" i="32" s="1"/>
  <c r="I192" i="32"/>
  <c r="M192" i="32" s="1"/>
  <c r="J191" i="32"/>
  <c r="K191" i="32" s="1"/>
  <c r="I191" i="32"/>
  <c r="M191" i="32" s="1"/>
  <c r="J190" i="32"/>
  <c r="K190" i="32" s="1"/>
  <c r="I190" i="32"/>
  <c r="M190" i="32" s="1"/>
  <c r="J189" i="32"/>
  <c r="K189" i="32" s="1"/>
  <c r="I189" i="32"/>
  <c r="M189" i="32" s="1"/>
  <c r="J188" i="32"/>
  <c r="K188" i="32" s="1"/>
  <c r="I188" i="32"/>
  <c r="M188" i="32" s="1"/>
  <c r="J187" i="32"/>
  <c r="K187" i="32" s="1"/>
  <c r="I187" i="32"/>
  <c r="M187" i="32" s="1"/>
  <c r="J186" i="32"/>
  <c r="K186" i="32" s="1"/>
  <c r="I186" i="32"/>
  <c r="M186" i="32" s="1"/>
  <c r="J185" i="32"/>
  <c r="K185" i="32" s="1"/>
  <c r="I185" i="32"/>
  <c r="M185" i="32" s="1"/>
  <c r="J184" i="32"/>
  <c r="K184" i="32" s="1"/>
  <c r="I184" i="32"/>
  <c r="M184" i="32" s="1"/>
  <c r="J183" i="32"/>
  <c r="K183" i="32" s="1"/>
  <c r="I183" i="32"/>
  <c r="M183" i="32" s="1"/>
  <c r="J182" i="32"/>
  <c r="K182" i="32" s="1"/>
  <c r="I182" i="32"/>
  <c r="M182" i="32" s="1"/>
  <c r="J181" i="32"/>
  <c r="K181" i="32" s="1"/>
  <c r="I181" i="32"/>
  <c r="M181" i="32" s="1"/>
  <c r="J180" i="32"/>
  <c r="K180" i="32" s="1"/>
  <c r="I180" i="32"/>
  <c r="M180" i="32" s="1"/>
  <c r="J179" i="32"/>
  <c r="K179" i="32" s="1"/>
  <c r="I179" i="32"/>
  <c r="M179" i="32" s="1"/>
  <c r="J178" i="32"/>
  <c r="K178" i="32" s="1"/>
  <c r="I178" i="32"/>
  <c r="M178" i="32" s="1"/>
  <c r="J177" i="32"/>
  <c r="K177" i="32" s="1"/>
  <c r="I177" i="32"/>
  <c r="M177" i="32" s="1"/>
  <c r="J176" i="32"/>
  <c r="K176" i="32" s="1"/>
  <c r="I176" i="32"/>
  <c r="M176" i="32" s="1"/>
  <c r="J175" i="32"/>
  <c r="K175" i="32" s="1"/>
  <c r="I175" i="32"/>
  <c r="M175" i="32" s="1"/>
  <c r="J174" i="32"/>
  <c r="K174" i="32" s="1"/>
  <c r="I174" i="32"/>
  <c r="M174" i="32" s="1"/>
  <c r="J173" i="32"/>
  <c r="K173" i="32" s="1"/>
  <c r="I173" i="32"/>
  <c r="M173" i="32" s="1"/>
  <c r="J172" i="32"/>
  <c r="K172" i="32" s="1"/>
  <c r="I172" i="32"/>
  <c r="M172" i="32" s="1"/>
  <c r="J171" i="32"/>
  <c r="K171" i="32" s="1"/>
  <c r="I171" i="32"/>
  <c r="M171" i="32" s="1"/>
  <c r="J170" i="32"/>
  <c r="K170" i="32" s="1"/>
  <c r="I170" i="32"/>
  <c r="M170" i="32" s="1"/>
  <c r="J169" i="32"/>
  <c r="K169" i="32" s="1"/>
  <c r="I169" i="32"/>
  <c r="M169" i="32" s="1"/>
  <c r="J168" i="32"/>
  <c r="K168" i="32" s="1"/>
  <c r="I168" i="32"/>
  <c r="M168" i="32" s="1"/>
  <c r="J167" i="32"/>
  <c r="K167" i="32" s="1"/>
  <c r="I167" i="32"/>
  <c r="M167" i="32" s="1"/>
  <c r="J166" i="32"/>
  <c r="K166" i="32" s="1"/>
  <c r="I166" i="32"/>
  <c r="M166" i="32" s="1"/>
  <c r="J165" i="32"/>
  <c r="K165" i="32" s="1"/>
  <c r="I165" i="32"/>
  <c r="M165" i="32" s="1"/>
  <c r="J164" i="32"/>
  <c r="K164" i="32" s="1"/>
  <c r="I164" i="32"/>
  <c r="M164" i="32" s="1"/>
  <c r="J163" i="32"/>
  <c r="K163" i="32" s="1"/>
  <c r="I163" i="32"/>
  <c r="M163" i="32" s="1"/>
  <c r="J162" i="32"/>
  <c r="K162" i="32" s="1"/>
  <c r="I162" i="32"/>
  <c r="M162" i="32" s="1"/>
  <c r="J161" i="32"/>
  <c r="K161" i="32" s="1"/>
  <c r="I161" i="32"/>
  <c r="M161" i="32" s="1"/>
  <c r="J160" i="32"/>
  <c r="K160" i="32" s="1"/>
  <c r="I160" i="32"/>
  <c r="M160" i="32" s="1"/>
  <c r="J159" i="32"/>
  <c r="K159" i="32" s="1"/>
  <c r="I159" i="32"/>
  <c r="M159" i="32" s="1"/>
  <c r="J158" i="32"/>
  <c r="K158" i="32" s="1"/>
  <c r="I158" i="32"/>
  <c r="M158" i="32" s="1"/>
  <c r="J157" i="32"/>
  <c r="K157" i="32" s="1"/>
  <c r="I157" i="32"/>
  <c r="M157" i="32" s="1"/>
  <c r="J156" i="32"/>
  <c r="K156" i="32" s="1"/>
  <c r="I156" i="32"/>
  <c r="M156" i="32" s="1"/>
  <c r="J155" i="32"/>
  <c r="K155" i="32" s="1"/>
  <c r="I155" i="32"/>
  <c r="M155" i="32" s="1"/>
  <c r="J154" i="32"/>
  <c r="K154" i="32" s="1"/>
  <c r="I154" i="32"/>
  <c r="M154" i="32" s="1"/>
  <c r="J153" i="32"/>
  <c r="K153" i="32" s="1"/>
  <c r="I153" i="32"/>
  <c r="M153" i="32" s="1"/>
  <c r="J152" i="32"/>
  <c r="K152" i="32" s="1"/>
  <c r="I152" i="32"/>
  <c r="M152" i="32" s="1"/>
  <c r="J151" i="32"/>
  <c r="K151" i="32" s="1"/>
  <c r="I151" i="32"/>
  <c r="M151" i="32" s="1"/>
  <c r="J150" i="32"/>
  <c r="K150" i="32" s="1"/>
  <c r="I150" i="32"/>
  <c r="M150" i="32" s="1"/>
  <c r="J149" i="32"/>
  <c r="K149" i="32" s="1"/>
  <c r="I149" i="32"/>
  <c r="M149" i="32" s="1"/>
  <c r="J148" i="32"/>
  <c r="K148" i="32" s="1"/>
  <c r="I148" i="32"/>
  <c r="M148" i="32" s="1"/>
  <c r="J147" i="32"/>
  <c r="K147" i="32" s="1"/>
  <c r="I147" i="32"/>
  <c r="M147" i="32" s="1"/>
  <c r="J146" i="32"/>
  <c r="K146" i="32" s="1"/>
  <c r="I146" i="32"/>
  <c r="M146" i="32" s="1"/>
  <c r="J145" i="32"/>
  <c r="K145" i="32" s="1"/>
  <c r="I145" i="32"/>
  <c r="M145" i="32" s="1"/>
  <c r="J144" i="32"/>
  <c r="K144" i="32" s="1"/>
  <c r="I144" i="32"/>
  <c r="M144" i="32" s="1"/>
  <c r="J143" i="32"/>
  <c r="K143" i="32" s="1"/>
  <c r="I143" i="32"/>
  <c r="M143" i="32" s="1"/>
  <c r="J142" i="32"/>
  <c r="K142" i="32" s="1"/>
  <c r="I142" i="32"/>
  <c r="M142" i="32" s="1"/>
  <c r="J141" i="32"/>
  <c r="K141" i="32" s="1"/>
  <c r="I141" i="32"/>
  <c r="M141" i="32" s="1"/>
  <c r="J140" i="32"/>
  <c r="K140" i="32" s="1"/>
  <c r="I140" i="32"/>
  <c r="M140" i="32" s="1"/>
  <c r="J139" i="32"/>
  <c r="K139" i="32" s="1"/>
  <c r="I139" i="32"/>
  <c r="M139" i="32" s="1"/>
  <c r="J138" i="32"/>
  <c r="K138" i="32" s="1"/>
  <c r="I138" i="32"/>
  <c r="M138" i="32" s="1"/>
  <c r="J137" i="32"/>
  <c r="K137" i="32" s="1"/>
  <c r="I137" i="32"/>
  <c r="M137" i="32" s="1"/>
  <c r="J136" i="32"/>
  <c r="K136" i="32" s="1"/>
  <c r="I136" i="32"/>
  <c r="M136" i="32" s="1"/>
  <c r="J135" i="32"/>
  <c r="K135" i="32" s="1"/>
  <c r="I135" i="32"/>
  <c r="M135" i="32" s="1"/>
  <c r="M134" i="32"/>
  <c r="J134" i="32"/>
  <c r="K134" i="32" s="1"/>
  <c r="I134" i="32"/>
  <c r="J133" i="32"/>
  <c r="K133" i="32" s="1"/>
  <c r="I133" i="32"/>
  <c r="M133" i="32" s="1"/>
  <c r="M132" i="32"/>
  <c r="J132" i="32"/>
  <c r="K132" i="32" s="1"/>
  <c r="I132" i="32"/>
  <c r="J131" i="32"/>
  <c r="K131" i="32" s="1"/>
  <c r="I131" i="32"/>
  <c r="M131" i="32" s="1"/>
  <c r="M130" i="32"/>
  <c r="J130" i="32"/>
  <c r="K130" i="32" s="1"/>
  <c r="I130" i="32"/>
  <c r="J129" i="32"/>
  <c r="K129" i="32" s="1"/>
  <c r="I129" i="32"/>
  <c r="M129" i="32" s="1"/>
  <c r="M128" i="32"/>
  <c r="J128" i="32"/>
  <c r="K128" i="32" s="1"/>
  <c r="I128" i="32"/>
  <c r="J127" i="32"/>
  <c r="K127" i="32" s="1"/>
  <c r="I127" i="32"/>
  <c r="M127" i="32" s="1"/>
  <c r="M126" i="32"/>
  <c r="J126" i="32"/>
  <c r="K126" i="32" s="1"/>
  <c r="I126" i="32"/>
  <c r="J125" i="32"/>
  <c r="K125" i="32" s="1"/>
  <c r="I125" i="32"/>
  <c r="M125" i="32" s="1"/>
  <c r="M124" i="32"/>
  <c r="J124" i="32"/>
  <c r="K124" i="32" s="1"/>
  <c r="I124" i="32"/>
  <c r="J123" i="32"/>
  <c r="K123" i="32" s="1"/>
  <c r="I123" i="32"/>
  <c r="M123" i="32" s="1"/>
  <c r="M122" i="32"/>
  <c r="J122" i="32"/>
  <c r="K122" i="32" s="1"/>
  <c r="I122" i="32"/>
  <c r="J121" i="32"/>
  <c r="K121" i="32" s="1"/>
  <c r="I121" i="32"/>
  <c r="M121" i="32" s="1"/>
  <c r="M120" i="32"/>
  <c r="J120" i="32"/>
  <c r="K120" i="32" s="1"/>
  <c r="I120" i="32"/>
  <c r="J119" i="32"/>
  <c r="K119" i="32" s="1"/>
  <c r="I119" i="32"/>
  <c r="M119" i="32" s="1"/>
  <c r="M118" i="32"/>
  <c r="J118" i="32"/>
  <c r="K118" i="32" s="1"/>
  <c r="I118" i="32"/>
  <c r="J117" i="32"/>
  <c r="K117" i="32" s="1"/>
  <c r="I117" i="32"/>
  <c r="M117" i="32" s="1"/>
  <c r="M116" i="32"/>
  <c r="J116" i="32"/>
  <c r="K116" i="32" s="1"/>
  <c r="I116" i="32"/>
  <c r="J115" i="32"/>
  <c r="K115" i="32" s="1"/>
  <c r="I115" i="32"/>
  <c r="M115" i="32" s="1"/>
  <c r="M114" i="32"/>
  <c r="J114" i="32"/>
  <c r="K114" i="32" s="1"/>
  <c r="I114" i="32"/>
  <c r="J113" i="32"/>
  <c r="K113" i="32" s="1"/>
  <c r="I113" i="32"/>
  <c r="M113" i="32" s="1"/>
  <c r="M112" i="32"/>
  <c r="J112" i="32"/>
  <c r="K112" i="32" s="1"/>
  <c r="I112" i="32"/>
  <c r="J111" i="32"/>
  <c r="K111" i="32" s="1"/>
  <c r="I111" i="32"/>
  <c r="M111" i="32" s="1"/>
  <c r="M110" i="32"/>
  <c r="J110" i="32"/>
  <c r="K110" i="32" s="1"/>
  <c r="I110" i="32"/>
  <c r="J109" i="32"/>
  <c r="K109" i="32" s="1"/>
  <c r="I109" i="32"/>
  <c r="M109" i="32" s="1"/>
  <c r="M108" i="32"/>
  <c r="J108" i="32"/>
  <c r="K108" i="32" s="1"/>
  <c r="I108" i="32"/>
  <c r="J107" i="32"/>
  <c r="K107" i="32" s="1"/>
  <c r="I107" i="32"/>
  <c r="M107" i="32" s="1"/>
  <c r="M106" i="32"/>
  <c r="J106" i="32"/>
  <c r="K106" i="32" s="1"/>
  <c r="I106" i="32"/>
  <c r="J105" i="32"/>
  <c r="K105" i="32" s="1"/>
  <c r="I105" i="32"/>
  <c r="M105" i="32" s="1"/>
  <c r="M104" i="32"/>
  <c r="J104" i="32"/>
  <c r="K104" i="32" s="1"/>
  <c r="I104" i="32"/>
  <c r="J103" i="32"/>
  <c r="K103" i="32" s="1"/>
  <c r="I103" i="32"/>
  <c r="M103" i="32" s="1"/>
  <c r="M102" i="32"/>
  <c r="J102" i="32"/>
  <c r="K102" i="32" s="1"/>
  <c r="I102" i="32"/>
  <c r="J101" i="32"/>
  <c r="K101" i="32" s="1"/>
  <c r="I101" i="32"/>
  <c r="M101" i="32" s="1"/>
  <c r="M100" i="32"/>
  <c r="J100" i="32"/>
  <c r="K100" i="32" s="1"/>
  <c r="I100" i="32"/>
  <c r="J99" i="32"/>
  <c r="K99" i="32" s="1"/>
  <c r="I99" i="32"/>
  <c r="M99" i="32" s="1"/>
  <c r="M98" i="32"/>
  <c r="J98" i="32"/>
  <c r="K98" i="32" s="1"/>
  <c r="I98" i="32"/>
  <c r="J97" i="32"/>
  <c r="K97" i="32" s="1"/>
  <c r="I97" i="32"/>
  <c r="M97" i="32" s="1"/>
  <c r="M96" i="32"/>
  <c r="J96" i="32"/>
  <c r="K96" i="32" s="1"/>
  <c r="I96" i="32"/>
  <c r="J95" i="32"/>
  <c r="K95" i="32" s="1"/>
  <c r="I95" i="32"/>
  <c r="M95" i="32" s="1"/>
  <c r="M94" i="32"/>
  <c r="J94" i="32"/>
  <c r="K94" i="32" s="1"/>
  <c r="I94" i="32"/>
  <c r="J93" i="32"/>
  <c r="K93" i="32" s="1"/>
  <c r="I93" i="32"/>
  <c r="M93" i="32" s="1"/>
  <c r="M92" i="32"/>
  <c r="J92" i="32"/>
  <c r="K92" i="32" s="1"/>
  <c r="I92" i="32"/>
  <c r="J91" i="32"/>
  <c r="K91" i="32" s="1"/>
  <c r="I91" i="32"/>
  <c r="M91" i="32" s="1"/>
  <c r="M90" i="32"/>
  <c r="J90" i="32"/>
  <c r="K90" i="32" s="1"/>
  <c r="I90" i="32"/>
  <c r="J89" i="32"/>
  <c r="K89" i="32" s="1"/>
  <c r="I89" i="32"/>
  <c r="M89" i="32" s="1"/>
  <c r="M88" i="32"/>
  <c r="J88" i="32"/>
  <c r="K88" i="32" s="1"/>
  <c r="I88" i="32"/>
  <c r="J87" i="32"/>
  <c r="K87" i="32" s="1"/>
  <c r="I87" i="32"/>
  <c r="M87" i="32" s="1"/>
  <c r="M86" i="32"/>
  <c r="J86" i="32"/>
  <c r="K86" i="32" s="1"/>
  <c r="I86" i="32"/>
  <c r="J85" i="32"/>
  <c r="K85" i="32" s="1"/>
  <c r="I85" i="32"/>
  <c r="M85" i="32" s="1"/>
  <c r="M84" i="32"/>
  <c r="J84" i="32"/>
  <c r="K84" i="32" s="1"/>
  <c r="I84" i="32"/>
  <c r="J83" i="32"/>
  <c r="K83" i="32" s="1"/>
  <c r="I83" i="32"/>
  <c r="M83" i="32" s="1"/>
  <c r="M82" i="32"/>
  <c r="J82" i="32"/>
  <c r="K82" i="32" s="1"/>
  <c r="I82" i="32"/>
  <c r="J81" i="32"/>
  <c r="K81" i="32" s="1"/>
  <c r="I81" i="32"/>
  <c r="M81" i="32" s="1"/>
  <c r="M80" i="32"/>
  <c r="J80" i="32"/>
  <c r="K80" i="32" s="1"/>
  <c r="I80" i="32"/>
  <c r="J79" i="32"/>
  <c r="K79" i="32" s="1"/>
  <c r="I79" i="32"/>
  <c r="M79" i="32" s="1"/>
  <c r="A79" i="32" s="1"/>
  <c r="K78" i="32"/>
  <c r="J78" i="32"/>
  <c r="I78" i="32"/>
  <c r="M78" i="32" s="1"/>
  <c r="A78" i="32" s="1"/>
  <c r="M77" i="32"/>
  <c r="A77" i="32" s="1"/>
  <c r="K77" i="32"/>
  <c r="J77" i="32"/>
  <c r="I77" i="32"/>
  <c r="K76" i="32"/>
  <c r="J76" i="32"/>
  <c r="I76" i="32"/>
  <c r="M76" i="32" s="1"/>
  <c r="A76" i="32" s="1"/>
  <c r="M75" i="32"/>
  <c r="J75" i="32"/>
  <c r="K75" i="32" s="1"/>
  <c r="I75" i="32"/>
  <c r="A75" i="32"/>
  <c r="M74" i="32"/>
  <c r="A74" i="32" s="1"/>
  <c r="J74" i="32"/>
  <c r="K74" i="32" s="1"/>
  <c r="I74" i="32"/>
  <c r="M73" i="32"/>
  <c r="J73" i="32"/>
  <c r="K73" i="32" s="1"/>
  <c r="I73" i="32"/>
  <c r="A73" i="32"/>
  <c r="M72" i="32"/>
  <c r="A72" i="32" s="1"/>
  <c r="K72" i="32"/>
  <c r="J72" i="32"/>
  <c r="I72" i="32"/>
  <c r="J71" i="32"/>
  <c r="K71" i="32" s="1"/>
  <c r="I71" i="32"/>
  <c r="M71" i="32" s="1"/>
  <c r="A71" i="32" s="1"/>
  <c r="K70" i="32"/>
  <c r="J70" i="32"/>
  <c r="I70" i="32"/>
  <c r="M70" i="32" s="1"/>
  <c r="A70" i="32" s="1"/>
  <c r="M69" i="32"/>
  <c r="A69" i="32" s="1"/>
  <c r="K69" i="32"/>
  <c r="J69" i="32"/>
  <c r="I69" i="32"/>
  <c r="K68" i="32"/>
  <c r="J68" i="32"/>
  <c r="I68" i="32"/>
  <c r="M68" i="32" s="1"/>
  <c r="A68" i="32" s="1"/>
  <c r="M67" i="32"/>
  <c r="J67" i="32"/>
  <c r="K67" i="32" s="1"/>
  <c r="I67" i="32"/>
  <c r="A67" i="32"/>
  <c r="M66" i="32"/>
  <c r="A66" i="32" s="1"/>
  <c r="J66" i="32"/>
  <c r="K66" i="32" s="1"/>
  <c r="I66" i="32"/>
  <c r="M65" i="32"/>
  <c r="J65" i="32"/>
  <c r="K65" i="32" s="1"/>
  <c r="I65" i="32"/>
  <c r="B65" i="32"/>
  <c r="A65" i="32"/>
  <c r="M64" i="32"/>
  <c r="J64" i="32"/>
  <c r="K64" i="32" s="1"/>
  <c r="I64" i="32"/>
  <c r="B64" i="32"/>
  <c r="A64" i="32"/>
  <c r="M63" i="32"/>
  <c r="A63" i="32" s="1"/>
  <c r="K63" i="32"/>
  <c r="J63" i="32"/>
  <c r="I63" i="32"/>
  <c r="B63" i="32"/>
  <c r="J62" i="32"/>
  <c r="K62" i="32" s="1"/>
  <c r="I62" i="32"/>
  <c r="M62" i="32" s="1"/>
  <c r="A62" i="32" s="1"/>
  <c r="B62" i="32"/>
  <c r="M61" i="32"/>
  <c r="J61" i="32"/>
  <c r="K61" i="32" s="1"/>
  <c r="I61" i="32"/>
  <c r="B61" i="32"/>
  <c r="A61" i="32"/>
  <c r="M60" i="32"/>
  <c r="J60" i="32"/>
  <c r="K60" i="32" s="1"/>
  <c r="I60" i="32"/>
  <c r="B60" i="32"/>
  <c r="A60" i="32"/>
  <c r="M59" i="32"/>
  <c r="A59" i="32" s="1"/>
  <c r="K59" i="32"/>
  <c r="J59" i="32"/>
  <c r="I59" i="32"/>
  <c r="B59" i="32"/>
  <c r="J58" i="32"/>
  <c r="K58" i="32" s="1"/>
  <c r="I58" i="32"/>
  <c r="M58" i="32" s="1"/>
  <c r="A58" i="32" s="1"/>
  <c r="B58" i="32"/>
  <c r="M57" i="32"/>
  <c r="J57" i="32"/>
  <c r="K57" i="32" s="1"/>
  <c r="I57" i="32"/>
  <c r="B57" i="32"/>
  <c r="A57" i="32"/>
  <c r="M56" i="32"/>
  <c r="A56" i="32" s="1"/>
  <c r="J56" i="32"/>
  <c r="K56" i="32" s="1"/>
  <c r="I56" i="32"/>
  <c r="B56" i="32"/>
  <c r="M55" i="32"/>
  <c r="A55" i="32" s="1"/>
  <c r="K55" i="32"/>
  <c r="J55" i="32"/>
  <c r="I55" i="32"/>
  <c r="B55" i="32"/>
  <c r="J54" i="32"/>
  <c r="K54" i="32" s="1"/>
  <c r="I54" i="32"/>
  <c r="M54" i="32" s="1"/>
  <c r="A54" i="32" s="1"/>
  <c r="B54" i="32"/>
  <c r="M53" i="32"/>
  <c r="J53" i="32"/>
  <c r="K53" i="32" s="1"/>
  <c r="I53" i="32"/>
  <c r="B53" i="32"/>
  <c r="A53" i="32"/>
  <c r="M52" i="32"/>
  <c r="A52" i="32" s="1"/>
  <c r="J52" i="32"/>
  <c r="K52" i="32" s="1"/>
  <c r="I52" i="32"/>
  <c r="B52" i="32"/>
  <c r="M51" i="32"/>
  <c r="A51" i="32" s="1"/>
  <c r="K51" i="32"/>
  <c r="J51" i="32"/>
  <c r="I51" i="32"/>
  <c r="B51" i="32"/>
  <c r="J50" i="32"/>
  <c r="K50" i="32" s="1"/>
  <c r="I50" i="32"/>
  <c r="M50" i="32" s="1"/>
  <c r="A50" i="32" s="1"/>
  <c r="B50" i="32"/>
  <c r="M49" i="32"/>
  <c r="J49" i="32"/>
  <c r="K49" i="32" s="1"/>
  <c r="I49" i="32"/>
  <c r="B49" i="32"/>
  <c r="A49" i="32"/>
  <c r="J48" i="32"/>
  <c r="K48" i="32" s="1"/>
  <c r="I48" i="32"/>
  <c r="M48" i="32" s="1"/>
  <c r="A48" i="32" s="1"/>
  <c r="B48" i="32"/>
  <c r="M47" i="32"/>
  <c r="A47" i="32" s="1"/>
  <c r="K47" i="32"/>
  <c r="J47" i="32"/>
  <c r="I47" i="32"/>
  <c r="B47" i="32"/>
  <c r="T46" i="32"/>
  <c r="R46" i="32"/>
  <c r="U46" i="32" s="1"/>
  <c r="M46" i="32"/>
  <c r="A46" i="32" s="1"/>
  <c r="K46" i="32"/>
  <c r="J46" i="32"/>
  <c r="I46" i="32"/>
  <c r="B46" i="32"/>
  <c r="J45" i="32"/>
  <c r="K45" i="32" s="1"/>
  <c r="I45" i="32"/>
  <c r="M45" i="32" s="1"/>
  <c r="A45" i="32" s="1"/>
  <c r="B45" i="32"/>
  <c r="K44" i="32"/>
  <c r="J44" i="32"/>
  <c r="I44" i="32"/>
  <c r="M44" i="32" s="1"/>
  <c r="A44" i="32" s="1"/>
  <c r="B44" i="32"/>
  <c r="K43" i="32"/>
  <c r="J43" i="32"/>
  <c r="I43" i="32"/>
  <c r="M43" i="32" s="1"/>
  <c r="A43" i="32" s="1"/>
  <c r="B43" i="32"/>
  <c r="M42" i="32"/>
  <c r="A42" i="32" s="1"/>
  <c r="J42" i="32"/>
  <c r="K42" i="32" s="1"/>
  <c r="I42" i="32"/>
  <c r="B42" i="32"/>
  <c r="J41" i="32"/>
  <c r="K41" i="32" s="1"/>
  <c r="I41" i="32"/>
  <c r="M41" i="32" s="1"/>
  <c r="A41" i="32" s="1"/>
  <c r="B41" i="32"/>
  <c r="K40" i="32"/>
  <c r="J40" i="32"/>
  <c r="I40" i="32"/>
  <c r="M40" i="32" s="1"/>
  <c r="A40" i="32" s="1"/>
  <c r="B40" i="32"/>
  <c r="K39" i="32"/>
  <c r="J39" i="32"/>
  <c r="I39" i="32"/>
  <c r="M39" i="32" s="1"/>
  <c r="A39" i="32" s="1"/>
  <c r="B39" i="32"/>
  <c r="M38" i="32"/>
  <c r="A38" i="32" s="1"/>
  <c r="J38" i="32"/>
  <c r="K38" i="32" s="1"/>
  <c r="I38" i="32"/>
  <c r="B38" i="32"/>
  <c r="M37" i="32"/>
  <c r="J37" i="32"/>
  <c r="K37" i="32" s="1"/>
  <c r="I37" i="32"/>
  <c r="B37" i="32"/>
  <c r="A37" i="32"/>
  <c r="J36" i="32"/>
  <c r="K36" i="32" s="1"/>
  <c r="I36" i="32"/>
  <c r="M36" i="32" s="1"/>
  <c r="A36" i="32" s="1"/>
  <c r="B36" i="32"/>
  <c r="K35" i="32"/>
  <c r="J35" i="32"/>
  <c r="I35" i="32"/>
  <c r="M35" i="32" s="1"/>
  <c r="A35" i="32" s="1"/>
  <c r="B35" i="32"/>
  <c r="M34" i="32"/>
  <c r="A34" i="32" s="1"/>
  <c r="J34" i="32"/>
  <c r="K34" i="32" s="1"/>
  <c r="I34" i="32"/>
  <c r="B34" i="32"/>
  <c r="M33" i="32"/>
  <c r="J33" i="32"/>
  <c r="K33" i="32" s="1"/>
  <c r="I33" i="32"/>
  <c r="B33" i="32"/>
  <c r="A33" i="32"/>
  <c r="J32" i="32"/>
  <c r="K32" i="32" s="1"/>
  <c r="I32" i="32"/>
  <c r="M32" i="32" s="1"/>
  <c r="A32" i="32" s="1"/>
  <c r="B32" i="32"/>
  <c r="M31" i="32"/>
  <c r="K31" i="32"/>
  <c r="J31" i="32"/>
  <c r="I31" i="32"/>
  <c r="B31" i="32"/>
  <c r="A31" i="32"/>
  <c r="M30" i="32"/>
  <c r="A30" i="32" s="1"/>
  <c r="J30" i="32"/>
  <c r="K30" i="32" s="1"/>
  <c r="I30" i="32"/>
  <c r="B30" i="32"/>
  <c r="J29" i="32"/>
  <c r="K29" i="32" s="1"/>
  <c r="I29" i="32"/>
  <c r="M29" i="32" s="1"/>
  <c r="A29" i="32" s="1"/>
  <c r="B29" i="32"/>
  <c r="J28" i="32"/>
  <c r="K28" i="32" s="1"/>
  <c r="I28" i="32"/>
  <c r="M28" i="32" s="1"/>
  <c r="A28" i="32" s="1"/>
  <c r="B28" i="32"/>
  <c r="K27" i="32"/>
  <c r="J27" i="32"/>
  <c r="I27" i="32"/>
  <c r="M27" i="32" s="1"/>
  <c r="A27" i="32" s="1"/>
  <c r="B27" i="32"/>
  <c r="M26" i="32"/>
  <c r="A26" i="32" s="1"/>
  <c r="J26" i="32"/>
  <c r="K26" i="32" s="1"/>
  <c r="I26" i="32"/>
  <c r="B26" i="32"/>
  <c r="M25" i="32"/>
  <c r="J25" i="32"/>
  <c r="K25" i="32" s="1"/>
  <c r="I25" i="32"/>
  <c r="B25" i="32"/>
  <c r="A25" i="32"/>
  <c r="J24" i="32"/>
  <c r="K24" i="32" s="1"/>
  <c r="I24" i="32"/>
  <c r="M24" i="32" s="1"/>
  <c r="A24" i="32" s="1"/>
  <c r="B24" i="32"/>
  <c r="M23" i="32"/>
  <c r="K23" i="32"/>
  <c r="J23" i="32"/>
  <c r="I23" i="32"/>
  <c r="B23" i="32"/>
  <c r="A23" i="32"/>
  <c r="M22" i="32"/>
  <c r="A22" i="32" s="1"/>
  <c r="J22" i="32"/>
  <c r="K22" i="32" s="1"/>
  <c r="I22" i="32"/>
  <c r="B22" i="32"/>
  <c r="M21" i="32"/>
  <c r="J21" i="32"/>
  <c r="K21" i="32" s="1"/>
  <c r="I21" i="32"/>
  <c r="B21" i="32"/>
  <c r="A21" i="32"/>
  <c r="J20" i="32"/>
  <c r="K20" i="32" s="1"/>
  <c r="I20" i="32"/>
  <c r="M20" i="32" s="1"/>
  <c r="A20" i="32" s="1"/>
  <c r="B20" i="32"/>
  <c r="M19" i="32"/>
  <c r="K19" i="32"/>
  <c r="J19" i="32"/>
  <c r="I19" i="32"/>
  <c r="B19" i="32"/>
  <c r="A19" i="32"/>
  <c r="M18" i="32"/>
  <c r="A18" i="32" s="1"/>
  <c r="J18" i="32"/>
  <c r="K18" i="32" s="1"/>
  <c r="I18" i="32"/>
  <c r="B18" i="32"/>
  <c r="M17" i="32"/>
  <c r="J17" i="32"/>
  <c r="K17" i="32" s="1"/>
  <c r="I17" i="32"/>
  <c r="B17" i="32"/>
  <c r="A17" i="32"/>
  <c r="J16" i="32"/>
  <c r="K16" i="32" s="1"/>
  <c r="I16" i="32"/>
  <c r="M16" i="32" s="1"/>
  <c r="A16" i="32" s="1"/>
  <c r="B16" i="32"/>
  <c r="M15" i="32"/>
  <c r="K15" i="32"/>
  <c r="J15" i="32"/>
  <c r="I15" i="32"/>
  <c r="B15" i="32"/>
  <c r="A15" i="32"/>
  <c r="AI14" i="32"/>
  <c r="M14" i="32"/>
  <c r="K14" i="32"/>
  <c r="J14" i="32"/>
  <c r="I14" i="32"/>
  <c r="B14" i="32"/>
  <c r="A14" i="32"/>
  <c r="AI13" i="32"/>
  <c r="J13" i="32"/>
  <c r="K13" i="32" s="1"/>
  <c r="I13" i="32"/>
  <c r="M13" i="32" s="1"/>
  <c r="A13" i="32" s="1"/>
  <c r="B13" i="32"/>
  <c r="AI12" i="32"/>
  <c r="AI16" i="32" s="1"/>
  <c r="M12" i="32"/>
  <c r="A12" i="32" s="1"/>
  <c r="J12" i="32"/>
  <c r="K12" i="32" s="1"/>
  <c r="I12" i="32"/>
  <c r="B12" i="32"/>
  <c r="M11" i="32"/>
  <c r="J11" i="32"/>
  <c r="K11" i="32" s="1"/>
  <c r="I11" i="32"/>
  <c r="B11" i="32"/>
  <c r="A11" i="32"/>
  <c r="J10" i="32"/>
  <c r="K10" i="32" s="1"/>
  <c r="I10" i="32"/>
  <c r="M10" i="32" s="1"/>
  <c r="A10" i="32" s="1"/>
  <c r="B10" i="32"/>
  <c r="L9" i="32"/>
  <c r="K9" i="32"/>
  <c r="J9" i="32"/>
  <c r="I9" i="32"/>
  <c r="M9" i="32" s="1"/>
  <c r="A9" i="32" s="1"/>
  <c r="B9" i="32"/>
  <c r="K8" i="32"/>
  <c r="J8" i="32"/>
  <c r="I8" i="32"/>
  <c r="M8" i="32" s="1"/>
  <c r="A8" i="32" s="1"/>
  <c r="B8" i="32"/>
  <c r="M7" i="32"/>
  <c r="A7" i="32" s="1"/>
  <c r="J7" i="32"/>
  <c r="K7" i="32" s="1"/>
  <c r="I7" i="32"/>
  <c r="B7" i="32"/>
  <c r="M6" i="32"/>
  <c r="A6" i="32" s="1"/>
  <c r="L6" i="32"/>
  <c r="J6" i="32"/>
  <c r="K6" i="32" s="1"/>
  <c r="I6" i="32"/>
  <c r="B6" i="32"/>
  <c r="K2" i="32"/>
  <c r="L7" i="32" s="1"/>
  <c r="S29" i="20"/>
  <c r="T29" i="20" s="1"/>
  <c r="Q29" i="20"/>
  <c r="R29" i="20" s="1"/>
  <c r="O29" i="20"/>
  <c r="P29" i="20" s="1"/>
  <c r="S28" i="20"/>
  <c r="T28" i="20" s="1"/>
  <c r="Q28" i="20"/>
  <c r="R28" i="20" s="1"/>
  <c r="O28" i="20"/>
  <c r="P28" i="20" s="1"/>
  <c r="S27" i="20"/>
  <c r="T27" i="20" s="1"/>
  <c r="Q27" i="20"/>
  <c r="R27" i="20" s="1"/>
  <c r="O27" i="20"/>
  <c r="P27" i="20" s="1"/>
  <c r="S26" i="20"/>
  <c r="T26" i="20" s="1"/>
  <c r="Q26" i="20"/>
  <c r="R26" i="20" s="1"/>
  <c r="O26" i="20"/>
  <c r="P26" i="20" s="1"/>
  <c r="S25" i="20"/>
  <c r="T25" i="20" s="1"/>
  <c r="Q25" i="20"/>
  <c r="R25" i="20" s="1"/>
  <c r="O25" i="20"/>
  <c r="P25" i="20" s="1"/>
  <c r="S24" i="20"/>
  <c r="T24" i="20" s="1"/>
  <c r="Q24" i="20"/>
  <c r="R24" i="20" s="1"/>
  <c r="O24" i="20"/>
  <c r="P24" i="20" s="1"/>
  <c r="S23" i="20"/>
  <c r="T23" i="20" s="1"/>
  <c r="Q23" i="20"/>
  <c r="R23" i="20" s="1"/>
  <c r="O23" i="20"/>
  <c r="P23" i="20" s="1"/>
  <c r="S22" i="20"/>
  <c r="T22" i="20" s="1"/>
  <c r="Q22" i="20"/>
  <c r="R22" i="20" s="1"/>
  <c r="O22" i="20"/>
  <c r="P22" i="20" s="1"/>
  <c r="S21" i="20"/>
  <c r="T21" i="20" s="1"/>
  <c r="Q21" i="20"/>
  <c r="R21" i="20" s="1"/>
  <c r="O21" i="20"/>
  <c r="P21" i="20" s="1"/>
  <c r="S20" i="20"/>
  <c r="T20" i="20" s="1"/>
  <c r="Q20" i="20"/>
  <c r="R20" i="20" s="1"/>
  <c r="O20" i="20"/>
  <c r="P20" i="20" s="1"/>
  <c r="S19" i="20"/>
  <c r="T19" i="20" s="1"/>
  <c r="Q19" i="20"/>
  <c r="R19" i="20" s="1"/>
  <c r="O19" i="20"/>
  <c r="P19" i="20" s="1"/>
  <c r="S18" i="20"/>
  <c r="T18" i="20" s="1"/>
  <c r="Q18" i="20"/>
  <c r="R18" i="20" s="1"/>
  <c r="O18" i="20"/>
  <c r="P18" i="20" s="1"/>
  <c r="S17" i="20"/>
  <c r="T17" i="20" s="1"/>
  <c r="Q17" i="20"/>
  <c r="R17" i="20" s="1"/>
  <c r="O17" i="20"/>
  <c r="P17" i="20" s="1"/>
  <c r="S16" i="20"/>
  <c r="T16" i="20" s="1"/>
  <c r="Q16" i="20"/>
  <c r="R16" i="20" s="1"/>
  <c r="O16" i="20"/>
  <c r="P16" i="20" s="1"/>
  <c r="S15" i="20"/>
  <c r="T15" i="20" s="1"/>
  <c r="Q15" i="20"/>
  <c r="R15" i="20" s="1"/>
  <c r="O15" i="20"/>
  <c r="P15" i="20" s="1"/>
  <c r="S14" i="20"/>
  <c r="T14" i="20" s="1"/>
  <c r="Q14" i="20"/>
  <c r="R14" i="20" s="1"/>
  <c r="O14" i="20"/>
  <c r="P14" i="20" s="1"/>
  <c r="S13" i="20"/>
  <c r="T13" i="20" s="1"/>
  <c r="Q13" i="20"/>
  <c r="R13" i="20" s="1"/>
  <c r="O13" i="20"/>
  <c r="P13" i="20" s="1"/>
  <c r="S12" i="20"/>
  <c r="T12" i="20" s="1"/>
  <c r="Q12" i="20"/>
  <c r="R12" i="20" s="1"/>
  <c r="O12" i="20"/>
  <c r="P12" i="20" s="1"/>
  <c r="S11" i="20"/>
  <c r="T11" i="20" s="1"/>
  <c r="Q11" i="20"/>
  <c r="R11" i="20" s="1"/>
  <c r="O11" i="20"/>
  <c r="P11" i="20" s="1"/>
  <c r="S10" i="20"/>
  <c r="T10" i="20" s="1"/>
  <c r="Q10" i="20"/>
  <c r="R10" i="20" s="1"/>
  <c r="O10" i="20"/>
  <c r="P10" i="20" s="1"/>
  <c r="S9" i="20"/>
  <c r="T9" i="20" s="1"/>
  <c r="Q9" i="20"/>
  <c r="R9" i="20" s="1"/>
  <c r="O9" i="20"/>
  <c r="P9" i="20" s="1"/>
  <c r="S8" i="20"/>
  <c r="T8" i="20" s="1"/>
  <c r="Q8" i="20"/>
  <c r="R8" i="20" s="1"/>
  <c r="O8" i="20"/>
  <c r="P8" i="20" s="1"/>
  <c r="S6" i="20"/>
  <c r="T6" i="20" s="1"/>
  <c r="Q6" i="20"/>
  <c r="R6" i="20" s="1"/>
  <c r="O6" i="20"/>
  <c r="P6" i="20" s="1"/>
  <c r="S7" i="20"/>
  <c r="T7" i="20" s="1"/>
  <c r="Q7" i="20"/>
  <c r="R7" i="20" s="1"/>
  <c r="O7" i="20"/>
  <c r="P7" i="20" s="1"/>
  <c r="A6" i="16"/>
  <c r="S23" i="13"/>
  <c r="T23" i="13" s="1"/>
  <c r="S22" i="13"/>
  <c r="T22" i="13" s="1"/>
  <c r="S21" i="13"/>
  <c r="T21" i="13" s="1"/>
  <c r="S20" i="13"/>
  <c r="T20" i="13" s="1"/>
  <c r="S19" i="13"/>
  <c r="T19" i="13" s="1"/>
  <c r="S18" i="13"/>
  <c r="T18" i="13" s="1"/>
  <c r="S17" i="13"/>
  <c r="T17" i="13" s="1"/>
  <c r="S16" i="13"/>
  <c r="T16" i="13" s="1"/>
  <c r="S15" i="13"/>
  <c r="T15" i="13" s="1"/>
  <c r="T14" i="13"/>
  <c r="S14" i="13"/>
  <c r="S13" i="13"/>
  <c r="T13" i="13" s="1"/>
  <c r="S12" i="13"/>
  <c r="T12" i="13" s="1"/>
  <c r="S11" i="13"/>
  <c r="T11" i="13" s="1"/>
  <c r="T10" i="13"/>
  <c r="S10" i="13"/>
  <c r="S9" i="13"/>
  <c r="T9" i="13" s="1"/>
  <c r="S8" i="13"/>
  <c r="T8" i="13" s="1"/>
  <c r="S6" i="13"/>
  <c r="T6" i="13" s="1"/>
  <c r="S7" i="13"/>
  <c r="T7" i="13" s="1"/>
  <c r="Q23" i="13"/>
  <c r="R23" i="13" s="1"/>
  <c r="Q22" i="13"/>
  <c r="R22" i="13" s="1"/>
  <c r="Q21" i="13"/>
  <c r="R21" i="13" s="1"/>
  <c r="Q20" i="13"/>
  <c r="R20" i="13" s="1"/>
  <c r="Q19" i="13"/>
  <c r="R19" i="13" s="1"/>
  <c r="Q18" i="13"/>
  <c r="R18" i="13" s="1"/>
  <c r="Q17" i="13"/>
  <c r="R17" i="13" s="1"/>
  <c r="Q16" i="13"/>
  <c r="R16" i="13" s="1"/>
  <c r="Q15" i="13"/>
  <c r="R15" i="13" s="1"/>
  <c r="Q14" i="13"/>
  <c r="R14" i="13" s="1"/>
  <c r="Q13" i="13"/>
  <c r="R13" i="13" s="1"/>
  <c r="Q12" i="13"/>
  <c r="R12" i="13" s="1"/>
  <c r="Q11" i="13"/>
  <c r="R11" i="13" s="1"/>
  <c r="Q10" i="13"/>
  <c r="R10" i="13" s="1"/>
  <c r="Q9" i="13"/>
  <c r="R9" i="13" s="1"/>
  <c r="Q8" i="13"/>
  <c r="R8" i="13" s="1"/>
  <c r="Q6" i="13"/>
  <c r="R6" i="13" s="1"/>
  <c r="Q7" i="13"/>
  <c r="R7" i="13" s="1"/>
  <c r="O23" i="13"/>
  <c r="P23" i="13" s="1"/>
  <c r="P22" i="13"/>
  <c r="O22" i="13"/>
  <c r="O21" i="13"/>
  <c r="P21" i="13" s="1"/>
  <c r="O20" i="13"/>
  <c r="P20" i="13" s="1"/>
  <c r="O19" i="13"/>
  <c r="P19" i="13" s="1"/>
  <c r="P18" i="13"/>
  <c r="O18" i="13"/>
  <c r="O17" i="13"/>
  <c r="P17" i="13" s="1"/>
  <c r="O16" i="13"/>
  <c r="P16" i="13" s="1"/>
  <c r="O15" i="13"/>
  <c r="P15" i="13" s="1"/>
  <c r="O14" i="13"/>
  <c r="P14" i="13" s="1"/>
  <c r="O13" i="13"/>
  <c r="P13" i="13" s="1"/>
  <c r="O12" i="13"/>
  <c r="P12" i="13" s="1"/>
  <c r="O11" i="13"/>
  <c r="P11" i="13" s="1"/>
  <c r="P10" i="13"/>
  <c r="O10" i="13"/>
  <c r="O9" i="13"/>
  <c r="P9" i="13" s="1"/>
  <c r="P8" i="13"/>
  <c r="O8" i="13"/>
  <c r="O6" i="13"/>
  <c r="P6" i="13" s="1"/>
  <c r="P7" i="13"/>
  <c r="O7" i="13"/>
  <c r="J305" i="31"/>
  <c r="K305" i="31" s="1"/>
  <c r="I305" i="31"/>
  <c r="M305" i="31" s="1"/>
  <c r="K304" i="31"/>
  <c r="J304" i="31"/>
  <c r="I304" i="31"/>
  <c r="M304" i="31" s="1"/>
  <c r="J303" i="31"/>
  <c r="K303" i="31" s="1"/>
  <c r="I303" i="31"/>
  <c r="M303" i="31" s="1"/>
  <c r="K302" i="31"/>
  <c r="J302" i="31"/>
  <c r="I302" i="31"/>
  <c r="M302" i="31" s="1"/>
  <c r="J301" i="31"/>
  <c r="K301" i="31" s="1"/>
  <c r="I301" i="31"/>
  <c r="M301" i="31" s="1"/>
  <c r="M300" i="31"/>
  <c r="K300" i="31"/>
  <c r="J300" i="31"/>
  <c r="I300" i="31"/>
  <c r="J299" i="31"/>
  <c r="K299" i="31" s="1"/>
  <c r="I299" i="31"/>
  <c r="M299" i="31" s="1"/>
  <c r="J298" i="31"/>
  <c r="K298" i="31" s="1"/>
  <c r="I298" i="31"/>
  <c r="M298" i="31" s="1"/>
  <c r="J297" i="31"/>
  <c r="K297" i="31" s="1"/>
  <c r="I297" i="31"/>
  <c r="M297" i="31" s="1"/>
  <c r="K296" i="31"/>
  <c r="J296" i="31"/>
  <c r="I296" i="31"/>
  <c r="M296" i="31" s="1"/>
  <c r="J295" i="31"/>
  <c r="K295" i="31" s="1"/>
  <c r="I295" i="31"/>
  <c r="M295" i="31" s="1"/>
  <c r="K294" i="31"/>
  <c r="J294" i="31"/>
  <c r="I294" i="31"/>
  <c r="M294" i="31" s="1"/>
  <c r="J293" i="31"/>
  <c r="K293" i="31" s="1"/>
  <c r="I293" i="31"/>
  <c r="M293" i="31" s="1"/>
  <c r="M292" i="31"/>
  <c r="K292" i="31"/>
  <c r="J292" i="31"/>
  <c r="I292" i="31"/>
  <c r="J291" i="31"/>
  <c r="K291" i="31" s="1"/>
  <c r="I291" i="31"/>
  <c r="M291" i="31" s="1"/>
  <c r="J290" i="31"/>
  <c r="K290" i="31" s="1"/>
  <c r="I290" i="31"/>
  <c r="M290" i="31" s="1"/>
  <c r="J289" i="31"/>
  <c r="K289" i="31" s="1"/>
  <c r="I289" i="31"/>
  <c r="M289" i="31" s="1"/>
  <c r="K288" i="31"/>
  <c r="J288" i="31"/>
  <c r="I288" i="31"/>
  <c r="M288" i="31" s="1"/>
  <c r="J287" i="31"/>
  <c r="K287" i="31" s="1"/>
  <c r="I287" i="31"/>
  <c r="M287" i="31" s="1"/>
  <c r="K286" i="31"/>
  <c r="J286" i="31"/>
  <c r="I286" i="31"/>
  <c r="M286" i="31" s="1"/>
  <c r="J285" i="31"/>
  <c r="K285" i="31" s="1"/>
  <c r="I285" i="31"/>
  <c r="M285" i="31" s="1"/>
  <c r="M284" i="31"/>
  <c r="K284" i="31"/>
  <c r="J284" i="31"/>
  <c r="I284" i="31"/>
  <c r="J283" i="31"/>
  <c r="K283" i="31" s="1"/>
  <c r="I283" i="31"/>
  <c r="M283" i="31" s="1"/>
  <c r="J282" i="31"/>
  <c r="K282" i="31" s="1"/>
  <c r="I282" i="31"/>
  <c r="M282" i="31" s="1"/>
  <c r="J281" i="31"/>
  <c r="K281" i="31" s="1"/>
  <c r="I281" i="31"/>
  <c r="M281" i="31" s="1"/>
  <c r="K280" i="31"/>
  <c r="J280" i="31"/>
  <c r="I280" i="31"/>
  <c r="M280" i="31" s="1"/>
  <c r="J279" i="31"/>
  <c r="K279" i="31" s="1"/>
  <c r="I279" i="31"/>
  <c r="M279" i="31" s="1"/>
  <c r="K278" i="31"/>
  <c r="J278" i="31"/>
  <c r="I278" i="31"/>
  <c r="M278" i="31" s="1"/>
  <c r="J277" i="31"/>
  <c r="K277" i="31" s="1"/>
  <c r="I277" i="31"/>
  <c r="M277" i="31" s="1"/>
  <c r="M276" i="31"/>
  <c r="K276" i="31"/>
  <c r="J276" i="31"/>
  <c r="I276" i="31"/>
  <c r="J275" i="31"/>
  <c r="K275" i="31" s="1"/>
  <c r="I275" i="31"/>
  <c r="M275" i="31" s="1"/>
  <c r="J274" i="31"/>
  <c r="K274" i="31" s="1"/>
  <c r="I274" i="31"/>
  <c r="M274" i="31" s="1"/>
  <c r="J273" i="31"/>
  <c r="K273" i="31" s="1"/>
  <c r="I273" i="31"/>
  <c r="M273" i="31" s="1"/>
  <c r="K272" i="31"/>
  <c r="J272" i="31"/>
  <c r="I272" i="31"/>
  <c r="M272" i="31" s="1"/>
  <c r="J271" i="31"/>
  <c r="K271" i="31" s="1"/>
  <c r="I271" i="31"/>
  <c r="M271" i="31" s="1"/>
  <c r="J270" i="31"/>
  <c r="K270" i="31" s="1"/>
  <c r="I270" i="31"/>
  <c r="M270" i="31" s="1"/>
  <c r="J269" i="31"/>
  <c r="K269" i="31" s="1"/>
  <c r="I269" i="31"/>
  <c r="M269" i="31" s="1"/>
  <c r="M268" i="31"/>
  <c r="K268" i="31"/>
  <c r="J268" i="31"/>
  <c r="I268" i="31"/>
  <c r="J267" i="31"/>
  <c r="K267" i="31" s="1"/>
  <c r="I267" i="31"/>
  <c r="M267" i="31" s="1"/>
  <c r="J266" i="31"/>
  <c r="K266" i="31" s="1"/>
  <c r="I266" i="31"/>
  <c r="M266" i="31" s="1"/>
  <c r="J265" i="31"/>
  <c r="K265" i="31" s="1"/>
  <c r="I265" i="31"/>
  <c r="M265" i="31" s="1"/>
  <c r="K264" i="31"/>
  <c r="J264" i="31"/>
  <c r="I264" i="31"/>
  <c r="M264" i="31" s="1"/>
  <c r="J263" i="31"/>
  <c r="K263" i="31" s="1"/>
  <c r="I263" i="31"/>
  <c r="M263" i="31" s="1"/>
  <c r="J262" i="31"/>
  <c r="K262" i="31" s="1"/>
  <c r="I262" i="31"/>
  <c r="M262" i="31" s="1"/>
  <c r="J261" i="31"/>
  <c r="K261" i="31" s="1"/>
  <c r="I261" i="31"/>
  <c r="M261" i="31" s="1"/>
  <c r="M260" i="31"/>
  <c r="K260" i="31"/>
  <c r="J260" i="31"/>
  <c r="I260" i="31"/>
  <c r="J259" i="31"/>
  <c r="K259" i="31" s="1"/>
  <c r="I259" i="31"/>
  <c r="M259" i="31" s="1"/>
  <c r="J258" i="31"/>
  <c r="K258" i="31" s="1"/>
  <c r="I258" i="31"/>
  <c r="M258" i="31" s="1"/>
  <c r="J257" i="31"/>
  <c r="K257" i="31" s="1"/>
  <c r="I257" i="31"/>
  <c r="M257" i="31" s="1"/>
  <c r="K256" i="31"/>
  <c r="J256" i="31"/>
  <c r="I256" i="31"/>
  <c r="M256" i="31" s="1"/>
  <c r="J255" i="31"/>
  <c r="K255" i="31" s="1"/>
  <c r="I255" i="31"/>
  <c r="M255" i="31" s="1"/>
  <c r="J254" i="31"/>
  <c r="K254" i="31" s="1"/>
  <c r="I254" i="31"/>
  <c r="M254" i="31" s="1"/>
  <c r="J253" i="31"/>
  <c r="K253" i="31" s="1"/>
  <c r="I253" i="31"/>
  <c r="M253" i="31" s="1"/>
  <c r="M252" i="31"/>
  <c r="K252" i="31"/>
  <c r="J252" i="31"/>
  <c r="I252" i="31"/>
  <c r="J251" i="31"/>
  <c r="K251" i="31" s="1"/>
  <c r="I251" i="31"/>
  <c r="M251" i="31" s="1"/>
  <c r="J250" i="31"/>
  <c r="K250" i="31" s="1"/>
  <c r="I250" i="31"/>
  <c r="M250" i="31" s="1"/>
  <c r="J249" i="31"/>
  <c r="K249" i="31" s="1"/>
  <c r="I249" i="31"/>
  <c r="M249" i="31" s="1"/>
  <c r="K248" i="31"/>
  <c r="J248" i="31"/>
  <c r="I248" i="31"/>
  <c r="M248" i="31" s="1"/>
  <c r="J247" i="31"/>
  <c r="K247" i="31" s="1"/>
  <c r="I247" i="31"/>
  <c r="M247" i="31" s="1"/>
  <c r="J246" i="31"/>
  <c r="K246" i="31" s="1"/>
  <c r="I246" i="31"/>
  <c r="M246" i="31" s="1"/>
  <c r="J245" i="31"/>
  <c r="K245" i="31" s="1"/>
  <c r="I245" i="31"/>
  <c r="M245" i="31" s="1"/>
  <c r="M244" i="31"/>
  <c r="K244" i="31"/>
  <c r="J244" i="31"/>
  <c r="I244" i="31"/>
  <c r="J243" i="31"/>
  <c r="K243" i="31" s="1"/>
  <c r="I243" i="31"/>
  <c r="M243" i="31" s="1"/>
  <c r="J242" i="31"/>
  <c r="K242" i="31" s="1"/>
  <c r="I242" i="31"/>
  <c r="M242" i="31" s="1"/>
  <c r="J241" i="31"/>
  <c r="K241" i="31" s="1"/>
  <c r="I241" i="31"/>
  <c r="M241" i="31" s="1"/>
  <c r="K240" i="31"/>
  <c r="J240" i="31"/>
  <c r="I240" i="31"/>
  <c r="M240" i="31" s="1"/>
  <c r="J239" i="31"/>
  <c r="K239" i="31" s="1"/>
  <c r="I239" i="31"/>
  <c r="M239" i="31" s="1"/>
  <c r="J238" i="31"/>
  <c r="K238" i="31" s="1"/>
  <c r="I238" i="31"/>
  <c r="M238" i="31" s="1"/>
  <c r="J237" i="31"/>
  <c r="K237" i="31" s="1"/>
  <c r="I237" i="31"/>
  <c r="M237" i="31" s="1"/>
  <c r="M236" i="31"/>
  <c r="K236" i="31"/>
  <c r="J236" i="31"/>
  <c r="I236" i="31"/>
  <c r="J235" i="31"/>
  <c r="K235" i="31" s="1"/>
  <c r="I235" i="31"/>
  <c r="M235" i="31" s="1"/>
  <c r="J234" i="31"/>
  <c r="K234" i="31" s="1"/>
  <c r="I234" i="31"/>
  <c r="M234" i="31" s="1"/>
  <c r="J233" i="31"/>
  <c r="K233" i="31" s="1"/>
  <c r="I233" i="31"/>
  <c r="M233" i="31" s="1"/>
  <c r="K232" i="31"/>
  <c r="J232" i="31"/>
  <c r="I232" i="31"/>
  <c r="M232" i="31" s="1"/>
  <c r="J231" i="31"/>
  <c r="K231" i="31" s="1"/>
  <c r="I231" i="31"/>
  <c r="M231" i="31" s="1"/>
  <c r="J230" i="31"/>
  <c r="K230" i="31" s="1"/>
  <c r="I230" i="31"/>
  <c r="M230" i="31" s="1"/>
  <c r="J229" i="31"/>
  <c r="K229" i="31" s="1"/>
  <c r="I229" i="31"/>
  <c r="M229" i="31" s="1"/>
  <c r="M228" i="31"/>
  <c r="K228" i="31"/>
  <c r="J228" i="31"/>
  <c r="I228" i="31"/>
  <c r="J227" i="31"/>
  <c r="K227" i="31" s="1"/>
  <c r="I227" i="31"/>
  <c r="M227" i="31" s="1"/>
  <c r="J226" i="31"/>
  <c r="K226" i="31" s="1"/>
  <c r="I226" i="31"/>
  <c r="M226" i="31" s="1"/>
  <c r="J225" i="31"/>
  <c r="K225" i="31" s="1"/>
  <c r="I225" i="31"/>
  <c r="M225" i="31" s="1"/>
  <c r="K224" i="31"/>
  <c r="J224" i="31"/>
  <c r="I224" i="31"/>
  <c r="M224" i="31" s="1"/>
  <c r="J223" i="31"/>
  <c r="K223" i="31" s="1"/>
  <c r="I223" i="31"/>
  <c r="M223" i="31" s="1"/>
  <c r="J222" i="31"/>
  <c r="K222" i="31" s="1"/>
  <c r="I222" i="31"/>
  <c r="M222" i="31" s="1"/>
  <c r="J221" i="31"/>
  <c r="K221" i="31" s="1"/>
  <c r="I221" i="31"/>
  <c r="M221" i="31" s="1"/>
  <c r="M220" i="31"/>
  <c r="K220" i="31"/>
  <c r="J220" i="31"/>
  <c r="I220" i="31"/>
  <c r="J219" i="31"/>
  <c r="K219" i="31" s="1"/>
  <c r="I219" i="31"/>
  <c r="M219" i="31" s="1"/>
  <c r="J218" i="31"/>
  <c r="K218" i="31" s="1"/>
  <c r="I218" i="31"/>
  <c r="M218" i="31" s="1"/>
  <c r="J217" i="31"/>
  <c r="K217" i="31" s="1"/>
  <c r="I217" i="31"/>
  <c r="M217" i="31" s="1"/>
  <c r="K216" i="31"/>
  <c r="J216" i="31"/>
  <c r="I216" i="31"/>
  <c r="M216" i="31" s="1"/>
  <c r="J215" i="31"/>
  <c r="K215" i="31" s="1"/>
  <c r="I215" i="31"/>
  <c r="M215" i="31" s="1"/>
  <c r="J214" i="31"/>
  <c r="K214" i="31" s="1"/>
  <c r="I214" i="31"/>
  <c r="M214" i="31" s="1"/>
  <c r="J213" i="31"/>
  <c r="K213" i="31" s="1"/>
  <c r="I213" i="31"/>
  <c r="M213" i="31" s="1"/>
  <c r="M212" i="31"/>
  <c r="K212" i="31"/>
  <c r="J212" i="31"/>
  <c r="I212" i="31"/>
  <c r="J211" i="31"/>
  <c r="K211" i="31" s="1"/>
  <c r="I211" i="31"/>
  <c r="M211" i="31" s="1"/>
  <c r="J210" i="31"/>
  <c r="K210" i="31" s="1"/>
  <c r="I210" i="31"/>
  <c r="M210" i="31" s="1"/>
  <c r="J209" i="31"/>
  <c r="K209" i="31" s="1"/>
  <c r="I209" i="31"/>
  <c r="M209" i="31" s="1"/>
  <c r="K208" i="31"/>
  <c r="J208" i="31"/>
  <c r="I208" i="31"/>
  <c r="M208" i="31" s="1"/>
  <c r="J207" i="31"/>
  <c r="K207" i="31" s="1"/>
  <c r="I207" i="31"/>
  <c r="M207" i="31" s="1"/>
  <c r="J206" i="31"/>
  <c r="K206" i="31" s="1"/>
  <c r="I206" i="31"/>
  <c r="M206" i="31" s="1"/>
  <c r="J205" i="31"/>
  <c r="K205" i="31" s="1"/>
  <c r="I205" i="31"/>
  <c r="M205" i="31" s="1"/>
  <c r="M204" i="31"/>
  <c r="K204" i="31"/>
  <c r="J204" i="31"/>
  <c r="I204" i="31"/>
  <c r="J203" i="31"/>
  <c r="K203" i="31" s="1"/>
  <c r="I203" i="31"/>
  <c r="M203" i="31" s="1"/>
  <c r="J202" i="31"/>
  <c r="K202" i="31" s="1"/>
  <c r="I202" i="31"/>
  <c r="M202" i="31" s="1"/>
  <c r="J201" i="31"/>
  <c r="K201" i="31" s="1"/>
  <c r="I201" i="31"/>
  <c r="M201" i="31" s="1"/>
  <c r="K200" i="31"/>
  <c r="J200" i="31"/>
  <c r="I200" i="31"/>
  <c r="M200" i="31" s="1"/>
  <c r="J199" i="31"/>
  <c r="K199" i="31" s="1"/>
  <c r="I199" i="31"/>
  <c r="M199" i="31" s="1"/>
  <c r="J198" i="31"/>
  <c r="K198" i="31" s="1"/>
  <c r="I198" i="31"/>
  <c r="M198" i="31" s="1"/>
  <c r="J197" i="31"/>
  <c r="K197" i="31" s="1"/>
  <c r="I197" i="31"/>
  <c r="M197" i="31" s="1"/>
  <c r="M196" i="31"/>
  <c r="K196" i="31"/>
  <c r="J196" i="31"/>
  <c r="I196" i="31"/>
  <c r="J195" i="31"/>
  <c r="K195" i="31" s="1"/>
  <c r="I195" i="31"/>
  <c r="M195" i="31" s="1"/>
  <c r="J194" i="31"/>
  <c r="K194" i="31" s="1"/>
  <c r="I194" i="31"/>
  <c r="M194" i="31" s="1"/>
  <c r="J193" i="31"/>
  <c r="K193" i="31" s="1"/>
  <c r="I193" i="31"/>
  <c r="M193" i="31" s="1"/>
  <c r="K192" i="31"/>
  <c r="J192" i="31"/>
  <c r="I192" i="31"/>
  <c r="M192" i="31" s="1"/>
  <c r="J191" i="31"/>
  <c r="K191" i="31" s="1"/>
  <c r="I191" i="31"/>
  <c r="M191" i="31" s="1"/>
  <c r="J190" i="31"/>
  <c r="K190" i="31" s="1"/>
  <c r="I190" i="31"/>
  <c r="M190" i="31" s="1"/>
  <c r="J189" i="31"/>
  <c r="K189" i="31" s="1"/>
  <c r="I189" i="31"/>
  <c r="M189" i="31" s="1"/>
  <c r="M188" i="31"/>
  <c r="K188" i="31"/>
  <c r="J188" i="31"/>
  <c r="I188" i="31"/>
  <c r="J187" i="31"/>
  <c r="K187" i="31" s="1"/>
  <c r="I187" i="31"/>
  <c r="M187" i="31" s="1"/>
  <c r="J186" i="31"/>
  <c r="K186" i="31" s="1"/>
  <c r="I186" i="31"/>
  <c r="M186" i="31" s="1"/>
  <c r="J185" i="31"/>
  <c r="K185" i="31" s="1"/>
  <c r="I185" i="31"/>
  <c r="M185" i="31" s="1"/>
  <c r="K184" i="31"/>
  <c r="J184" i="31"/>
  <c r="I184" i="31"/>
  <c r="M184" i="31" s="1"/>
  <c r="J183" i="31"/>
  <c r="K183" i="31" s="1"/>
  <c r="I183" i="31"/>
  <c r="M183" i="31" s="1"/>
  <c r="J182" i="31"/>
  <c r="K182" i="31" s="1"/>
  <c r="I182" i="31"/>
  <c r="M182" i="31" s="1"/>
  <c r="J181" i="31"/>
  <c r="K181" i="31" s="1"/>
  <c r="I181" i="31"/>
  <c r="M181" i="31" s="1"/>
  <c r="M180" i="31"/>
  <c r="K180" i="31"/>
  <c r="J180" i="31"/>
  <c r="I180" i="31"/>
  <c r="J179" i="31"/>
  <c r="K179" i="31" s="1"/>
  <c r="I179" i="31"/>
  <c r="M179" i="31" s="1"/>
  <c r="J178" i="31"/>
  <c r="K178" i="31" s="1"/>
  <c r="I178" i="31"/>
  <c r="M178" i="31" s="1"/>
  <c r="J177" i="31"/>
  <c r="K177" i="31" s="1"/>
  <c r="I177" i="31"/>
  <c r="M177" i="31" s="1"/>
  <c r="K176" i="31"/>
  <c r="J176" i="31"/>
  <c r="I176" i="31"/>
  <c r="M176" i="31" s="1"/>
  <c r="J175" i="31"/>
  <c r="K175" i="31" s="1"/>
  <c r="I175" i="31"/>
  <c r="M175" i="31" s="1"/>
  <c r="J174" i="31"/>
  <c r="K174" i="31" s="1"/>
  <c r="I174" i="31"/>
  <c r="M174" i="31" s="1"/>
  <c r="J173" i="31"/>
  <c r="K173" i="31" s="1"/>
  <c r="I173" i="31"/>
  <c r="M173" i="31" s="1"/>
  <c r="M172" i="31"/>
  <c r="K172" i="31"/>
  <c r="J172" i="31"/>
  <c r="I172" i="31"/>
  <c r="J171" i="31"/>
  <c r="K171" i="31" s="1"/>
  <c r="I171" i="31"/>
  <c r="M171" i="31" s="1"/>
  <c r="J170" i="31"/>
  <c r="K170" i="31" s="1"/>
  <c r="I170" i="31"/>
  <c r="M170" i="31" s="1"/>
  <c r="J169" i="31"/>
  <c r="K169" i="31" s="1"/>
  <c r="I169" i="31"/>
  <c r="M169" i="31" s="1"/>
  <c r="K168" i="31"/>
  <c r="J168" i="31"/>
  <c r="I168" i="31"/>
  <c r="M168" i="31" s="1"/>
  <c r="J167" i="31"/>
  <c r="K167" i="31" s="1"/>
  <c r="I167" i="31"/>
  <c r="M167" i="31" s="1"/>
  <c r="J166" i="31"/>
  <c r="K166" i="31" s="1"/>
  <c r="I166" i="31"/>
  <c r="M166" i="31" s="1"/>
  <c r="J165" i="31"/>
  <c r="K165" i="31" s="1"/>
  <c r="I165" i="31"/>
  <c r="M165" i="31" s="1"/>
  <c r="M164" i="31"/>
  <c r="K164" i="31"/>
  <c r="J164" i="31"/>
  <c r="I164" i="31"/>
  <c r="J163" i="31"/>
  <c r="K163" i="31" s="1"/>
  <c r="I163" i="31"/>
  <c r="M163" i="31" s="1"/>
  <c r="J162" i="31"/>
  <c r="K162" i="31" s="1"/>
  <c r="I162" i="31"/>
  <c r="M162" i="31" s="1"/>
  <c r="J161" i="31"/>
  <c r="K161" i="31" s="1"/>
  <c r="I161" i="31"/>
  <c r="M161" i="31" s="1"/>
  <c r="K160" i="31"/>
  <c r="J160" i="31"/>
  <c r="I160" i="31"/>
  <c r="M160" i="31" s="1"/>
  <c r="J159" i="31"/>
  <c r="K159" i="31" s="1"/>
  <c r="I159" i="31"/>
  <c r="M159" i="31" s="1"/>
  <c r="J158" i="31"/>
  <c r="K158" i="31" s="1"/>
  <c r="I158" i="31"/>
  <c r="M158" i="31" s="1"/>
  <c r="J157" i="31"/>
  <c r="K157" i="31" s="1"/>
  <c r="I157" i="31"/>
  <c r="M157" i="31" s="1"/>
  <c r="M156" i="31"/>
  <c r="K156" i="31"/>
  <c r="J156" i="31"/>
  <c r="I156" i="31"/>
  <c r="J155" i="31"/>
  <c r="K155" i="31" s="1"/>
  <c r="I155" i="31"/>
  <c r="M155" i="31" s="1"/>
  <c r="J154" i="31"/>
  <c r="K154" i="31" s="1"/>
  <c r="I154" i="31"/>
  <c r="M154" i="31" s="1"/>
  <c r="J153" i="31"/>
  <c r="K153" i="31" s="1"/>
  <c r="I153" i="31"/>
  <c r="M153" i="31" s="1"/>
  <c r="K152" i="31"/>
  <c r="J152" i="31"/>
  <c r="I152" i="31"/>
  <c r="M152" i="31" s="1"/>
  <c r="J151" i="31"/>
  <c r="K151" i="31" s="1"/>
  <c r="I151" i="31"/>
  <c r="M151" i="31" s="1"/>
  <c r="J150" i="31"/>
  <c r="K150" i="31" s="1"/>
  <c r="I150" i="31"/>
  <c r="M150" i="31" s="1"/>
  <c r="J149" i="31"/>
  <c r="K149" i="31" s="1"/>
  <c r="I149" i="31"/>
  <c r="M149" i="31" s="1"/>
  <c r="M148" i="31"/>
  <c r="K148" i="31"/>
  <c r="J148" i="31"/>
  <c r="I148" i="31"/>
  <c r="J147" i="31"/>
  <c r="K147" i="31" s="1"/>
  <c r="I147" i="31"/>
  <c r="M147" i="31" s="1"/>
  <c r="J146" i="31"/>
  <c r="K146" i="31" s="1"/>
  <c r="I146" i="31"/>
  <c r="M146" i="31" s="1"/>
  <c r="J145" i="31"/>
  <c r="K145" i="31" s="1"/>
  <c r="I145" i="31"/>
  <c r="M145" i="31" s="1"/>
  <c r="K144" i="31"/>
  <c r="J144" i="31"/>
  <c r="I144" i="31"/>
  <c r="M144" i="31" s="1"/>
  <c r="J143" i="31"/>
  <c r="K143" i="31" s="1"/>
  <c r="I143" i="31"/>
  <c r="M143" i="31" s="1"/>
  <c r="J142" i="31"/>
  <c r="K142" i="31" s="1"/>
  <c r="I142" i="31"/>
  <c r="M142" i="31" s="1"/>
  <c r="J141" i="31"/>
  <c r="K141" i="31" s="1"/>
  <c r="I141" i="31"/>
  <c r="M141" i="31" s="1"/>
  <c r="M140" i="31"/>
  <c r="K140" i="31"/>
  <c r="J140" i="31"/>
  <c r="I140" i="31"/>
  <c r="J139" i="31"/>
  <c r="K139" i="31" s="1"/>
  <c r="I139" i="31"/>
  <c r="M139" i="31" s="1"/>
  <c r="J138" i="31"/>
  <c r="K138" i="31" s="1"/>
  <c r="I138" i="31"/>
  <c r="M138" i="31" s="1"/>
  <c r="J137" i="31"/>
  <c r="K137" i="31" s="1"/>
  <c r="I137" i="31"/>
  <c r="M137" i="31" s="1"/>
  <c r="K136" i="31"/>
  <c r="J136" i="31"/>
  <c r="I136" i="31"/>
  <c r="M136" i="31" s="1"/>
  <c r="M135" i="31"/>
  <c r="K135" i="31"/>
  <c r="J135" i="31"/>
  <c r="I135" i="31"/>
  <c r="K134" i="31"/>
  <c r="J134" i="31"/>
  <c r="I134" i="31"/>
  <c r="M134" i="31" s="1"/>
  <c r="M133" i="31"/>
  <c r="K133" i="31"/>
  <c r="J133" i="31"/>
  <c r="I133" i="31"/>
  <c r="K132" i="31"/>
  <c r="J132" i="31"/>
  <c r="I132" i="31"/>
  <c r="M132" i="31" s="1"/>
  <c r="M131" i="31"/>
  <c r="K131" i="31"/>
  <c r="J131" i="31"/>
  <c r="I131" i="31"/>
  <c r="K130" i="31"/>
  <c r="J130" i="31"/>
  <c r="I130" i="31"/>
  <c r="M130" i="31" s="1"/>
  <c r="M129" i="31"/>
  <c r="K129" i="31"/>
  <c r="J129" i="31"/>
  <c r="I129" i="31"/>
  <c r="K128" i="31"/>
  <c r="J128" i="31"/>
  <c r="I128" i="31"/>
  <c r="M128" i="31" s="1"/>
  <c r="M127" i="31"/>
  <c r="K127" i="31"/>
  <c r="J127" i="31"/>
  <c r="I127" i="31"/>
  <c r="K126" i="31"/>
  <c r="J126" i="31"/>
  <c r="I126" i="31"/>
  <c r="M126" i="31" s="1"/>
  <c r="M125" i="31"/>
  <c r="K125" i="31"/>
  <c r="J125" i="31"/>
  <c r="I125" i="31"/>
  <c r="K124" i="31"/>
  <c r="J124" i="31"/>
  <c r="I124" i="31"/>
  <c r="M124" i="31" s="1"/>
  <c r="M123" i="31"/>
  <c r="K123" i="31"/>
  <c r="J123" i="31"/>
  <c r="I123" i="31"/>
  <c r="K122" i="31"/>
  <c r="J122" i="31"/>
  <c r="I122" i="31"/>
  <c r="M122" i="31" s="1"/>
  <c r="M121" i="31"/>
  <c r="K121" i="31"/>
  <c r="J121" i="31"/>
  <c r="I121" i="31"/>
  <c r="K120" i="31"/>
  <c r="J120" i="31"/>
  <c r="I120" i="31"/>
  <c r="M120" i="31" s="1"/>
  <c r="M119" i="31"/>
  <c r="K119" i="31"/>
  <c r="J119" i="31"/>
  <c r="I119" i="31"/>
  <c r="K118" i="31"/>
  <c r="J118" i="31"/>
  <c r="I118" i="31"/>
  <c r="M118" i="31" s="1"/>
  <c r="M117" i="31"/>
  <c r="K117" i="31"/>
  <c r="J117" i="31"/>
  <c r="I117" i="31"/>
  <c r="K116" i="31"/>
  <c r="J116" i="31"/>
  <c r="I116" i="31"/>
  <c r="M116" i="31" s="1"/>
  <c r="M115" i="31"/>
  <c r="K115" i="31"/>
  <c r="J115" i="31"/>
  <c r="I115" i="31"/>
  <c r="K114" i="31"/>
  <c r="J114" i="31"/>
  <c r="I114" i="31"/>
  <c r="M114" i="31" s="1"/>
  <c r="M113" i="31"/>
  <c r="K113" i="31"/>
  <c r="J113" i="31"/>
  <c r="I113" i="31"/>
  <c r="K112" i="31"/>
  <c r="J112" i="31"/>
  <c r="I112" i="31"/>
  <c r="M112" i="31" s="1"/>
  <c r="M111" i="31"/>
  <c r="K111" i="31"/>
  <c r="J111" i="31"/>
  <c r="I111" i="31"/>
  <c r="K110" i="31"/>
  <c r="J110" i="31"/>
  <c r="I110" i="31"/>
  <c r="M110" i="31" s="1"/>
  <c r="M109" i="31"/>
  <c r="K109" i="31"/>
  <c r="J109" i="31"/>
  <c r="I109" i="31"/>
  <c r="K108" i="31"/>
  <c r="J108" i="31"/>
  <c r="I108" i="31"/>
  <c r="M108" i="31" s="1"/>
  <c r="M107" i="31"/>
  <c r="K107" i="31"/>
  <c r="J107" i="31"/>
  <c r="I107" i="31"/>
  <c r="K106" i="31"/>
  <c r="J106" i="31"/>
  <c r="I106" i="31"/>
  <c r="M106" i="31" s="1"/>
  <c r="M105" i="31"/>
  <c r="K105" i="31"/>
  <c r="J105" i="31"/>
  <c r="I105" i="31"/>
  <c r="K104" i="31"/>
  <c r="J104" i="31"/>
  <c r="I104" i="31"/>
  <c r="M104" i="31" s="1"/>
  <c r="M103" i="31"/>
  <c r="K103" i="31"/>
  <c r="J103" i="31"/>
  <c r="I103" i="31"/>
  <c r="K102" i="31"/>
  <c r="J102" i="31"/>
  <c r="I102" i="31"/>
  <c r="M102" i="31" s="1"/>
  <c r="M101" i="31"/>
  <c r="K101" i="31"/>
  <c r="J101" i="31"/>
  <c r="I101" i="31"/>
  <c r="K100" i="31"/>
  <c r="J100" i="31"/>
  <c r="I100" i="31"/>
  <c r="M100" i="31" s="1"/>
  <c r="M99" i="31"/>
  <c r="K99" i="31"/>
  <c r="J99" i="31"/>
  <c r="I99" i="31"/>
  <c r="K98" i="31"/>
  <c r="J98" i="31"/>
  <c r="I98" i="31"/>
  <c r="M98" i="31" s="1"/>
  <c r="M97" i="31"/>
  <c r="K97" i="31"/>
  <c r="J97" i="31"/>
  <c r="I97" i="31"/>
  <c r="K96" i="31"/>
  <c r="J96" i="31"/>
  <c r="I96" i="31"/>
  <c r="M96" i="31" s="1"/>
  <c r="M95" i="31"/>
  <c r="K95" i="31"/>
  <c r="J95" i="31"/>
  <c r="I95" i="31"/>
  <c r="K94" i="31"/>
  <c r="J94" i="31"/>
  <c r="I94" i="31"/>
  <c r="M94" i="31" s="1"/>
  <c r="M93" i="31"/>
  <c r="K93" i="31"/>
  <c r="J93" i="31"/>
  <c r="I93" i="31"/>
  <c r="K92" i="31"/>
  <c r="J92" i="31"/>
  <c r="I92" i="31"/>
  <c r="M92" i="31" s="1"/>
  <c r="M91" i="31"/>
  <c r="K91" i="31"/>
  <c r="J91" i="31"/>
  <c r="I91" i="31"/>
  <c r="K90" i="31"/>
  <c r="J90" i="31"/>
  <c r="I90" i="31"/>
  <c r="M90" i="31" s="1"/>
  <c r="M89" i="31"/>
  <c r="K89" i="31"/>
  <c r="J89" i="31"/>
  <c r="I89" i="31"/>
  <c r="K88" i="31"/>
  <c r="J88" i="31"/>
  <c r="I88" i="31"/>
  <c r="M88" i="31" s="1"/>
  <c r="M87" i="31"/>
  <c r="K87" i="31"/>
  <c r="J87" i="31"/>
  <c r="I87" i="31"/>
  <c r="K86" i="31"/>
  <c r="J86" i="31"/>
  <c r="I86" i="31"/>
  <c r="M86" i="31" s="1"/>
  <c r="M85" i="31"/>
  <c r="K85" i="31"/>
  <c r="J85" i="31"/>
  <c r="I85" i="31"/>
  <c r="K84" i="31"/>
  <c r="J84" i="31"/>
  <c r="I84" i="31"/>
  <c r="M84" i="31" s="1"/>
  <c r="M83" i="31"/>
  <c r="K83" i="31"/>
  <c r="J83" i="31"/>
  <c r="I83" i="31"/>
  <c r="K82" i="31"/>
  <c r="J82" i="31"/>
  <c r="I82" i="31"/>
  <c r="M82" i="31" s="1"/>
  <c r="M81" i="31"/>
  <c r="K81" i="31"/>
  <c r="J81" i="31"/>
  <c r="I81" i="31"/>
  <c r="K80" i="31"/>
  <c r="J80" i="31"/>
  <c r="I80" i="31"/>
  <c r="M80" i="31" s="1"/>
  <c r="M79" i="31"/>
  <c r="K79" i="31"/>
  <c r="J79" i="31"/>
  <c r="I79" i="31"/>
  <c r="K78" i="31"/>
  <c r="J78" i="31"/>
  <c r="I78" i="31"/>
  <c r="M78" i="31" s="1"/>
  <c r="M77" i="31"/>
  <c r="K77" i="31"/>
  <c r="J77" i="31"/>
  <c r="I77" i="31"/>
  <c r="K76" i="31"/>
  <c r="J76" i="31"/>
  <c r="I76" i="31"/>
  <c r="M76" i="31" s="1"/>
  <c r="M75" i="31"/>
  <c r="K75" i="31"/>
  <c r="J75" i="31"/>
  <c r="I75" i="31"/>
  <c r="K74" i="31"/>
  <c r="J74" i="31"/>
  <c r="I74" i="31"/>
  <c r="M74" i="31" s="1"/>
  <c r="M73" i="31"/>
  <c r="K73" i="31"/>
  <c r="J73" i="31"/>
  <c r="I73" i="31"/>
  <c r="K72" i="31"/>
  <c r="J72" i="31"/>
  <c r="I72" i="31"/>
  <c r="M72" i="31" s="1"/>
  <c r="M71" i="31"/>
  <c r="K71" i="31"/>
  <c r="J71" i="31"/>
  <c r="I71" i="31"/>
  <c r="K70" i="31"/>
  <c r="J70" i="31"/>
  <c r="I70" i="31"/>
  <c r="M70" i="31" s="1"/>
  <c r="M69" i="31"/>
  <c r="K69" i="31"/>
  <c r="J69" i="31"/>
  <c r="I69" i="31"/>
  <c r="K68" i="31"/>
  <c r="J68" i="31"/>
  <c r="I68" i="31"/>
  <c r="M68" i="31" s="1"/>
  <c r="M67" i="31"/>
  <c r="K67" i="31"/>
  <c r="J67" i="31"/>
  <c r="I67" i="31"/>
  <c r="K66" i="31"/>
  <c r="J66" i="31"/>
  <c r="I66" i="31"/>
  <c r="M66" i="31" s="1"/>
  <c r="M65" i="31"/>
  <c r="K65" i="31"/>
  <c r="J65" i="31"/>
  <c r="I65" i="31"/>
  <c r="B65" i="31"/>
  <c r="J64" i="31"/>
  <c r="K64" i="31" s="1"/>
  <c r="I64" i="31"/>
  <c r="M64" i="31" s="1"/>
  <c r="B64" i="31"/>
  <c r="J63" i="31"/>
  <c r="K63" i="31" s="1"/>
  <c r="I63" i="31"/>
  <c r="M63" i="31" s="1"/>
  <c r="B63" i="31"/>
  <c r="M62" i="31"/>
  <c r="J62" i="31"/>
  <c r="K62" i="31" s="1"/>
  <c r="I62" i="31"/>
  <c r="B62" i="31"/>
  <c r="K61" i="31"/>
  <c r="J61" i="31"/>
  <c r="I61" i="31"/>
  <c r="M61" i="31" s="1"/>
  <c r="B61" i="31"/>
  <c r="M60" i="31"/>
  <c r="K60" i="31"/>
  <c r="J60" i="31"/>
  <c r="I60" i="31"/>
  <c r="B60" i="31"/>
  <c r="J59" i="31"/>
  <c r="K59" i="31" s="1"/>
  <c r="I59" i="31"/>
  <c r="M59" i="31" s="1"/>
  <c r="B59" i="31"/>
  <c r="J58" i="31"/>
  <c r="K58" i="31" s="1"/>
  <c r="I58" i="31"/>
  <c r="M58" i="31" s="1"/>
  <c r="B58" i="31"/>
  <c r="M57" i="31"/>
  <c r="K57" i="31"/>
  <c r="J57" i="31"/>
  <c r="I57" i="31"/>
  <c r="B57" i="31"/>
  <c r="J56" i="31"/>
  <c r="K56" i="31" s="1"/>
  <c r="I56" i="31"/>
  <c r="M56" i="31" s="1"/>
  <c r="B56" i="31"/>
  <c r="J55" i="31"/>
  <c r="K55" i="31" s="1"/>
  <c r="I55" i="31"/>
  <c r="M55" i="31" s="1"/>
  <c r="B55" i="31"/>
  <c r="M54" i="31"/>
  <c r="J54" i="31"/>
  <c r="K54" i="31" s="1"/>
  <c r="I54" i="31"/>
  <c r="B54" i="31"/>
  <c r="K53" i="31"/>
  <c r="J53" i="31"/>
  <c r="I53" i="31"/>
  <c r="M53" i="31" s="1"/>
  <c r="B53" i="31"/>
  <c r="M52" i="31"/>
  <c r="K52" i="31"/>
  <c r="J52" i="31"/>
  <c r="I52" i="31"/>
  <c r="B52" i="31"/>
  <c r="J51" i="31"/>
  <c r="K51" i="31" s="1"/>
  <c r="I51" i="31"/>
  <c r="M51" i="31" s="1"/>
  <c r="B51" i="31"/>
  <c r="J50" i="31"/>
  <c r="K50" i="31" s="1"/>
  <c r="I50" i="31"/>
  <c r="M50" i="31" s="1"/>
  <c r="B50" i="31"/>
  <c r="M49" i="31"/>
  <c r="K49" i="31"/>
  <c r="J49" i="31"/>
  <c r="I49" i="31"/>
  <c r="B49" i="31"/>
  <c r="J48" i="31"/>
  <c r="K48" i="31" s="1"/>
  <c r="I48" i="31"/>
  <c r="M48" i="31" s="1"/>
  <c r="B48" i="31"/>
  <c r="J47" i="31"/>
  <c r="K47" i="31" s="1"/>
  <c r="I47" i="31"/>
  <c r="M47" i="31" s="1"/>
  <c r="B47" i="31"/>
  <c r="T46" i="31"/>
  <c r="R46" i="31"/>
  <c r="U46" i="31" s="1"/>
  <c r="J46" i="31"/>
  <c r="K46" i="31" s="1"/>
  <c r="I46" i="31"/>
  <c r="M46" i="31" s="1"/>
  <c r="B46" i="31"/>
  <c r="M45" i="31"/>
  <c r="J45" i="31"/>
  <c r="K45" i="31" s="1"/>
  <c r="I45" i="31"/>
  <c r="B45" i="31"/>
  <c r="K44" i="31"/>
  <c r="J44" i="31"/>
  <c r="I44" i="31"/>
  <c r="M44" i="31" s="1"/>
  <c r="B44" i="31"/>
  <c r="M43" i="31"/>
  <c r="K43" i="31"/>
  <c r="J43" i="31"/>
  <c r="I43" i="31"/>
  <c r="B43" i="31"/>
  <c r="J42" i="31"/>
  <c r="K42" i="31" s="1"/>
  <c r="I42" i="31"/>
  <c r="M42" i="31" s="1"/>
  <c r="B42" i="31"/>
  <c r="J41" i="31"/>
  <c r="K41" i="31" s="1"/>
  <c r="I41" i="31"/>
  <c r="M41" i="31" s="1"/>
  <c r="B41" i="31"/>
  <c r="M40" i="31"/>
  <c r="K40" i="31"/>
  <c r="J40" i="31"/>
  <c r="I40" i="31"/>
  <c r="B40" i="31"/>
  <c r="J39" i="31"/>
  <c r="K39" i="31" s="1"/>
  <c r="I39" i="31"/>
  <c r="M39" i="31" s="1"/>
  <c r="B39" i="31"/>
  <c r="J38" i="31"/>
  <c r="K38" i="31" s="1"/>
  <c r="I38" i="31"/>
  <c r="M38" i="31" s="1"/>
  <c r="B38" i="31"/>
  <c r="M37" i="31"/>
  <c r="A37" i="31" s="1"/>
  <c r="J37" i="31"/>
  <c r="K37" i="31" s="1"/>
  <c r="I37" i="31"/>
  <c r="B37" i="31"/>
  <c r="J36" i="31"/>
  <c r="K36" i="31" s="1"/>
  <c r="I36" i="31"/>
  <c r="M36" i="31" s="1"/>
  <c r="A36" i="31" s="1"/>
  <c r="B36" i="31"/>
  <c r="J35" i="31"/>
  <c r="K35" i="31" s="1"/>
  <c r="I35" i="31"/>
  <c r="M35" i="31" s="1"/>
  <c r="B35" i="31"/>
  <c r="A35" i="31"/>
  <c r="M34" i="31"/>
  <c r="A34" i="31" s="1"/>
  <c r="K34" i="31"/>
  <c r="J34" i="31"/>
  <c r="I34" i="31"/>
  <c r="B34" i="31"/>
  <c r="M33" i="31"/>
  <c r="A33" i="31" s="1"/>
  <c r="J33" i="31"/>
  <c r="K33" i="31" s="1"/>
  <c r="I33" i="31"/>
  <c r="B33" i="31"/>
  <c r="J32" i="31"/>
  <c r="K32" i="31" s="1"/>
  <c r="I32" i="31"/>
  <c r="M32" i="31" s="1"/>
  <c r="A32" i="31" s="1"/>
  <c r="B32" i="31"/>
  <c r="J31" i="31"/>
  <c r="K31" i="31" s="1"/>
  <c r="I31" i="31"/>
  <c r="M31" i="31" s="1"/>
  <c r="B31" i="31"/>
  <c r="A31" i="31"/>
  <c r="M30" i="31"/>
  <c r="A30" i="31" s="1"/>
  <c r="K30" i="31"/>
  <c r="J30" i="31"/>
  <c r="I30" i="31"/>
  <c r="B30" i="31"/>
  <c r="M29" i="31"/>
  <c r="A29" i="31" s="1"/>
  <c r="J29" i="31"/>
  <c r="K29" i="31" s="1"/>
  <c r="I29" i="31"/>
  <c r="B29" i="31"/>
  <c r="J28" i="31"/>
  <c r="K28" i="31" s="1"/>
  <c r="I28" i="31"/>
  <c r="M28" i="31" s="1"/>
  <c r="A28" i="31" s="1"/>
  <c r="B28" i="31"/>
  <c r="J27" i="31"/>
  <c r="K27" i="31" s="1"/>
  <c r="I27" i="31"/>
  <c r="M27" i="31" s="1"/>
  <c r="A27" i="31" s="1"/>
  <c r="B27" i="31"/>
  <c r="M26" i="31"/>
  <c r="A26" i="31" s="1"/>
  <c r="K26" i="31"/>
  <c r="J26" i="31"/>
  <c r="I26" i="31"/>
  <c r="B26" i="31"/>
  <c r="M25" i="31"/>
  <c r="A25" i="31" s="1"/>
  <c r="K25" i="31"/>
  <c r="J25" i="31"/>
  <c r="I25" i="31"/>
  <c r="B25" i="31"/>
  <c r="J24" i="31"/>
  <c r="K24" i="31" s="1"/>
  <c r="I24" i="31"/>
  <c r="M24" i="31" s="1"/>
  <c r="A24" i="31" s="1"/>
  <c r="B24" i="31"/>
  <c r="J23" i="31"/>
  <c r="K23" i="31" s="1"/>
  <c r="I23" i="31"/>
  <c r="M23" i="31" s="1"/>
  <c r="A23" i="31" s="1"/>
  <c r="B23" i="31"/>
  <c r="M22" i="31"/>
  <c r="A22" i="31" s="1"/>
  <c r="K22" i="31"/>
  <c r="J22" i="31"/>
  <c r="I22" i="31"/>
  <c r="B22" i="31"/>
  <c r="M21" i="31"/>
  <c r="A21" i="31" s="1"/>
  <c r="J21" i="31"/>
  <c r="K21" i="31" s="1"/>
  <c r="I21" i="31"/>
  <c r="B21" i="31"/>
  <c r="J20" i="31"/>
  <c r="K20" i="31" s="1"/>
  <c r="I20" i="31"/>
  <c r="M20" i="31" s="1"/>
  <c r="A20" i="31" s="1"/>
  <c r="B20" i="31"/>
  <c r="J19" i="31"/>
  <c r="K19" i="31" s="1"/>
  <c r="I19" i="31"/>
  <c r="M19" i="31" s="1"/>
  <c r="B19" i="31"/>
  <c r="A19" i="31"/>
  <c r="M18" i="31"/>
  <c r="A18" i="31" s="1"/>
  <c r="K18" i="31"/>
  <c r="J18" i="31"/>
  <c r="I18" i="31"/>
  <c r="B18" i="31"/>
  <c r="M17" i="31"/>
  <c r="A17" i="31" s="1"/>
  <c r="J17" i="31"/>
  <c r="K17" i="31" s="1"/>
  <c r="I17" i="31"/>
  <c r="B17" i="31"/>
  <c r="J16" i="31"/>
  <c r="K16" i="31" s="1"/>
  <c r="I16" i="31"/>
  <c r="M16" i="31" s="1"/>
  <c r="A16" i="31" s="1"/>
  <c r="B16" i="31"/>
  <c r="K15" i="31"/>
  <c r="J15" i="31"/>
  <c r="I15" i="31"/>
  <c r="M15" i="31" s="1"/>
  <c r="B15" i="31"/>
  <c r="A15" i="31"/>
  <c r="AI14" i="31"/>
  <c r="J14" i="31"/>
  <c r="K14" i="31" s="1"/>
  <c r="I14" i="31"/>
  <c r="M14" i="31" s="1"/>
  <c r="B14" i="31"/>
  <c r="A14" i="31"/>
  <c r="AI13" i="31"/>
  <c r="J13" i="31"/>
  <c r="K13" i="31" s="1"/>
  <c r="I13" i="31"/>
  <c r="M13" i="31" s="1"/>
  <c r="B13" i="31"/>
  <c r="A13" i="31"/>
  <c r="AI12" i="31"/>
  <c r="M12" i="31"/>
  <c r="A12" i="31" s="1"/>
  <c r="K12" i="31"/>
  <c r="J12" i="31"/>
  <c r="I12" i="31"/>
  <c r="B12" i="31"/>
  <c r="M11" i="31"/>
  <c r="A11" i="31" s="1"/>
  <c r="K11" i="31"/>
  <c r="J11" i="31"/>
  <c r="I11" i="31"/>
  <c r="B11" i="31"/>
  <c r="J10" i="31"/>
  <c r="K10" i="31" s="1"/>
  <c r="I10" i="31"/>
  <c r="M10" i="31" s="1"/>
  <c r="A10" i="31" s="1"/>
  <c r="B10" i="31"/>
  <c r="J9" i="31"/>
  <c r="K9" i="31" s="1"/>
  <c r="I9" i="31"/>
  <c r="M9" i="31" s="1"/>
  <c r="A9" i="31" s="1"/>
  <c r="B9" i="31"/>
  <c r="M8" i="31"/>
  <c r="J8" i="31"/>
  <c r="K8" i="31" s="1"/>
  <c r="I8" i="31"/>
  <c r="B8" i="31"/>
  <c r="A8" i="31"/>
  <c r="M7" i="31"/>
  <c r="A7" i="31" s="1"/>
  <c r="L7" i="31"/>
  <c r="K7" i="31"/>
  <c r="J7" i="31"/>
  <c r="I7" i="31"/>
  <c r="B7" i="31"/>
  <c r="M6" i="31"/>
  <c r="A6" i="31" s="1"/>
  <c r="L6" i="31"/>
  <c r="K6" i="31"/>
  <c r="J6" i="31"/>
  <c r="I6" i="31"/>
  <c r="B6" i="31"/>
  <c r="K2" i="31"/>
  <c r="L8" i="31" s="1"/>
  <c r="J305" i="30"/>
  <c r="K305" i="30" s="1"/>
  <c r="I305" i="30"/>
  <c r="M305" i="30" s="1"/>
  <c r="J304" i="30"/>
  <c r="K304" i="30" s="1"/>
  <c r="I304" i="30"/>
  <c r="M304" i="30" s="1"/>
  <c r="J303" i="30"/>
  <c r="K303" i="30" s="1"/>
  <c r="I303" i="30"/>
  <c r="M303" i="30" s="1"/>
  <c r="J302" i="30"/>
  <c r="K302" i="30" s="1"/>
  <c r="I302" i="30"/>
  <c r="M302" i="30" s="1"/>
  <c r="J301" i="30"/>
  <c r="K301" i="30" s="1"/>
  <c r="I301" i="30"/>
  <c r="M301" i="30" s="1"/>
  <c r="M300" i="30"/>
  <c r="K300" i="30"/>
  <c r="J300" i="30"/>
  <c r="I300" i="30"/>
  <c r="J299" i="30"/>
  <c r="K299" i="30" s="1"/>
  <c r="I299" i="30"/>
  <c r="M299" i="30" s="1"/>
  <c r="J298" i="30"/>
  <c r="K298" i="30" s="1"/>
  <c r="I298" i="30"/>
  <c r="M298" i="30" s="1"/>
  <c r="J297" i="30"/>
  <c r="K297" i="30" s="1"/>
  <c r="I297" i="30"/>
  <c r="M297" i="30" s="1"/>
  <c r="J296" i="30"/>
  <c r="K296" i="30" s="1"/>
  <c r="I296" i="30"/>
  <c r="M296" i="30" s="1"/>
  <c r="J295" i="30"/>
  <c r="K295" i="30" s="1"/>
  <c r="I295" i="30"/>
  <c r="M295" i="30" s="1"/>
  <c r="J294" i="30"/>
  <c r="K294" i="30" s="1"/>
  <c r="I294" i="30"/>
  <c r="M294" i="30" s="1"/>
  <c r="J293" i="30"/>
  <c r="K293" i="30" s="1"/>
  <c r="I293" i="30"/>
  <c r="M293" i="30" s="1"/>
  <c r="M292" i="30"/>
  <c r="K292" i="30"/>
  <c r="J292" i="30"/>
  <c r="I292" i="30"/>
  <c r="J291" i="30"/>
  <c r="K291" i="30" s="1"/>
  <c r="I291" i="30"/>
  <c r="M291" i="30" s="1"/>
  <c r="J290" i="30"/>
  <c r="K290" i="30" s="1"/>
  <c r="I290" i="30"/>
  <c r="M290" i="30" s="1"/>
  <c r="J289" i="30"/>
  <c r="K289" i="30" s="1"/>
  <c r="I289" i="30"/>
  <c r="M289" i="30" s="1"/>
  <c r="J288" i="30"/>
  <c r="K288" i="30" s="1"/>
  <c r="I288" i="30"/>
  <c r="M288" i="30" s="1"/>
  <c r="J287" i="30"/>
  <c r="K287" i="30" s="1"/>
  <c r="I287" i="30"/>
  <c r="M287" i="30" s="1"/>
  <c r="J286" i="30"/>
  <c r="K286" i="30" s="1"/>
  <c r="I286" i="30"/>
  <c r="M286" i="30" s="1"/>
  <c r="J285" i="30"/>
  <c r="K285" i="30" s="1"/>
  <c r="I285" i="30"/>
  <c r="M285" i="30" s="1"/>
  <c r="M284" i="30"/>
  <c r="K284" i="30"/>
  <c r="J284" i="30"/>
  <c r="I284" i="30"/>
  <c r="J283" i="30"/>
  <c r="K283" i="30" s="1"/>
  <c r="I283" i="30"/>
  <c r="M283" i="30" s="1"/>
  <c r="J282" i="30"/>
  <c r="K282" i="30" s="1"/>
  <c r="I282" i="30"/>
  <c r="M282" i="30" s="1"/>
  <c r="J281" i="30"/>
  <c r="K281" i="30" s="1"/>
  <c r="I281" i="30"/>
  <c r="M281" i="30" s="1"/>
  <c r="J280" i="30"/>
  <c r="K280" i="30" s="1"/>
  <c r="I280" i="30"/>
  <c r="M280" i="30" s="1"/>
  <c r="J279" i="30"/>
  <c r="K279" i="30" s="1"/>
  <c r="I279" i="30"/>
  <c r="M279" i="30" s="1"/>
  <c r="J278" i="30"/>
  <c r="K278" i="30" s="1"/>
  <c r="I278" i="30"/>
  <c r="M278" i="30" s="1"/>
  <c r="J277" i="30"/>
  <c r="K277" i="30" s="1"/>
  <c r="I277" i="30"/>
  <c r="M277" i="30" s="1"/>
  <c r="M276" i="30"/>
  <c r="K276" i="30"/>
  <c r="J276" i="30"/>
  <c r="I276" i="30"/>
  <c r="J275" i="30"/>
  <c r="K275" i="30" s="1"/>
  <c r="I275" i="30"/>
  <c r="M275" i="30" s="1"/>
  <c r="J274" i="30"/>
  <c r="K274" i="30" s="1"/>
  <c r="I274" i="30"/>
  <c r="M274" i="30" s="1"/>
  <c r="J273" i="30"/>
  <c r="K273" i="30" s="1"/>
  <c r="I273" i="30"/>
  <c r="M273" i="30" s="1"/>
  <c r="J272" i="30"/>
  <c r="K272" i="30" s="1"/>
  <c r="I272" i="30"/>
  <c r="M272" i="30" s="1"/>
  <c r="J271" i="30"/>
  <c r="K271" i="30" s="1"/>
  <c r="I271" i="30"/>
  <c r="M271" i="30" s="1"/>
  <c r="J270" i="30"/>
  <c r="K270" i="30" s="1"/>
  <c r="I270" i="30"/>
  <c r="M270" i="30" s="1"/>
  <c r="J269" i="30"/>
  <c r="K269" i="30" s="1"/>
  <c r="I269" i="30"/>
  <c r="M269" i="30" s="1"/>
  <c r="M268" i="30"/>
  <c r="K268" i="30"/>
  <c r="J268" i="30"/>
  <c r="I268" i="30"/>
  <c r="J267" i="30"/>
  <c r="K267" i="30" s="1"/>
  <c r="I267" i="30"/>
  <c r="M267" i="30" s="1"/>
  <c r="J266" i="30"/>
  <c r="K266" i="30" s="1"/>
  <c r="I266" i="30"/>
  <c r="M266" i="30" s="1"/>
  <c r="J265" i="30"/>
  <c r="K265" i="30" s="1"/>
  <c r="I265" i="30"/>
  <c r="M265" i="30" s="1"/>
  <c r="J264" i="30"/>
  <c r="K264" i="30" s="1"/>
  <c r="I264" i="30"/>
  <c r="M264" i="30" s="1"/>
  <c r="J263" i="30"/>
  <c r="K263" i="30" s="1"/>
  <c r="I263" i="30"/>
  <c r="M263" i="30" s="1"/>
  <c r="J262" i="30"/>
  <c r="K262" i="30" s="1"/>
  <c r="I262" i="30"/>
  <c r="M262" i="30" s="1"/>
  <c r="J261" i="30"/>
  <c r="K261" i="30" s="1"/>
  <c r="I261" i="30"/>
  <c r="M261" i="30" s="1"/>
  <c r="M260" i="30"/>
  <c r="K260" i="30"/>
  <c r="J260" i="30"/>
  <c r="I260" i="30"/>
  <c r="J259" i="30"/>
  <c r="K259" i="30" s="1"/>
  <c r="I259" i="30"/>
  <c r="M259" i="30" s="1"/>
  <c r="J258" i="30"/>
  <c r="K258" i="30" s="1"/>
  <c r="I258" i="30"/>
  <c r="M258" i="30" s="1"/>
  <c r="J257" i="30"/>
  <c r="K257" i="30" s="1"/>
  <c r="I257" i="30"/>
  <c r="M257" i="30" s="1"/>
  <c r="J256" i="30"/>
  <c r="K256" i="30" s="1"/>
  <c r="I256" i="30"/>
  <c r="M256" i="30" s="1"/>
  <c r="J255" i="30"/>
  <c r="K255" i="30" s="1"/>
  <c r="I255" i="30"/>
  <c r="M255" i="30" s="1"/>
  <c r="J254" i="30"/>
  <c r="K254" i="30" s="1"/>
  <c r="I254" i="30"/>
  <c r="M254" i="30" s="1"/>
  <c r="J253" i="30"/>
  <c r="K253" i="30" s="1"/>
  <c r="I253" i="30"/>
  <c r="M253" i="30" s="1"/>
  <c r="M252" i="30"/>
  <c r="K252" i="30"/>
  <c r="J252" i="30"/>
  <c r="I252" i="30"/>
  <c r="J251" i="30"/>
  <c r="K251" i="30" s="1"/>
  <c r="I251" i="30"/>
  <c r="M251" i="30" s="1"/>
  <c r="J250" i="30"/>
  <c r="K250" i="30" s="1"/>
  <c r="I250" i="30"/>
  <c r="M250" i="30" s="1"/>
  <c r="J249" i="30"/>
  <c r="K249" i="30" s="1"/>
  <c r="I249" i="30"/>
  <c r="M249" i="30" s="1"/>
  <c r="J248" i="30"/>
  <c r="K248" i="30" s="1"/>
  <c r="I248" i="30"/>
  <c r="M248" i="30" s="1"/>
  <c r="J247" i="30"/>
  <c r="K247" i="30" s="1"/>
  <c r="I247" i="30"/>
  <c r="M247" i="30" s="1"/>
  <c r="J246" i="30"/>
  <c r="K246" i="30" s="1"/>
  <c r="I246" i="30"/>
  <c r="M246" i="30" s="1"/>
  <c r="J245" i="30"/>
  <c r="K245" i="30" s="1"/>
  <c r="I245" i="30"/>
  <c r="M245" i="30" s="1"/>
  <c r="M244" i="30"/>
  <c r="K244" i="30"/>
  <c r="J244" i="30"/>
  <c r="I244" i="30"/>
  <c r="J243" i="30"/>
  <c r="K243" i="30" s="1"/>
  <c r="I243" i="30"/>
  <c r="M243" i="30" s="1"/>
  <c r="J242" i="30"/>
  <c r="K242" i="30" s="1"/>
  <c r="I242" i="30"/>
  <c r="M242" i="30" s="1"/>
  <c r="J241" i="30"/>
  <c r="K241" i="30" s="1"/>
  <c r="I241" i="30"/>
  <c r="M241" i="30" s="1"/>
  <c r="J240" i="30"/>
  <c r="K240" i="30" s="1"/>
  <c r="I240" i="30"/>
  <c r="M240" i="30" s="1"/>
  <c r="J239" i="30"/>
  <c r="K239" i="30" s="1"/>
  <c r="I239" i="30"/>
  <c r="M239" i="30" s="1"/>
  <c r="J238" i="30"/>
  <c r="K238" i="30" s="1"/>
  <c r="I238" i="30"/>
  <c r="M238" i="30" s="1"/>
  <c r="J237" i="30"/>
  <c r="K237" i="30" s="1"/>
  <c r="I237" i="30"/>
  <c r="M237" i="30" s="1"/>
  <c r="M236" i="30"/>
  <c r="K236" i="30"/>
  <c r="J236" i="30"/>
  <c r="I236" i="30"/>
  <c r="J235" i="30"/>
  <c r="K235" i="30" s="1"/>
  <c r="I235" i="30"/>
  <c r="M235" i="30" s="1"/>
  <c r="J234" i="30"/>
  <c r="K234" i="30" s="1"/>
  <c r="I234" i="30"/>
  <c r="M234" i="30" s="1"/>
  <c r="J233" i="30"/>
  <c r="K233" i="30" s="1"/>
  <c r="I233" i="30"/>
  <c r="M233" i="30" s="1"/>
  <c r="J232" i="30"/>
  <c r="K232" i="30" s="1"/>
  <c r="I232" i="30"/>
  <c r="M232" i="30" s="1"/>
  <c r="J231" i="30"/>
  <c r="K231" i="30" s="1"/>
  <c r="I231" i="30"/>
  <c r="M231" i="30" s="1"/>
  <c r="J230" i="30"/>
  <c r="K230" i="30" s="1"/>
  <c r="I230" i="30"/>
  <c r="M230" i="30" s="1"/>
  <c r="J229" i="30"/>
  <c r="K229" i="30" s="1"/>
  <c r="I229" i="30"/>
  <c r="M229" i="30" s="1"/>
  <c r="M228" i="30"/>
  <c r="K228" i="30"/>
  <c r="J228" i="30"/>
  <c r="I228" i="30"/>
  <c r="J227" i="30"/>
  <c r="K227" i="30" s="1"/>
  <c r="I227" i="30"/>
  <c r="M227" i="30" s="1"/>
  <c r="J226" i="30"/>
  <c r="K226" i="30" s="1"/>
  <c r="I226" i="30"/>
  <c r="M226" i="30" s="1"/>
  <c r="J225" i="30"/>
  <c r="K225" i="30" s="1"/>
  <c r="I225" i="30"/>
  <c r="M225" i="30" s="1"/>
  <c r="J224" i="30"/>
  <c r="K224" i="30" s="1"/>
  <c r="I224" i="30"/>
  <c r="M224" i="30" s="1"/>
  <c r="J223" i="30"/>
  <c r="K223" i="30" s="1"/>
  <c r="I223" i="30"/>
  <c r="M223" i="30" s="1"/>
  <c r="J222" i="30"/>
  <c r="K222" i="30" s="1"/>
  <c r="I222" i="30"/>
  <c r="M222" i="30" s="1"/>
  <c r="J221" i="30"/>
  <c r="K221" i="30" s="1"/>
  <c r="I221" i="30"/>
  <c r="M221" i="30" s="1"/>
  <c r="M220" i="30"/>
  <c r="K220" i="30"/>
  <c r="J220" i="30"/>
  <c r="I220" i="30"/>
  <c r="J219" i="30"/>
  <c r="K219" i="30" s="1"/>
  <c r="I219" i="30"/>
  <c r="M219" i="30" s="1"/>
  <c r="J218" i="30"/>
  <c r="K218" i="30" s="1"/>
  <c r="I218" i="30"/>
  <c r="M218" i="30" s="1"/>
  <c r="J217" i="30"/>
  <c r="K217" i="30" s="1"/>
  <c r="I217" i="30"/>
  <c r="M217" i="30" s="1"/>
  <c r="J216" i="30"/>
  <c r="K216" i="30" s="1"/>
  <c r="I216" i="30"/>
  <c r="M216" i="30" s="1"/>
  <c r="J215" i="30"/>
  <c r="K215" i="30" s="1"/>
  <c r="I215" i="30"/>
  <c r="M215" i="30" s="1"/>
  <c r="J214" i="30"/>
  <c r="K214" i="30" s="1"/>
  <c r="I214" i="30"/>
  <c r="M214" i="30" s="1"/>
  <c r="J213" i="30"/>
  <c r="K213" i="30" s="1"/>
  <c r="I213" i="30"/>
  <c r="M213" i="30" s="1"/>
  <c r="M212" i="30"/>
  <c r="K212" i="30"/>
  <c r="J212" i="30"/>
  <c r="I212" i="30"/>
  <c r="J211" i="30"/>
  <c r="K211" i="30" s="1"/>
  <c r="I211" i="30"/>
  <c r="M211" i="30" s="1"/>
  <c r="J210" i="30"/>
  <c r="K210" i="30" s="1"/>
  <c r="I210" i="30"/>
  <c r="M210" i="30" s="1"/>
  <c r="J209" i="30"/>
  <c r="K209" i="30" s="1"/>
  <c r="I209" i="30"/>
  <c r="M209" i="30" s="1"/>
  <c r="J208" i="30"/>
  <c r="K208" i="30" s="1"/>
  <c r="I208" i="30"/>
  <c r="M208" i="30" s="1"/>
  <c r="J207" i="30"/>
  <c r="K207" i="30" s="1"/>
  <c r="I207" i="30"/>
  <c r="M207" i="30" s="1"/>
  <c r="J206" i="30"/>
  <c r="K206" i="30" s="1"/>
  <c r="I206" i="30"/>
  <c r="M206" i="30" s="1"/>
  <c r="J205" i="30"/>
  <c r="K205" i="30" s="1"/>
  <c r="I205" i="30"/>
  <c r="M205" i="30" s="1"/>
  <c r="M204" i="30"/>
  <c r="K204" i="30"/>
  <c r="J204" i="30"/>
  <c r="I204" i="30"/>
  <c r="J203" i="30"/>
  <c r="K203" i="30" s="1"/>
  <c r="I203" i="30"/>
  <c r="M203" i="30" s="1"/>
  <c r="J202" i="30"/>
  <c r="K202" i="30" s="1"/>
  <c r="I202" i="30"/>
  <c r="M202" i="30" s="1"/>
  <c r="J201" i="30"/>
  <c r="K201" i="30" s="1"/>
  <c r="I201" i="30"/>
  <c r="M201" i="30" s="1"/>
  <c r="J200" i="30"/>
  <c r="K200" i="30" s="1"/>
  <c r="I200" i="30"/>
  <c r="M200" i="30" s="1"/>
  <c r="J199" i="30"/>
  <c r="K199" i="30" s="1"/>
  <c r="I199" i="30"/>
  <c r="M199" i="30" s="1"/>
  <c r="J198" i="30"/>
  <c r="K198" i="30" s="1"/>
  <c r="I198" i="30"/>
  <c r="M198" i="30" s="1"/>
  <c r="J197" i="30"/>
  <c r="K197" i="30" s="1"/>
  <c r="I197" i="30"/>
  <c r="M197" i="30" s="1"/>
  <c r="M196" i="30"/>
  <c r="K196" i="30"/>
  <c r="J196" i="30"/>
  <c r="I196" i="30"/>
  <c r="J195" i="30"/>
  <c r="K195" i="30" s="1"/>
  <c r="I195" i="30"/>
  <c r="M195" i="30" s="1"/>
  <c r="J194" i="30"/>
  <c r="K194" i="30" s="1"/>
  <c r="I194" i="30"/>
  <c r="M194" i="30" s="1"/>
  <c r="J193" i="30"/>
  <c r="K193" i="30" s="1"/>
  <c r="I193" i="30"/>
  <c r="M193" i="30" s="1"/>
  <c r="J192" i="30"/>
  <c r="K192" i="30" s="1"/>
  <c r="I192" i="30"/>
  <c r="M192" i="30" s="1"/>
  <c r="J191" i="30"/>
  <c r="K191" i="30" s="1"/>
  <c r="I191" i="30"/>
  <c r="M191" i="30" s="1"/>
  <c r="J190" i="30"/>
  <c r="K190" i="30" s="1"/>
  <c r="I190" i="30"/>
  <c r="M190" i="30" s="1"/>
  <c r="J189" i="30"/>
  <c r="K189" i="30" s="1"/>
  <c r="I189" i="30"/>
  <c r="M189" i="30" s="1"/>
  <c r="M188" i="30"/>
  <c r="K188" i="30"/>
  <c r="J188" i="30"/>
  <c r="I188" i="30"/>
  <c r="J187" i="30"/>
  <c r="K187" i="30" s="1"/>
  <c r="I187" i="30"/>
  <c r="M187" i="30" s="1"/>
  <c r="J186" i="30"/>
  <c r="K186" i="30" s="1"/>
  <c r="I186" i="30"/>
  <c r="M186" i="30" s="1"/>
  <c r="J185" i="30"/>
  <c r="K185" i="30" s="1"/>
  <c r="I185" i="30"/>
  <c r="M185" i="30" s="1"/>
  <c r="J184" i="30"/>
  <c r="K184" i="30" s="1"/>
  <c r="I184" i="30"/>
  <c r="M184" i="30" s="1"/>
  <c r="J183" i="30"/>
  <c r="K183" i="30" s="1"/>
  <c r="I183" i="30"/>
  <c r="M183" i="30" s="1"/>
  <c r="J182" i="30"/>
  <c r="K182" i="30" s="1"/>
  <c r="I182" i="30"/>
  <c r="M182" i="30" s="1"/>
  <c r="J181" i="30"/>
  <c r="K181" i="30" s="1"/>
  <c r="I181" i="30"/>
  <c r="M181" i="30" s="1"/>
  <c r="M180" i="30"/>
  <c r="K180" i="30"/>
  <c r="J180" i="30"/>
  <c r="I180" i="30"/>
  <c r="J179" i="30"/>
  <c r="K179" i="30" s="1"/>
  <c r="I179" i="30"/>
  <c r="M179" i="30" s="1"/>
  <c r="J178" i="30"/>
  <c r="K178" i="30" s="1"/>
  <c r="I178" i="30"/>
  <c r="M178" i="30" s="1"/>
  <c r="J177" i="30"/>
  <c r="K177" i="30" s="1"/>
  <c r="I177" i="30"/>
  <c r="M177" i="30" s="1"/>
  <c r="J176" i="30"/>
  <c r="K176" i="30" s="1"/>
  <c r="I176" i="30"/>
  <c r="M176" i="30" s="1"/>
  <c r="J175" i="30"/>
  <c r="K175" i="30" s="1"/>
  <c r="I175" i="30"/>
  <c r="M175" i="30" s="1"/>
  <c r="J174" i="30"/>
  <c r="K174" i="30" s="1"/>
  <c r="I174" i="30"/>
  <c r="M174" i="30" s="1"/>
  <c r="J173" i="30"/>
  <c r="K173" i="30" s="1"/>
  <c r="I173" i="30"/>
  <c r="M173" i="30" s="1"/>
  <c r="M172" i="30"/>
  <c r="K172" i="30"/>
  <c r="J172" i="30"/>
  <c r="I172" i="30"/>
  <c r="J171" i="30"/>
  <c r="K171" i="30" s="1"/>
  <c r="I171" i="30"/>
  <c r="M171" i="30" s="1"/>
  <c r="J170" i="30"/>
  <c r="K170" i="30" s="1"/>
  <c r="I170" i="30"/>
  <c r="M170" i="30" s="1"/>
  <c r="J169" i="30"/>
  <c r="K169" i="30" s="1"/>
  <c r="I169" i="30"/>
  <c r="M169" i="30" s="1"/>
  <c r="J168" i="30"/>
  <c r="K168" i="30" s="1"/>
  <c r="I168" i="30"/>
  <c r="M168" i="30" s="1"/>
  <c r="J167" i="30"/>
  <c r="K167" i="30" s="1"/>
  <c r="I167" i="30"/>
  <c r="M167" i="30" s="1"/>
  <c r="J166" i="30"/>
  <c r="K166" i="30" s="1"/>
  <c r="I166" i="30"/>
  <c r="M166" i="30" s="1"/>
  <c r="J165" i="30"/>
  <c r="K165" i="30" s="1"/>
  <c r="I165" i="30"/>
  <c r="M165" i="30" s="1"/>
  <c r="M164" i="30"/>
  <c r="K164" i="30"/>
  <c r="J164" i="30"/>
  <c r="I164" i="30"/>
  <c r="J163" i="30"/>
  <c r="K163" i="30" s="1"/>
  <c r="I163" i="30"/>
  <c r="M163" i="30" s="1"/>
  <c r="J162" i="30"/>
  <c r="K162" i="30" s="1"/>
  <c r="I162" i="30"/>
  <c r="M162" i="30" s="1"/>
  <c r="J161" i="30"/>
  <c r="K161" i="30" s="1"/>
  <c r="I161" i="30"/>
  <c r="M161" i="30" s="1"/>
  <c r="J160" i="30"/>
  <c r="K160" i="30" s="1"/>
  <c r="I160" i="30"/>
  <c r="M160" i="30" s="1"/>
  <c r="J159" i="30"/>
  <c r="K159" i="30" s="1"/>
  <c r="I159" i="30"/>
  <c r="M159" i="30" s="1"/>
  <c r="J158" i="30"/>
  <c r="K158" i="30" s="1"/>
  <c r="I158" i="30"/>
  <c r="M158" i="30" s="1"/>
  <c r="J157" i="30"/>
  <c r="K157" i="30" s="1"/>
  <c r="I157" i="30"/>
  <c r="M157" i="30" s="1"/>
  <c r="M156" i="30"/>
  <c r="K156" i="30"/>
  <c r="J156" i="30"/>
  <c r="I156" i="30"/>
  <c r="J155" i="30"/>
  <c r="K155" i="30" s="1"/>
  <c r="I155" i="30"/>
  <c r="M155" i="30" s="1"/>
  <c r="J154" i="30"/>
  <c r="K154" i="30" s="1"/>
  <c r="I154" i="30"/>
  <c r="M154" i="30" s="1"/>
  <c r="J153" i="30"/>
  <c r="K153" i="30" s="1"/>
  <c r="I153" i="30"/>
  <c r="M153" i="30" s="1"/>
  <c r="J152" i="30"/>
  <c r="K152" i="30" s="1"/>
  <c r="I152" i="30"/>
  <c r="M152" i="30" s="1"/>
  <c r="J151" i="30"/>
  <c r="K151" i="30" s="1"/>
  <c r="I151" i="30"/>
  <c r="M151" i="30" s="1"/>
  <c r="J150" i="30"/>
  <c r="K150" i="30" s="1"/>
  <c r="I150" i="30"/>
  <c r="M150" i="30" s="1"/>
  <c r="J149" i="30"/>
  <c r="K149" i="30" s="1"/>
  <c r="I149" i="30"/>
  <c r="M149" i="30" s="1"/>
  <c r="M148" i="30"/>
  <c r="K148" i="30"/>
  <c r="J148" i="30"/>
  <c r="I148" i="30"/>
  <c r="J147" i="30"/>
  <c r="K147" i="30" s="1"/>
  <c r="I147" i="30"/>
  <c r="M147" i="30" s="1"/>
  <c r="J146" i="30"/>
  <c r="K146" i="30" s="1"/>
  <c r="I146" i="30"/>
  <c r="M146" i="30" s="1"/>
  <c r="J145" i="30"/>
  <c r="K145" i="30" s="1"/>
  <c r="I145" i="30"/>
  <c r="M145" i="30" s="1"/>
  <c r="J144" i="30"/>
  <c r="K144" i="30" s="1"/>
  <c r="I144" i="30"/>
  <c r="M144" i="30" s="1"/>
  <c r="J143" i="30"/>
  <c r="K143" i="30" s="1"/>
  <c r="I143" i="30"/>
  <c r="M143" i="30" s="1"/>
  <c r="J142" i="30"/>
  <c r="K142" i="30" s="1"/>
  <c r="I142" i="30"/>
  <c r="M142" i="30" s="1"/>
  <c r="J141" i="30"/>
  <c r="K141" i="30" s="1"/>
  <c r="I141" i="30"/>
  <c r="M141" i="30" s="1"/>
  <c r="M140" i="30"/>
  <c r="K140" i="30"/>
  <c r="J140" i="30"/>
  <c r="I140" i="30"/>
  <c r="J139" i="30"/>
  <c r="K139" i="30" s="1"/>
  <c r="I139" i="30"/>
  <c r="M139" i="30" s="1"/>
  <c r="J138" i="30"/>
  <c r="K138" i="30" s="1"/>
  <c r="I138" i="30"/>
  <c r="M138" i="30" s="1"/>
  <c r="J137" i="30"/>
  <c r="K137" i="30" s="1"/>
  <c r="I137" i="30"/>
  <c r="M137" i="30" s="1"/>
  <c r="J136" i="30"/>
  <c r="K136" i="30" s="1"/>
  <c r="I136" i="30"/>
  <c r="M136" i="30" s="1"/>
  <c r="M135" i="30"/>
  <c r="K135" i="30"/>
  <c r="J135" i="30"/>
  <c r="I135" i="30"/>
  <c r="J134" i="30"/>
  <c r="K134" i="30" s="1"/>
  <c r="I134" i="30"/>
  <c r="M134" i="30" s="1"/>
  <c r="M133" i="30"/>
  <c r="K133" i="30"/>
  <c r="J133" i="30"/>
  <c r="I133" i="30"/>
  <c r="J132" i="30"/>
  <c r="K132" i="30" s="1"/>
  <c r="I132" i="30"/>
  <c r="M132" i="30" s="1"/>
  <c r="M131" i="30"/>
  <c r="K131" i="30"/>
  <c r="J131" i="30"/>
  <c r="I131" i="30"/>
  <c r="J130" i="30"/>
  <c r="K130" i="30" s="1"/>
  <c r="I130" i="30"/>
  <c r="M130" i="30" s="1"/>
  <c r="M129" i="30"/>
  <c r="K129" i="30"/>
  <c r="J129" i="30"/>
  <c r="I129" i="30"/>
  <c r="J128" i="30"/>
  <c r="K128" i="30" s="1"/>
  <c r="I128" i="30"/>
  <c r="M128" i="30" s="1"/>
  <c r="M127" i="30"/>
  <c r="K127" i="30"/>
  <c r="J127" i="30"/>
  <c r="I127" i="30"/>
  <c r="J126" i="30"/>
  <c r="K126" i="30" s="1"/>
  <c r="I126" i="30"/>
  <c r="M126" i="30" s="1"/>
  <c r="M125" i="30"/>
  <c r="K125" i="30"/>
  <c r="J125" i="30"/>
  <c r="I125" i="30"/>
  <c r="J124" i="30"/>
  <c r="K124" i="30" s="1"/>
  <c r="I124" i="30"/>
  <c r="M124" i="30" s="1"/>
  <c r="M123" i="30"/>
  <c r="K123" i="30"/>
  <c r="J123" i="30"/>
  <c r="I123" i="30"/>
  <c r="J122" i="30"/>
  <c r="K122" i="30" s="1"/>
  <c r="I122" i="30"/>
  <c r="M122" i="30" s="1"/>
  <c r="M121" i="30"/>
  <c r="K121" i="30"/>
  <c r="J121" i="30"/>
  <c r="I121" i="30"/>
  <c r="J120" i="30"/>
  <c r="K120" i="30" s="1"/>
  <c r="I120" i="30"/>
  <c r="M120" i="30" s="1"/>
  <c r="M119" i="30"/>
  <c r="K119" i="30"/>
  <c r="J119" i="30"/>
  <c r="I119" i="30"/>
  <c r="J118" i="30"/>
  <c r="K118" i="30" s="1"/>
  <c r="I118" i="30"/>
  <c r="M118" i="30" s="1"/>
  <c r="M117" i="30"/>
  <c r="K117" i="30"/>
  <c r="J117" i="30"/>
  <c r="I117" i="30"/>
  <c r="J116" i="30"/>
  <c r="K116" i="30" s="1"/>
  <c r="I116" i="30"/>
  <c r="M116" i="30" s="1"/>
  <c r="M115" i="30"/>
  <c r="K115" i="30"/>
  <c r="J115" i="30"/>
  <c r="I115" i="30"/>
  <c r="J114" i="30"/>
  <c r="K114" i="30" s="1"/>
  <c r="I114" i="30"/>
  <c r="M114" i="30" s="1"/>
  <c r="M113" i="30"/>
  <c r="K113" i="30"/>
  <c r="J113" i="30"/>
  <c r="I113" i="30"/>
  <c r="J112" i="30"/>
  <c r="K112" i="30" s="1"/>
  <c r="I112" i="30"/>
  <c r="M112" i="30" s="1"/>
  <c r="M111" i="30"/>
  <c r="K111" i="30"/>
  <c r="J111" i="30"/>
  <c r="I111" i="30"/>
  <c r="J110" i="30"/>
  <c r="K110" i="30" s="1"/>
  <c r="I110" i="30"/>
  <c r="M110" i="30" s="1"/>
  <c r="M109" i="30"/>
  <c r="K109" i="30"/>
  <c r="J109" i="30"/>
  <c r="I109" i="30"/>
  <c r="J108" i="30"/>
  <c r="K108" i="30" s="1"/>
  <c r="I108" i="30"/>
  <c r="M108" i="30" s="1"/>
  <c r="M107" i="30"/>
  <c r="K107" i="30"/>
  <c r="J107" i="30"/>
  <c r="I107" i="30"/>
  <c r="J106" i="30"/>
  <c r="K106" i="30" s="1"/>
  <c r="I106" i="30"/>
  <c r="M106" i="30" s="1"/>
  <c r="M105" i="30"/>
  <c r="K105" i="30"/>
  <c r="J105" i="30"/>
  <c r="I105" i="30"/>
  <c r="J104" i="30"/>
  <c r="K104" i="30" s="1"/>
  <c r="I104" i="30"/>
  <c r="M104" i="30" s="1"/>
  <c r="M103" i="30"/>
  <c r="K103" i="30"/>
  <c r="J103" i="30"/>
  <c r="I103" i="30"/>
  <c r="J102" i="30"/>
  <c r="K102" i="30" s="1"/>
  <c r="I102" i="30"/>
  <c r="M102" i="30" s="1"/>
  <c r="M101" i="30"/>
  <c r="K101" i="30"/>
  <c r="J101" i="30"/>
  <c r="I101" i="30"/>
  <c r="J100" i="30"/>
  <c r="K100" i="30" s="1"/>
  <c r="I100" i="30"/>
  <c r="M100" i="30" s="1"/>
  <c r="M99" i="30"/>
  <c r="K99" i="30"/>
  <c r="J99" i="30"/>
  <c r="I99" i="30"/>
  <c r="J98" i="30"/>
  <c r="K98" i="30" s="1"/>
  <c r="I98" i="30"/>
  <c r="M98" i="30" s="1"/>
  <c r="M97" i="30"/>
  <c r="K97" i="30"/>
  <c r="J97" i="30"/>
  <c r="I97" i="30"/>
  <c r="J96" i="30"/>
  <c r="K96" i="30" s="1"/>
  <c r="I96" i="30"/>
  <c r="M96" i="30" s="1"/>
  <c r="M95" i="30"/>
  <c r="K95" i="30"/>
  <c r="J95" i="30"/>
  <c r="I95" i="30"/>
  <c r="J94" i="30"/>
  <c r="K94" i="30" s="1"/>
  <c r="I94" i="30"/>
  <c r="M94" i="30" s="1"/>
  <c r="M93" i="30"/>
  <c r="K93" i="30"/>
  <c r="J93" i="30"/>
  <c r="I93" i="30"/>
  <c r="J92" i="30"/>
  <c r="K92" i="30" s="1"/>
  <c r="I92" i="30"/>
  <c r="M92" i="30" s="1"/>
  <c r="M91" i="30"/>
  <c r="K91" i="30"/>
  <c r="J91" i="30"/>
  <c r="I91" i="30"/>
  <c r="J90" i="30"/>
  <c r="K90" i="30" s="1"/>
  <c r="I90" i="30"/>
  <c r="M90" i="30" s="1"/>
  <c r="M89" i="30"/>
  <c r="K89" i="30"/>
  <c r="J89" i="30"/>
  <c r="I89" i="30"/>
  <c r="J88" i="30"/>
  <c r="K88" i="30" s="1"/>
  <c r="I88" i="30"/>
  <c r="M88" i="30" s="1"/>
  <c r="M87" i="30"/>
  <c r="K87" i="30"/>
  <c r="J87" i="30"/>
  <c r="I87" i="30"/>
  <c r="J86" i="30"/>
  <c r="K86" i="30" s="1"/>
  <c r="I86" i="30"/>
  <c r="M86" i="30" s="1"/>
  <c r="M85" i="30"/>
  <c r="K85" i="30"/>
  <c r="J85" i="30"/>
  <c r="I85" i="30"/>
  <c r="J84" i="30"/>
  <c r="K84" i="30" s="1"/>
  <c r="I84" i="30"/>
  <c r="M84" i="30" s="1"/>
  <c r="M83" i="30"/>
  <c r="K83" i="30"/>
  <c r="J83" i="30"/>
  <c r="I83" i="30"/>
  <c r="J82" i="30"/>
  <c r="K82" i="30" s="1"/>
  <c r="I82" i="30"/>
  <c r="M82" i="30" s="1"/>
  <c r="M81" i="30"/>
  <c r="K81" i="30"/>
  <c r="J81" i="30"/>
  <c r="I81" i="30"/>
  <c r="J80" i="30"/>
  <c r="K80" i="30" s="1"/>
  <c r="I80" i="30"/>
  <c r="M80" i="30" s="1"/>
  <c r="M79" i="30"/>
  <c r="K79" i="30"/>
  <c r="J79" i="30"/>
  <c r="I79" i="30"/>
  <c r="J78" i="30"/>
  <c r="K78" i="30" s="1"/>
  <c r="I78" i="30"/>
  <c r="M78" i="30" s="1"/>
  <c r="M77" i="30"/>
  <c r="K77" i="30"/>
  <c r="J77" i="30"/>
  <c r="I77" i="30"/>
  <c r="J76" i="30"/>
  <c r="K76" i="30" s="1"/>
  <c r="I76" i="30"/>
  <c r="M76" i="30" s="1"/>
  <c r="M75" i="30"/>
  <c r="K75" i="30"/>
  <c r="J75" i="30"/>
  <c r="I75" i="30"/>
  <c r="J74" i="30"/>
  <c r="K74" i="30" s="1"/>
  <c r="I74" i="30"/>
  <c r="M74" i="30" s="1"/>
  <c r="M73" i="30"/>
  <c r="K73" i="30"/>
  <c r="J73" i="30"/>
  <c r="I73" i="30"/>
  <c r="J72" i="30"/>
  <c r="K72" i="30" s="1"/>
  <c r="I72" i="30"/>
  <c r="M72" i="30" s="1"/>
  <c r="M71" i="30"/>
  <c r="K71" i="30"/>
  <c r="J71" i="30"/>
  <c r="I71" i="30"/>
  <c r="J70" i="30"/>
  <c r="K70" i="30" s="1"/>
  <c r="I70" i="30"/>
  <c r="M70" i="30" s="1"/>
  <c r="M69" i="30"/>
  <c r="K69" i="30"/>
  <c r="J69" i="30"/>
  <c r="I69" i="30"/>
  <c r="J68" i="30"/>
  <c r="K68" i="30" s="1"/>
  <c r="I68" i="30"/>
  <c r="M68" i="30" s="1"/>
  <c r="M67" i="30"/>
  <c r="K67" i="30"/>
  <c r="J67" i="30"/>
  <c r="I67" i="30"/>
  <c r="J66" i="30"/>
  <c r="K66" i="30" s="1"/>
  <c r="I66" i="30"/>
  <c r="M66" i="30" s="1"/>
  <c r="M65" i="30"/>
  <c r="K65" i="30"/>
  <c r="J65" i="30"/>
  <c r="I65" i="30"/>
  <c r="B65" i="30"/>
  <c r="J64" i="30"/>
  <c r="K64" i="30" s="1"/>
  <c r="I64" i="30"/>
  <c r="M64" i="30" s="1"/>
  <c r="B64" i="30"/>
  <c r="J63" i="30"/>
  <c r="K63" i="30" s="1"/>
  <c r="I63" i="30"/>
  <c r="M63" i="30" s="1"/>
  <c r="B63" i="30"/>
  <c r="M62" i="30"/>
  <c r="J62" i="30"/>
  <c r="K62" i="30" s="1"/>
  <c r="I62" i="30"/>
  <c r="B62" i="30"/>
  <c r="J61" i="30"/>
  <c r="K61" i="30" s="1"/>
  <c r="I61" i="30"/>
  <c r="M61" i="30" s="1"/>
  <c r="B61" i="30"/>
  <c r="M60" i="30"/>
  <c r="K60" i="30"/>
  <c r="J60" i="30"/>
  <c r="I60" i="30"/>
  <c r="B60" i="30"/>
  <c r="J59" i="30"/>
  <c r="K59" i="30" s="1"/>
  <c r="I59" i="30"/>
  <c r="M59" i="30" s="1"/>
  <c r="B59" i="30"/>
  <c r="J58" i="30"/>
  <c r="K58" i="30" s="1"/>
  <c r="I58" i="30"/>
  <c r="M58" i="30" s="1"/>
  <c r="B58" i="30"/>
  <c r="M57" i="30"/>
  <c r="K57" i="30"/>
  <c r="J57" i="30"/>
  <c r="I57" i="30"/>
  <c r="B57" i="30"/>
  <c r="J56" i="30"/>
  <c r="K56" i="30" s="1"/>
  <c r="I56" i="30"/>
  <c r="M56" i="30" s="1"/>
  <c r="B56" i="30"/>
  <c r="J55" i="30"/>
  <c r="K55" i="30" s="1"/>
  <c r="I55" i="30"/>
  <c r="M55" i="30" s="1"/>
  <c r="B55" i="30"/>
  <c r="M54" i="30"/>
  <c r="J54" i="30"/>
  <c r="K54" i="30" s="1"/>
  <c r="I54" i="30"/>
  <c r="B54" i="30"/>
  <c r="J53" i="30"/>
  <c r="K53" i="30" s="1"/>
  <c r="I53" i="30"/>
  <c r="M53" i="30" s="1"/>
  <c r="B53" i="30"/>
  <c r="M52" i="30"/>
  <c r="K52" i="30"/>
  <c r="J52" i="30"/>
  <c r="I52" i="30"/>
  <c r="B52" i="30"/>
  <c r="J51" i="30"/>
  <c r="K51" i="30" s="1"/>
  <c r="I51" i="30"/>
  <c r="M51" i="30" s="1"/>
  <c r="B51" i="30"/>
  <c r="J50" i="30"/>
  <c r="K50" i="30" s="1"/>
  <c r="I50" i="30"/>
  <c r="M50" i="30" s="1"/>
  <c r="B50" i="30"/>
  <c r="M49" i="30"/>
  <c r="K49" i="30"/>
  <c r="J49" i="30"/>
  <c r="I49" i="30"/>
  <c r="B49" i="30"/>
  <c r="J48" i="30"/>
  <c r="K48" i="30" s="1"/>
  <c r="I48" i="30"/>
  <c r="M48" i="30" s="1"/>
  <c r="B48" i="30"/>
  <c r="J47" i="30"/>
  <c r="K47" i="30" s="1"/>
  <c r="I47" i="30"/>
  <c r="M47" i="30" s="1"/>
  <c r="B47" i="30"/>
  <c r="T46" i="30"/>
  <c r="R46" i="30"/>
  <c r="U46" i="30" s="1"/>
  <c r="J46" i="30"/>
  <c r="K46" i="30" s="1"/>
  <c r="I46" i="30"/>
  <c r="M46" i="30" s="1"/>
  <c r="B46" i="30"/>
  <c r="M45" i="30"/>
  <c r="J45" i="30"/>
  <c r="K45" i="30" s="1"/>
  <c r="I45" i="30"/>
  <c r="B45" i="30"/>
  <c r="J44" i="30"/>
  <c r="K44" i="30" s="1"/>
  <c r="I44" i="30"/>
  <c r="M44" i="30" s="1"/>
  <c r="B44" i="30"/>
  <c r="M43" i="30"/>
  <c r="K43" i="30"/>
  <c r="J43" i="30"/>
  <c r="I43" i="30"/>
  <c r="B43" i="30"/>
  <c r="J42" i="30"/>
  <c r="K42" i="30" s="1"/>
  <c r="I42" i="30"/>
  <c r="M42" i="30" s="1"/>
  <c r="B42" i="30"/>
  <c r="J41" i="30"/>
  <c r="K41" i="30" s="1"/>
  <c r="I41" i="30"/>
  <c r="M41" i="30" s="1"/>
  <c r="B41" i="30"/>
  <c r="M40" i="30"/>
  <c r="K40" i="30"/>
  <c r="J40" i="30"/>
  <c r="I40" i="30"/>
  <c r="B40" i="30"/>
  <c r="J39" i="30"/>
  <c r="K39" i="30" s="1"/>
  <c r="I39" i="30"/>
  <c r="M39" i="30" s="1"/>
  <c r="B39" i="30"/>
  <c r="J38" i="30"/>
  <c r="K38" i="30" s="1"/>
  <c r="I38" i="30"/>
  <c r="M38" i="30" s="1"/>
  <c r="B38" i="30"/>
  <c r="M37" i="30"/>
  <c r="A37" i="30" s="1"/>
  <c r="J37" i="30"/>
  <c r="K37" i="30" s="1"/>
  <c r="I37" i="30"/>
  <c r="B37" i="30"/>
  <c r="J36" i="30"/>
  <c r="K36" i="30" s="1"/>
  <c r="I36" i="30"/>
  <c r="M36" i="30" s="1"/>
  <c r="A36" i="30" s="1"/>
  <c r="B36" i="30"/>
  <c r="J35" i="30"/>
  <c r="K35" i="30" s="1"/>
  <c r="I35" i="30"/>
  <c r="M35" i="30" s="1"/>
  <c r="A35" i="30" s="1"/>
  <c r="B35" i="30"/>
  <c r="M34" i="30"/>
  <c r="A34" i="30" s="1"/>
  <c r="K34" i="30"/>
  <c r="J34" i="30"/>
  <c r="I34" i="30"/>
  <c r="B34" i="30"/>
  <c r="M33" i="30"/>
  <c r="A33" i="30" s="1"/>
  <c r="J33" i="30"/>
  <c r="K33" i="30" s="1"/>
  <c r="I33" i="30"/>
  <c r="B33" i="30"/>
  <c r="J32" i="30"/>
  <c r="K32" i="30" s="1"/>
  <c r="I32" i="30"/>
  <c r="M32" i="30" s="1"/>
  <c r="A32" i="30" s="1"/>
  <c r="B32" i="30"/>
  <c r="J31" i="30"/>
  <c r="K31" i="30" s="1"/>
  <c r="I31" i="30"/>
  <c r="M31" i="30" s="1"/>
  <c r="A31" i="30" s="1"/>
  <c r="B31" i="30"/>
  <c r="M30" i="30"/>
  <c r="A30" i="30" s="1"/>
  <c r="K30" i="30"/>
  <c r="J30" i="30"/>
  <c r="I30" i="30"/>
  <c r="B30" i="30"/>
  <c r="M29" i="30"/>
  <c r="A29" i="30" s="1"/>
  <c r="J29" i="30"/>
  <c r="K29" i="30" s="1"/>
  <c r="I29" i="30"/>
  <c r="B29" i="30"/>
  <c r="J28" i="30"/>
  <c r="K28" i="30" s="1"/>
  <c r="I28" i="30"/>
  <c r="M28" i="30" s="1"/>
  <c r="A28" i="30" s="1"/>
  <c r="B28" i="30"/>
  <c r="J27" i="30"/>
  <c r="K27" i="30" s="1"/>
  <c r="I27" i="30"/>
  <c r="M27" i="30" s="1"/>
  <c r="A27" i="30" s="1"/>
  <c r="B27" i="30"/>
  <c r="M26" i="30"/>
  <c r="A26" i="30" s="1"/>
  <c r="K26" i="30"/>
  <c r="J26" i="30"/>
  <c r="I26" i="30"/>
  <c r="B26" i="30"/>
  <c r="M25" i="30"/>
  <c r="A25" i="30" s="1"/>
  <c r="J25" i="30"/>
  <c r="K25" i="30" s="1"/>
  <c r="I25" i="30"/>
  <c r="B25" i="30"/>
  <c r="J24" i="30"/>
  <c r="K24" i="30" s="1"/>
  <c r="I24" i="30"/>
  <c r="M24" i="30" s="1"/>
  <c r="A24" i="30" s="1"/>
  <c r="B24" i="30"/>
  <c r="J23" i="30"/>
  <c r="K23" i="30" s="1"/>
  <c r="I23" i="30"/>
  <c r="M23" i="30" s="1"/>
  <c r="A23" i="30" s="1"/>
  <c r="B23" i="30"/>
  <c r="M22" i="30"/>
  <c r="A22" i="30" s="1"/>
  <c r="K22" i="30"/>
  <c r="J22" i="30"/>
  <c r="I22" i="30"/>
  <c r="B22" i="30"/>
  <c r="M21" i="30"/>
  <c r="A21" i="30" s="1"/>
  <c r="J21" i="30"/>
  <c r="K21" i="30" s="1"/>
  <c r="I21" i="30"/>
  <c r="B21" i="30"/>
  <c r="J20" i="30"/>
  <c r="K20" i="30" s="1"/>
  <c r="I20" i="30"/>
  <c r="M20" i="30" s="1"/>
  <c r="A20" i="30" s="1"/>
  <c r="B20" i="30"/>
  <c r="J19" i="30"/>
  <c r="K19" i="30" s="1"/>
  <c r="I19" i="30"/>
  <c r="M19" i="30" s="1"/>
  <c r="A19" i="30" s="1"/>
  <c r="B19" i="30"/>
  <c r="M18" i="30"/>
  <c r="A18" i="30" s="1"/>
  <c r="K18" i="30"/>
  <c r="J18" i="30"/>
  <c r="I18" i="30"/>
  <c r="B18" i="30"/>
  <c r="M17" i="30"/>
  <c r="A17" i="30" s="1"/>
  <c r="J17" i="30"/>
  <c r="K17" i="30" s="1"/>
  <c r="I17" i="30"/>
  <c r="B17" i="30"/>
  <c r="J16" i="30"/>
  <c r="K16" i="30" s="1"/>
  <c r="I16" i="30"/>
  <c r="M16" i="30" s="1"/>
  <c r="A16" i="30" s="1"/>
  <c r="B16" i="30"/>
  <c r="J15" i="30"/>
  <c r="K15" i="30" s="1"/>
  <c r="I15" i="30"/>
  <c r="M15" i="30" s="1"/>
  <c r="A15" i="30" s="1"/>
  <c r="B15" i="30"/>
  <c r="AI14" i="30"/>
  <c r="J14" i="30"/>
  <c r="K14" i="30" s="1"/>
  <c r="I14" i="30"/>
  <c r="M14" i="30" s="1"/>
  <c r="A14" i="30" s="1"/>
  <c r="B14" i="30"/>
  <c r="AI13" i="30"/>
  <c r="J13" i="30"/>
  <c r="K13" i="30" s="1"/>
  <c r="I13" i="30"/>
  <c r="M13" i="30" s="1"/>
  <c r="A13" i="30" s="1"/>
  <c r="B13" i="30"/>
  <c r="AI12" i="30"/>
  <c r="AI16" i="30" s="1"/>
  <c r="M12" i="30"/>
  <c r="A12" i="30" s="1"/>
  <c r="K12" i="30"/>
  <c r="J12" i="30"/>
  <c r="I12" i="30"/>
  <c r="B12" i="30"/>
  <c r="M11" i="30"/>
  <c r="A11" i="30" s="1"/>
  <c r="J11" i="30"/>
  <c r="K11" i="30" s="1"/>
  <c r="I11" i="30"/>
  <c r="B11" i="30"/>
  <c r="J10" i="30"/>
  <c r="K10" i="30" s="1"/>
  <c r="I10" i="30"/>
  <c r="M10" i="30" s="1"/>
  <c r="A10" i="30" s="1"/>
  <c r="B10" i="30"/>
  <c r="J9" i="30"/>
  <c r="K9" i="30" s="1"/>
  <c r="I9" i="30"/>
  <c r="M9" i="30" s="1"/>
  <c r="A9" i="30" s="1"/>
  <c r="B9" i="30"/>
  <c r="M8" i="30"/>
  <c r="A8" i="30" s="1"/>
  <c r="J8" i="30"/>
  <c r="K8" i="30" s="1"/>
  <c r="I8" i="30"/>
  <c r="B8" i="30"/>
  <c r="M7" i="30"/>
  <c r="A7" i="30" s="1"/>
  <c r="L7" i="30"/>
  <c r="K7" i="30"/>
  <c r="J7" i="30"/>
  <c r="I7" i="30"/>
  <c r="B7" i="30"/>
  <c r="M6" i="30"/>
  <c r="A6" i="30" s="1"/>
  <c r="L6" i="30"/>
  <c r="K6" i="30"/>
  <c r="J6" i="30"/>
  <c r="I6" i="30"/>
  <c r="B6" i="30"/>
  <c r="K2" i="30"/>
  <c r="L8" i="30" s="1"/>
  <c r="J305" i="29"/>
  <c r="K305" i="29" s="1"/>
  <c r="I305" i="29"/>
  <c r="M305" i="29" s="1"/>
  <c r="J304" i="29"/>
  <c r="K304" i="29" s="1"/>
  <c r="I304" i="29"/>
  <c r="M304" i="29" s="1"/>
  <c r="J303" i="29"/>
  <c r="K303" i="29" s="1"/>
  <c r="I303" i="29"/>
  <c r="M303" i="29" s="1"/>
  <c r="K302" i="29"/>
  <c r="J302" i="29"/>
  <c r="I302" i="29"/>
  <c r="M302" i="29" s="1"/>
  <c r="J301" i="29"/>
  <c r="K301" i="29" s="1"/>
  <c r="I301" i="29"/>
  <c r="M301" i="29" s="1"/>
  <c r="M300" i="29"/>
  <c r="K300" i="29"/>
  <c r="J300" i="29"/>
  <c r="I300" i="29"/>
  <c r="J299" i="29"/>
  <c r="K299" i="29" s="1"/>
  <c r="I299" i="29"/>
  <c r="M299" i="29" s="1"/>
  <c r="J298" i="29"/>
  <c r="K298" i="29" s="1"/>
  <c r="I298" i="29"/>
  <c r="M298" i="29" s="1"/>
  <c r="J297" i="29"/>
  <c r="K297" i="29" s="1"/>
  <c r="I297" i="29"/>
  <c r="M297" i="29" s="1"/>
  <c r="J296" i="29"/>
  <c r="K296" i="29" s="1"/>
  <c r="I296" i="29"/>
  <c r="M296" i="29" s="1"/>
  <c r="J295" i="29"/>
  <c r="K295" i="29" s="1"/>
  <c r="I295" i="29"/>
  <c r="M295" i="29" s="1"/>
  <c r="M294" i="29"/>
  <c r="K294" i="29"/>
  <c r="J294" i="29"/>
  <c r="I294" i="29"/>
  <c r="J293" i="29"/>
  <c r="K293" i="29" s="1"/>
  <c r="I293" i="29"/>
  <c r="M293" i="29" s="1"/>
  <c r="M292" i="29"/>
  <c r="K292" i="29"/>
  <c r="J292" i="29"/>
  <c r="I292" i="29"/>
  <c r="J291" i="29"/>
  <c r="K291" i="29" s="1"/>
  <c r="I291" i="29"/>
  <c r="M291" i="29" s="1"/>
  <c r="J290" i="29"/>
  <c r="K290" i="29" s="1"/>
  <c r="I290" i="29"/>
  <c r="M290" i="29" s="1"/>
  <c r="J289" i="29"/>
  <c r="K289" i="29" s="1"/>
  <c r="I289" i="29"/>
  <c r="M289" i="29" s="1"/>
  <c r="J288" i="29"/>
  <c r="K288" i="29" s="1"/>
  <c r="I288" i="29"/>
  <c r="M288" i="29" s="1"/>
  <c r="J287" i="29"/>
  <c r="K287" i="29" s="1"/>
  <c r="I287" i="29"/>
  <c r="M287" i="29" s="1"/>
  <c r="M286" i="29"/>
  <c r="K286" i="29"/>
  <c r="J286" i="29"/>
  <c r="I286" i="29"/>
  <c r="J285" i="29"/>
  <c r="K285" i="29" s="1"/>
  <c r="I285" i="29"/>
  <c r="M285" i="29" s="1"/>
  <c r="M284" i="29"/>
  <c r="K284" i="29"/>
  <c r="J284" i="29"/>
  <c r="I284" i="29"/>
  <c r="J283" i="29"/>
  <c r="K283" i="29" s="1"/>
  <c r="I283" i="29"/>
  <c r="M283" i="29" s="1"/>
  <c r="J282" i="29"/>
  <c r="K282" i="29" s="1"/>
  <c r="I282" i="29"/>
  <c r="M282" i="29" s="1"/>
  <c r="J281" i="29"/>
  <c r="K281" i="29" s="1"/>
  <c r="I281" i="29"/>
  <c r="M281" i="29" s="1"/>
  <c r="J280" i="29"/>
  <c r="K280" i="29" s="1"/>
  <c r="I280" i="29"/>
  <c r="M280" i="29" s="1"/>
  <c r="J279" i="29"/>
  <c r="K279" i="29" s="1"/>
  <c r="I279" i="29"/>
  <c r="M279" i="29" s="1"/>
  <c r="M278" i="29"/>
  <c r="K278" i="29"/>
  <c r="J278" i="29"/>
  <c r="I278" i="29"/>
  <c r="J277" i="29"/>
  <c r="K277" i="29" s="1"/>
  <c r="I277" i="29"/>
  <c r="M277" i="29" s="1"/>
  <c r="M276" i="29"/>
  <c r="K276" i="29"/>
  <c r="J276" i="29"/>
  <c r="I276" i="29"/>
  <c r="J275" i="29"/>
  <c r="K275" i="29" s="1"/>
  <c r="I275" i="29"/>
  <c r="M275" i="29" s="1"/>
  <c r="J274" i="29"/>
  <c r="K274" i="29" s="1"/>
  <c r="I274" i="29"/>
  <c r="M274" i="29" s="1"/>
  <c r="J273" i="29"/>
  <c r="K273" i="29" s="1"/>
  <c r="I273" i="29"/>
  <c r="M273" i="29" s="1"/>
  <c r="J272" i="29"/>
  <c r="K272" i="29" s="1"/>
  <c r="I272" i="29"/>
  <c r="M272" i="29" s="1"/>
  <c r="J271" i="29"/>
  <c r="K271" i="29" s="1"/>
  <c r="I271" i="29"/>
  <c r="M271" i="29" s="1"/>
  <c r="M270" i="29"/>
  <c r="K270" i="29"/>
  <c r="J270" i="29"/>
  <c r="I270" i="29"/>
  <c r="J269" i="29"/>
  <c r="K269" i="29" s="1"/>
  <c r="I269" i="29"/>
  <c r="M269" i="29" s="1"/>
  <c r="M268" i="29"/>
  <c r="K268" i="29"/>
  <c r="J268" i="29"/>
  <c r="I268" i="29"/>
  <c r="J267" i="29"/>
  <c r="K267" i="29" s="1"/>
  <c r="I267" i="29"/>
  <c r="M267" i="29" s="1"/>
  <c r="K266" i="29"/>
  <c r="J266" i="29"/>
  <c r="I266" i="29"/>
  <c r="M266" i="29" s="1"/>
  <c r="J265" i="29"/>
  <c r="K265" i="29" s="1"/>
  <c r="I265" i="29"/>
  <c r="M265" i="29" s="1"/>
  <c r="J264" i="29"/>
  <c r="K264" i="29" s="1"/>
  <c r="I264" i="29"/>
  <c r="M264" i="29" s="1"/>
  <c r="J263" i="29"/>
  <c r="K263" i="29" s="1"/>
  <c r="I263" i="29"/>
  <c r="M263" i="29" s="1"/>
  <c r="M262" i="29"/>
  <c r="K262" i="29"/>
  <c r="J262" i="29"/>
  <c r="I262" i="29"/>
  <c r="J261" i="29"/>
  <c r="K261" i="29" s="1"/>
  <c r="I261" i="29"/>
  <c r="M261" i="29" s="1"/>
  <c r="M260" i="29"/>
  <c r="K260" i="29"/>
  <c r="J260" i="29"/>
  <c r="I260" i="29"/>
  <c r="J259" i="29"/>
  <c r="K259" i="29" s="1"/>
  <c r="I259" i="29"/>
  <c r="M259" i="29" s="1"/>
  <c r="K258" i="29"/>
  <c r="J258" i="29"/>
  <c r="I258" i="29"/>
  <c r="M258" i="29" s="1"/>
  <c r="J257" i="29"/>
  <c r="K257" i="29" s="1"/>
  <c r="I257" i="29"/>
  <c r="M257" i="29" s="1"/>
  <c r="J256" i="29"/>
  <c r="K256" i="29" s="1"/>
  <c r="I256" i="29"/>
  <c r="M256" i="29" s="1"/>
  <c r="J255" i="29"/>
  <c r="K255" i="29" s="1"/>
  <c r="I255" i="29"/>
  <c r="M255" i="29" s="1"/>
  <c r="M254" i="29"/>
  <c r="K254" i="29"/>
  <c r="J254" i="29"/>
  <c r="I254" i="29"/>
  <c r="J253" i="29"/>
  <c r="K253" i="29" s="1"/>
  <c r="I253" i="29"/>
  <c r="M253" i="29" s="1"/>
  <c r="M252" i="29"/>
  <c r="K252" i="29"/>
  <c r="J252" i="29"/>
  <c r="I252" i="29"/>
  <c r="J251" i="29"/>
  <c r="K251" i="29" s="1"/>
  <c r="I251" i="29"/>
  <c r="M251" i="29" s="1"/>
  <c r="K250" i="29"/>
  <c r="J250" i="29"/>
  <c r="I250" i="29"/>
  <c r="M250" i="29" s="1"/>
  <c r="J249" i="29"/>
  <c r="K249" i="29" s="1"/>
  <c r="I249" i="29"/>
  <c r="M249" i="29" s="1"/>
  <c r="J248" i="29"/>
  <c r="K248" i="29" s="1"/>
  <c r="I248" i="29"/>
  <c r="M248" i="29" s="1"/>
  <c r="J247" i="29"/>
  <c r="K247" i="29" s="1"/>
  <c r="I247" i="29"/>
  <c r="M247" i="29" s="1"/>
  <c r="M246" i="29"/>
  <c r="K246" i="29"/>
  <c r="J246" i="29"/>
  <c r="I246" i="29"/>
  <c r="J245" i="29"/>
  <c r="K245" i="29" s="1"/>
  <c r="I245" i="29"/>
  <c r="M245" i="29" s="1"/>
  <c r="M244" i="29"/>
  <c r="K244" i="29"/>
  <c r="J244" i="29"/>
  <c r="I244" i="29"/>
  <c r="J243" i="29"/>
  <c r="K243" i="29" s="1"/>
  <c r="I243" i="29"/>
  <c r="M243" i="29" s="1"/>
  <c r="J242" i="29"/>
  <c r="K242" i="29" s="1"/>
  <c r="I242" i="29"/>
  <c r="M242" i="29" s="1"/>
  <c r="J241" i="29"/>
  <c r="K241" i="29" s="1"/>
  <c r="I241" i="29"/>
  <c r="M241" i="29" s="1"/>
  <c r="J240" i="29"/>
  <c r="K240" i="29" s="1"/>
  <c r="I240" i="29"/>
  <c r="M240" i="29" s="1"/>
  <c r="J239" i="29"/>
  <c r="K239" i="29" s="1"/>
  <c r="I239" i="29"/>
  <c r="M239" i="29" s="1"/>
  <c r="M238" i="29"/>
  <c r="K238" i="29"/>
  <c r="J238" i="29"/>
  <c r="I238" i="29"/>
  <c r="J237" i="29"/>
  <c r="K237" i="29" s="1"/>
  <c r="I237" i="29"/>
  <c r="M237" i="29" s="1"/>
  <c r="M236" i="29"/>
  <c r="K236" i="29"/>
  <c r="J236" i="29"/>
  <c r="I236" i="29"/>
  <c r="J235" i="29"/>
  <c r="K235" i="29" s="1"/>
  <c r="I235" i="29"/>
  <c r="M235" i="29" s="1"/>
  <c r="J234" i="29"/>
  <c r="K234" i="29" s="1"/>
  <c r="I234" i="29"/>
  <c r="M234" i="29" s="1"/>
  <c r="J233" i="29"/>
  <c r="K233" i="29" s="1"/>
  <c r="I233" i="29"/>
  <c r="M233" i="29" s="1"/>
  <c r="J232" i="29"/>
  <c r="K232" i="29" s="1"/>
  <c r="I232" i="29"/>
  <c r="M232" i="29" s="1"/>
  <c r="J231" i="29"/>
  <c r="K231" i="29" s="1"/>
  <c r="I231" i="29"/>
  <c r="M231" i="29" s="1"/>
  <c r="M230" i="29"/>
  <c r="K230" i="29"/>
  <c r="J230" i="29"/>
  <c r="I230" i="29"/>
  <c r="J229" i="29"/>
  <c r="K229" i="29" s="1"/>
  <c r="I229" i="29"/>
  <c r="M229" i="29" s="1"/>
  <c r="M228" i="29"/>
  <c r="K228" i="29"/>
  <c r="J228" i="29"/>
  <c r="I228" i="29"/>
  <c r="J227" i="29"/>
  <c r="K227" i="29" s="1"/>
  <c r="I227" i="29"/>
  <c r="M227" i="29" s="1"/>
  <c r="J226" i="29"/>
  <c r="K226" i="29" s="1"/>
  <c r="I226" i="29"/>
  <c r="M226" i="29" s="1"/>
  <c r="J225" i="29"/>
  <c r="K225" i="29" s="1"/>
  <c r="I225" i="29"/>
  <c r="M225" i="29" s="1"/>
  <c r="J224" i="29"/>
  <c r="K224" i="29" s="1"/>
  <c r="I224" i="29"/>
  <c r="M224" i="29" s="1"/>
  <c r="J223" i="29"/>
  <c r="K223" i="29" s="1"/>
  <c r="I223" i="29"/>
  <c r="M223" i="29" s="1"/>
  <c r="M222" i="29"/>
  <c r="K222" i="29"/>
  <c r="J222" i="29"/>
  <c r="I222" i="29"/>
  <c r="J221" i="29"/>
  <c r="K221" i="29" s="1"/>
  <c r="I221" i="29"/>
  <c r="M221" i="29" s="1"/>
  <c r="M220" i="29"/>
  <c r="K220" i="29"/>
  <c r="J220" i="29"/>
  <c r="I220" i="29"/>
  <c r="J219" i="29"/>
  <c r="K219" i="29" s="1"/>
  <c r="I219" i="29"/>
  <c r="M219" i="29" s="1"/>
  <c r="J218" i="29"/>
  <c r="K218" i="29" s="1"/>
  <c r="I218" i="29"/>
  <c r="M218" i="29" s="1"/>
  <c r="J217" i="29"/>
  <c r="K217" i="29" s="1"/>
  <c r="I217" i="29"/>
  <c r="M217" i="29" s="1"/>
  <c r="J216" i="29"/>
  <c r="K216" i="29" s="1"/>
  <c r="I216" i="29"/>
  <c r="M216" i="29" s="1"/>
  <c r="J215" i="29"/>
  <c r="K215" i="29" s="1"/>
  <c r="I215" i="29"/>
  <c r="M215" i="29" s="1"/>
  <c r="M214" i="29"/>
  <c r="K214" i="29"/>
  <c r="J214" i="29"/>
  <c r="I214" i="29"/>
  <c r="J213" i="29"/>
  <c r="K213" i="29" s="1"/>
  <c r="I213" i="29"/>
  <c r="M213" i="29" s="1"/>
  <c r="M212" i="29"/>
  <c r="K212" i="29"/>
  <c r="J212" i="29"/>
  <c r="I212" i="29"/>
  <c r="J211" i="29"/>
  <c r="K211" i="29" s="1"/>
  <c r="I211" i="29"/>
  <c r="M211" i="29" s="1"/>
  <c r="J210" i="29"/>
  <c r="K210" i="29" s="1"/>
  <c r="I210" i="29"/>
  <c r="M210" i="29" s="1"/>
  <c r="J209" i="29"/>
  <c r="K209" i="29" s="1"/>
  <c r="I209" i="29"/>
  <c r="M209" i="29" s="1"/>
  <c r="J208" i="29"/>
  <c r="K208" i="29" s="1"/>
  <c r="I208" i="29"/>
  <c r="M208" i="29" s="1"/>
  <c r="J207" i="29"/>
  <c r="K207" i="29" s="1"/>
  <c r="I207" i="29"/>
  <c r="M207" i="29" s="1"/>
  <c r="M206" i="29"/>
  <c r="K206" i="29"/>
  <c r="J206" i="29"/>
  <c r="I206" i="29"/>
  <c r="J205" i="29"/>
  <c r="K205" i="29" s="1"/>
  <c r="I205" i="29"/>
  <c r="M205" i="29" s="1"/>
  <c r="M204" i="29"/>
  <c r="K204" i="29"/>
  <c r="J204" i="29"/>
  <c r="I204" i="29"/>
  <c r="J203" i="29"/>
  <c r="K203" i="29" s="1"/>
  <c r="I203" i="29"/>
  <c r="M203" i="29" s="1"/>
  <c r="K202" i="29"/>
  <c r="J202" i="29"/>
  <c r="I202" i="29"/>
  <c r="M202" i="29" s="1"/>
  <c r="J201" i="29"/>
  <c r="K201" i="29" s="1"/>
  <c r="I201" i="29"/>
  <c r="M201" i="29" s="1"/>
  <c r="J200" i="29"/>
  <c r="K200" i="29" s="1"/>
  <c r="I200" i="29"/>
  <c r="M200" i="29" s="1"/>
  <c r="J199" i="29"/>
  <c r="K199" i="29" s="1"/>
  <c r="I199" i="29"/>
  <c r="M199" i="29" s="1"/>
  <c r="M198" i="29"/>
  <c r="K198" i="29"/>
  <c r="J198" i="29"/>
  <c r="I198" i="29"/>
  <c r="J197" i="29"/>
  <c r="K197" i="29" s="1"/>
  <c r="I197" i="29"/>
  <c r="M197" i="29" s="1"/>
  <c r="M196" i="29"/>
  <c r="K196" i="29"/>
  <c r="J196" i="29"/>
  <c r="I196" i="29"/>
  <c r="J195" i="29"/>
  <c r="K195" i="29" s="1"/>
  <c r="I195" i="29"/>
  <c r="M195" i="29" s="1"/>
  <c r="K194" i="29"/>
  <c r="J194" i="29"/>
  <c r="I194" i="29"/>
  <c r="M194" i="29" s="1"/>
  <c r="J193" i="29"/>
  <c r="K193" i="29" s="1"/>
  <c r="I193" i="29"/>
  <c r="M193" i="29" s="1"/>
  <c r="J192" i="29"/>
  <c r="K192" i="29" s="1"/>
  <c r="I192" i="29"/>
  <c r="M192" i="29" s="1"/>
  <c r="J191" i="29"/>
  <c r="K191" i="29" s="1"/>
  <c r="I191" i="29"/>
  <c r="M191" i="29" s="1"/>
  <c r="M190" i="29"/>
  <c r="K190" i="29"/>
  <c r="J190" i="29"/>
  <c r="I190" i="29"/>
  <c r="J189" i="29"/>
  <c r="K189" i="29" s="1"/>
  <c r="I189" i="29"/>
  <c r="M189" i="29" s="1"/>
  <c r="M188" i="29"/>
  <c r="K188" i="29"/>
  <c r="J188" i="29"/>
  <c r="I188" i="29"/>
  <c r="J187" i="29"/>
  <c r="K187" i="29" s="1"/>
  <c r="I187" i="29"/>
  <c r="M187" i="29" s="1"/>
  <c r="K186" i="29"/>
  <c r="J186" i="29"/>
  <c r="I186" i="29"/>
  <c r="M186" i="29" s="1"/>
  <c r="J185" i="29"/>
  <c r="K185" i="29" s="1"/>
  <c r="I185" i="29"/>
  <c r="M185" i="29" s="1"/>
  <c r="J184" i="29"/>
  <c r="K184" i="29" s="1"/>
  <c r="I184" i="29"/>
  <c r="M184" i="29" s="1"/>
  <c r="J183" i="29"/>
  <c r="K183" i="29" s="1"/>
  <c r="I183" i="29"/>
  <c r="M183" i="29" s="1"/>
  <c r="M182" i="29"/>
  <c r="K182" i="29"/>
  <c r="J182" i="29"/>
  <c r="I182" i="29"/>
  <c r="J181" i="29"/>
  <c r="K181" i="29" s="1"/>
  <c r="I181" i="29"/>
  <c r="M181" i="29" s="1"/>
  <c r="M180" i="29"/>
  <c r="K180" i="29"/>
  <c r="J180" i="29"/>
  <c r="I180" i="29"/>
  <c r="J179" i="29"/>
  <c r="K179" i="29" s="1"/>
  <c r="I179" i="29"/>
  <c r="M179" i="29" s="1"/>
  <c r="K178" i="29"/>
  <c r="J178" i="29"/>
  <c r="I178" i="29"/>
  <c r="M178" i="29" s="1"/>
  <c r="J177" i="29"/>
  <c r="K177" i="29" s="1"/>
  <c r="I177" i="29"/>
  <c r="M177" i="29" s="1"/>
  <c r="J176" i="29"/>
  <c r="K176" i="29" s="1"/>
  <c r="I176" i="29"/>
  <c r="M176" i="29" s="1"/>
  <c r="J175" i="29"/>
  <c r="K175" i="29" s="1"/>
  <c r="I175" i="29"/>
  <c r="M175" i="29" s="1"/>
  <c r="M174" i="29"/>
  <c r="K174" i="29"/>
  <c r="J174" i="29"/>
  <c r="I174" i="29"/>
  <c r="J173" i="29"/>
  <c r="K173" i="29" s="1"/>
  <c r="I173" i="29"/>
  <c r="M173" i="29" s="1"/>
  <c r="M172" i="29"/>
  <c r="K172" i="29"/>
  <c r="J172" i="29"/>
  <c r="I172" i="29"/>
  <c r="J171" i="29"/>
  <c r="K171" i="29" s="1"/>
  <c r="I171" i="29"/>
  <c r="M171" i="29" s="1"/>
  <c r="J170" i="29"/>
  <c r="K170" i="29" s="1"/>
  <c r="I170" i="29"/>
  <c r="M170" i="29" s="1"/>
  <c r="J169" i="29"/>
  <c r="K169" i="29" s="1"/>
  <c r="I169" i="29"/>
  <c r="M169" i="29" s="1"/>
  <c r="J168" i="29"/>
  <c r="K168" i="29" s="1"/>
  <c r="I168" i="29"/>
  <c r="M168" i="29" s="1"/>
  <c r="J167" i="29"/>
  <c r="K167" i="29" s="1"/>
  <c r="I167" i="29"/>
  <c r="M167" i="29" s="1"/>
  <c r="M166" i="29"/>
  <c r="K166" i="29"/>
  <c r="J166" i="29"/>
  <c r="I166" i="29"/>
  <c r="J165" i="29"/>
  <c r="K165" i="29" s="1"/>
  <c r="I165" i="29"/>
  <c r="M165" i="29" s="1"/>
  <c r="M164" i="29"/>
  <c r="K164" i="29"/>
  <c r="J164" i="29"/>
  <c r="I164" i="29"/>
  <c r="J163" i="29"/>
  <c r="K163" i="29" s="1"/>
  <c r="I163" i="29"/>
  <c r="M163" i="29" s="1"/>
  <c r="M162" i="29"/>
  <c r="J162" i="29"/>
  <c r="K162" i="29" s="1"/>
  <c r="I162" i="29"/>
  <c r="J161" i="29"/>
  <c r="K161" i="29" s="1"/>
  <c r="I161" i="29"/>
  <c r="M161" i="29" s="1"/>
  <c r="J160" i="29"/>
  <c r="K160" i="29" s="1"/>
  <c r="I160" i="29"/>
  <c r="M160" i="29" s="1"/>
  <c r="J159" i="29"/>
  <c r="K159" i="29" s="1"/>
  <c r="I159" i="29"/>
  <c r="M159" i="29" s="1"/>
  <c r="M158" i="29"/>
  <c r="K158" i="29"/>
  <c r="J158" i="29"/>
  <c r="I158" i="29"/>
  <c r="J157" i="29"/>
  <c r="K157" i="29" s="1"/>
  <c r="I157" i="29"/>
  <c r="M157" i="29" s="1"/>
  <c r="M156" i="29"/>
  <c r="K156" i="29"/>
  <c r="J156" i="29"/>
  <c r="I156" i="29"/>
  <c r="J155" i="29"/>
  <c r="K155" i="29" s="1"/>
  <c r="I155" i="29"/>
  <c r="M155" i="29" s="1"/>
  <c r="M154" i="29"/>
  <c r="K154" i="29"/>
  <c r="J154" i="29"/>
  <c r="I154" i="29"/>
  <c r="J153" i="29"/>
  <c r="K153" i="29" s="1"/>
  <c r="I153" i="29"/>
  <c r="M153" i="29" s="1"/>
  <c r="J152" i="29"/>
  <c r="K152" i="29" s="1"/>
  <c r="I152" i="29"/>
  <c r="M152" i="29" s="1"/>
  <c r="J151" i="29"/>
  <c r="K151" i="29" s="1"/>
  <c r="I151" i="29"/>
  <c r="M151" i="29" s="1"/>
  <c r="M150" i="29"/>
  <c r="K150" i="29"/>
  <c r="J150" i="29"/>
  <c r="I150" i="29"/>
  <c r="J149" i="29"/>
  <c r="K149" i="29" s="1"/>
  <c r="I149" i="29"/>
  <c r="M149" i="29" s="1"/>
  <c r="M148" i="29"/>
  <c r="K148" i="29"/>
  <c r="J148" i="29"/>
  <c r="I148" i="29"/>
  <c r="J147" i="29"/>
  <c r="K147" i="29" s="1"/>
  <c r="I147" i="29"/>
  <c r="M147" i="29" s="1"/>
  <c r="J146" i="29"/>
  <c r="K146" i="29" s="1"/>
  <c r="I146" i="29"/>
  <c r="M146" i="29" s="1"/>
  <c r="J145" i="29"/>
  <c r="K145" i="29" s="1"/>
  <c r="I145" i="29"/>
  <c r="M145" i="29" s="1"/>
  <c r="J144" i="29"/>
  <c r="K144" i="29" s="1"/>
  <c r="I144" i="29"/>
  <c r="M144" i="29" s="1"/>
  <c r="J143" i="29"/>
  <c r="K143" i="29" s="1"/>
  <c r="I143" i="29"/>
  <c r="M143" i="29" s="1"/>
  <c r="M142" i="29"/>
  <c r="K142" i="29"/>
  <c r="J142" i="29"/>
  <c r="I142" i="29"/>
  <c r="J141" i="29"/>
  <c r="K141" i="29" s="1"/>
  <c r="I141" i="29"/>
  <c r="M141" i="29" s="1"/>
  <c r="M140" i="29"/>
  <c r="K140" i="29"/>
  <c r="J140" i="29"/>
  <c r="I140" i="29"/>
  <c r="J139" i="29"/>
  <c r="K139" i="29" s="1"/>
  <c r="I139" i="29"/>
  <c r="M139" i="29" s="1"/>
  <c r="J138" i="29"/>
  <c r="K138" i="29" s="1"/>
  <c r="I138" i="29"/>
  <c r="M138" i="29" s="1"/>
  <c r="J137" i="29"/>
  <c r="K137" i="29" s="1"/>
  <c r="I137" i="29"/>
  <c r="M137" i="29" s="1"/>
  <c r="K136" i="29"/>
  <c r="J136" i="29"/>
  <c r="I136" i="29"/>
  <c r="M136" i="29" s="1"/>
  <c r="M135" i="29"/>
  <c r="J135" i="29"/>
  <c r="K135" i="29" s="1"/>
  <c r="I135" i="29"/>
  <c r="J134" i="29"/>
  <c r="K134" i="29" s="1"/>
  <c r="I134" i="29"/>
  <c r="M134" i="29" s="1"/>
  <c r="M133" i="29"/>
  <c r="J133" i="29"/>
  <c r="K133" i="29" s="1"/>
  <c r="I133" i="29"/>
  <c r="J132" i="29"/>
  <c r="K132" i="29" s="1"/>
  <c r="I132" i="29"/>
  <c r="M132" i="29" s="1"/>
  <c r="M131" i="29"/>
  <c r="J131" i="29"/>
  <c r="K131" i="29" s="1"/>
  <c r="I131" i="29"/>
  <c r="K130" i="29"/>
  <c r="J130" i="29"/>
  <c r="I130" i="29"/>
  <c r="M130" i="29" s="1"/>
  <c r="M129" i="29"/>
  <c r="J129" i="29"/>
  <c r="K129" i="29" s="1"/>
  <c r="I129" i="29"/>
  <c r="K128" i="29"/>
  <c r="J128" i="29"/>
  <c r="I128" i="29"/>
  <c r="M128" i="29" s="1"/>
  <c r="M127" i="29"/>
  <c r="J127" i="29"/>
  <c r="K127" i="29" s="1"/>
  <c r="I127" i="29"/>
  <c r="J126" i="29"/>
  <c r="K126" i="29" s="1"/>
  <c r="I126" i="29"/>
  <c r="M126" i="29" s="1"/>
  <c r="M125" i="29"/>
  <c r="J125" i="29"/>
  <c r="K125" i="29" s="1"/>
  <c r="I125" i="29"/>
  <c r="J124" i="29"/>
  <c r="K124" i="29" s="1"/>
  <c r="I124" i="29"/>
  <c r="M124" i="29" s="1"/>
  <c r="M123" i="29"/>
  <c r="J123" i="29"/>
  <c r="K123" i="29" s="1"/>
  <c r="I123" i="29"/>
  <c r="K122" i="29"/>
  <c r="J122" i="29"/>
  <c r="I122" i="29"/>
  <c r="M122" i="29" s="1"/>
  <c r="M121" i="29"/>
  <c r="J121" i="29"/>
  <c r="K121" i="29" s="1"/>
  <c r="I121" i="29"/>
  <c r="K120" i="29"/>
  <c r="J120" i="29"/>
  <c r="I120" i="29"/>
  <c r="M120" i="29" s="1"/>
  <c r="M119" i="29"/>
  <c r="J119" i="29"/>
  <c r="K119" i="29" s="1"/>
  <c r="I119" i="29"/>
  <c r="J118" i="29"/>
  <c r="K118" i="29" s="1"/>
  <c r="I118" i="29"/>
  <c r="M118" i="29" s="1"/>
  <c r="M117" i="29"/>
  <c r="J117" i="29"/>
  <c r="K117" i="29" s="1"/>
  <c r="I117" i="29"/>
  <c r="J116" i="29"/>
  <c r="K116" i="29" s="1"/>
  <c r="I116" i="29"/>
  <c r="M116" i="29" s="1"/>
  <c r="M115" i="29"/>
  <c r="J115" i="29"/>
  <c r="K115" i="29" s="1"/>
  <c r="I115" i="29"/>
  <c r="K114" i="29"/>
  <c r="J114" i="29"/>
  <c r="I114" i="29"/>
  <c r="M114" i="29" s="1"/>
  <c r="M113" i="29"/>
  <c r="J113" i="29"/>
  <c r="K113" i="29" s="1"/>
  <c r="I113" i="29"/>
  <c r="K112" i="29"/>
  <c r="J112" i="29"/>
  <c r="I112" i="29"/>
  <c r="M112" i="29" s="1"/>
  <c r="M111" i="29"/>
  <c r="J111" i="29"/>
  <c r="K111" i="29" s="1"/>
  <c r="I111" i="29"/>
  <c r="J110" i="29"/>
  <c r="K110" i="29" s="1"/>
  <c r="I110" i="29"/>
  <c r="M110" i="29" s="1"/>
  <c r="M109" i="29"/>
  <c r="J109" i="29"/>
  <c r="K109" i="29" s="1"/>
  <c r="I109" i="29"/>
  <c r="J108" i="29"/>
  <c r="K108" i="29" s="1"/>
  <c r="I108" i="29"/>
  <c r="M108" i="29" s="1"/>
  <c r="M107" i="29"/>
  <c r="J107" i="29"/>
  <c r="K107" i="29" s="1"/>
  <c r="I107" i="29"/>
  <c r="K106" i="29"/>
  <c r="J106" i="29"/>
  <c r="I106" i="29"/>
  <c r="M106" i="29" s="1"/>
  <c r="M105" i="29"/>
  <c r="J105" i="29"/>
  <c r="K105" i="29" s="1"/>
  <c r="I105" i="29"/>
  <c r="K104" i="29"/>
  <c r="J104" i="29"/>
  <c r="I104" i="29"/>
  <c r="M104" i="29" s="1"/>
  <c r="M103" i="29"/>
  <c r="J103" i="29"/>
  <c r="K103" i="29" s="1"/>
  <c r="I103" i="29"/>
  <c r="J102" i="29"/>
  <c r="K102" i="29" s="1"/>
  <c r="I102" i="29"/>
  <c r="M102" i="29" s="1"/>
  <c r="M101" i="29"/>
  <c r="J101" i="29"/>
  <c r="K101" i="29" s="1"/>
  <c r="I101" i="29"/>
  <c r="J100" i="29"/>
  <c r="K100" i="29" s="1"/>
  <c r="I100" i="29"/>
  <c r="M100" i="29" s="1"/>
  <c r="M99" i="29"/>
  <c r="J99" i="29"/>
  <c r="K99" i="29" s="1"/>
  <c r="I99" i="29"/>
  <c r="K98" i="29"/>
  <c r="J98" i="29"/>
  <c r="I98" i="29"/>
  <c r="M98" i="29" s="1"/>
  <c r="M97" i="29"/>
  <c r="J97" i="29"/>
  <c r="K97" i="29" s="1"/>
  <c r="I97" i="29"/>
  <c r="K96" i="29"/>
  <c r="J96" i="29"/>
  <c r="I96" i="29"/>
  <c r="M96" i="29" s="1"/>
  <c r="M95" i="29"/>
  <c r="J95" i="29"/>
  <c r="K95" i="29" s="1"/>
  <c r="I95" i="29"/>
  <c r="J94" i="29"/>
  <c r="K94" i="29" s="1"/>
  <c r="I94" i="29"/>
  <c r="M94" i="29" s="1"/>
  <c r="M93" i="29"/>
  <c r="J93" i="29"/>
  <c r="K93" i="29" s="1"/>
  <c r="I93" i="29"/>
  <c r="J92" i="29"/>
  <c r="K92" i="29" s="1"/>
  <c r="I92" i="29"/>
  <c r="M92" i="29" s="1"/>
  <c r="M91" i="29"/>
  <c r="J91" i="29"/>
  <c r="K91" i="29" s="1"/>
  <c r="I91" i="29"/>
  <c r="K90" i="29"/>
  <c r="J90" i="29"/>
  <c r="I90" i="29"/>
  <c r="M90" i="29" s="1"/>
  <c r="M89" i="29"/>
  <c r="J89" i="29"/>
  <c r="K89" i="29" s="1"/>
  <c r="I89" i="29"/>
  <c r="K88" i="29"/>
  <c r="J88" i="29"/>
  <c r="I88" i="29"/>
  <c r="M88" i="29" s="1"/>
  <c r="M87" i="29"/>
  <c r="J87" i="29"/>
  <c r="K87" i="29" s="1"/>
  <c r="I87" i="29"/>
  <c r="J86" i="29"/>
  <c r="K86" i="29" s="1"/>
  <c r="I86" i="29"/>
  <c r="M86" i="29" s="1"/>
  <c r="M85" i="29"/>
  <c r="J85" i="29"/>
  <c r="K85" i="29" s="1"/>
  <c r="I85" i="29"/>
  <c r="J84" i="29"/>
  <c r="K84" i="29" s="1"/>
  <c r="I84" i="29"/>
  <c r="M84" i="29" s="1"/>
  <c r="M83" i="29"/>
  <c r="J83" i="29"/>
  <c r="K83" i="29" s="1"/>
  <c r="I83" i="29"/>
  <c r="K82" i="29"/>
  <c r="J82" i="29"/>
  <c r="I82" i="29"/>
  <c r="M82" i="29" s="1"/>
  <c r="M81" i="29"/>
  <c r="J81" i="29"/>
  <c r="K81" i="29" s="1"/>
  <c r="I81" i="29"/>
  <c r="K80" i="29"/>
  <c r="J80" i="29"/>
  <c r="I80" i="29"/>
  <c r="M80" i="29" s="1"/>
  <c r="M79" i="29"/>
  <c r="J79" i="29"/>
  <c r="K79" i="29" s="1"/>
  <c r="I79" i="29"/>
  <c r="J78" i="29"/>
  <c r="K78" i="29" s="1"/>
  <c r="I78" i="29"/>
  <c r="M78" i="29" s="1"/>
  <c r="M77" i="29"/>
  <c r="J77" i="29"/>
  <c r="K77" i="29" s="1"/>
  <c r="I77" i="29"/>
  <c r="J76" i="29"/>
  <c r="K76" i="29" s="1"/>
  <c r="I76" i="29"/>
  <c r="M76" i="29" s="1"/>
  <c r="M75" i="29"/>
  <c r="J75" i="29"/>
  <c r="K75" i="29" s="1"/>
  <c r="I75" i="29"/>
  <c r="K74" i="29"/>
  <c r="J74" i="29"/>
  <c r="I74" i="29"/>
  <c r="M74" i="29" s="1"/>
  <c r="M73" i="29"/>
  <c r="J73" i="29"/>
  <c r="K73" i="29" s="1"/>
  <c r="I73" i="29"/>
  <c r="K72" i="29"/>
  <c r="J72" i="29"/>
  <c r="I72" i="29"/>
  <c r="M72" i="29" s="1"/>
  <c r="M71" i="29"/>
  <c r="J71" i="29"/>
  <c r="K71" i="29" s="1"/>
  <c r="I71" i="29"/>
  <c r="J70" i="29"/>
  <c r="K70" i="29" s="1"/>
  <c r="I70" i="29"/>
  <c r="M70" i="29" s="1"/>
  <c r="M69" i="29"/>
  <c r="J69" i="29"/>
  <c r="K69" i="29" s="1"/>
  <c r="I69" i="29"/>
  <c r="J68" i="29"/>
  <c r="K68" i="29" s="1"/>
  <c r="I68" i="29"/>
  <c r="M68" i="29" s="1"/>
  <c r="M67" i="29"/>
  <c r="J67" i="29"/>
  <c r="K67" i="29" s="1"/>
  <c r="I67" i="29"/>
  <c r="K66" i="29"/>
  <c r="J66" i="29"/>
  <c r="I66" i="29"/>
  <c r="M66" i="29" s="1"/>
  <c r="M65" i="29"/>
  <c r="J65" i="29"/>
  <c r="K65" i="29" s="1"/>
  <c r="I65" i="29"/>
  <c r="B65" i="29"/>
  <c r="K64" i="29"/>
  <c r="J64" i="29"/>
  <c r="I64" i="29"/>
  <c r="M64" i="29" s="1"/>
  <c r="B64" i="29"/>
  <c r="M63" i="29"/>
  <c r="K63" i="29"/>
  <c r="J63" i="29"/>
  <c r="I63" i="29"/>
  <c r="B63" i="29"/>
  <c r="K62" i="29"/>
  <c r="J62" i="29"/>
  <c r="I62" i="29"/>
  <c r="M62" i="29" s="1"/>
  <c r="B62" i="29"/>
  <c r="K61" i="29"/>
  <c r="J61" i="29"/>
  <c r="I61" i="29"/>
  <c r="M61" i="29" s="1"/>
  <c r="B61" i="29"/>
  <c r="M60" i="29"/>
  <c r="K60" i="29"/>
  <c r="J60" i="29"/>
  <c r="I60" i="29"/>
  <c r="B60" i="29"/>
  <c r="M59" i="29"/>
  <c r="K59" i="29"/>
  <c r="J59" i="29"/>
  <c r="I59" i="29"/>
  <c r="B59" i="29"/>
  <c r="J58" i="29"/>
  <c r="K58" i="29" s="1"/>
  <c r="I58" i="29"/>
  <c r="M58" i="29" s="1"/>
  <c r="B58" i="29"/>
  <c r="M57" i="29"/>
  <c r="J57" i="29"/>
  <c r="K57" i="29" s="1"/>
  <c r="I57" i="29"/>
  <c r="B57" i="29"/>
  <c r="M56" i="29"/>
  <c r="J56" i="29"/>
  <c r="K56" i="29" s="1"/>
  <c r="I56" i="29"/>
  <c r="B56" i="29"/>
  <c r="K55" i="29"/>
  <c r="J55" i="29"/>
  <c r="I55" i="29"/>
  <c r="M55" i="29" s="1"/>
  <c r="B55" i="29"/>
  <c r="M54" i="29"/>
  <c r="K54" i="29"/>
  <c r="J54" i="29"/>
  <c r="I54" i="29"/>
  <c r="B54" i="29"/>
  <c r="J53" i="29"/>
  <c r="K53" i="29" s="1"/>
  <c r="I53" i="29"/>
  <c r="M53" i="29" s="1"/>
  <c r="B53" i="29"/>
  <c r="M52" i="29"/>
  <c r="K52" i="29"/>
  <c r="J52" i="29"/>
  <c r="I52" i="29"/>
  <c r="B52" i="29"/>
  <c r="M51" i="29"/>
  <c r="J51" i="29"/>
  <c r="K51" i="29" s="1"/>
  <c r="I51" i="29"/>
  <c r="B51" i="29"/>
  <c r="J50" i="29"/>
  <c r="K50" i="29" s="1"/>
  <c r="I50" i="29"/>
  <c r="M50" i="29" s="1"/>
  <c r="B50" i="29"/>
  <c r="M49" i="29"/>
  <c r="J49" i="29"/>
  <c r="K49" i="29" s="1"/>
  <c r="I49" i="29"/>
  <c r="B49" i="29"/>
  <c r="K48" i="29"/>
  <c r="J48" i="29"/>
  <c r="I48" i="29"/>
  <c r="M48" i="29" s="1"/>
  <c r="B48" i="29"/>
  <c r="M47" i="29"/>
  <c r="K47" i="29"/>
  <c r="J47" i="29"/>
  <c r="I47" i="29"/>
  <c r="B47" i="29"/>
  <c r="T46" i="29"/>
  <c r="U46" i="29" s="1"/>
  <c r="R46" i="29"/>
  <c r="M46" i="29"/>
  <c r="K46" i="29"/>
  <c r="J46" i="29"/>
  <c r="I46" i="29"/>
  <c r="B46" i="29"/>
  <c r="K45" i="29"/>
  <c r="J45" i="29"/>
  <c r="I45" i="29"/>
  <c r="M45" i="29" s="1"/>
  <c r="B45" i="29"/>
  <c r="K44" i="29"/>
  <c r="J44" i="29"/>
  <c r="I44" i="29"/>
  <c r="M44" i="29" s="1"/>
  <c r="B44" i="29"/>
  <c r="M43" i="29"/>
  <c r="K43" i="29"/>
  <c r="J43" i="29"/>
  <c r="I43" i="29"/>
  <c r="B43" i="29"/>
  <c r="M42" i="29"/>
  <c r="K42" i="29"/>
  <c r="J42" i="29"/>
  <c r="I42" i="29"/>
  <c r="B42" i="29"/>
  <c r="J41" i="29"/>
  <c r="K41" i="29" s="1"/>
  <c r="I41" i="29"/>
  <c r="M41" i="29" s="1"/>
  <c r="B41" i="29"/>
  <c r="M40" i="29"/>
  <c r="J40" i="29"/>
  <c r="K40" i="29" s="1"/>
  <c r="I40" i="29"/>
  <c r="B40" i="29"/>
  <c r="M39" i="29"/>
  <c r="J39" i="29"/>
  <c r="K39" i="29" s="1"/>
  <c r="I39" i="29"/>
  <c r="B39" i="29"/>
  <c r="M38" i="29"/>
  <c r="K38" i="29"/>
  <c r="J38" i="29"/>
  <c r="I38" i="29"/>
  <c r="B38" i="29"/>
  <c r="M37" i="29"/>
  <c r="A37" i="29" s="1"/>
  <c r="K37" i="29"/>
  <c r="J37" i="29"/>
  <c r="I37" i="29"/>
  <c r="B37" i="29"/>
  <c r="J36" i="29"/>
  <c r="K36" i="29" s="1"/>
  <c r="I36" i="29"/>
  <c r="M36" i="29" s="1"/>
  <c r="A36" i="29" s="1"/>
  <c r="B36" i="29"/>
  <c r="J35" i="29"/>
  <c r="K35" i="29" s="1"/>
  <c r="I35" i="29"/>
  <c r="M35" i="29" s="1"/>
  <c r="B35" i="29"/>
  <c r="A35" i="29"/>
  <c r="M34" i="29"/>
  <c r="K34" i="29"/>
  <c r="J34" i="29"/>
  <c r="I34" i="29"/>
  <c r="B34" i="29"/>
  <c r="A34" i="29"/>
  <c r="K33" i="29"/>
  <c r="J33" i="29"/>
  <c r="I33" i="29"/>
  <c r="M33" i="29" s="1"/>
  <c r="A33" i="29" s="1"/>
  <c r="B33" i="29"/>
  <c r="K32" i="29"/>
  <c r="J32" i="29"/>
  <c r="I32" i="29"/>
  <c r="M32" i="29" s="1"/>
  <c r="A32" i="29" s="1"/>
  <c r="B32" i="29"/>
  <c r="J31" i="29"/>
  <c r="K31" i="29" s="1"/>
  <c r="I31" i="29"/>
  <c r="M31" i="29" s="1"/>
  <c r="B31" i="29"/>
  <c r="A31" i="29"/>
  <c r="M30" i="29"/>
  <c r="K30" i="29"/>
  <c r="J30" i="29"/>
  <c r="I30" i="29"/>
  <c r="B30" i="29"/>
  <c r="A30" i="29"/>
  <c r="K29" i="29"/>
  <c r="J29" i="29"/>
  <c r="I29" i="29"/>
  <c r="M29" i="29" s="1"/>
  <c r="A29" i="29" s="1"/>
  <c r="B29" i="29"/>
  <c r="M28" i="29"/>
  <c r="A28" i="29" s="1"/>
  <c r="K28" i="29"/>
  <c r="J28" i="29"/>
  <c r="I28" i="29"/>
  <c r="B28" i="29"/>
  <c r="J27" i="29"/>
  <c r="K27" i="29" s="1"/>
  <c r="I27" i="29"/>
  <c r="M27" i="29" s="1"/>
  <c r="B27" i="29"/>
  <c r="A27" i="29"/>
  <c r="M26" i="29"/>
  <c r="K26" i="29"/>
  <c r="J26" i="29"/>
  <c r="I26" i="29"/>
  <c r="B26" i="29"/>
  <c r="A26" i="29"/>
  <c r="M25" i="29"/>
  <c r="A25" i="29" s="1"/>
  <c r="K25" i="29"/>
  <c r="J25" i="29"/>
  <c r="I25" i="29"/>
  <c r="B25" i="29"/>
  <c r="J24" i="29"/>
  <c r="K24" i="29" s="1"/>
  <c r="I24" i="29"/>
  <c r="M24" i="29" s="1"/>
  <c r="A24" i="29" s="1"/>
  <c r="B24" i="29"/>
  <c r="J23" i="29"/>
  <c r="K23" i="29" s="1"/>
  <c r="I23" i="29"/>
  <c r="M23" i="29" s="1"/>
  <c r="A23" i="29" s="1"/>
  <c r="B23" i="29"/>
  <c r="M22" i="29"/>
  <c r="K22" i="29"/>
  <c r="J22" i="29"/>
  <c r="I22" i="29"/>
  <c r="B22" i="29"/>
  <c r="A22" i="29"/>
  <c r="K21" i="29"/>
  <c r="J21" i="29"/>
  <c r="I21" i="29"/>
  <c r="M21" i="29" s="1"/>
  <c r="A21" i="29" s="1"/>
  <c r="B21" i="29"/>
  <c r="M20" i="29"/>
  <c r="J20" i="29"/>
  <c r="K20" i="29" s="1"/>
  <c r="I20" i="29"/>
  <c r="B20" i="29"/>
  <c r="A20" i="29"/>
  <c r="J19" i="29"/>
  <c r="K19" i="29" s="1"/>
  <c r="I19" i="29"/>
  <c r="M19" i="29" s="1"/>
  <c r="A19" i="29" s="1"/>
  <c r="B19" i="29"/>
  <c r="M18" i="29"/>
  <c r="K18" i="29"/>
  <c r="J18" i="29"/>
  <c r="I18" i="29"/>
  <c r="B18" i="29"/>
  <c r="A18" i="29"/>
  <c r="M17" i="29"/>
  <c r="A17" i="29" s="1"/>
  <c r="K17" i="29"/>
  <c r="J17" i="29"/>
  <c r="I17" i="29"/>
  <c r="B17" i="29"/>
  <c r="M16" i="29"/>
  <c r="A16" i="29" s="1"/>
  <c r="K16" i="29"/>
  <c r="J16" i="29"/>
  <c r="I16" i="29"/>
  <c r="B16" i="29"/>
  <c r="J15" i="29"/>
  <c r="K15" i="29" s="1"/>
  <c r="I15" i="29"/>
  <c r="M15" i="29" s="1"/>
  <c r="A15" i="29" s="1"/>
  <c r="B15" i="29"/>
  <c r="AI14" i="29"/>
  <c r="AI16" i="29" s="1"/>
  <c r="J14" i="29"/>
  <c r="K14" i="29" s="1"/>
  <c r="I14" i="29"/>
  <c r="M14" i="29" s="1"/>
  <c r="A14" i="29" s="1"/>
  <c r="B14" i="29"/>
  <c r="AI13" i="29"/>
  <c r="M13" i="29"/>
  <c r="K13" i="29"/>
  <c r="J13" i="29"/>
  <c r="I13" i="29"/>
  <c r="B13" i="29"/>
  <c r="A13" i="29"/>
  <c r="AI12" i="29"/>
  <c r="M12" i="29"/>
  <c r="K12" i="29"/>
  <c r="J12" i="29"/>
  <c r="I12" i="29"/>
  <c r="B12" i="29"/>
  <c r="A12" i="29"/>
  <c r="M11" i="29"/>
  <c r="A11" i="29" s="1"/>
  <c r="K11" i="29"/>
  <c r="J11" i="29"/>
  <c r="I11" i="29"/>
  <c r="B11" i="29"/>
  <c r="M10" i="29"/>
  <c r="A10" i="29" s="1"/>
  <c r="J10" i="29"/>
  <c r="K10" i="29" s="1"/>
  <c r="I10" i="29"/>
  <c r="B10" i="29"/>
  <c r="J9" i="29"/>
  <c r="K9" i="29" s="1"/>
  <c r="I9" i="29"/>
  <c r="M9" i="29" s="1"/>
  <c r="A9" i="29" s="1"/>
  <c r="B9" i="29"/>
  <c r="L8" i="29"/>
  <c r="K8" i="29"/>
  <c r="J8" i="29"/>
  <c r="I8" i="29"/>
  <c r="M8" i="29" s="1"/>
  <c r="B8" i="29"/>
  <c r="A8" i="29"/>
  <c r="M7" i="29"/>
  <c r="A7" i="29" s="1"/>
  <c r="K7" i="29"/>
  <c r="J7" i="29"/>
  <c r="I7" i="29"/>
  <c r="B7" i="29"/>
  <c r="M6" i="29"/>
  <c r="L6" i="29"/>
  <c r="J6" i="29"/>
  <c r="K6" i="29" s="1"/>
  <c r="I6" i="29"/>
  <c r="B6" i="29"/>
  <c r="A6" i="29"/>
  <c r="K2" i="29"/>
  <c r="L7" i="29" s="1"/>
  <c r="B6" i="17"/>
  <c r="B40" i="28"/>
  <c r="B39" i="28"/>
  <c r="B38" i="28"/>
  <c r="B37" i="28"/>
  <c r="B36" i="28"/>
  <c r="B35" i="28"/>
  <c r="B34" i="28"/>
  <c r="B33" i="28"/>
  <c r="B32" i="28"/>
  <c r="B31" i="28"/>
  <c r="B30" i="28"/>
  <c r="B29" i="28"/>
  <c r="B28" i="28"/>
  <c r="B27" i="28"/>
  <c r="B26" i="28"/>
  <c r="B25" i="28"/>
  <c r="B24" i="28"/>
  <c r="B23" i="28"/>
  <c r="B22" i="28"/>
  <c r="B21" i="28"/>
  <c r="B20" i="28"/>
  <c r="B19" i="28"/>
  <c r="B18" i="28"/>
  <c r="B17" i="28"/>
  <c r="B16" i="28"/>
  <c r="B15" i="28"/>
  <c r="B14" i="28"/>
  <c r="B13" i="28"/>
  <c r="B12" i="28"/>
  <c r="B11" i="28"/>
  <c r="B10" i="28"/>
  <c r="B9" i="28"/>
  <c r="B8" i="28"/>
  <c r="B7" i="28"/>
  <c r="B6" i="28"/>
  <c r="A6" i="15"/>
  <c r="S305" i="15"/>
  <c r="T305" i="15" s="1"/>
  <c r="R305" i="15"/>
  <c r="V305" i="15" s="1"/>
  <c r="S304" i="15"/>
  <c r="T304" i="15" s="1"/>
  <c r="R304" i="15"/>
  <c r="V304" i="15" s="1"/>
  <c r="S303" i="15"/>
  <c r="T303" i="15" s="1"/>
  <c r="R303" i="15"/>
  <c r="V303" i="15" s="1"/>
  <c r="S302" i="15"/>
  <c r="T302" i="15" s="1"/>
  <c r="R302" i="15"/>
  <c r="V302" i="15" s="1"/>
  <c r="S301" i="15"/>
  <c r="T301" i="15" s="1"/>
  <c r="R301" i="15"/>
  <c r="V301" i="15" s="1"/>
  <c r="S300" i="15"/>
  <c r="T300" i="15" s="1"/>
  <c r="R300" i="15"/>
  <c r="V300" i="15" s="1"/>
  <c r="S299" i="15"/>
  <c r="T299" i="15" s="1"/>
  <c r="R299" i="15"/>
  <c r="V299" i="15" s="1"/>
  <c r="S298" i="15"/>
  <c r="T298" i="15" s="1"/>
  <c r="R298" i="15"/>
  <c r="V298" i="15" s="1"/>
  <c r="S297" i="15"/>
  <c r="T297" i="15" s="1"/>
  <c r="R297" i="15"/>
  <c r="V297" i="15" s="1"/>
  <c r="S296" i="15"/>
  <c r="T296" i="15" s="1"/>
  <c r="R296" i="15"/>
  <c r="V296" i="15" s="1"/>
  <c r="S295" i="15"/>
  <c r="T295" i="15" s="1"/>
  <c r="R295" i="15"/>
  <c r="V295" i="15" s="1"/>
  <c r="S294" i="15"/>
  <c r="T294" i="15" s="1"/>
  <c r="R294" i="15"/>
  <c r="V294" i="15" s="1"/>
  <c r="S293" i="15"/>
  <c r="T293" i="15" s="1"/>
  <c r="R293" i="15"/>
  <c r="V293" i="15" s="1"/>
  <c r="S292" i="15"/>
  <c r="T292" i="15" s="1"/>
  <c r="R292" i="15"/>
  <c r="V292" i="15" s="1"/>
  <c r="S291" i="15"/>
  <c r="T291" i="15" s="1"/>
  <c r="R291" i="15"/>
  <c r="V291" i="15" s="1"/>
  <c r="S290" i="15"/>
  <c r="T290" i="15" s="1"/>
  <c r="R290" i="15"/>
  <c r="V290" i="15" s="1"/>
  <c r="S289" i="15"/>
  <c r="T289" i="15" s="1"/>
  <c r="R289" i="15"/>
  <c r="V289" i="15" s="1"/>
  <c r="S288" i="15"/>
  <c r="T288" i="15" s="1"/>
  <c r="R288" i="15"/>
  <c r="V288" i="15" s="1"/>
  <c r="S287" i="15"/>
  <c r="T287" i="15" s="1"/>
  <c r="R287" i="15"/>
  <c r="V287" i="15" s="1"/>
  <c r="S286" i="15"/>
  <c r="T286" i="15" s="1"/>
  <c r="R286" i="15"/>
  <c r="V286" i="15" s="1"/>
  <c r="S285" i="15"/>
  <c r="T285" i="15" s="1"/>
  <c r="R285" i="15"/>
  <c r="V285" i="15" s="1"/>
  <c r="S284" i="15"/>
  <c r="T284" i="15" s="1"/>
  <c r="R284" i="15"/>
  <c r="V284" i="15" s="1"/>
  <c r="S283" i="15"/>
  <c r="T283" i="15" s="1"/>
  <c r="R283" i="15"/>
  <c r="V283" i="15" s="1"/>
  <c r="S282" i="15"/>
  <c r="T282" i="15" s="1"/>
  <c r="R282" i="15"/>
  <c r="V282" i="15" s="1"/>
  <c r="S281" i="15"/>
  <c r="T281" i="15" s="1"/>
  <c r="R281" i="15"/>
  <c r="V281" i="15" s="1"/>
  <c r="S280" i="15"/>
  <c r="T280" i="15" s="1"/>
  <c r="R280" i="15"/>
  <c r="V280" i="15" s="1"/>
  <c r="S279" i="15"/>
  <c r="T279" i="15" s="1"/>
  <c r="R279" i="15"/>
  <c r="V279" i="15" s="1"/>
  <c r="S278" i="15"/>
  <c r="T278" i="15" s="1"/>
  <c r="R278" i="15"/>
  <c r="V278" i="15" s="1"/>
  <c r="S277" i="15"/>
  <c r="T277" i="15" s="1"/>
  <c r="R277" i="15"/>
  <c r="V277" i="15" s="1"/>
  <c r="S276" i="15"/>
  <c r="T276" i="15" s="1"/>
  <c r="R276" i="15"/>
  <c r="V276" i="15" s="1"/>
  <c r="S275" i="15"/>
  <c r="T275" i="15" s="1"/>
  <c r="R275" i="15"/>
  <c r="V275" i="15" s="1"/>
  <c r="S274" i="15"/>
  <c r="T274" i="15" s="1"/>
  <c r="R274" i="15"/>
  <c r="V274" i="15" s="1"/>
  <c r="S273" i="15"/>
  <c r="T273" i="15" s="1"/>
  <c r="R273" i="15"/>
  <c r="V273" i="15" s="1"/>
  <c r="S272" i="15"/>
  <c r="T272" i="15" s="1"/>
  <c r="R272" i="15"/>
  <c r="V272" i="15" s="1"/>
  <c r="S271" i="15"/>
  <c r="T271" i="15" s="1"/>
  <c r="R271" i="15"/>
  <c r="V271" i="15" s="1"/>
  <c r="S270" i="15"/>
  <c r="T270" i="15" s="1"/>
  <c r="R270" i="15"/>
  <c r="V270" i="15" s="1"/>
  <c r="S269" i="15"/>
  <c r="T269" i="15" s="1"/>
  <c r="R269" i="15"/>
  <c r="V269" i="15" s="1"/>
  <c r="S268" i="15"/>
  <c r="T268" i="15" s="1"/>
  <c r="R268" i="15"/>
  <c r="V268" i="15" s="1"/>
  <c r="S267" i="15"/>
  <c r="T267" i="15" s="1"/>
  <c r="R267" i="15"/>
  <c r="V267" i="15" s="1"/>
  <c r="S266" i="15"/>
  <c r="T266" i="15" s="1"/>
  <c r="R266" i="15"/>
  <c r="V266" i="15" s="1"/>
  <c r="S265" i="15"/>
  <c r="T265" i="15" s="1"/>
  <c r="R265" i="15"/>
  <c r="V265" i="15" s="1"/>
  <c r="S264" i="15"/>
  <c r="T264" i="15" s="1"/>
  <c r="R264" i="15"/>
  <c r="V264" i="15" s="1"/>
  <c r="S263" i="15"/>
  <c r="T263" i="15" s="1"/>
  <c r="R263" i="15"/>
  <c r="V263" i="15" s="1"/>
  <c r="S262" i="15"/>
  <c r="T262" i="15" s="1"/>
  <c r="R262" i="15"/>
  <c r="V262" i="15" s="1"/>
  <c r="S261" i="15"/>
  <c r="T261" i="15" s="1"/>
  <c r="R261" i="15"/>
  <c r="V261" i="15" s="1"/>
  <c r="S260" i="15"/>
  <c r="T260" i="15" s="1"/>
  <c r="R260" i="15"/>
  <c r="V260" i="15" s="1"/>
  <c r="S259" i="15"/>
  <c r="T259" i="15" s="1"/>
  <c r="R259" i="15"/>
  <c r="V259" i="15" s="1"/>
  <c r="S258" i="15"/>
  <c r="T258" i="15" s="1"/>
  <c r="R258" i="15"/>
  <c r="V258" i="15" s="1"/>
  <c r="S257" i="15"/>
  <c r="T257" i="15" s="1"/>
  <c r="R257" i="15"/>
  <c r="V257" i="15" s="1"/>
  <c r="S256" i="15"/>
  <c r="T256" i="15" s="1"/>
  <c r="R256" i="15"/>
  <c r="V256" i="15" s="1"/>
  <c r="S255" i="15"/>
  <c r="T255" i="15" s="1"/>
  <c r="R255" i="15"/>
  <c r="V255" i="15" s="1"/>
  <c r="S254" i="15"/>
  <c r="T254" i="15" s="1"/>
  <c r="R254" i="15"/>
  <c r="V254" i="15" s="1"/>
  <c r="S253" i="15"/>
  <c r="T253" i="15" s="1"/>
  <c r="R253" i="15"/>
  <c r="V253" i="15" s="1"/>
  <c r="S252" i="15"/>
  <c r="T252" i="15" s="1"/>
  <c r="R252" i="15"/>
  <c r="V252" i="15" s="1"/>
  <c r="S251" i="15"/>
  <c r="T251" i="15" s="1"/>
  <c r="R251" i="15"/>
  <c r="V251" i="15" s="1"/>
  <c r="S250" i="15"/>
  <c r="T250" i="15" s="1"/>
  <c r="R250" i="15"/>
  <c r="V250" i="15" s="1"/>
  <c r="S249" i="15"/>
  <c r="T249" i="15" s="1"/>
  <c r="R249" i="15"/>
  <c r="V249" i="15" s="1"/>
  <c r="S248" i="15"/>
  <c r="T248" i="15" s="1"/>
  <c r="R248" i="15"/>
  <c r="V248" i="15" s="1"/>
  <c r="S247" i="15"/>
  <c r="T247" i="15" s="1"/>
  <c r="R247" i="15"/>
  <c r="V247" i="15" s="1"/>
  <c r="S246" i="15"/>
  <c r="T246" i="15" s="1"/>
  <c r="R246" i="15"/>
  <c r="V246" i="15" s="1"/>
  <c r="S245" i="15"/>
  <c r="T245" i="15" s="1"/>
  <c r="R245" i="15"/>
  <c r="V245" i="15" s="1"/>
  <c r="S244" i="15"/>
  <c r="T244" i="15" s="1"/>
  <c r="R244" i="15"/>
  <c r="V244" i="15" s="1"/>
  <c r="S243" i="15"/>
  <c r="T243" i="15" s="1"/>
  <c r="R243" i="15"/>
  <c r="V243" i="15" s="1"/>
  <c r="S242" i="15"/>
  <c r="T242" i="15" s="1"/>
  <c r="R242" i="15"/>
  <c r="V242" i="15" s="1"/>
  <c r="S241" i="15"/>
  <c r="T241" i="15" s="1"/>
  <c r="R241" i="15"/>
  <c r="V241" i="15" s="1"/>
  <c r="S240" i="15"/>
  <c r="T240" i="15" s="1"/>
  <c r="R240" i="15"/>
  <c r="V240" i="15" s="1"/>
  <c r="S239" i="15"/>
  <c r="T239" i="15" s="1"/>
  <c r="R239" i="15"/>
  <c r="V239" i="15" s="1"/>
  <c r="S238" i="15"/>
  <c r="T238" i="15" s="1"/>
  <c r="R238" i="15"/>
  <c r="V238" i="15" s="1"/>
  <c r="S237" i="15"/>
  <c r="T237" i="15" s="1"/>
  <c r="R237" i="15"/>
  <c r="V237" i="15" s="1"/>
  <c r="S236" i="15"/>
  <c r="T236" i="15" s="1"/>
  <c r="R236" i="15"/>
  <c r="V236" i="15" s="1"/>
  <c r="S235" i="15"/>
  <c r="T235" i="15" s="1"/>
  <c r="R235" i="15"/>
  <c r="V235" i="15" s="1"/>
  <c r="S234" i="15"/>
  <c r="T234" i="15" s="1"/>
  <c r="R234" i="15"/>
  <c r="V234" i="15" s="1"/>
  <c r="S233" i="15"/>
  <c r="T233" i="15" s="1"/>
  <c r="R233" i="15"/>
  <c r="V233" i="15" s="1"/>
  <c r="S232" i="15"/>
  <c r="T232" i="15" s="1"/>
  <c r="R232" i="15"/>
  <c r="V232" i="15" s="1"/>
  <c r="S231" i="15"/>
  <c r="T231" i="15" s="1"/>
  <c r="R231" i="15"/>
  <c r="V231" i="15" s="1"/>
  <c r="S230" i="15"/>
  <c r="T230" i="15" s="1"/>
  <c r="R230" i="15"/>
  <c r="V230" i="15" s="1"/>
  <c r="S229" i="15"/>
  <c r="T229" i="15" s="1"/>
  <c r="R229" i="15"/>
  <c r="V229" i="15" s="1"/>
  <c r="S228" i="15"/>
  <c r="T228" i="15" s="1"/>
  <c r="R228" i="15"/>
  <c r="V228" i="15" s="1"/>
  <c r="S227" i="15"/>
  <c r="T227" i="15" s="1"/>
  <c r="R227" i="15"/>
  <c r="V227" i="15" s="1"/>
  <c r="S226" i="15"/>
  <c r="T226" i="15" s="1"/>
  <c r="R226" i="15"/>
  <c r="V226" i="15" s="1"/>
  <c r="S225" i="15"/>
  <c r="T225" i="15" s="1"/>
  <c r="R225" i="15"/>
  <c r="V225" i="15" s="1"/>
  <c r="S224" i="15"/>
  <c r="T224" i="15" s="1"/>
  <c r="R224" i="15"/>
  <c r="V224" i="15" s="1"/>
  <c r="S223" i="15"/>
  <c r="T223" i="15" s="1"/>
  <c r="R223" i="15"/>
  <c r="V223" i="15" s="1"/>
  <c r="S222" i="15"/>
  <c r="T222" i="15" s="1"/>
  <c r="R222" i="15"/>
  <c r="V222" i="15" s="1"/>
  <c r="S221" i="15"/>
  <c r="T221" i="15" s="1"/>
  <c r="R221" i="15"/>
  <c r="V221" i="15" s="1"/>
  <c r="S220" i="15"/>
  <c r="T220" i="15" s="1"/>
  <c r="R220" i="15"/>
  <c r="V220" i="15" s="1"/>
  <c r="S219" i="15"/>
  <c r="T219" i="15" s="1"/>
  <c r="R219" i="15"/>
  <c r="V219" i="15" s="1"/>
  <c r="S218" i="15"/>
  <c r="T218" i="15" s="1"/>
  <c r="R218" i="15"/>
  <c r="V218" i="15" s="1"/>
  <c r="S217" i="15"/>
  <c r="T217" i="15" s="1"/>
  <c r="R217" i="15"/>
  <c r="V217" i="15" s="1"/>
  <c r="S216" i="15"/>
  <c r="T216" i="15" s="1"/>
  <c r="R216" i="15"/>
  <c r="V216" i="15" s="1"/>
  <c r="S215" i="15"/>
  <c r="T215" i="15" s="1"/>
  <c r="R215" i="15"/>
  <c r="V215" i="15" s="1"/>
  <c r="S214" i="15"/>
  <c r="T214" i="15" s="1"/>
  <c r="R214" i="15"/>
  <c r="V214" i="15" s="1"/>
  <c r="S213" i="15"/>
  <c r="T213" i="15" s="1"/>
  <c r="R213" i="15"/>
  <c r="V213" i="15" s="1"/>
  <c r="S212" i="15"/>
  <c r="T212" i="15" s="1"/>
  <c r="R212" i="15"/>
  <c r="V212" i="15" s="1"/>
  <c r="S211" i="15"/>
  <c r="T211" i="15" s="1"/>
  <c r="R211" i="15"/>
  <c r="V211" i="15" s="1"/>
  <c r="S210" i="15"/>
  <c r="T210" i="15" s="1"/>
  <c r="R210" i="15"/>
  <c r="V210" i="15" s="1"/>
  <c r="S209" i="15"/>
  <c r="T209" i="15" s="1"/>
  <c r="R209" i="15"/>
  <c r="V209" i="15" s="1"/>
  <c r="S208" i="15"/>
  <c r="T208" i="15" s="1"/>
  <c r="R208" i="15"/>
  <c r="V208" i="15" s="1"/>
  <c r="S207" i="15"/>
  <c r="T207" i="15" s="1"/>
  <c r="R207" i="15"/>
  <c r="V207" i="15" s="1"/>
  <c r="S206" i="15"/>
  <c r="T206" i="15" s="1"/>
  <c r="R206" i="15"/>
  <c r="V206" i="15" s="1"/>
  <c r="S205" i="15"/>
  <c r="T205" i="15" s="1"/>
  <c r="R205" i="15"/>
  <c r="V205" i="15" s="1"/>
  <c r="S204" i="15"/>
  <c r="T204" i="15" s="1"/>
  <c r="R204" i="15"/>
  <c r="V204" i="15" s="1"/>
  <c r="S203" i="15"/>
  <c r="T203" i="15" s="1"/>
  <c r="R203" i="15"/>
  <c r="V203" i="15" s="1"/>
  <c r="S202" i="15"/>
  <c r="T202" i="15" s="1"/>
  <c r="R202" i="15"/>
  <c r="V202" i="15" s="1"/>
  <c r="S201" i="15"/>
  <c r="T201" i="15" s="1"/>
  <c r="R201" i="15"/>
  <c r="V201" i="15" s="1"/>
  <c r="S200" i="15"/>
  <c r="T200" i="15" s="1"/>
  <c r="R200" i="15"/>
  <c r="V200" i="15" s="1"/>
  <c r="S199" i="15"/>
  <c r="T199" i="15" s="1"/>
  <c r="R199" i="15"/>
  <c r="V199" i="15" s="1"/>
  <c r="S198" i="15"/>
  <c r="T198" i="15" s="1"/>
  <c r="R198" i="15"/>
  <c r="V198" i="15" s="1"/>
  <c r="S197" i="15"/>
  <c r="T197" i="15" s="1"/>
  <c r="R197" i="15"/>
  <c r="V197" i="15" s="1"/>
  <c r="S196" i="15"/>
  <c r="T196" i="15" s="1"/>
  <c r="R196" i="15"/>
  <c r="V196" i="15" s="1"/>
  <c r="S195" i="15"/>
  <c r="T195" i="15" s="1"/>
  <c r="R195" i="15"/>
  <c r="V195" i="15" s="1"/>
  <c r="S194" i="15"/>
  <c r="T194" i="15" s="1"/>
  <c r="R194" i="15"/>
  <c r="V194" i="15" s="1"/>
  <c r="S193" i="15"/>
  <c r="T193" i="15" s="1"/>
  <c r="R193" i="15"/>
  <c r="V193" i="15" s="1"/>
  <c r="S192" i="15"/>
  <c r="T192" i="15" s="1"/>
  <c r="R192" i="15"/>
  <c r="V192" i="15" s="1"/>
  <c r="S191" i="15"/>
  <c r="T191" i="15" s="1"/>
  <c r="R191" i="15"/>
  <c r="V191" i="15" s="1"/>
  <c r="S190" i="15"/>
  <c r="T190" i="15" s="1"/>
  <c r="R190" i="15"/>
  <c r="V190" i="15" s="1"/>
  <c r="S189" i="15"/>
  <c r="T189" i="15" s="1"/>
  <c r="R189" i="15"/>
  <c r="V189" i="15" s="1"/>
  <c r="S188" i="15"/>
  <c r="T188" i="15" s="1"/>
  <c r="R188" i="15"/>
  <c r="V188" i="15" s="1"/>
  <c r="S187" i="15"/>
  <c r="T187" i="15" s="1"/>
  <c r="R187" i="15"/>
  <c r="V187" i="15" s="1"/>
  <c r="S186" i="15"/>
  <c r="T186" i="15" s="1"/>
  <c r="R186" i="15"/>
  <c r="V186" i="15" s="1"/>
  <c r="S185" i="15"/>
  <c r="T185" i="15" s="1"/>
  <c r="R185" i="15"/>
  <c r="V185" i="15" s="1"/>
  <c r="S184" i="15"/>
  <c r="T184" i="15" s="1"/>
  <c r="R184" i="15"/>
  <c r="V184" i="15" s="1"/>
  <c r="S183" i="15"/>
  <c r="T183" i="15" s="1"/>
  <c r="R183" i="15"/>
  <c r="V183" i="15" s="1"/>
  <c r="S182" i="15"/>
  <c r="T182" i="15" s="1"/>
  <c r="R182" i="15"/>
  <c r="V182" i="15" s="1"/>
  <c r="S181" i="15"/>
  <c r="T181" i="15" s="1"/>
  <c r="R181" i="15"/>
  <c r="V181" i="15" s="1"/>
  <c r="S180" i="15"/>
  <c r="T180" i="15" s="1"/>
  <c r="R180" i="15"/>
  <c r="V180" i="15" s="1"/>
  <c r="S179" i="15"/>
  <c r="T179" i="15" s="1"/>
  <c r="R179" i="15"/>
  <c r="V179" i="15" s="1"/>
  <c r="S178" i="15"/>
  <c r="T178" i="15" s="1"/>
  <c r="R178" i="15"/>
  <c r="V178" i="15" s="1"/>
  <c r="S177" i="15"/>
  <c r="T177" i="15" s="1"/>
  <c r="R177" i="15"/>
  <c r="V177" i="15" s="1"/>
  <c r="S176" i="15"/>
  <c r="T176" i="15" s="1"/>
  <c r="R176" i="15"/>
  <c r="V176" i="15" s="1"/>
  <c r="S175" i="15"/>
  <c r="T175" i="15" s="1"/>
  <c r="R175" i="15"/>
  <c r="V175" i="15" s="1"/>
  <c r="S174" i="15"/>
  <c r="T174" i="15" s="1"/>
  <c r="R174" i="15"/>
  <c r="V174" i="15" s="1"/>
  <c r="S173" i="15"/>
  <c r="T173" i="15" s="1"/>
  <c r="R173" i="15"/>
  <c r="V173" i="15" s="1"/>
  <c r="S172" i="15"/>
  <c r="T172" i="15" s="1"/>
  <c r="R172" i="15"/>
  <c r="V172" i="15" s="1"/>
  <c r="S171" i="15"/>
  <c r="T171" i="15" s="1"/>
  <c r="R171" i="15"/>
  <c r="V171" i="15" s="1"/>
  <c r="S170" i="15"/>
  <c r="T170" i="15" s="1"/>
  <c r="R170" i="15"/>
  <c r="V170" i="15" s="1"/>
  <c r="S169" i="15"/>
  <c r="T169" i="15" s="1"/>
  <c r="R169" i="15"/>
  <c r="V169" i="15" s="1"/>
  <c r="S168" i="15"/>
  <c r="T168" i="15" s="1"/>
  <c r="R168" i="15"/>
  <c r="V168" i="15" s="1"/>
  <c r="S167" i="15"/>
  <c r="T167" i="15" s="1"/>
  <c r="R167" i="15"/>
  <c r="V167" i="15" s="1"/>
  <c r="S166" i="15"/>
  <c r="T166" i="15" s="1"/>
  <c r="R166" i="15"/>
  <c r="V166" i="15" s="1"/>
  <c r="S165" i="15"/>
  <c r="T165" i="15" s="1"/>
  <c r="R165" i="15"/>
  <c r="V165" i="15" s="1"/>
  <c r="S164" i="15"/>
  <c r="T164" i="15" s="1"/>
  <c r="R164" i="15"/>
  <c r="V164" i="15" s="1"/>
  <c r="S163" i="15"/>
  <c r="T163" i="15" s="1"/>
  <c r="R163" i="15"/>
  <c r="V163" i="15" s="1"/>
  <c r="S162" i="15"/>
  <c r="T162" i="15" s="1"/>
  <c r="R162" i="15"/>
  <c r="V162" i="15" s="1"/>
  <c r="S161" i="15"/>
  <c r="T161" i="15" s="1"/>
  <c r="R161" i="15"/>
  <c r="V161" i="15" s="1"/>
  <c r="S160" i="15"/>
  <c r="T160" i="15" s="1"/>
  <c r="R160" i="15"/>
  <c r="V160" i="15" s="1"/>
  <c r="V159" i="15"/>
  <c r="S159" i="15"/>
  <c r="T159" i="15" s="1"/>
  <c r="R159" i="15"/>
  <c r="S158" i="15"/>
  <c r="T158" i="15" s="1"/>
  <c r="R158" i="15"/>
  <c r="V158" i="15" s="1"/>
  <c r="S157" i="15"/>
  <c r="T157" i="15" s="1"/>
  <c r="R157" i="15"/>
  <c r="V157" i="15" s="1"/>
  <c r="S156" i="15"/>
  <c r="T156" i="15" s="1"/>
  <c r="R156" i="15"/>
  <c r="V156" i="15" s="1"/>
  <c r="V155" i="15"/>
  <c r="S155" i="15"/>
  <c r="T155" i="15" s="1"/>
  <c r="R155" i="15"/>
  <c r="V154" i="15"/>
  <c r="S154" i="15"/>
  <c r="T154" i="15" s="1"/>
  <c r="R154" i="15"/>
  <c r="S153" i="15"/>
  <c r="T153" i="15" s="1"/>
  <c r="R153" i="15"/>
  <c r="V153" i="15" s="1"/>
  <c r="S152" i="15"/>
  <c r="T152" i="15" s="1"/>
  <c r="R152" i="15"/>
  <c r="V152" i="15" s="1"/>
  <c r="V151" i="15"/>
  <c r="S151" i="15"/>
  <c r="T151" i="15" s="1"/>
  <c r="R151" i="15"/>
  <c r="V150" i="15"/>
  <c r="S150" i="15"/>
  <c r="T150" i="15" s="1"/>
  <c r="R150" i="15"/>
  <c r="S149" i="15"/>
  <c r="T149" i="15" s="1"/>
  <c r="R149" i="15"/>
  <c r="V149" i="15" s="1"/>
  <c r="S148" i="15"/>
  <c r="T148" i="15" s="1"/>
  <c r="R148" i="15"/>
  <c r="V148" i="15" s="1"/>
  <c r="V147" i="15"/>
  <c r="S147" i="15"/>
  <c r="T147" i="15" s="1"/>
  <c r="R147" i="15"/>
  <c r="V146" i="15"/>
  <c r="S146" i="15"/>
  <c r="T146" i="15" s="1"/>
  <c r="R146" i="15"/>
  <c r="S145" i="15"/>
  <c r="T145" i="15" s="1"/>
  <c r="R145" i="15"/>
  <c r="V145" i="15" s="1"/>
  <c r="S144" i="15"/>
  <c r="T144" i="15" s="1"/>
  <c r="R144" i="15"/>
  <c r="V144" i="15" s="1"/>
  <c r="V143" i="15"/>
  <c r="S143" i="15"/>
  <c r="T143" i="15" s="1"/>
  <c r="R143" i="15"/>
  <c r="V142" i="15"/>
  <c r="S142" i="15"/>
  <c r="T142" i="15" s="1"/>
  <c r="R142" i="15"/>
  <c r="S141" i="15"/>
  <c r="T141" i="15" s="1"/>
  <c r="R141" i="15"/>
  <c r="V141" i="15" s="1"/>
  <c r="S140" i="15"/>
  <c r="T140" i="15" s="1"/>
  <c r="R140" i="15"/>
  <c r="V140" i="15" s="1"/>
  <c r="V139" i="15"/>
  <c r="S139" i="15"/>
  <c r="T139" i="15" s="1"/>
  <c r="R139" i="15"/>
  <c r="V138" i="15"/>
  <c r="S138" i="15"/>
  <c r="T138" i="15" s="1"/>
  <c r="R138" i="15"/>
  <c r="S137" i="15"/>
  <c r="T137" i="15" s="1"/>
  <c r="R137" i="15"/>
  <c r="V137" i="15" s="1"/>
  <c r="S136" i="15"/>
  <c r="T136" i="15" s="1"/>
  <c r="R136" i="15"/>
  <c r="V136" i="15" s="1"/>
  <c r="V135" i="15"/>
  <c r="S135" i="15"/>
  <c r="T135" i="15" s="1"/>
  <c r="R135" i="15"/>
  <c r="S134" i="15"/>
  <c r="T134" i="15" s="1"/>
  <c r="R134" i="15"/>
  <c r="V134" i="15" s="1"/>
  <c r="V133" i="15"/>
  <c r="S133" i="15"/>
  <c r="T133" i="15" s="1"/>
  <c r="R133" i="15"/>
  <c r="S132" i="15"/>
  <c r="T132" i="15" s="1"/>
  <c r="R132" i="15"/>
  <c r="V132" i="15" s="1"/>
  <c r="V131" i="15"/>
  <c r="S131" i="15"/>
  <c r="T131" i="15" s="1"/>
  <c r="R131" i="15"/>
  <c r="S130" i="15"/>
  <c r="T130" i="15" s="1"/>
  <c r="R130" i="15"/>
  <c r="V130" i="15" s="1"/>
  <c r="V129" i="15"/>
  <c r="S129" i="15"/>
  <c r="T129" i="15" s="1"/>
  <c r="R129" i="15"/>
  <c r="S128" i="15"/>
  <c r="T128" i="15" s="1"/>
  <c r="R128" i="15"/>
  <c r="V128" i="15" s="1"/>
  <c r="V127" i="15"/>
  <c r="S127" i="15"/>
  <c r="T127" i="15" s="1"/>
  <c r="R127" i="15"/>
  <c r="S126" i="15"/>
  <c r="T126" i="15" s="1"/>
  <c r="R126" i="15"/>
  <c r="V126" i="15" s="1"/>
  <c r="V125" i="15"/>
  <c r="S125" i="15"/>
  <c r="T125" i="15" s="1"/>
  <c r="R125" i="15"/>
  <c r="S124" i="15"/>
  <c r="T124" i="15" s="1"/>
  <c r="R124" i="15"/>
  <c r="V124" i="15" s="1"/>
  <c r="V123" i="15"/>
  <c r="S123" i="15"/>
  <c r="T123" i="15" s="1"/>
  <c r="R123" i="15"/>
  <c r="S122" i="15"/>
  <c r="T122" i="15" s="1"/>
  <c r="R122" i="15"/>
  <c r="V122" i="15" s="1"/>
  <c r="V121" i="15"/>
  <c r="S121" i="15"/>
  <c r="T121" i="15" s="1"/>
  <c r="R121" i="15"/>
  <c r="S120" i="15"/>
  <c r="T120" i="15" s="1"/>
  <c r="R120" i="15"/>
  <c r="V120" i="15" s="1"/>
  <c r="V119" i="15"/>
  <c r="S119" i="15"/>
  <c r="T119" i="15" s="1"/>
  <c r="R119" i="15"/>
  <c r="S118" i="15"/>
  <c r="T118" i="15" s="1"/>
  <c r="R118" i="15"/>
  <c r="V118" i="15" s="1"/>
  <c r="V117" i="15"/>
  <c r="S117" i="15"/>
  <c r="T117" i="15" s="1"/>
  <c r="R117" i="15"/>
  <c r="S116" i="15"/>
  <c r="T116" i="15" s="1"/>
  <c r="R116" i="15"/>
  <c r="V116" i="15" s="1"/>
  <c r="V115" i="15"/>
  <c r="S115" i="15"/>
  <c r="T115" i="15" s="1"/>
  <c r="R115" i="15"/>
  <c r="S114" i="15"/>
  <c r="T114" i="15" s="1"/>
  <c r="R114" i="15"/>
  <c r="V114" i="15" s="1"/>
  <c r="V113" i="15"/>
  <c r="S113" i="15"/>
  <c r="T113" i="15" s="1"/>
  <c r="R113" i="15"/>
  <c r="S112" i="15"/>
  <c r="T112" i="15" s="1"/>
  <c r="R112" i="15"/>
  <c r="V112" i="15" s="1"/>
  <c r="V111" i="15"/>
  <c r="S111" i="15"/>
  <c r="T111" i="15" s="1"/>
  <c r="R111" i="15"/>
  <c r="S110" i="15"/>
  <c r="T110" i="15" s="1"/>
  <c r="R110" i="15"/>
  <c r="V110" i="15" s="1"/>
  <c r="V109" i="15"/>
  <c r="S109" i="15"/>
  <c r="T109" i="15" s="1"/>
  <c r="R109" i="15"/>
  <c r="S108" i="15"/>
  <c r="T108" i="15" s="1"/>
  <c r="R108" i="15"/>
  <c r="V108" i="15" s="1"/>
  <c r="V107" i="15"/>
  <c r="S107" i="15"/>
  <c r="T107" i="15" s="1"/>
  <c r="R107" i="15"/>
  <c r="S106" i="15"/>
  <c r="T106" i="15" s="1"/>
  <c r="R106" i="15"/>
  <c r="V106" i="15" s="1"/>
  <c r="V105" i="15"/>
  <c r="S105" i="15"/>
  <c r="T105" i="15" s="1"/>
  <c r="R105" i="15"/>
  <c r="S104" i="15"/>
  <c r="T104" i="15" s="1"/>
  <c r="R104" i="15"/>
  <c r="V104" i="15" s="1"/>
  <c r="V103" i="15"/>
  <c r="S103" i="15"/>
  <c r="T103" i="15" s="1"/>
  <c r="R103" i="15"/>
  <c r="S102" i="15"/>
  <c r="T102" i="15" s="1"/>
  <c r="R102" i="15"/>
  <c r="V102" i="15" s="1"/>
  <c r="V101" i="15"/>
  <c r="S101" i="15"/>
  <c r="T101" i="15" s="1"/>
  <c r="R101" i="15"/>
  <c r="S100" i="15"/>
  <c r="T100" i="15" s="1"/>
  <c r="R100" i="15"/>
  <c r="V100" i="15" s="1"/>
  <c r="V99" i="15"/>
  <c r="S99" i="15"/>
  <c r="T99" i="15" s="1"/>
  <c r="R99" i="15"/>
  <c r="S98" i="15"/>
  <c r="T98" i="15" s="1"/>
  <c r="R98" i="15"/>
  <c r="V98" i="15" s="1"/>
  <c r="V97" i="15"/>
  <c r="S97" i="15"/>
  <c r="T97" i="15" s="1"/>
  <c r="R97" i="15"/>
  <c r="T96" i="15"/>
  <c r="S96" i="15"/>
  <c r="R96" i="15"/>
  <c r="V96" i="15" s="1"/>
  <c r="V95" i="15"/>
  <c r="S95" i="15"/>
  <c r="T95" i="15" s="1"/>
  <c r="R95" i="15"/>
  <c r="T94" i="15"/>
  <c r="S94" i="15"/>
  <c r="R94" i="15"/>
  <c r="V94" i="15" s="1"/>
  <c r="V93" i="15"/>
  <c r="S93" i="15"/>
  <c r="T93" i="15" s="1"/>
  <c r="R93" i="15"/>
  <c r="T92" i="15"/>
  <c r="S92" i="15"/>
  <c r="R92" i="15"/>
  <c r="V92" i="15" s="1"/>
  <c r="V91" i="15"/>
  <c r="S91" i="15"/>
  <c r="T91" i="15" s="1"/>
  <c r="R91" i="15"/>
  <c r="T90" i="15"/>
  <c r="S90" i="15"/>
  <c r="R90" i="15"/>
  <c r="V90" i="15" s="1"/>
  <c r="V89" i="15"/>
  <c r="S89" i="15"/>
  <c r="T89" i="15" s="1"/>
  <c r="R89" i="15"/>
  <c r="T88" i="15"/>
  <c r="S88" i="15"/>
  <c r="R88" i="15"/>
  <c r="V88" i="15" s="1"/>
  <c r="V87" i="15"/>
  <c r="S87" i="15"/>
  <c r="T87" i="15" s="1"/>
  <c r="R87" i="15"/>
  <c r="T86" i="15"/>
  <c r="S86" i="15"/>
  <c r="R86" i="15"/>
  <c r="V86" i="15" s="1"/>
  <c r="V85" i="15"/>
  <c r="S85" i="15"/>
  <c r="T85" i="15" s="1"/>
  <c r="R85" i="15"/>
  <c r="S84" i="15"/>
  <c r="T84" i="15" s="1"/>
  <c r="R84" i="15"/>
  <c r="V84" i="15" s="1"/>
  <c r="V83" i="15"/>
  <c r="S83" i="15"/>
  <c r="T83" i="15" s="1"/>
  <c r="R83" i="15"/>
  <c r="S82" i="15"/>
  <c r="T82" i="15" s="1"/>
  <c r="R82" i="15"/>
  <c r="V82" i="15" s="1"/>
  <c r="V81" i="15"/>
  <c r="S81" i="15"/>
  <c r="T81" i="15" s="1"/>
  <c r="R81" i="15"/>
  <c r="S80" i="15"/>
  <c r="T80" i="15" s="1"/>
  <c r="R80" i="15"/>
  <c r="V80" i="15" s="1"/>
  <c r="V79" i="15"/>
  <c r="S79" i="15"/>
  <c r="T79" i="15" s="1"/>
  <c r="R79" i="15"/>
  <c r="S78" i="15"/>
  <c r="T78" i="15" s="1"/>
  <c r="R78" i="15"/>
  <c r="V78" i="15" s="1"/>
  <c r="V77" i="15"/>
  <c r="S77" i="15"/>
  <c r="T77" i="15" s="1"/>
  <c r="R77" i="15"/>
  <c r="S76" i="15"/>
  <c r="T76" i="15" s="1"/>
  <c r="R76" i="15"/>
  <c r="V76" i="15" s="1"/>
  <c r="V75" i="15"/>
  <c r="S75" i="15"/>
  <c r="T75" i="15" s="1"/>
  <c r="R75" i="15"/>
  <c r="S74" i="15"/>
  <c r="T74" i="15" s="1"/>
  <c r="R74" i="15"/>
  <c r="V74" i="15" s="1"/>
  <c r="V73" i="15"/>
  <c r="S73" i="15"/>
  <c r="T73" i="15" s="1"/>
  <c r="R73" i="15"/>
  <c r="S72" i="15"/>
  <c r="T72" i="15" s="1"/>
  <c r="R72" i="15"/>
  <c r="V72" i="15" s="1"/>
  <c r="V71" i="15"/>
  <c r="S71" i="15"/>
  <c r="T71" i="15" s="1"/>
  <c r="R71" i="15"/>
  <c r="S70" i="15"/>
  <c r="T70" i="15" s="1"/>
  <c r="R70" i="15"/>
  <c r="V70" i="15" s="1"/>
  <c r="V69" i="15"/>
  <c r="S69" i="15"/>
  <c r="T69" i="15" s="1"/>
  <c r="R69" i="15"/>
  <c r="S68" i="15"/>
  <c r="T68" i="15" s="1"/>
  <c r="R68" i="15"/>
  <c r="V68" i="15" s="1"/>
  <c r="V67" i="15"/>
  <c r="S67" i="15"/>
  <c r="T67" i="15" s="1"/>
  <c r="R67" i="15"/>
  <c r="S66" i="15"/>
  <c r="T66" i="15" s="1"/>
  <c r="R66" i="15"/>
  <c r="V66" i="15" s="1"/>
  <c r="V65" i="15"/>
  <c r="S65" i="15"/>
  <c r="T65" i="15" s="1"/>
  <c r="R65" i="15"/>
  <c r="S64" i="15"/>
  <c r="T64" i="15" s="1"/>
  <c r="R64" i="15"/>
  <c r="V64" i="15" s="1"/>
  <c r="V63" i="15"/>
  <c r="S63" i="15"/>
  <c r="T63" i="15" s="1"/>
  <c r="R63" i="15"/>
  <c r="S62" i="15"/>
  <c r="T62" i="15" s="1"/>
  <c r="R62" i="15"/>
  <c r="V62" i="15" s="1"/>
  <c r="V61" i="15"/>
  <c r="S61" i="15"/>
  <c r="T61" i="15" s="1"/>
  <c r="R61" i="15"/>
  <c r="S60" i="15"/>
  <c r="T60" i="15" s="1"/>
  <c r="R60" i="15"/>
  <c r="V60" i="15" s="1"/>
  <c r="V59" i="15"/>
  <c r="S59" i="15"/>
  <c r="T59" i="15" s="1"/>
  <c r="R59" i="15"/>
  <c r="S58" i="15"/>
  <c r="T58" i="15" s="1"/>
  <c r="R58" i="15"/>
  <c r="V58" i="15" s="1"/>
  <c r="V57" i="15"/>
  <c r="S57" i="15"/>
  <c r="T57" i="15" s="1"/>
  <c r="R57" i="15"/>
  <c r="S56" i="15"/>
  <c r="T56" i="15" s="1"/>
  <c r="R56" i="15"/>
  <c r="V56" i="15" s="1"/>
  <c r="V55" i="15"/>
  <c r="S55" i="15"/>
  <c r="T55" i="15" s="1"/>
  <c r="R55" i="15"/>
  <c r="S54" i="15"/>
  <c r="T54" i="15" s="1"/>
  <c r="R54" i="15"/>
  <c r="V54" i="15" s="1"/>
  <c r="V53" i="15"/>
  <c r="S53" i="15"/>
  <c r="T53" i="15" s="1"/>
  <c r="R53" i="15"/>
  <c r="S52" i="15"/>
  <c r="T52" i="15" s="1"/>
  <c r="R52" i="15"/>
  <c r="V52" i="15" s="1"/>
  <c r="V51" i="15"/>
  <c r="S51" i="15"/>
  <c r="T51" i="15" s="1"/>
  <c r="R51" i="15"/>
  <c r="S50" i="15"/>
  <c r="T50" i="15" s="1"/>
  <c r="R50" i="15"/>
  <c r="V50" i="15" s="1"/>
  <c r="V49" i="15"/>
  <c r="S49" i="15"/>
  <c r="T49" i="15" s="1"/>
  <c r="R49" i="15"/>
  <c r="S48" i="15"/>
  <c r="T48" i="15" s="1"/>
  <c r="R48" i="15"/>
  <c r="V48" i="15" s="1"/>
  <c r="V47" i="15"/>
  <c r="S47" i="15"/>
  <c r="T47" i="15" s="1"/>
  <c r="R47" i="15"/>
  <c r="S46" i="15"/>
  <c r="T46" i="15" s="1"/>
  <c r="R46" i="15"/>
  <c r="V46" i="15" s="1"/>
  <c r="V45" i="15"/>
  <c r="S45" i="15"/>
  <c r="T45" i="15" s="1"/>
  <c r="R45" i="15"/>
  <c r="S44" i="15"/>
  <c r="T44" i="15" s="1"/>
  <c r="R44" i="15"/>
  <c r="V44" i="15" s="1"/>
  <c r="V43" i="15"/>
  <c r="S43" i="15"/>
  <c r="T43" i="15" s="1"/>
  <c r="R43" i="15"/>
  <c r="S42" i="15"/>
  <c r="T42" i="15" s="1"/>
  <c r="R42" i="15"/>
  <c r="V42" i="15" s="1"/>
  <c r="V41" i="15"/>
  <c r="S41" i="15"/>
  <c r="T41" i="15" s="1"/>
  <c r="R41" i="15"/>
  <c r="S40" i="15"/>
  <c r="T40" i="15" s="1"/>
  <c r="R40" i="15"/>
  <c r="V40" i="15" s="1"/>
  <c r="V39" i="15"/>
  <c r="S39" i="15"/>
  <c r="T39" i="15" s="1"/>
  <c r="R39" i="15"/>
  <c r="S38" i="15"/>
  <c r="T38" i="15" s="1"/>
  <c r="R38" i="15"/>
  <c r="V38" i="15" s="1"/>
  <c r="V37" i="15"/>
  <c r="S37" i="15"/>
  <c r="T37" i="15" s="1"/>
  <c r="R37" i="15"/>
  <c r="S36" i="15"/>
  <c r="T36" i="15" s="1"/>
  <c r="R36" i="15"/>
  <c r="V36" i="15" s="1"/>
  <c r="V35" i="15"/>
  <c r="S35" i="15"/>
  <c r="T35" i="15" s="1"/>
  <c r="R35" i="15"/>
  <c r="S34" i="15"/>
  <c r="T34" i="15" s="1"/>
  <c r="R34" i="15"/>
  <c r="V34" i="15" s="1"/>
  <c r="V33" i="15"/>
  <c r="S33" i="15"/>
  <c r="T33" i="15" s="1"/>
  <c r="R33" i="15"/>
  <c r="S32" i="15"/>
  <c r="T32" i="15" s="1"/>
  <c r="R32" i="15"/>
  <c r="V32" i="15" s="1"/>
  <c r="V31" i="15"/>
  <c r="S31" i="15"/>
  <c r="T31" i="15" s="1"/>
  <c r="R31" i="15"/>
  <c r="S30" i="15"/>
  <c r="T30" i="15" s="1"/>
  <c r="R30" i="15"/>
  <c r="V30" i="15" s="1"/>
  <c r="V29" i="15"/>
  <c r="S29" i="15"/>
  <c r="T29" i="15" s="1"/>
  <c r="R29" i="15"/>
  <c r="S28" i="15"/>
  <c r="T28" i="15" s="1"/>
  <c r="R28" i="15"/>
  <c r="V28" i="15" s="1"/>
  <c r="V27" i="15"/>
  <c r="S27" i="15"/>
  <c r="T27" i="15" s="1"/>
  <c r="R27" i="15"/>
  <c r="S26" i="15"/>
  <c r="T26" i="15" s="1"/>
  <c r="R26" i="15"/>
  <c r="V26" i="15" s="1"/>
  <c r="V25" i="15"/>
  <c r="S25" i="15"/>
  <c r="T25" i="15" s="1"/>
  <c r="R25" i="15"/>
  <c r="S24" i="15"/>
  <c r="T24" i="15" s="1"/>
  <c r="R24" i="15"/>
  <c r="V24" i="15" s="1"/>
  <c r="V23" i="15"/>
  <c r="S23" i="15"/>
  <c r="T23" i="15" s="1"/>
  <c r="R23" i="15"/>
  <c r="S22" i="15"/>
  <c r="T22" i="15" s="1"/>
  <c r="R22" i="15"/>
  <c r="V22" i="15" s="1"/>
  <c r="V21" i="15"/>
  <c r="S21" i="15"/>
  <c r="T21" i="15" s="1"/>
  <c r="R21" i="15"/>
  <c r="S20" i="15"/>
  <c r="T20" i="15" s="1"/>
  <c r="R20" i="15"/>
  <c r="V20" i="15" s="1"/>
  <c r="V19" i="15"/>
  <c r="S19" i="15"/>
  <c r="T19" i="15" s="1"/>
  <c r="R19" i="15"/>
  <c r="S18" i="15"/>
  <c r="T18" i="15" s="1"/>
  <c r="R18" i="15"/>
  <c r="V18" i="15" s="1"/>
  <c r="V17" i="15"/>
  <c r="S17" i="15"/>
  <c r="T17" i="15" s="1"/>
  <c r="R17" i="15"/>
  <c r="S16" i="15"/>
  <c r="T16" i="15" s="1"/>
  <c r="R16" i="15"/>
  <c r="V16" i="15" s="1"/>
  <c r="V15" i="15"/>
  <c r="S15" i="15"/>
  <c r="T15" i="15" s="1"/>
  <c r="R15" i="15"/>
  <c r="S14" i="15"/>
  <c r="T14" i="15" s="1"/>
  <c r="R14" i="15"/>
  <c r="V14" i="15" s="1"/>
  <c r="V13" i="15"/>
  <c r="S13" i="15"/>
  <c r="T13" i="15" s="1"/>
  <c r="R13" i="15"/>
  <c r="S12" i="15"/>
  <c r="T12" i="15" s="1"/>
  <c r="R12" i="15"/>
  <c r="V12" i="15" s="1"/>
  <c r="V11" i="15"/>
  <c r="S11" i="15"/>
  <c r="T11" i="15" s="1"/>
  <c r="R11" i="15"/>
  <c r="S10" i="15"/>
  <c r="T10" i="15" s="1"/>
  <c r="R10" i="15"/>
  <c r="V10" i="15" s="1"/>
  <c r="S9" i="15"/>
  <c r="T9" i="15" s="1"/>
  <c r="V9" i="15" s="1"/>
  <c r="R9" i="15"/>
  <c r="S8" i="15"/>
  <c r="T8" i="15" s="1"/>
  <c r="R8" i="15"/>
  <c r="U7" i="15"/>
  <c r="T7" i="15"/>
  <c r="S7" i="15"/>
  <c r="R7" i="15"/>
  <c r="V7" i="15" s="1"/>
  <c r="U6" i="15"/>
  <c r="T6" i="15"/>
  <c r="S6" i="15"/>
  <c r="R6" i="15"/>
  <c r="V6" i="15" s="1"/>
  <c r="T2" i="15"/>
  <c r="U8" i="15" s="1"/>
  <c r="A6" i="14"/>
  <c r="I6" i="19"/>
  <c r="I6" i="18"/>
  <c r="I6" i="17"/>
  <c r="I6" i="16"/>
  <c r="I6" i="15"/>
  <c r="I6" i="14"/>
  <c r="M29" i="20"/>
  <c r="K29" i="20"/>
  <c r="E29" i="20"/>
  <c r="M28" i="20"/>
  <c r="K28" i="20"/>
  <c r="E28" i="20"/>
  <c r="M27" i="20"/>
  <c r="K27" i="20"/>
  <c r="E27" i="20"/>
  <c r="M26" i="20"/>
  <c r="K26" i="20"/>
  <c r="E26" i="20"/>
  <c r="M25" i="20"/>
  <c r="K25" i="20"/>
  <c r="E25" i="20"/>
  <c r="M24" i="20"/>
  <c r="K24" i="20"/>
  <c r="E24" i="20"/>
  <c r="M23" i="20"/>
  <c r="K23" i="20"/>
  <c r="E23" i="20"/>
  <c r="M22" i="20"/>
  <c r="K22" i="20"/>
  <c r="E22" i="20"/>
  <c r="M21" i="20"/>
  <c r="K21" i="20"/>
  <c r="E21" i="20"/>
  <c r="M20" i="20"/>
  <c r="K20" i="20"/>
  <c r="E20" i="20"/>
  <c r="M19" i="20"/>
  <c r="K19" i="20"/>
  <c r="E19" i="20"/>
  <c r="M18" i="20"/>
  <c r="K18" i="20"/>
  <c r="E18" i="20"/>
  <c r="M17" i="20"/>
  <c r="K17" i="20"/>
  <c r="E17" i="20"/>
  <c r="M16" i="20"/>
  <c r="K16" i="20"/>
  <c r="E16" i="20"/>
  <c r="M15" i="20"/>
  <c r="K15" i="20"/>
  <c r="E15" i="20"/>
  <c r="M14" i="20"/>
  <c r="K14" i="20"/>
  <c r="E14" i="20"/>
  <c r="M13" i="20"/>
  <c r="K13" i="20"/>
  <c r="E13" i="20"/>
  <c r="M12" i="20"/>
  <c r="K12" i="20"/>
  <c r="E12" i="20"/>
  <c r="M11" i="20"/>
  <c r="K11" i="20"/>
  <c r="E11" i="20"/>
  <c r="M10" i="20"/>
  <c r="K10" i="20"/>
  <c r="E10" i="20"/>
  <c r="M9" i="20"/>
  <c r="K9" i="20"/>
  <c r="E9" i="20"/>
  <c r="M8" i="20"/>
  <c r="K8" i="20"/>
  <c r="E8" i="20"/>
  <c r="M6" i="20"/>
  <c r="K6" i="20"/>
  <c r="E6" i="20"/>
  <c r="U7" i="20"/>
  <c r="M7" i="20"/>
  <c r="K7" i="20"/>
  <c r="G7" i="20"/>
  <c r="E7" i="20"/>
  <c r="J305" i="28"/>
  <c r="K305" i="28" s="1"/>
  <c r="I305" i="28"/>
  <c r="N305" i="28" s="1"/>
  <c r="A305" i="28"/>
  <c r="J304" i="28"/>
  <c r="K304" i="28" s="1"/>
  <c r="I304" i="28"/>
  <c r="J303" i="28"/>
  <c r="K303" i="28" s="1"/>
  <c r="I303" i="28"/>
  <c r="J302" i="28"/>
  <c r="K302" i="28" s="1"/>
  <c r="I302" i="28"/>
  <c r="J301" i="28"/>
  <c r="K301" i="28" s="1"/>
  <c r="I301" i="28"/>
  <c r="N301" i="28" s="1"/>
  <c r="A301" i="28" s="1"/>
  <c r="J300" i="28"/>
  <c r="K300" i="28" s="1"/>
  <c r="I300" i="28"/>
  <c r="J299" i="28"/>
  <c r="K299" i="28" s="1"/>
  <c r="I299" i="28"/>
  <c r="J298" i="28"/>
  <c r="K298" i="28" s="1"/>
  <c r="I298" i="28"/>
  <c r="N298" i="28" s="1"/>
  <c r="A298" i="28"/>
  <c r="J297" i="28"/>
  <c r="K297" i="28" s="1"/>
  <c r="I297" i="28"/>
  <c r="N297" i="28" s="1"/>
  <c r="A297" i="28"/>
  <c r="J296" i="28"/>
  <c r="K296" i="28" s="1"/>
  <c r="I296" i="28"/>
  <c r="J295" i="28"/>
  <c r="K295" i="28" s="1"/>
  <c r="I295" i="28"/>
  <c r="J294" i="28"/>
  <c r="K294" i="28" s="1"/>
  <c r="I294" i="28"/>
  <c r="N294" i="28" s="1"/>
  <c r="A294" i="28"/>
  <c r="J293" i="28"/>
  <c r="K293" i="28" s="1"/>
  <c r="I293" i="28"/>
  <c r="J292" i="28"/>
  <c r="K292" i="28" s="1"/>
  <c r="I292" i="28"/>
  <c r="J291" i="28"/>
  <c r="K291" i="28" s="1"/>
  <c r="I291" i="28"/>
  <c r="J290" i="28"/>
  <c r="K290" i="28" s="1"/>
  <c r="I290" i="28"/>
  <c r="J289" i="28"/>
  <c r="K289" i="28" s="1"/>
  <c r="I289" i="28"/>
  <c r="J288" i="28"/>
  <c r="K288" i="28" s="1"/>
  <c r="I288" i="28"/>
  <c r="J287" i="28"/>
  <c r="K287" i="28" s="1"/>
  <c r="I287" i="28"/>
  <c r="J286" i="28"/>
  <c r="K286" i="28" s="1"/>
  <c r="I286" i="28"/>
  <c r="J285" i="28"/>
  <c r="K285" i="28" s="1"/>
  <c r="I285" i="28"/>
  <c r="J284" i="28"/>
  <c r="K284" i="28" s="1"/>
  <c r="I284" i="28"/>
  <c r="J283" i="28"/>
  <c r="K283" i="28" s="1"/>
  <c r="I283" i="28"/>
  <c r="J282" i="28"/>
  <c r="K282" i="28" s="1"/>
  <c r="I282" i="28"/>
  <c r="N282" i="28" s="1"/>
  <c r="A282" i="28"/>
  <c r="J281" i="28"/>
  <c r="K281" i="28" s="1"/>
  <c r="I281" i="28"/>
  <c r="J280" i="28"/>
  <c r="K280" i="28" s="1"/>
  <c r="I280" i="28"/>
  <c r="J279" i="28"/>
  <c r="K279" i="28" s="1"/>
  <c r="I279" i="28"/>
  <c r="J278" i="28"/>
  <c r="K278" i="28" s="1"/>
  <c r="I278" i="28"/>
  <c r="J277" i="28"/>
  <c r="K277" i="28" s="1"/>
  <c r="I277" i="28"/>
  <c r="J276" i="28"/>
  <c r="K276" i="28" s="1"/>
  <c r="I276" i="28"/>
  <c r="J275" i="28"/>
  <c r="K275" i="28" s="1"/>
  <c r="I275" i="28"/>
  <c r="J274" i="28"/>
  <c r="K274" i="28" s="1"/>
  <c r="I274" i="28"/>
  <c r="J273" i="28"/>
  <c r="K273" i="28" s="1"/>
  <c r="I273" i="28"/>
  <c r="J272" i="28"/>
  <c r="K272" i="28" s="1"/>
  <c r="I272" i="28"/>
  <c r="J271" i="28"/>
  <c r="K271" i="28" s="1"/>
  <c r="I271" i="28"/>
  <c r="J270" i="28"/>
  <c r="K270" i="28" s="1"/>
  <c r="I270" i="28"/>
  <c r="N270" i="28" s="1"/>
  <c r="A270" i="28"/>
  <c r="J269" i="28"/>
  <c r="K269" i="28" s="1"/>
  <c r="I269" i="28"/>
  <c r="J268" i="28"/>
  <c r="K268" i="28" s="1"/>
  <c r="I268" i="28"/>
  <c r="J267" i="28"/>
  <c r="K267" i="28" s="1"/>
  <c r="I267" i="28"/>
  <c r="J266" i="28"/>
  <c r="K266" i="28" s="1"/>
  <c r="I266" i="28"/>
  <c r="N266" i="28" s="1"/>
  <c r="A266" i="28"/>
  <c r="J265" i="28"/>
  <c r="K265" i="28" s="1"/>
  <c r="I265" i="28"/>
  <c r="J264" i="28"/>
  <c r="K264" i="28" s="1"/>
  <c r="I264" i="28"/>
  <c r="J263" i="28"/>
  <c r="K263" i="28" s="1"/>
  <c r="I263" i="28"/>
  <c r="J262" i="28"/>
  <c r="K262" i="28" s="1"/>
  <c r="I262" i="28"/>
  <c r="J261" i="28"/>
  <c r="K261" i="28" s="1"/>
  <c r="I261" i="28"/>
  <c r="J260" i="28"/>
  <c r="K260" i="28" s="1"/>
  <c r="I260" i="28"/>
  <c r="J259" i="28"/>
  <c r="K259" i="28" s="1"/>
  <c r="I259" i="28"/>
  <c r="J258" i="28"/>
  <c r="K258" i="28" s="1"/>
  <c r="I258" i="28"/>
  <c r="J257" i="28"/>
  <c r="K257" i="28" s="1"/>
  <c r="I257" i="28"/>
  <c r="J256" i="28"/>
  <c r="K256" i="28" s="1"/>
  <c r="I256" i="28"/>
  <c r="J255" i="28"/>
  <c r="K255" i="28" s="1"/>
  <c r="I255" i="28"/>
  <c r="J254" i="28"/>
  <c r="K254" i="28" s="1"/>
  <c r="I254" i="28"/>
  <c r="J253" i="28"/>
  <c r="K253" i="28" s="1"/>
  <c r="I253" i="28"/>
  <c r="J252" i="28"/>
  <c r="K252" i="28" s="1"/>
  <c r="I252" i="28"/>
  <c r="J251" i="28"/>
  <c r="K251" i="28" s="1"/>
  <c r="I251" i="28"/>
  <c r="J250" i="28"/>
  <c r="K250" i="28" s="1"/>
  <c r="I250" i="28"/>
  <c r="N250" i="28" s="1"/>
  <c r="A250" i="28" s="1"/>
  <c r="B250" i="28"/>
  <c r="J249" i="28"/>
  <c r="K249" i="28" s="1"/>
  <c r="I249" i="28"/>
  <c r="B249" i="28"/>
  <c r="J248" i="28"/>
  <c r="K248" i="28" s="1"/>
  <c r="I248" i="28"/>
  <c r="B248" i="28"/>
  <c r="J247" i="28"/>
  <c r="K247" i="28" s="1"/>
  <c r="I247" i="28"/>
  <c r="B247" i="28"/>
  <c r="J246" i="28"/>
  <c r="K246" i="28" s="1"/>
  <c r="I246" i="28"/>
  <c r="B246" i="28"/>
  <c r="J245" i="28"/>
  <c r="K245" i="28" s="1"/>
  <c r="I245" i="28"/>
  <c r="B245" i="28"/>
  <c r="J244" i="28"/>
  <c r="K244" i="28" s="1"/>
  <c r="I244" i="28"/>
  <c r="B244" i="28"/>
  <c r="J243" i="28"/>
  <c r="K243" i="28" s="1"/>
  <c r="I243" i="28"/>
  <c r="N243" i="28" s="1"/>
  <c r="A243" i="28" s="1"/>
  <c r="B243" i="28"/>
  <c r="J242" i="28"/>
  <c r="K242" i="28" s="1"/>
  <c r="I242" i="28"/>
  <c r="N242" i="28" s="1"/>
  <c r="A242" i="28" s="1"/>
  <c r="B242" i="28"/>
  <c r="J241" i="28"/>
  <c r="K241" i="28" s="1"/>
  <c r="I241" i="28"/>
  <c r="B241" i="28"/>
  <c r="J240" i="28"/>
  <c r="K240" i="28" s="1"/>
  <c r="I240" i="28"/>
  <c r="B240" i="28"/>
  <c r="J239" i="28"/>
  <c r="K239" i="28" s="1"/>
  <c r="I239" i="28"/>
  <c r="B239" i="28"/>
  <c r="J238" i="28"/>
  <c r="K238" i="28" s="1"/>
  <c r="I238" i="28"/>
  <c r="B238" i="28"/>
  <c r="J237" i="28"/>
  <c r="K237" i="28" s="1"/>
  <c r="I237" i="28"/>
  <c r="B237" i="28"/>
  <c r="J236" i="28"/>
  <c r="K236" i="28" s="1"/>
  <c r="I236" i="28"/>
  <c r="B236" i="28"/>
  <c r="J235" i="28"/>
  <c r="K235" i="28" s="1"/>
  <c r="I235" i="28"/>
  <c r="B235" i="28"/>
  <c r="J234" i="28"/>
  <c r="K234" i="28" s="1"/>
  <c r="I234" i="28"/>
  <c r="B234" i="28"/>
  <c r="J233" i="28"/>
  <c r="K233" i="28" s="1"/>
  <c r="I233" i="28"/>
  <c r="B233" i="28"/>
  <c r="J232" i="28"/>
  <c r="K232" i="28" s="1"/>
  <c r="I232" i="28"/>
  <c r="B232" i="28"/>
  <c r="J231" i="28"/>
  <c r="K231" i="28" s="1"/>
  <c r="I231" i="28"/>
  <c r="M231" i="28" s="1"/>
  <c r="B231" i="28"/>
  <c r="J230" i="28"/>
  <c r="K230" i="28" s="1"/>
  <c r="I230" i="28"/>
  <c r="B230" i="28"/>
  <c r="J229" i="28"/>
  <c r="K229" i="28" s="1"/>
  <c r="I229" i="28"/>
  <c r="B229" i="28"/>
  <c r="J228" i="28"/>
  <c r="K228" i="28" s="1"/>
  <c r="I228" i="28"/>
  <c r="B228" i="28"/>
  <c r="J227" i="28"/>
  <c r="K227" i="28" s="1"/>
  <c r="I227" i="28"/>
  <c r="B227" i="28"/>
  <c r="J226" i="28"/>
  <c r="K226" i="28" s="1"/>
  <c r="I226" i="28"/>
  <c r="N226" i="28" s="1"/>
  <c r="A226" i="28" s="1"/>
  <c r="B226" i="28"/>
  <c r="J225" i="28"/>
  <c r="K225" i="28" s="1"/>
  <c r="I225" i="28"/>
  <c r="B225" i="28"/>
  <c r="J224" i="28"/>
  <c r="K224" i="28" s="1"/>
  <c r="I224" i="28"/>
  <c r="B224" i="28"/>
  <c r="J223" i="28"/>
  <c r="K223" i="28" s="1"/>
  <c r="I223" i="28"/>
  <c r="M223" i="28" s="1"/>
  <c r="B223" i="28"/>
  <c r="J222" i="28"/>
  <c r="K222" i="28" s="1"/>
  <c r="I222" i="28"/>
  <c r="B222" i="28"/>
  <c r="J221" i="28"/>
  <c r="K221" i="28" s="1"/>
  <c r="I221" i="28"/>
  <c r="B221" i="28"/>
  <c r="J220" i="28"/>
  <c r="K220" i="28" s="1"/>
  <c r="I220" i="28"/>
  <c r="B220" i="28"/>
  <c r="J219" i="28"/>
  <c r="K219" i="28" s="1"/>
  <c r="I219" i="28"/>
  <c r="N219" i="28" s="1"/>
  <c r="A219" i="28" s="1"/>
  <c r="B219" i="28"/>
  <c r="J218" i="28"/>
  <c r="K218" i="28" s="1"/>
  <c r="I218" i="28"/>
  <c r="B218" i="28"/>
  <c r="J217" i="28"/>
  <c r="K217" i="28" s="1"/>
  <c r="I217" i="28"/>
  <c r="B217" i="28"/>
  <c r="J216" i="28"/>
  <c r="K216" i="28" s="1"/>
  <c r="I216" i="28"/>
  <c r="B216" i="28"/>
  <c r="J215" i="28"/>
  <c r="K215" i="28" s="1"/>
  <c r="I215" i="28"/>
  <c r="B215" i="28"/>
  <c r="J214" i="28"/>
  <c r="K214" i="28" s="1"/>
  <c r="I214" i="28"/>
  <c r="B214" i="28"/>
  <c r="J213" i="28"/>
  <c r="K213" i="28" s="1"/>
  <c r="I213" i="28"/>
  <c r="B213" i="28"/>
  <c r="J212" i="28"/>
  <c r="K212" i="28" s="1"/>
  <c r="I212" i="28"/>
  <c r="B212" i="28"/>
  <c r="J211" i="28"/>
  <c r="K211" i="28" s="1"/>
  <c r="I211" i="28"/>
  <c r="B211" i="28"/>
  <c r="J210" i="28"/>
  <c r="K210" i="28" s="1"/>
  <c r="I210" i="28"/>
  <c r="B210" i="28"/>
  <c r="J209" i="28"/>
  <c r="K209" i="28" s="1"/>
  <c r="I209" i="28"/>
  <c r="B209" i="28"/>
  <c r="J208" i="28"/>
  <c r="K208" i="28" s="1"/>
  <c r="I208" i="28"/>
  <c r="B208" i="28"/>
  <c r="J207" i="28"/>
  <c r="K207" i="28" s="1"/>
  <c r="I207" i="28"/>
  <c r="M207" i="28" s="1"/>
  <c r="B207" i="28"/>
  <c r="J206" i="28"/>
  <c r="K206" i="28" s="1"/>
  <c r="I206" i="28"/>
  <c r="B206" i="28"/>
  <c r="J205" i="28"/>
  <c r="K205" i="28" s="1"/>
  <c r="I205" i="28"/>
  <c r="B205" i="28"/>
  <c r="J204" i="28"/>
  <c r="K204" i="28" s="1"/>
  <c r="I204" i="28"/>
  <c r="B204" i="28"/>
  <c r="J203" i="28"/>
  <c r="K203" i="28" s="1"/>
  <c r="I203" i="28"/>
  <c r="B203" i="28"/>
  <c r="J202" i="28"/>
  <c r="K202" i="28" s="1"/>
  <c r="I202" i="28"/>
  <c r="B202" i="28"/>
  <c r="J201" i="28"/>
  <c r="K201" i="28" s="1"/>
  <c r="I201" i="28"/>
  <c r="B201" i="28"/>
  <c r="J200" i="28"/>
  <c r="K200" i="28" s="1"/>
  <c r="I200" i="28"/>
  <c r="B200" i="28"/>
  <c r="J199" i="28"/>
  <c r="K199" i="28" s="1"/>
  <c r="I199" i="28"/>
  <c r="B199" i="28"/>
  <c r="J198" i="28"/>
  <c r="K198" i="28" s="1"/>
  <c r="I198" i="28"/>
  <c r="B198" i="28"/>
  <c r="J197" i="28"/>
  <c r="K197" i="28" s="1"/>
  <c r="I197" i="28"/>
  <c r="B197" i="28"/>
  <c r="J196" i="28"/>
  <c r="K196" i="28" s="1"/>
  <c r="I196" i="28"/>
  <c r="B196" i="28"/>
  <c r="J195" i="28"/>
  <c r="K195" i="28" s="1"/>
  <c r="I195" i="28"/>
  <c r="B195" i="28"/>
  <c r="J194" i="28"/>
  <c r="K194" i="28" s="1"/>
  <c r="I194" i="28"/>
  <c r="B194" i="28"/>
  <c r="J193" i="28"/>
  <c r="K193" i="28" s="1"/>
  <c r="I193" i="28"/>
  <c r="B193" i="28"/>
  <c r="J192" i="28"/>
  <c r="K192" i="28" s="1"/>
  <c r="I192" i="28"/>
  <c r="B192" i="28"/>
  <c r="J191" i="28"/>
  <c r="K191" i="28" s="1"/>
  <c r="I191" i="28"/>
  <c r="B191" i="28"/>
  <c r="J190" i="28"/>
  <c r="K190" i="28" s="1"/>
  <c r="I190" i="28"/>
  <c r="B190" i="28"/>
  <c r="J189" i="28"/>
  <c r="K189" i="28" s="1"/>
  <c r="I189" i="28"/>
  <c r="B189" i="28"/>
  <c r="J188" i="28"/>
  <c r="K188" i="28" s="1"/>
  <c r="I188" i="28"/>
  <c r="B188" i="28"/>
  <c r="J187" i="28"/>
  <c r="K187" i="28" s="1"/>
  <c r="I187" i="28"/>
  <c r="B187" i="28"/>
  <c r="J186" i="28"/>
  <c r="K186" i="28" s="1"/>
  <c r="I186" i="28"/>
  <c r="B186" i="28"/>
  <c r="J185" i="28"/>
  <c r="K185" i="28" s="1"/>
  <c r="I185" i="28"/>
  <c r="B185" i="28"/>
  <c r="J184" i="28"/>
  <c r="K184" i="28" s="1"/>
  <c r="I184" i="28"/>
  <c r="B184" i="28"/>
  <c r="J183" i="28"/>
  <c r="K183" i="28" s="1"/>
  <c r="I183" i="28"/>
  <c r="B183" i="28"/>
  <c r="J182" i="28"/>
  <c r="K182" i="28" s="1"/>
  <c r="I182" i="28"/>
  <c r="B182" i="28"/>
  <c r="J181" i="28"/>
  <c r="K181" i="28" s="1"/>
  <c r="I181" i="28"/>
  <c r="B181" i="28"/>
  <c r="J180" i="28"/>
  <c r="K180" i="28" s="1"/>
  <c r="I180" i="28"/>
  <c r="B180" i="28"/>
  <c r="J179" i="28"/>
  <c r="K179" i="28" s="1"/>
  <c r="I179" i="28"/>
  <c r="B179" i="28"/>
  <c r="J178" i="28"/>
  <c r="K178" i="28" s="1"/>
  <c r="I178" i="28"/>
  <c r="B178" i="28"/>
  <c r="J177" i="28"/>
  <c r="K177" i="28" s="1"/>
  <c r="I177" i="28"/>
  <c r="B177" i="28"/>
  <c r="J176" i="28"/>
  <c r="K176" i="28" s="1"/>
  <c r="I176" i="28"/>
  <c r="B176" i="28"/>
  <c r="J175" i="28"/>
  <c r="K175" i="28" s="1"/>
  <c r="I175" i="28"/>
  <c r="B175" i="28"/>
  <c r="J174" i="28"/>
  <c r="K174" i="28" s="1"/>
  <c r="I174" i="28"/>
  <c r="B174" i="28"/>
  <c r="J173" i="28"/>
  <c r="K173" i="28" s="1"/>
  <c r="I173" i="28"/>
  <c r="N173" i="28" s="1"/>
  <c r="A173" i="28" s="1"/>
  <c r="B173" i="28"/>
  <c r="J172" i="28"/>
  <c r="K172" i="28" s="1"/>
  <c r="I172" i="28"/>
  <c r="B172" i="28"/>
  <c r="J171" i="28"/>
  <c r="K171" i="28" s="1"/>
  <c r="I171" i="28"/>
  <c r="B171" i="28"/>
  <c r="J170" i="28"/>
  <c r="K170" i="28" s="1"/>
  <c r="I170" i="28"/>
  <c r="B170" i="28"/>
  <c r="J169" i="28"/>
  <c r="K169" i="28" s="1"/>
  <c r="I169" i="28"/>
  <c r="M169" i="28" s="1"/>
  <c r="B169" i="28"/>
  <c r="J168" i="28"/>
  <c r="K168" i="28" s="1"/>
  <c r="I168" i="28"/>
  <c r="B168" i="28"/>
  <c r="J167" i="28"/>
  <c r="K167" i="28" s="1"/>
  <c r="I167" i="28"/>
  <c r="B167" i="28"/>
  <c r="J166" i="28"/>
  <c r="K166" i="28" s="1"/>
  <c r="I166" i="28"/>
  <c r="B166" i="28"/>
  <c r="J165" i="28"/>
  <c r="K165" i="28" s="1"/>
  <c r="I165" i="28"/>
  <c r="N165" i="28" s="1"/>
  <c r="B165" i="28"/>
  <c r="A165" i="28"/>
  <c r="J164" i="28"/>
  <c r="K164" i="28" s="1"/>
  <c r="I164" i="28"/>
  <c r="B164" i="28"/>
  <c r="J163" i="28"/>
  <c r="K163" i="28" s="1"/>
  <c r="I163" i="28"/>
  <c r="B163" i="28"/>
  <c r="J162" i="28"/>
  <c r="K162" i="28" s="1"/>
  <c r="I162" i="28"/>
  <c r="B162" i="28"/>
  <c r="J161" i="28"/>
  <c r="K161" i="28" s="1"/>
  <c r="I161" i="28"/>
  <c r="M161" i="28" s="1"/>
  <c r="B161" i="28"/>
  <c r="J160" i="28"/>
  <c r="K160" i="28" s="1"/>
  <c r="I160" i="28"/>
  <c r="B160" i="28"/>
  <c r="J159" i="28"/>
  <c r="K159" i="28" s="1"/>
  <c r="I159" i="28"/>
  <c r="B159" i="28"/>
  <c r="J158" i="28"/>
  <c r="K158" i="28" s="1"/>
  <c r="I158" i="28"/>
  <c r="B158" i="28"/>
  <c r="J157" i="28"/>
  <c r="K157" i="28" s="1"/>
  <c r="I157" i="28"/>
  <c r="B157" i="28"/>
  <c r="J156" i="28"/>
  <c r="K156" i="28" s="1"/>
  <c r="I156" i="28"/>
  <c r="B156" i="28"/>
  <c r="J155" i="28"/>
  <c r="K155" i="28" s="1"/>
  <c r="I155" i="28"/>
  <c r="B155" i="28"/>
  <c r="J154" i="28"/>
  <c r="K154" i="28" s="1"/>
  <c r="I154" i="28"/>
  <c r="B154" i="28"/>
  <c r="J153" i="28"/>
  <c r="K153" i="28" s="1"/>
  <c r="I153" i="28"/>
  <c r="M153" i="28" s="1"/>
  <c r="B153" i="28"/>
  <c r="J152" i="28"/>
  <c r="K152" i="28" s="1"/>
  <c r="I152" i="28"/>
  <c r="N152" i="28" s="1"/>
  <c r="A152" i="28" s="1"/>
  <c r="B152" i="28"/>
  <c r="J151" i="28"/>
  <c r="K151" i="28" s="1"/>
  <c r="I151" i="28"/>
  <c r="B151" i="28"/>
  <c r="J150" i="28"/>
  <c r="K150" i="28" s="1"/>
  <c r="I150" i="28"/>
  <c r="B150" i="28"/>
  <c r="J149" i="28"/>
  <c r="K149" i="28" s="1"/>
  <c r="I149" i="28"/>
  <c r="B149" i="28"/>
  <c r="J148" i="28"/>
  <c r="K148" i="28" s="1"/>
  <c r="I148" i="28"/>
  <c r="B148" i="28"/>
  <c r="J147" i="28"/>
  <c r="K147" i="28" s="1"/>
  <c r="I147" i="28"/>
  <c r="N147" i="28" s="1"/>
  <c r="B147" i="28"/>
  <c r="A147" i="28"/>
  <c r="J146" i="28"/>
  <c r="K146" i="28" s="1"/>
  <c r="I146" i="28"/>
  <c r="N146" i="28" s="1"/>
  <c r="A146" i="28" s="1"/>
  <c r="B146" i="28"/>
  <c r="J145" i="28"/>
  <c r="K145" i="28" s="1"/>
  <c r="I145" i="28"/>
  <c r="B145" i="28"/>
  <c r="J144" i="28"/>
  <c r="K144" i="28" s="1"/>
  <c r="I144" i="28"/>
  <c r="B144" i="28"/>
  <c r="J143" i="28"/>
  <c r="K143" i="28" s="1"/>
  <c r="I143" i="28"/>
  <c r="B143" i="28"/>
  <c r="J142" i="28"/>
  <c r="K142" i="28" s="1"/>
  <c r="I142" i="28"/>
  <c r="B142" i="28"/>
  <c r="J141" i="28"/>
  <c r="K141" i="28" s="1"/>
  <c r="I141" i="28"/>
  <c r="N141" i="28" s="1"/>
  <c r="A141" i="28" s="1"/>
  <c r="B141" i="28"/>
  <c r="J140" i="28"/>
  <c r="K140" i="28" s="1"/>
  <c r="I140" i="28"/>
  <c r="B140" i="28"/>
  <c r="J139" i="28"/>
  <c r="K139" i="28" s="1"/>
  <c r="I139" i="28"/>
  <c r="B139" i="28"/>
  <c r="J138" i="28"/>
  <c r="K138" i="28" s="1"/>
  <c r="I138" i="28"/>
  <c r="B138" i="28"/>
  <c r="J137" i="28"/>
  <c r="K137" i="28" s="1"/>
  <c r="I137" i="28"/>
  <c r="M137" i="28" s="1"/>
  <c r="B137" i="28"/>
  <c r="J136" i="28"/>
  <c r="K136" i="28" s="1"/>
  <c r="I136" i="28"/>
  <c r="N136" i="28" s="1"/>
  <c r="A136" i="28" s="1"/>
  <c r="B136" i="28"/>
  <c r="J135" i="28"/>
  <c r="K135" i="28" s="1"/>
  <c r="I135" i="28"/>
  <c r="B135" i="28"/>
  <c r="J134" i="28"/>
  <c r="K134" i="28" s="1"/>
  <c r="I134" i="28"/>
  <c r="B134" i="28"/>
  <c r="J133" i="28"/>
  <c r="K133" i="28" s="1"/>
  <c r="I133" i="28"/>
  <c r="B133" i="28"/>
  <c r="J132" i="28"/>
  <c r="K132" i="28" s="1"/>
  <c r="I132" i="28"/>
  <c r="B132" i="28"/>
  <c r="J131" i="28"/>
  <c r="K131" i="28" s="1"/>
  <c r="I131" i="28"/>
  <c r="B131" i="28"/>
  <c r="J130" i="28"/>
  <c r="K130" i="28" s="1"/>
  <c r="I130" i="28"/>
  <c r="B130" i="28"/>
  <c r="J129" i="28"/>
  <c r="K129" i="28" s="1"/>
  <c r="I129" i="28"/>
  <c r="N129" i="28" s="1"/>
  <c r="A129" i="28" s="1"/>
  <c r="B129" i="28"/>
  <c r="J128" i="28"/>
  <c r="K128" i="28" s="1"/>
  <c r="I128" i="28"/>
  <c r="N128" i="28" s="1"/>
  <c r="A128" i="28" s="1"/>
  <c r="B128" i="28"/>
  <c r="J127" i="28"/>
  <c r="K127" i="28" s="1"/>
  <c r="I127" i="28"/>
  <c r="B127" i="28"/>
  <c r="J126" i="28"/>
  <c r="K126" i="28" s="1"/>
  <c r="I126" i="28"/>
  <c r="B126" i="28"/>
  <c r="J125" i="28"/>
  <c r="K125" i="28" s="1"/>
  <c r="I125" i="28"/>
  <c r="B125" i="28"/>
  <c r="J124" i="28"/>
  <c r="K124" i="28" s="1"/>
  <c r="I124" i="28"/>
  <c r="B124" i="28"/>
  <c r="J123" i="28"/>
  <c r="K123" i="28" s="1"/>
  <c r="I123" i="28"/>
  <c r="B123" i="28"/>
  <c r="J122" i="28"/>
  <c r="K122" i="28" s="1"/>
  <c r="I122" i="28"/>
  <c r="B122" i="28"/>
  <c r="J121" i="28"/>
  <c r="K121" i="28" s="1"/>
  <c r="I121" i="28"/>
  <c r="N121" i="28" s="1"/>
  <c r="B121" i="28"/>
  <c r="A121" i="28"/>
  <c r="J120" i="28"/>
  <c r="K120" i="28" s="1"/>
  <c r="I120" i="28"/>
  <c r="N120" i="28" s="1"/>
  <c r="B120" i="28"/>
  <c r="A120" i="28"/>
  <c r="J119" i="28"/>
  <c r="K119" i="28" s="1"/>
  <c r="I119" i="28"/>
  <c r="B119" i="28"/>
  <c r="J118" i="28"/>
  <c r="K118" i="28" s="1"/>
  <c r="I118" i="28"/>
  <c r="B118" i="28"/>
  <c r="J117" i="28"/>
  <c r="K117" i="28" s="1"/>
  <c r="I117" i="28"/>
  <c r="B117" i="28"/>
  <c r="J116" i="28"/>
  <c r="K116" i="28" s="1"/>
  <c r="I116" i="28"/>
  <c r="B116" i="28"/>
  <c r="J115" i="28"/>
  <c r="K115" i="28" s="1"/>
  <c r="I115" i="28"/>
  <c r="B115" i="28"/>
  <c r="J114" i="28"/>
  <c r="K114" i="28" s="1"/>
  <c r="I114" i="28"/>
  <c r="B114" i="28"/>
  <c r="J113" i="28"/>
  <c r="K113" i="28" s="1"/>
  <c r="I113" i="28"/>
  <c r="N113" i="28" s="1"/>
  <c r="B113" i="28"/>
  <c r="A113" i="28"/>
  <c r="J112" i="28"/>
  <c r="K112" i="28" s="1"/>
  <c r="I112" i="28"/>
  <c r="N112" i="28" s="1"/>
  <c r="B112" i="28"/>
  <c r="A112" i="28"/>
  <c r="J111" i="28"/>
  <c r="K111" i="28" s="1"/>
  <c r="I111" i="28"/>
  <c r="B111" i="28"/>
  <c r="J110" i="28"/>
  <c r="K110" i="28" s="1"/>
  <c r="I110" i="28"/>
  <c r="B110" i="28"/>
  <c r="J109" i="28"/>
  <c r="K109" i="28" s="1"/>
  <c r="I109" i="28"/>
  <c r="B109" i="28"/>
  <c r="J108" i="28"/>
  <c r="K108" i="28" s="1"/>
  <c r="I108" i="28"/>
  <c r="B108" i="28"/>
  <c r="J107" i="28"/>
  <c r="K107" i="28" s="1"/>
  <c r="I107" i="28"/>
  <c r="B107" i="28"/>
  <c r="J106" i="28"/>
  <c r="K106" i="28" s="1"/>
  <c r="I106" i="28"/>
  <c r="B106" i="28"/>
  <c r="J105" i="28"/>
  <c r="K105" i="28" s="1"/>
  <c r="I105" i="28"/>
  <c r="N105" i="28" s="1"/>
  <c r="A105" i="28" s="1"/>
  <c r="B105" i="28"/>
  <c r="J104" i="28"/>
  <c r="K104" i="28" s="1"/>
  <c r="I104" i="28"/>
  <c r="N104" i="28" s="1"/>
  <c r="A104" i="28" s="1"/>
  <c r="B104" i="28"/>
  <c r="J103" i="28"/>
  <c r="K103" i="28" s="1"/>
  <c r="I103" i="28"/>
  <c r="B103" i="28"/>
  <c r="J102" i="28"/>
  <c r="K102" i="28" s="1"/>
  <c r="I102" i="28"/>
  <c r="B102" i="28"/>
  <c r="J101" i="28"/>
  <c r="K101" i="28" s="1"/>
  <c r="I101" i="28"/>
  <c r="B101" i="28"/>
  <c r="J100" i="28"/>
  <c r="K100" i="28" s="1"/>
  <c r="I100" i="28"/>
  <c r="B100" i="28"/>
  <c r="J99" i="28"/>
  <c r="K99" i="28" s="1"/>
  <c r="I99" i="28"/>
  <c r="B99" i="28"/>
  <c r="J98" i="28"/>
  <c r="K98" i="28" s="1"/>
  <c r="I98" i="28"/>
  <c r="B98" i="28"/>
  <c r="J97" i="28"/>
  <c r="K97" i="28" s="1"/>
  <c r="I97" i="28"/>
  <c r="N97" i="28" s="1"/>
  <c r="A97" i="28" s="1"/>
  <c r="B97" i="28"/>
  <c r="J96" i="28"/>
  <c r="K96" i="28" s="1"/>
  <c r="I96" i="28"/>
  <c r="N96" i="28" s="1"/>
  <c r="A96" i="28" s="1"/>
  <c r="B96" i="28"/>
  <c r="J95" i="28"/>
  <c r="K95" i="28" s="1"/>
  <c r="I95" i="28"/>
  <c r="B95" i="28"/>
  <c r="J94" i="28"/>
  <c r="K94" i="28" s="1"/>
  <c r="I94" i="28"/>
  <c r="B94" i="28"/>
  <c r="J93" i="28"/>
  <c r="K93" i="28" s="1"/>
  <c r="I93" i="28"/>
  <c r="B93" i="28"/>
  <c r="J92" i="28"/>
  <c r="K92" i="28" s="1"/>
  <c r="I92" i="28"/>
  <c r="B92" i="28"/>
  <c r="J91" i="28"/>
  <c r="K91" i="28" s="1"/>
  <c r="I91" i="28"/>
  <c r="B91" i="28"/>
  <c r="J90" i="28"/>
  <c r="K90" i="28" s="1"/>
  <c r="I90" i="28"/>
  <c r="B90" i="28"/>
  <c r="J89" i="28"/>
  <c r="K89" i="28" s="1"/>
  <c r="I89" i="28"/>
  <c r="B89" i="28"/>
  <c r="J88" i="28"/>
  <c r="K88" i="28" s="1"/>
  <c r="I88" i="28"/>
  <c r="B88" i="28"/>
  <c r="J87" i="28"/>
  <c r="K87" i="28" s="1"/>
  <c r="I87" i="28"/>
  <c r="M87" i="28" s="1"/>
  <c r="N87" i="28" s="1"/>
  <c r="A87" i="28" s="1"/>
  <c r="B87" i="28"/>
  <c r="J86" i="28"/>
  <c r="K86" i="28" s="1"/>
  <c r="I86" i="28"/>
  <c r="M86" i="28" s="1"/>
  <c r="N86" i="28" s="1"/>
  <c r="A86" i="28" s="1"/>
  <c r="B86" i="28"/>
  <c r="J85" i="28"/>
  <c r="K85" i="28" s="1"/>
  <c r="I85" i="28"/>
  <c r="M85" i="28" s="1"/>
  <c r="N85" i="28" s="1"/>
  <c r="A85" i="28" s="1"/>
  <c r="B85" i="28"/>
  <c r="J84" i="28"/>
  <c r="K84" i="28" s="1"/>
  <c r="I84" i="28"/>
  <c r="B84" i="28"/>
  <c r="J83" i="28"/>
  <c r="K83" i="28" s="1"/>
  <c r="I83" i="28"/>
  <c r="B83" i="28"/>
  <c r="J82" i="28"/>
  <c r="K82" i="28" s="1"/>
  <c r="I82" i="28"/>
  <c r="B82" i="28"/>
  <c r="J81" i="28"/>
  <c r="K81" i="28" s="1"/>
  <c r="I81" i="28"/>
  <c r="B81" i="28"/>
  <c r="J80" i="28"/>
  <c r="K80" i="28" s="1"/>
  <c r="I80" i="28"/>
  <c r="B80" i="28"/>
  <c r="J79" i="28"/>
  <c r="K79" i="28" s="1"/>
  <c r="I79" i="28"/>
  <c r="B79" i="28"/>
  <c r="J78" i="28"/>
  <c r="K78" i="28" s="1"/>
  <c r="I78" i="28"/>
  <c r="B78" i="28"/>
  <c r="J77" i="28"/>
  <c r="K77" i="28" s="1"/>
  <c r="I77" i="28"/>
  <c r="M77" i="28" s="1"/>
  <c r="N77" i="28" s="1"/>
  <c r="A77" i="28" s="1"/>
  <c r="B77" i="28"/>
  <c r="J76" i="28"/>
  <c r="K76" i="28" s="1"/>
  <c r="I76" i="28"/>
  <c r="B76" i="28"/>
  <c r="J75" i="28"/>
  <c r="K75" i="28" s="1"/>
  <c r="I75" i="28"/>
  <c r="B75" i="28"/>
  <c r="J74" i="28"/>
  <c r="K74" i="28" s="1"/>
  <c r="I74" i="28"/>
  <c r="B74" i="28"/>
  <c r="J73" i="28"/>
  <c r="K73" i="28" s="1"/>
  <c r="I73" i="28"/>
  <c r="B73" i="28"/>
  <c r="J72" i="28"/>
  <c r="K72" i="28" s="1"/>
  <c r="I72" i="28"/>
  <c r="B72" i="28"/>
  <c r="J71" i="28"/>
  <c r="K71" i="28" s="1"/>
  <c r="I71" i="28"/>
  <c r="M71" i="28" s="1"/>
  <c r="N71" i="28" s="1"/>
  <c r="A71" i="28" s="1"/>
  <c r="B71" i="28"/>
  <c r="J70" i="28"/>
  <c r="K70" i="28" s="1"/>
  <c r="I70" i="28"/>
  <c r="B70" i="28"/>
  <c r="J69" i="28"/>
  <c r="K69" i="28" s="1"/>
  <c r="I69" i="28"/>
  <c r="B69" i="28"/>
  <c r="J68" i="28"/>
  <c r="K68" i="28" s="1"/>
  <c r="I68" i="28"/>
  <c r="B68" i="28"/>
  <c r="J67" i="28"/>
  <c r="K67" i="28" s="1"/>
  <c r="I67" i="28"/>
  <c r="B67" i="28"/>
  <c r="J66" i="28"/>
  <c r="K66" i="28" s="1"/>
  <c r="I66" i="28"/>
  <c r="B66" i="28"/>
  <c r="J65" i="28"/>
  <c r="K65" i="28" s="1"/>
  <c r="I65" i="28"/>
  <c r="B65" i="28"/>
  <c r="J64" i="28"/>
  <c r="K64" i="28" s="1"/>
  <c r="I64" i="28"/>
  <c r="B64" i="28"/>
  <c r="J63" i="28"/>
  <c r="K63" i="28" s="1"/>
  <c r="I63" i="28"/>
  <c r="M63" i="28" s="1"/>
  <c r="N63" i="28" s="1"/>
  <c r="A63" i="28" s="1"/>
  <c r="B63" i="28"/>
  <c r="J62" i="28"/>
  <c r="K62" i="28" s="1"/>
  <c r="I62" i="28"/>
  <c r="M62" i="28" s="1"/>
  <c r="N62" i="28" s="1"/>
  <c r="A62" i="28" s="1"/>
  <c r="B62" i="28"/>
  <c r="J61" i="28"/>
  <c r="K61" i="28" s="1"/>
  <c r="I61" i="28"/>
  <c r="B61" i="28"/>
  <c r="J60" i="28"/>
  <c r="K60" i="28" s="1"/>
  <c r="I60" i="28"/>
  <c r="B60" i="28"/>
  <c r="J59" i="28"/>
  <c r="K59" i="28" s="1"/>
  <c r="I59" i="28"/>
  <c r="B59" i="28"/>
  <c r="J58" i="28"/>
  <c r="K58" i="28" s="1"/>
  <c r="I58" i="28"/>
  <c r="B58" i="28"/>
  <c r="J57" i="28"/>
  <c r="K57" i="28" s="1"/>
  <c r="I57" i="28"/>
  <c r="B57" i="28"/>
  <c r="J56" i="28"/>
  <c r="K56" i="28" s="1"/>
  <c r="I56" i="28"/>
  <c r="B56" i="28"/>
  <c r="J55" i="28"/>
  <c r="K55" i="28" s="1"/>
  <c r="I55" i="28"/>
  <c r="M55" i="28" s="1"/>
  <c r="B55" i="28"/>
  <c r="J54" i="28"/>
  <c r="K54" i="28" s="1"/>
  <c r="I54" i="28"/>
  <c r="B54" i="28"/>
  <c r="J53" i="28"/>
  <c r="K53" i="28" s="1"/>
  <c r="I53" i="28"/>
  <c r="M53" i="28" s="1"/>
  <c r="N53" i="28" s="1"/>
  <c r="A53" i="28" s="1"/>
  <c r="B53" i="28"/>
  <c r="J52" i="28"/>
  <c r="K52" i="28" s="1"/>
  <c r="I52" i="28"/>
  <c r="B52" i="28"/>
  <c r="J51" i="28"/>
  <c r="K51" i="28" s="1"/>
  <c r="I51" i="28"/>
  <c r="B51" i="28"/>
  <c r="J50" i="28"/>
  <c r="K50" i="28" s="1"/>
  <c r="I50" i="28"/>
  <c r="M50" i="28" s="1"/>
  <c r="B50" i="28"/>
  <c r="J49" i="28"/>
  <c r="K49" i="28" s="1"/>
  <c r="I49" i="28"/>
  <c r="B49" i="28"/>
  <c r="J48" i="28"/>
  <c r="K48" i="28" s="1"/>
  <c r="I48" i="28"/>
  <c r="B48" i="28"/>
  <c r="J47" i="28"/>
  <c r="K47" i="28" s="1"/>
  <c r="I47" i="28"/>
  <c r="B47" i="28"/>
  <c r="J46" i="28"/>
  <c r="K46" i="28" s="1"/>
  <c r="I46" i="28"/>
  <c r="M46" i="28" s="1"/>
  <c r="N46" i="28" s="1"/>
  <c r="A46" i="28" s="1"/>
  <c r="B46" i="28"/>
  <c r="J45" i="28"/>
  <c r="K45" i="28" s="1"/>
  <c r="I45" i="28"/>
  <c r="B45" i="28"/>
  <c r="J44" i="28"/>
  <c r="K44" i="28" s="1"/>
  <c r="I44" i="28"/>
  <c r="B44" i="28"/>
  <c r="J43" i="28"/>
  <c r="K43" i="28" s="1"/>
  <c r="I43" i="28"/>
  <c r="M43" i="28" s="1"/>
  <c r="B43" i="28"/>
  <c r="J42" i="28"/>
  <c r="K42" i="28" s="1"/>
  <c r="I42" i="28"/>
  <c r="B42" i="28"/>
  <c r="J41" i="28"/>
  <c r="K41" i="28" s="1"/>
  <c r="I41" i="28"/>
  <c r="B41" i="28"/>
  <c r="J40" i="28"/>
  <c r="K40" i="28" s="1"/>
  <c r="I40" i="28"/>
  <c r="J39" i="28"/>
  <c r="K39" i="28" s="1"/>
  <c r="I39" i="28"/>
  <c r="J38" i="28"/>
  <c r="K38" i="28" s="1"/>
  <c r="I38" i="28"/>
  <c r="M38" i="28" s="1"/>
  <c r="N38" i="28" s="1"/>
  <c r="A38" i="28" s="1"/>
  <c r="J37" i="28"/>
  <c r="K37" i="28" s="1"/>
  <c r="I37" i="28"/>
  <c r="J36" i="28"/>
  <c r="K36" i="28" s="1"/>
  <c r="I36" i="28"/>
  <c r="J35" i="28"/>
  <c r="K35" i="28" s="1"/>
  <c r="I35" i="28"/>
  <c r="J34" i="28"/>
  <c r="K34" i="28" s="1"/>
  <c r="I34" i="28"/>
  <c r="M34" i="28" s="1"/>
  <c r="J33" i="28"/>
  <c r="K33" i="28" s="1"/>
  <c r="I33" i="28"/>
  <c r="J32" i="28"/>
  <c r="K32" i="28" s="1"/>
  <c r="I32" i="28"/>
  <c r="M32" i="28" s="1"/>
  <c r="J31" i="28"/>
  <c r="K31" i="28" s="1"/>
  <c r="I31" i="28"/>
  <c r="M31" i="28" s="1"/>
  <c r="N31" i="28" s="1"/>
  <c r="A31" i="28" s="1"/>
  <c r="J30" i="28"/>
  <c r="K30" i="28" s="1"/>
  <c r="I30" i="28"/>
  <c r="J29" i="28"/>
  <c r="K29" i="28" s="1"/>
  <c r="I29" i="28"/>
  <c r="J28" i="28"/>
  <c r="K28" i="28" s="1"/>
  <c r="I28" i="28"/>
  <c r="J27" i="28"/>
  <c r="K27" i="28" s="1"/>
  <c r="I27" i="28"/>
  <c r="J26" i="28"/>
  <c r="K26" i="28" s="1"/>
  <c r="I26" i="28"/>
  <c r="J25" i="28"/>
  <c r="K25" i="28" s="1"/>
  <c r="I25" i="28"/>
  <c r="M25" i="28" s="1"/>
  <c r="N25" i="28" s="1"/>
  <c r="A25" i="28" s="1"/>
  <c r="J24" i="28"/>
  <c r="K24" i="28" s="1"/>
  <c r="I24" i="28"/>
  <c r="J23" i="28"/>
  <c r="K23" i="28" s="1"/>
  <c r="I23" i="28"/>
  <c r="J22" i="28"/>
  <c r="K22" i="28" s="1"/>
  <c r="I22" i="28"/>
  <c r="J21" i="28"/>
  <c r="K21" i="28" s="1"/>
  <c r="I21" i="28"/>
  <c r="J20" i="28"/>
  <c r="K20" i="28" s="1"/>
  <c r="I20" i="28"/>
  <c r="J19" i="28"/>
  <c r="K19" i="28" s="1"/>
  <c r="I19" i="28"/>
  <c r="J18" i="28"/>
  <c r="K18" i="28" s="1"/>
  <c r="I18" i="28"/>
  <c r="J17" i="28"/>
  <c r="K17" i="28" s="1"/>
  <c r="I17" i="28"/>
  <c r="M17" i="28" s="1"/>
  <c r="N17" i="28" s="1"/>
  <c r="A17" i="28" s="1"/>
  <c r="AJ16" i="28"/>
  <c r="J16" i="28"/>
  <c r="K16" i="28" s="1"/>
  <c r="I16" i="28"/>
  <c r="M16" i="28" s="1"/>
  <c r="N16" i="28" s="1"/>
  <c r="A16" i="28" s="1"/>
  <c r="J15" i="28"/>
  <c r="K15" i="28" s="1"/>
  <c r="I15" i="28"/>
  <c r="AJ14" i="28"/>
  <c r="J14" i="28"/>
  <c r="K14" i="28" s="1"/>
  <c r="I14" i="28"/>
  <c r="M14" i="28" s="1"/>
  <c r="N14" i="28" s="1"/>
  <c r="A14" i="28" s="1"/>
  <c r="AJ13" i="28"/>
  <c r="J13" i="28"/>
  <c r="K13" i="28" s="1"/>
  <c r="I13" i="28"/>
  <c r="AJ12" i="28"/>
  <c r="J12" i="28"/>
  <c r="K12" i="28" s="1"/>
  <c r="I12" i="28"/>
  <c r="J11" i="28"/>
  <c r="K11" i="28" s="1"/>
  <c r="I11" i="28"/>
  <c r="J10" i="28"/>
  <c r="K10" i="28" s="1"/>
  <c r="I10" i="28"/>
  <c r="J9" i="28"/>
  <c r="K9" i="28" s="1"/>
  <c r="I9" i="28"/>
  <c r="J8" i="28"/>
  <c r="K8" i="28" s="1"/>
  <c r="I8" i="28"/>
  <c r="J7" i="28"/>
  <c r="K7" i="28" s="1"/>
  <c r="I7" i="28"/>
  <c r="J6" i="28"/>
  <c r="K6" i="28" s="1"/>
  <c r="I6" i="28"/>
  <c r="K2" i="28"/>
  <c r="K305" i="27"/>
  <c r="J305" i="27"/>
  <c r="I305" i="27"/>
  <c r="M305" i="27" s="1"/>
  <c r="M304" i="27"/>
  <c r="J304" i="27"/>
  <c r="K304" i="27" s="1"/>
  <c r="I304" i="27"/>
  <c r="K303" i="27"/>
  <c r="J303" i="27"/>
  <c r="I303" i="27"/>
  <c r="M303" i="27" s="1"/>
  <c r="M302" i="27"/>
  <c r="K302" i="27"/>
  <c r="J302" i="27"/>
  <c r="I302" i="27"/>
  <c r="J301" i="27"/>
  <c r="K301" i="27" s="1"/>
  <c r="I301" i="27"/>
  <c r="M301" i="27" s="1"/>
  <c r="M300" i="27"/>
  <c r="K300" i="27"/>
  <c r="J300" i="27"/>
  <c r="I300" i="27"/>
  <c r="J299" i="27"/>
  <c r="K299" i="27" s="1"/>
  <c r="I299" i="27"/>
  <c r="M299" i="27" s="1"/>
  <c r="M298" i="27"/>
  <c r="J298" i="27"/>
  <c r="K298" i="27" s="1"/>
  <c r="I298" i="27"/>
  <c r="J297" i="27"/>
  <c r="K297" i="27" s="1"/>
  <c r="I297" i="27"/>
  <c r="M297" i="27" s="1"/>
  <c r="M296" i="27"/>
  <c r="K296" i="27"/>
  <c r="J296" i="27"/>
  <c r="I296" i="27"/>
  <c r="K295" i="27"/>
  <c r="J295" i="27"/>
  <c r="I295" i="27"/>
  <c r="M295" i="27" s="1"/>
  <c r="M294" i="27"/>
  <c r="K294" i="27"/>
  <c r="J294" i="27"/>
  <c r="I294" i="27"/>
  <c r="K293" i="27"/>
  <c r="J293" i="27"/>
  <c r="I293" i="27"/>
  <c r="M293" i="27" s="1"/>
  <c r="M292" i="27"/>
  <c r="J292" i="27"/>
  <c r="K292" i="27" s="1"/>
  <c r="I292" i="27"/>
  <c r="J291" i="27"/>
  <c r="K291" i="27" s="1"/>
  <c r="I291" i="27"/>
  <c r="M291" i="27" s="1"/>
  <c r="M290" i="27"/>
  <c r="J290" i="27"/>
  <c r="K290" i="27" s="1"/>
  <c r="I290" i="27"/>
  <c r="K289" i="27"/>
  <c r="J289" i="27"/>
  <c r="I289" i="27"/>
  <c r="M289" i="27" s="1"/>
  <c r="M288" i="27"/>
  <c r="J288" i="27"/>
  <c r="K288" i="27" s="1"/>
  <c r="I288" i="27"/>
  <c r="K287" i="27"/>
  <c r="J287" i="27"/>
  <c r="I287" i="27"/>
  <c r="M287" i="27" s="1"/>
  <c r="M286" i="27"/>
  <c r="K286" i="27"/>
  <c r="J286" i="27"/>
  <c r="I286" i="27"/>
  <c r="J285" i="27"/>
  <c r="K285" i="27" s="1"/>
  <c r="I285" i="27"/>
  <c r="M285" i="27" s="1"/>
  <c r="M284" i="27"/>
  <c r="K284" i="27"/>
  <c r="J284" i="27"/>
  <c r="I284" i="27"/>
  <c r="J283" i="27"/>
  <c r="K283" i="27" s="1"/>
  <c r="I283" i="27"/>
  <c r="M283" i="27" s="1"/>
  <c r="M282" i="27"/>
  <c r="J282" i="27"/>
  <c r="K282" i="27" s="1"/>
  <c r="I282" i="27"/>
  <c r="J281" i="27"/>
  <c r="K281" i="27" s="1"/>
  <c r="I281" i="27"/>
  <c r="M281" i="27" s="1"/>
  <c r="M280" i="27"/>
  <c r="K280" i="27"/>
  <c r="J280" i="27"/>
  <c r="I280" i="27"/>
  <c r="K279" i="27"/>
  <c r="J279" i="27"/>
  <c r="I279" i="27"/>
  <c r="M279" i="27" s="1"/>
  <c r="M278" i="27"/>
  <c r="K278" i="27"/>
  <c r="J278" i="27"/>
  <c r="I278" i="27"/>
  <c r="K277" i="27"/>
  <c r="J277" i="27"/>
  <c r="I277" i="27"/>
  <c r="M277" i="27" s="1"/>
  <c r="M276" i="27"/>
  <c r="J276" i="27"/>
  <c r="K276" i="27" s="1"/>
  <c r="I276" i="27"/>
  <c r="J275" i="27"/>
  <c r="K275" i="27" s="1"/>
  <c r="I275" i="27"/>
  <c r="M275" i="27" s="1"/>
  <c r="M274" i="27"/>
  <c r="J274" i="27"/>
  <c r="K274" i="27" s="1"/>
  <c r="I274" i="27"/>
  <c r="K273" i="27"/>
  <c r="J273" i="27"/>
  <c r="I273" i="27"/>
  <c r="M273" i="27" s="1"/>
  <c r="M272" i="27"/>
  <c r="J272" i="27"/>
  <c r="K272" i="27" s="1"/>
  <c r="I272" i="27"/>
  <c r="K271" i="27"/>
  <c r="J271" i="27"/>
  <c r="I271" i="27"/>
  <c r="M271" i="27" s="1"/>
  <c r="M270" i="27"/>
  <c r="K270" i="27"/>
  <c r="J270" i="27"/>
  <c r="I270" i="27"/>
  <c r="J269" i="27"/>
  <c r="K269" i="27" s="1"/>
  <c r="I269" i="27"/>
  <c r="M269" i="27" s="1"/>
  <c r="M268" i="27"/>
  <c r="K268" i="27"/>
  <c r="J268" i="27"/>
  <c r="I268" i="27"/>
  <c r="J267" i="27"/>
  <c r="K267" i="27" s="1"/>
  <c r="I267" i="27"/>
  <c r="M267" i="27" s="1"/>
  <c r="M266" i="27"/>
  <c r="J266" i="27"/>
  <c r="K266" i="27" s="1"/>
  <c r="I266" i="27"/>
  <c r="J265" i="27"/>
  <c r="K265" i="27" s="1"/>
  <c r="I265" i="27"/>
  <c r="M265" i="27" s="1"/>
  <c r="M264" i="27"/>
  <c r="K264" i="27"/>
  <c r="J264" i="27"/>
  <c r="I264" i="27"/>
  <c r="K263" i="27"/>
  <c r="J263" i="27"/>
  <c r="I263" i="27"/>
  <c r="M263" i="27" s="1"/>
  <c r="M262" i="27"/>
  <c r="K262" i="27"/>
  <c r="J262" i="27"/>
  <c r="I262" i="27"/>
  <c r="K261" i="27"/>
  <c r="J261" i="27"/>
  <c r="I261" i="27"/>
  <c r="M261" i="27" s="1"/>
  <c r="M260" i="27"/>
  <c r="J260" i="27"/>
  <c r="K260" i="27" s="1"/>
  <c r="I260" i="27"/>
  <c r="J259" i="27"/>
  <c r="K259" i="27" s="1"/>
  <c r="I259" i="27"/>
  <c r="M259" i="27" s="1"/>
  <c r="M258" i="27"/>
  <c r="J258" i="27"/>
  <c r="K258" i="27" s="1"/>
  <c r="I258" i="27"/>
  <c r="K257" i="27"/>
  <c r="J257" i="27"/>
  <c r="I257" i="27"/>
  <c r="M257" i="27" s="1"/>
  <c r="M256" i="27"/>
  <c r="J256" i="27"/>
  <c r="K256" i="27" s="1"/>
  <c r="I256" i="27"/>
  <c r="K255" i="27"/>
  <c r="J255" i="27"/>
  <c r="I255" i="27"/>
  <c r="M255" i="27" s="1"/>
  <c r="M254" i="27"/>
  <c r="K254" i="27"/>
  <c r="J254" i="27"/>
  <c r="I254" i="27"/>
  <c r="J253" i="27"/>
  <c r="K253" i="27" s="1"/>
  <c r="I253" i="27"/>
  <c r="M253" i="27" s="1"/>
  <c r="M252" i="27"/>
  <c r="K252" i="27"/>
  <c r="J252" i="27"/>
  <c r="I252" i="27"/>
  <c r="J251" i="27"/>
  <c r="K251" i="27" s="1"/>
  <c r="I251" i="27"/>
  <c r="M251" i="27" s="1"/>
  <c r="M250" i="27"/>
  <c r="J250" i="27"/>
  <c r="K250" i="27" s="1"/>
  <c r="I250" i="27"/>
  <c r="J249" i="27"/>
  <c r="K249" i="27" s="1"/>
  <c r="I249" i="27"/>
  <c r="M249" i="27" s="1"/>
  <c r="M248" i="27"/>
  <c r="K248" i="27"/>
  <c r="J248" i="27"/>
  <c r="I248" i="27"/>
  <c r="K247" i="27"/>
  <c r="J247" i="27"/>
  <c r="I247" i="27"/>
  <c r="M247" i="27" s="1"/>
  <c r="M246" i="27"/>
  <c r="K246" i="27"/>
  <c r="J246" i="27"/>
  <c r="I246" i="27"/>
  <c r="K245" i="27"/>
  <c r="J245" i="27"/>
  <c r="I245" i="27"/>
  <c r="M245" i="27" s="1"/>
  <c r="M244" i="27"/>
  <c r="J244" i="27"/>
  <c r="K244" i="27" s="1"/>
  <c r="I244" i="27"/>
  <c r="J243" i="27"/>
  <c r="K243" i="27" s="1"/>
  <c r="I243" i="27"/>
  <c r="M243" i="27" s="1"/>
  <c r="M242" i="27"/>
  <c r="J242" i="27"/>
  <c r="K242" i="27" s="1"/>
  <c r="I242" i="27"/>
  <c r="K241" i="27"/>
  <c r="J241" i="27"/>
  <c r="I241" i="27"/>
  <c r="M241" i="27" s="1"/>
  <c r="J240" i="27"/>
  <c r="K240" i="27" s="1"/>
  <c r="I240" i="27"/>
  <c r="M240" i="27" s="1"/>
  <c r="J239" i="27"/>
  <c r="K239" i="27" s="1"/>
  <c r="I239" i="27"/>
  <c r="M239" i="27" s="1"/>
  <c r="M238" i="27"/>
  <c r="K238" i="27"/>
  <c r="J238" i="27"/>
  <c r="I238" i="27"/>
  <c r="J237" i="27"/>
  <c r="K237" i="27" s="1"/>
  <c r="I237" i="27"/>
  <c r="M237" i="27" s="1"/>
  <c r="M236" i="27"/>
  <c r="K236" i="27"/>
  <c r="J236" i="27"/>
  <c r="I236" i="27"/>
  <c r="J235" i="27"/>
  <c r="K235" i="27" s="1"/>
  <c r="I235" i="27"/>
  <c r="M235" i="27" s="1"/>
  <c r="M234" i="27"/>
  <c r="J234" i="27"/>
  <c r="K234" i="27" s="1"/>
  <c r="I234" i="27"/>
  <c r="J233" i="27"/>
  <c r="K233" i="27" s="1"/>
  <c r="I233" i="27"/>
  <c r="M233" i="27" s="1"/>
  <c r="M232" i="27"/>
  <c r="K232" i="27"/>
  <c r="J232" i="27"/>
  <c r="I232" i="27"/>
  <c r="K231" i="27"/>
  <c r="J231" i="27"/>
  <c r="I231" i="27"/>
  <c r="M231" i="27" s="1"/>
  <c r="M230" i="27"/>
  <c r="J230" i="27"/>
  <c r="K230" i="27" s="1"/>
  <c r="I230" i="27"/>
  <c r="K229" i="27"/>
  <c r="J229" i="27"/>
  <c r="I229" i="27"/>
  <c r="M229" i="27" s="1"/>
  <c r="J228" i="27"/>
  <c r="K228" i="27" s="1"/>
  <c r="I228" i="27"/>
  <c r="M228" i="27" s="1"/>
  <c r="J227" i="27"/>
  <c r="K227" i="27" s="1"/>
  <c r="I227" i="27"/>
  <c r="M227" i="27" s="1"/>
  <c r="J226" i="27"/>
  <c r="K226" i="27" s="1"/>
  <c r="I226" i="27"/>
  <c r="M226" i="27" s="1"/>
  <c r="K225" i="27"/>
  <c r="J225" i="27"/>
  <c r="I225" i="27"/>
  <c r="M225" i="27" s="1"/>
  <c r="J224" i="27"/>
  <c r="K224" i="27" s="1"/>
  <c r="I224" i="27"/>
  <c r="M224" i="27" s="1"/>
  <c r="K223" i="27"/>
  <c r="J223" i="27"/>
  <c r="I223" i="27"/>
  <c r="M223" i="27" s="1"/>
  <c r="M222" i="27"/>
  <c r="J222" i="27"/>
  <c r="K222" i="27" s="1"/>
  <c r="I222" i="27"/>
  <c r="J221" i="27"/>
  <c r="K221" i="27" s="1"/>
  <c r="I221" i="27"/>
  <c r="M221" i="27" s="1"/>
  <c r="M220" i="27"/>
  <c r="K220" i="27"/>
  <c r="J220" i="27"/>
  <c r="I220" i="27"/>
  <c r="J219" i="27"/>
  <c r="K219" i="27" s="1"/>
  <c r="I219" i="27"/>
  <c r="M219" i="27" s="1"/>
  <c r="M218" i="27"/>
  <c r="J218" i="27"/>
  <c r="K218" i="27" s="1"/>
  <c r="I218" i="27"/>
  <c r="J217" i="27"/>
  <c r="K217" i="27" s="1"/>
  <c r="I217" i="27"/>
  <c r="M217" i="27" s="1"/>
  <c r="M216" i="27"/>
  <c r="K216" i="27"/>
  <c r="J216" i="27"/>
  <c r="I216" i="27"/>
  <c r="K215" i="27"/>
  <c r="J215" i="27"/>
  <c r="I215" i="27"/>
  <c r="M215" i="27" s="1"/>
  <c r="M214" i="27"/>
  <c r="J214" i="27"/>
  <c r="K214" i="27" s="1"/>
  <c r="I214" i="27"/>
  <c r="K213" i="27"/>
  <c r="J213" i="27"/>
  <c r="I213" i="27"/>
  <c r="M213" i="27" s="1"/>
  <c r="J212" i="27"/>
  <c r="K212" i="27" s="1"/>
  <c r="I212" i="27"/>
  <c r="M212" i="27" s="1"/>
  <c r="J211" i="27"/>
  <c r="K211" i="27" s="1"/>
  <c r="I211" i="27"/>
  <c r="M211" i="27" s="1"/>
  <c r="J210" i="27"/>
  <c r="K210" i="27" s="1"/>
  <c r="I210" i="27"/>
  <c r="M210" i="27" s="1"/>
  <c r="K209" i="27"/>
  <c r="J209" i="27"/>
  <c r="I209" i="27"/>
  <c r="M209" i="27" s="1"/>
  <c r="J208" i="27"/>
  <c r="K208" i="27" s="1"/>
  <c r="I208" i="27"/>
  <c r="M208" i="27" s="1"/>
  <c r="K207" i="27"/>
  <c r="J207" i="27"/>
  <c r="I207" i="27"/>
  <c r="M207" i="27" s="1"/>
  <c r="M206" i="27"/>
  <c r="J206" i="27"/>
  <c r="K206" i="27" s="1"/>
  <c r="I206" i="27"/>
  <c r="M205" i="27"/>
  <c r="J205" i="27"/>
  <c r="K205" i="27" s="1"/>
  <c r="I205" i="27"/>
  <c r="M204" i="27"/>
  <c r="J204" i="27"/>
  <c r="K204" i="27" s="1"/>
  <c r="I204" i="27"/>
  <c r="M203" i="27"/>
  <c r="J203" i="27"/>
  <c r="K203" i="27" s="1"/>
  <c r="I203" i="27"/>
  <c r="M202" i="27"/>
  <c r="J202" i="27"/>
  <c r="K202" i="27" s="1"/>
  <c r="I202" i="27"/>
  <c r="M201" i="27"/>
  <c r="K201" i="27"/>
  <c r="J201" i="27"/>
  <c r="I201" i="27"/>
  <c r="M200" i="27"/>
  <c r="J200" i="27"/>
  <c r="K200" i="27" s="1"/>
  <c r="I200" i="27"/>
  <c r="M199" i="27"/>
  <c r="K199" i="27"/>
  <c r="J199" i="27"/>
  <c r="I199" i="27"/>
  <c r="M198" i="27"/>
  <c r="J198" i="27"/>
  <c r="K198" i="27" s="1"/>
  <c r="I198" i="27"/>
  <c r="M197" i="27"/>
  <c r="J197" i="27"/>
  <c r="K197" i="27" s="1"/>
  <c r="I197" i="27"/>
  <c r="M196" i="27"/>
  <c r="J196" i="27"/>
  <c r="K196" i="27" s="1"/>
  <c r="I196" i="27"/>
  <c r="M195" i="27"/>
  <c r="J195" i="27"/>
  <c r="K195" i="27" s="1"/>
  <c r="I195" i="27"/>
  <c r="M194" i="27"/>
  <c r="J194" i="27"/>
  <c r="K194" i="27" s="1"/>
  <c r="I194" i="27"/>
  <c r="M193" i="27"/>
  <c r="K193" i="27"/>
  <c r="J193" i="27"/>
  <c r="I193" i="27"/>
  <c r="M192" i="27"/>
  <c r="J192" i="27"/>
  <c r="K192" i="27" s="1"/>
  <c r="I192" i="27"/>
  <c r="M191" i="27"/>
  <c r="K191" i="27"/>
  <c r="J191" i="27"/>
  <c r="I191" i="27"/>
  <c r="M190" i="27"/>
  <c r="J190" i="27"/>
  <c r="K190" i="27" s="1"/>
  <c r="I190" i="27"/>
  <c r="J189" i="27"/>
  <c r="K189" i="27" s="1"/>
  <c r="I189" i="27"/>
  <c r="M189" i="27" s="1"/>
  <c r="M188" i="27"/>
  <c r="J188" i="27"/>
  <c r="K188" i="27" s="1"/>
  <c r="I188" i="27"/>
  <c r="K187" i="27"/>
  <c r="J187" i="27"/>
  <c r="I187" i="27"/>
  <c r="M187" i="27" s="1"/>
  <c r="M186" i="27"/>
  <c r="J186" i="27"/>
  <c r="K186" i="27" s="1"/>
  <c r="I186" i="27"/>
  <c r="J185" i="27"/>
  <c r="K185" i="27" s="1"/>
  <c r="I185" i="27"/>
  <c r="M185" i="27" s="1"/>
  <c r="M184" i="27"/>
  <c r="J184" i="27"/>
  <c r="K184" i="27" s="1"/>
  <c r="I184" i="27"/>
  <c r="K183" i="27"/>
  <c r="J183" i="27"/>
  <c r="I183" i="27"/>
  <c r="M183" i="27" s="1"/>
  <c r="M182" i="27"/>
  <c r="J182" i="27"/>
  <c r="K182" i="27" s="1"/>
  <c r="I182" i="27"/>
  <c r="J181" i="27"/>
  <c r="K181" i="27" s="1"/>
  <c r="I181" i="27"/>
  <c r="M181" i="27" s="1"/>
  <c r="M180" i="27"/>
  <c r="J180" i="27"/>
  <c r="K180" i="27" s="1"/>
  <c r="I180" i="27"/>
  <c r="K179" i="27"/>
  <c r="J179" i="27"/>
  <c r="I179" i="27"/>
  <c r="M179" i="27" s="1"/>
  <c r="M178" i="27"/>
  <c r="J178" i="27"/>
  <c r="K178" i="27" s="1"/>
  <c r="I178" i="27"/>
  <c r="J177" i="27"/>
  <c r="K177" i="27" s="1"/>
  <c r="I177" i="27"/>
  <c r="M177" i="27" s="1"/>
  <c r="M176" i="27"/>
  <c r="J176" i="27"/>
  <c r="K176" i="27" s="1"/>
  <c r="I176" i="27"/>
  <c r="K175" i="27"/>
  <c r="J175" i="27"/>
  <c r="I175" i="27"/>
  <c r="M175" i="27" s="1"/>
  <c r="M174" i="27"/>
  <c r="J174" i="27"/>
  <c r="K174" i="27" s="1"/>
  <c r="I174" i="27"/>
  <c r="J173" i="27"/>
  <c r="K173" i="27" s="1"/>
  <c r="I173" i="27"/>
  <c r="M173" i="27" s="1"/>
  <c r="M172" i="27"/>
  <c r="J172" i="27"/>
  <c r="K172" i="27" s="1"/>
  <c r="I172" i="27"/>
  <c r="K171" i="27"/>
  <c r="J171" i="27"/>
  <c r="I171" i="27"/>
  <c r="M171" i="27" s="1"/>
  <c r="M170" i="27"/>
  <c r="J170" i="27"/>
  <c r="K170" i="27" s="1"/>
  <c r="I170" i="27"/>
  <c r="J169" i="27"/>
  <c r="K169" i="27" s="1"/>
  <c r="I169" i="27"/>
  <c r="M169" i="27" s="1"/>
  <c r="M168" i="27"/>
  <c r="J168" i="27"/>
  <c r="K168" i="27" s="1"/>
  <c r="I168" i="27"/>
  <c r="K167" i="27"/>
  <c r="J167" i="27"/>
  <c r="I167" i="27"/>
  <c r="M167" i="27" s="1"/>
  <c r="M166" i="27"/>
  <c r="J166" i="27"/>
  <c r="K166" i="27" s="1"/>
  <c r="I166" i="27"/>
  <c r="J165" i="27"/>
  <c r="K165" i="27" s="1"/>
  <c r="I165" i="27"/>
  <c r="M165" i="27" s="1"/>
  <c r="M164" i="27"/>
  <c r="J164" i="27"/>
  <c r="K164" i="27" s="1"/>
  <c r="I164" i="27"/>
  <c r="K163" i="27"/>
  <c r="J163" i="27"/>
  <c r="I163" i="27"/>
  <c r="M163" i="27" s="1"/>
  <c r="M162" i="27"/>
  <c r="J162" i="27"/>
  <c r="K162" i="27" s="1"/>
  <c r="I162" i="27"/>
  <c r="J161" i="27"/>
  <c r="K161" i="27" s="1"/>
  <c r="I161" i="27"/>
  <c r="M161" i="27" s="1"/>
  <c r="M160" i="27"/>
  <c r="J160" i="27"/>
  <c r="K160" i="27" s="1"/>
  <c r="I160" i="27"/>
  <c r="K159" i="27"/>
  <c r="J159" i="27"/>
  <c r="I159" i="27"/>
  <c r="M159" i="27" s="1"/>
  <c r="M158" i="27"/>
  <c r="J158" i="27"/>
  <c r="K158" i="27" s="1"/>
  <c r="I158" i="27"/>
  <c r="J157" i="27"/>
  <c r="K157" i="27" s="1"/>
  <c r="I157" i="27"/>
  <c r="M157" i="27" s="1"/>
  <c r="M156" i="27"/>
  <c r="J156" i="27"/>
  <c r="K156" i="27" s="1"/>
  <c r="I156" i="27"/>
  <c r="K155" i="27"/>
  <c r="J155" i="27"/>
  <c r="I155" i="27"/>
  <c r="M155" i="27" s="1"/>
  <c r="M154" i="27"/>
  <c r="J154" i="27"/>
  <c r="K154" i="27" s="1"/>
  <c r="I154" i="27"/>
  <c r="J153" i="27"/>
  <c r="K153" i="27" s="1"/>
  <c r="I153" i="27"/>
  <c r="M153" i="27" s="1"/>
  <c r="M152" i="27"/>
  <c r="J152" i="27"/>
  <c r="K152" i="27" s="1"/>
  <c r="I152" i="27"/>
  <c r="K151" i="27"/>
  <c r="J151" i="27"/>
  <c r="I151" i="27"/>
  <c r="M151" i="27" s="1"/>
  <c r="M150" i="27"/>
  <c r="J150" i="27"/>
  <c r="K150" i="27" s="1"/>
  <c r="I150" i="27"/>
  <c r="J149" i="27"/>
  <c r="K149" i="27" s="1"/>
  <c r="I149" i="27"/>
  <c r="M149" i="27" s="1"/>
  <c r="M148" i="27"/>
  <c r="J148" i="27"/>
  <c r="K148" i="27" s="1"/>
  <c r="I148" i="27"/>
  <c r="K147" i="27"/>
  <c r="J147" i="27"/>
  <c r="I147" i="27"/>
  <c r="M147" i="27" s="1"/>
  <c r="M146" i="27"/>
  <c r="J146" i="27"/>
  <c r="K146" i="27" s="1"/>
  <c r="I146" i="27"/>
  <c r="J145" i="27"/>
  <c r="K145" i="27" s="1"/>
  <c r="I145" i="27"/>
  <c r="M145" i="27" s="1"/>
  <c r="M144" i="27"/>
  <c r="J144" i="27"/>
  <c r="K144" i="27" s="1"/>
  <c r="I144" i="27"/>
  <c r="K143" i="27"/>
  <c r="J143" i="27"/>
  <c r="I143" i="27"/>
  <c r="M143" i="27" s="1"/>
  <c r="M142" i="27"/>
  <c r="J142" i="27"/>
  <c r="K142" i="27" s="1"/>
  <c r="I142" i="27"/>
  <c r="J141" i="27"/>
  <c r="K141" i="27" s="1"/>
  <c r="I141" i="27"/>
  <c r="M141" i="27" s="1"/>
  <c r="M140" i="27"/>
  <c r="J140" i="27"/>
  <c r="K140" i="27" s="1"/>
  <c r="I140" i="27"/>
  <c r="K139" i="27"/>
  <c r="J139" i="27"/>
  <c r="I139" i="27"/>
  <c r="M139" i="27" s="1"/>
  <c r="M138" i="27"/>
  <c r="J138" i="27"/>
  <c r="K138" i="27" s="1"/>
  <c r="I138" i="27"/>
  <c r="J137" i="27"/>
  <c r="K137" i="27" s="1"/>
  <c r="I137" i="27"/>
  <c r="M137" i="27" s="1"/>
  <c r="M136" i="27"/>
  <c r="J136" i="27"/>
  <c r="K136" i="27" s="1"/>
  <c r="I136" i="27"/>
  <c r="K135" i="27"/>
  <c r="J135" i="27"/>
  <c r="I135" i="27"/>
  <c r="M135" i="27" s="1"/>
  <c r="M134" i="27"/>
  <c r="J134" i="27"/>
  <c r="K134" i="27" s="1"/>
  <c r="I134" i="27"/>
  <c r="J133" i="27"/>
  <c r="K133" i="27" s="1"/>
  <c r="I133" i="27"/>
  <c r="M133" i="27" s="1"/>
  <c r="M132" i="27"/>
  <c r="J132" i="27"/>
  <c r="K132" i="27" s="1"/>
  <c r="I132" i="27"/>
  <c r="K131" i="27"/>
  <c r="J131" i="27"/>
  <c r="I131" i="27"/>
  <c r="M131" i="27" s="1"/>
  <c r="M130" i="27"/>
  <c r="J130" i="27"/>
  <c r="K130" i="27" s="1"/>
  <c r="I130" i="27"/>
  <c r="J129" i="27"/>
  <c r="K129" i="27" s="1"/>
  <c r="I129" i="27"/>
  <c r="M129" i="27" s="1"/>
  <c r="M128" i="27"/>
  <c r="J128" i="27"/>
  <c r="K128" i="27" s="1"/>
  <c r="I128" i="27"/>
  <c r="K127" i="27"/>
  <c r="J127" i="27"/>
  <c r="I127" i="27"/>
  <c r="M127" i="27" s="1"/>
  <c r="M126" i="27"/>
  <c r="J126" i="27"/>
  <c r="K126" i="27" s="1"/>
  <c r="I126" i="27"/>
  <c r="J125" i="27"/>
  <c r="K125" i="27" s="1"/>
  <c r="I125" i="27"/>
  <c r="M125" i="27" s="1"/>
  <c r="M124" i="27"/>
  <c r="J124" i="27"/>
  <c r="K124" i="27" s="1"/>
  <c r="I124" i="27"/>
  <c r="K123" i="27"/>
  <c r="J123" i="27"/>
  <c r="I123" i="27"/>
  <c r="M123" i="27" s="1"/>
  <c r="M122" i="27"/>
  <c r="J122" i="27"/>
  <c r="K122" i="27" s="1"/>
  <c r="I122" i="27"/>
  <c r="J121" i="27"/>
  <c r="K121" i="27" s="1"/>
  <c r="I121" i="27"/>
  <c r="M121" i="27" s="1"/>
  <c r="M120" i="27"/>
  <c r="J120" i="27"/>
  <c r="K120" i="27" s="1"/>
  <c r="I120" i="27"/>
  <c r="K119" i="27"/>
  <c r="J119" i="27"/>
  <c r="I119" i="27"/>
  <c r="M119" i="27" s="1"/>
  <c r="M118" i="27"/>
  <c r="J118" i="27"/>
  <c r="K118" i="27" s="1"/>
  <c r="I118" i="27"/>
  <c r="J117" i="27"/>
  <c r="K117" i="27" s="1"/>
  <c r="I117" i="27"/>
  <c r="M117" i="27" s="1"/>
  <c r="M116" i="27"/>
  <c r="J116" i="27"/>
  <c r="K116" i="27" s="1"/>
  <c r="I116" i="27"/>
  <c r="K115" i="27"/>
  <c r="J115" i="27"/>
  <c r="I115" i="27"/>
  <c r="M115" i="27" s="1"/>
  <c r="M114" i="27"/>
  <c r="J114" i="27"/>
  <c r="K114" i="27" s="1"/>
  <c r="I114" i="27"/>
  <c r="J113" i="27"/>
  <c r="K113" i="27" s="1"/>
  <c r="I113" i="27"/>
  <c r="M113" i="27" s="1"/>
  <c r="M112" i="27"/>
  <c r="J112" i="27"/>
  <c r="K112" i="27" s="1"/>
  <c r="I112" i="27"/>
  <c r="K111" i="27"/>
  <c r="J111" i="27"/>
  <c r="I111" i="27"/>
  <c r="M111" i="27" s="1"/>
  <c r="M110" i="27"/>
  <c r="J110" i="27"/>
  <c r="K110" i="27" s="1"/>
  <c r="I110" i="27"/>
  <c r="J109" i="27"/>
  <c r="K109" i="27" s="1"/>
  <c r="I109" i="27"/>
  <c r="M109" i="27" s="1"/>
  <c r="M108" i="27"/>
  <c r="J108" i="27"/>
  <c r="K108" i="27" s="1"/>
  <c r="I108" i="27"/>
  <c r="K107" i="27"/>
  <c r="J107" i="27"/>
  <c r="I107" i="27"/>
  <c r="M107" i="27" s="1"/>
  <c r="M106" i="27"/>
  <c r="J106" i="27"/>
  <c r="K106" i="27" s="1"/>
  <c r="I106" i="27"/>
  <c r="J105" i="27"/>
  <c r="K105" i="27" s="1"/>
  <c r="I105" i="27"/>
  <c r="M105" i="27" s="1"/>
  <c r="M104" i="27"/>
  <c r="J104" i="27"/>
  <c r="K104" i="27" s="1"/>
  <c r="I104" i="27"/>
  <c r="K103" i="27"/>
  <c r="J103" i="27"/>
  <c r="I103" i="27"/>
  <c r="M103" i="27" s="1"/>
  <c r="M102" i="27"/>
  <c r="J102" i="27"/>
  <c r="K102" i="27" s="1"/>
  <c r="I102" i="27"/>
  <c r="J101" i="27"/>
  <c r="K101" i="27" s="1"/>
  <c r="I101" i="27"/>
  <c r="M101" i="27" s="1"/>
  <c r="M100" i="27"/>
  <c r="J100" i="27"/>
  <c r="K100" i="27" s="1"/>
  <c r="I100" i="27"/>
  <c r="K99" i="27"/>
  <c r="J99" i="27"/>
  <c r="I99" i="27"/>
  <c r="M99" i="27" s="1"/>
  <c r="M98" i="27"/>
  <c r="J98" i="27"/>
  <c r="K98" i="27" s="1"/>
  <c r="I98" i="27"/>
  <c r="J97" i="27"/>
  <c r="K97" i="27" s="1"/>
  <c r="I97" i="27"/>
  <c r="M97" i="27" s="1"/>
  <c r="M96" i="27"/>
  <c r="J96" i="27"/>
  <c r="K96" i="27" s="1"/>
  <c r="I96" i="27"/>
  <c r="K95" i="27"/>
  <c r="J95" i="27"/>
  <c r="I95" i="27"/>
  <c r="M95" i="27" s="1"/>
  <c r="M94" i="27"/>
  <c r="J94" i="27"/>
  <c r="K94" i="27" s="1"/>
  <c r="I94" i="27"/>
  <c r="J93" i="27"/>
  <c r="K93" i="27" s="1"/>
  <c r="I93" i="27"/>
  <c r="M93" i="27" s="1"/>
  <c r="M92" i="27"/>
  <c r="J92" i="27"/>
  <c r="K92" i="27" s="1"/>
  <c r="I92" i="27"/>
  <c r="K91" i="27"/>
  <c r="J91" i="27"/>
  <c r="I91" i="27"/>
  <c r="M91" i="27" s="1"/>
  <c r="M90" i="27"/>
  <c r="J90" i="27"/>
  <c r="K90" i="27" s="1"/>
  <c r="I90" i="27"/>
  <c r="J89" i="27"/>
  <c r="K89" i="27" s="1"/>
  <c r="I89" i="27"/>
  <c r="M89" i="27" s="1"/>
  <c r="M88" i="27"/>
  <c r="J88" i="27"/>
  <c r="K88" i="27" s="1"/>
  <c r="I88" i="27"/>
  <c r="K87" i="27"/>
  <c r="J87" i="27"/>
  <c r="I87" i="27"/>
  <c r="M87" i="27" s="1"/>
  <c r="M86" i="27"/>
  <c r="J86" i="27"/>
  <c r="K86" i="27" s="1"/>
  <c r="I86" i="27"/>
  <c r="J85" i="27"/>
  <c r="K85" i="27" s="1"/>
  <c r="I85" i="27"/>
  <c r="M85" i="27" s="1"/>
  <c r="M84" i="27"/>
  <c r="J84" i="27"/>
  <c r="K84" i="27" s="1"/>
  <c r="I84" i="27"/>
  <c r="K83" i="27"/>
  <c r="J83" i="27"/>
  <c r="I83" i="27"/>
  <c r="M83" i="27" s="1"/>
  <c r="M82" i="27"/>
  <c r="J82" i="27"/>
  <c r="K82" i="27" s="1"/>
  <c r="I82" i="27"/>
  <c r="J81" i="27"/>
  <c r="K81" i="27" s="1"/>
  <c r="I81" i="27"/>
  <c r="M81" i="27" s="1"/>
  <c r="J80" i="27"/>
  <c r="K80" i="27" s="1"/>
  <c r="I80" i="27"/>
  <c r="M80" i="27" s="1"/>
  <c r="K79" i="27"/>
  <c r="J79" i="27"/>
  <c r="I79" i="27"/>
  <c r="M79" i="27" s="1"/>
  <c r="A79" i="27"/>
  <c r="K78" i="27"/>
  <c r="J78" i="27"/>
  <c r="I78" i="27"/>
  <c r="M78" i="27" s="1"/>
  <c r="A78" i="27"/>
  <c r="M77" i="27"/>
  <c r="J77" i="27"/>
  <c r="K77" i="27" s="1"/>
  <c r="I77" i="27"/>
  <c r="A77" i="27"/>
  <c r="J76" i="27"/>
  <c r="K76" i="27" s="1"/>
  <c r="I76" i="27"/>
  <c r="M76" i="27" s="1"/>
  <c r="A76" i="27" s="1"/>
  <c r="J75" i="27"/>
  <c r="K75" i="27" s="1"/>
  <c r="I75" i="27"/>
  <c r="M75" i="27" s="1"/>
  <c r="A75" i="27"/>
  <c r="J74" i="27"/>
  <c r="K74" i="27" s="1"/>
  <c r="I74" i="27"/>
  <c r="M74" i="27" s="1"/>
  <c r="A74" i="27" s="1"/>
  <c r="J73" i="27"/>
  <c r="K73" i="27" s="1"/>
  <c r="I73" i="27"/>
  <c r="M73" i="27" s="1"/>
  <c r="A73" i="27" s="1"/>
  <c r="M72" i="27"/>
  <c r="K72" i="27"/>
  <c r="J72" i="27"/>
  <c r="I72" i="27"/>
  <c r="A72" i="27"/>
  <c r="M71" i="27"/>
  <c r="A71" i="27" s="1"/>
  <c r="K71" i="27"/>
  <c r="J71" i="27"/>
  <c r="I71" i="27"/>
  <c r="K70" i="27"/>
  <c r="J70" i="27"/>
  <c r="I70" i="27"/>
  <c r="M70" i="27" s="1"/>
  <c r="A70" i="27"/>
  <c r="M69" i="27"/>
  <c r="A69" i="27" s="1"/>
  <c r="J69" i="27"/>
  <c r="K69" i="27" s="1"/>
  <c r="I69" i="27"/>
  <c r="J68" i="27"/>
  <c r="K68" i="27" s="1"/>
  <c r="I68" i="27"/>
  <c r="M68" i="27" s="1"/>
  <c r="A68" i="27" s="1"/>
  <c r="J67" i="27"/>
  <c r="K67" i="27" s="1"/>
  <c r="I67" i="27"/>
  <c r="M67" i="27" s="1"/>
  <c r="A67" i="27" s="1"/>
  <c r="J66" i="27"/>
  <c r="K66" i="27" s="1"/>
  <c r="I66" i="27"/>
  <c r="M66" i="27" s="1"/>
  <c r="A66" i="27" s="1"/>
  <c r="M65" i="27"/>
  <c r="J65" i="27"/>
  <c r="K65" i="27" s="1"/>
  <c r="I65" i="27"/>
  <c r="B65" i="27"/>
  <c r="A65" i="27"/>
  <c r="M64" i="27"/>
  <c r="A64" i="27" s="1"/>
  <c r="J64" i="27"/>
  <c r="K64" i="27" s="1"/>
  <c r="I64" i="27"/>
  <c r="B64" i="27"/>
  <c r="M63" i="27"/>
  <c r="J63" i="27"/>
  <c r="K63" i="27" s="1"/>
  <c r="I63" i="27"/>
  <c r="B63" i="27"/>
  <c r="A63" i="27"/>
  <c r="M62" i="27"/>
  <c r="A62" i="27" s="1"/>
  <c r="K62" i="27"/>
  <c r="J62" i="27"/>
  <c r="I62" i="27"/>
  <c r="B62" i="27"/>
  <c r="M61" i="27"/>
  <c r="A61" i="27" s="1"/>
  <c r="K61" i="27"/>
  <c r="J61" i="27"/>
  <c r="I61" i="27"/>
  <c r="B61" i="27"/>
  <c r="J60" i="27"/>
  <c r="K60" i="27" s="1"/>
  <c r="I60" i="27"/>
  <c r="M60" i="27" s="1"/>
  <c r="A60" i="27" s="1"/>
  <c r="B60" i="27"/>
  <c r="M59" i="27"/>
  <c r="K59" i="27"/>
  <c r="J59" i="27"/>
  <c r="I59" i="27"/>
  <c r="B59" i="27"/>
  <c r="A59" i="27"/>
  <c r="J58" i="27"/>
  <c r="K58" i="27" s="1"/>
  <c r="I58" i="27"/>
  <c r="M58" i="27" s="1"/>
  <c r="A58" i="27" s="1"/>
  <c r="B58" i="27"/>
  <c r="J57" i="27"/>
  <c r="K57" i="27" s="1"/>
  <c r="I57" i="27"/>
  <c r="M57" i="27" s="1"/>
  <c r="A57" i="27" s="1"/>
  <c r="B57" i="27"/>
  <c r="M56" i="27"/>
  <c r="J56" i="27"/>
  <c r="K56" i="27" s="1"/>
  <c r="I56" i="27"/>
  <c r="B56" i="27"/>
  <c r="A56" i="27"/>
  <c r="M55" i="27"/>
  <c r="A55" i="27" s="1"/>
  <c r="J55" i="27"/>
  <c r="K55" i="27" s="1"/>
  <c r="I55" i="27"/>
  <c r="B55" i="27"/>
  <c r="M54" i="27"/>
  <c r="A54" i="27" s="1"/>
  <c r="K54" i="27"/>
  <c r="J54" i="27"/>
  <c r="I54" i="27"/>
  <c r="B54" i="27"/>
  <c r="M53" i="27"/>
  <c r="A53" i="27" s="1"/>
  <c r="K53" i="27"/>
  <c r="J53" i="27"/>
  <c r="I53" i="27"/>
  <c r="B53" i="27"/>
  <c r="J52" i="27"/>
  <c r="K52" i="27" s="1"/>
  <c r="I52" i="27"/>
  <c r="M52" i="27" s="1"/>
  <c r="A52" i="27" s="1"/>
  <c r="B52" i="27"/>
  <c r="M51" i="27"/>
  <c r="K51" i="27"/>
  <c r="J51" i="27"/>
  <c r="I51" i="27"/>
  <c r="B51" i="27"/>
  <c r="A51" i="27"/>
  <c r="J50" i="27"/>
  <c r="K50" i="27" s="1"/>
  <c r="I50" i="27"/>
  <c r="M50" i="27" s="1"/>
  <c r="A50" i="27" s="1"/>
  <c r="B50" i="27"/>
  <c r="J49" i="27"/>
  <c r="K49" i="27" s="1"/>
  <c r="I49" i="27"/>
  <c r="M49" i="27" s="1"/>
  <c r="A49" i="27" s="1"/>
  <c r="B49" i="27"/>
  <c r="M48" i="27"/>
  <c r="A48" i="27" s="1"/>
  <c r="J48" i="27"/>
  <c r="K48" i="27" s="1"/>
  <c r="I48" i="27"/>
  <c r="B48" i="27"/>
  <c r="M47" i="27"/>
  <c r="A47" i="27" s="1"/>
  <c r="J47" i="27"/>
  <c r="K47" i="27" s="1"/>
  <c r="I47" i="27"/>
  <c r="B47" i="27"/>
  <c r="T46" i="27"/>
  <c r="U46" i="27" s="1"/>
  <c r="R46" i="27"/>
  <c r="K46" i="27"/>
  <c r="J46" i="27"/>
  <c r="I46" i="27"/>
  <c r="M46" i="27" s="1"/>
  <c r="A46" i="27" s="1"/>
  <c r="B46" i="27"/>
  <c r="K45" i="27"/>
  <c r="J45" i="27"/>
  <c r="I45" i="27"/>
  <c r="M45" i="27" s="1"/>
  <c r="A45" i="27" s="1"/>
  <c r="B45" i="27"/>
  <c r="J44" i="27"/>
  <c r="K44" i="27" s="1"/>
  <c r="I44" i="27"/>
  <c r="M44" i="27" s="1"/>
  <c r="A44" i="27" s="1"/>
  <c r="B44" i="27"/>
  <c r="K43" i="27"/>
  <c r="J43" i="27"/>
  <c r="I43" i="27"/>
  <c r="M43" i="27" s="1"/>
  <c r="B43" i="27"/>
  <c r="A43" i="27"/>
  <c r="K42" i="27"/>
  <c r="J42" i="27"/>
  <c r="I42" i="27"/>
  <c r="M42" i="27" s="1"/>
  <c r="A42" i="27" s="1"/>
  <c r="B42" i="27"/>
  <c r="M41" i="27"/>
  <c r="K41" i="27"/>
  <c r="J41" i="27"/>
  <c r="I41" i="27"/>
  <c r="B41" i="27"/>
  <c r="A41" i="27"/>
  <c r="J40" i="27"/>
  <c r="K40" i="27" s="1"/>
  <c r="I40" i="27"/>
  <c r="M40" i="27" s="1"/>
  <c r="A40" i="27" s="1"/>
  <c r="B40" i="27"/>
  <c r="J39" i="27"/>
  <c r="K39" i="27" s="1"/>
  <c r="I39" i="27"/>
  <c r="M39" i="27" s="1"/>
  <c r="A39" i="27" s="1"/>
  <c r="B39" i="27"/>
  <c r="M38" i="27"/>
  <c r="A38" i="27" s="1"/>
  <c r="K38" i="27"/>
  <c r="J38" i="27"/>
  <c r="I38" i="27"/>
  <c r="B38" i="27"/>
  <c r="J37" i="27"/>
  <c r="K37" i="27" s="1"/>
  <c r="I37" i="27"/>
  <c r="M37" i="27" s="1"/>
  <c r="A37" i="27" s="1"/>
  <c r="B37" i="27"/>
  <c r="M36" i="27"/>
  <c r="A36" i="27" s="1"/>
  <c r="K36" i="27"/>
  <c r="J36" i="27"/>
  <c r="I36" i="27"/>
  <c r="B36" i="27"/>
  <c r="J35" i="27"/>
  <c r="K35" i="27" s="1"/>
  <c r="I35" i="27"/>
  <c r="M35" i="27" s="1"/>
  <c r="A35" i="27" s="1"/>
  <c r="B35" i="27"/>
  <c r="M34" i="27"/>
  <c r="K34" i="27"/>
  <c r="J34" i="27"/>
  <c r="I34" i="27"/>
  <c r="B34" i="27"/>
  <c r="A34" i="27"/>
  <c r="J33" i="27"/>
  <c r="K33" i="27" s="1"/>
  <c r="I33" i="27"/>
  <c r="M33" i="27" s="1"/>
  <c r="A33" i="27" s="1"/>
  <c r="B33" i="27"/>
  <c r="M32" i="27"/>
  <c r="K32" i="27"/>
  <c r="J32" i="27"/>
  <c r="I32" i="27"/>
  <c r="B32" i="27"/>
  <c r="A32" i="27"/>
  <c r="J31" i="27"/>
  <c r="K31" i="27" s="1"/>
  <c r="I31" i="27"/>
  <c r="M31" i="27" s="1"/>
  <c r="A31" i="27" s="1"/>
  <c r="B31" i="27"/>
  <c r="M30" i="27"/>
  <c r="K30" i="27"/>
  <c r="J30" i="27"/>
  <c r="I30" i="27"/>
  <c r="B30" i="27"/>
  <c r="A30" i="27"/>
  <c r="J29" i="27"/>
  <c r="K29" i="27" s="1"/>
  <c r="I29" i="27"/>
  <c r="M29" i="27" s="1"/>
  <c r="A29" i="27" s="1"/>
  <c r="B29" i="27"/>
  <c r="M28" i="27"/>
  <c r="K28" i="27"/>
  <c r="J28" i="27"/>
  <c r="I28" i="27"/>
  <c r="B28" i="27"/>
  <c r="A28" i="27"/>
  <c r="J27" i="27"/>
  <c r="K27" i="27" s="1"/>
  <c r="I27" i="27"/>
  <c r="M27" i="27" s="1"/>
  <c r="A27" i="27" s="1"/>
  <c r="B27" i="27"/>
  <c r="M26" i="27"/>
  <c r="K26" i="27"/>
  <c r="J26" i="27"/>
  <c r="I26" i="27"/>
  <c r="B26" i="27"/>
  <c r="A26" i="27"/>
  <c r="J25" i="27"/>
  <c r="K25" i="27" s="1"/>
  <c r="I25" i="27"/>
  <c r="M25" i="27" s="1"/>
  <c r="A25" i="27" s="1"/>
  <c r="B25" i="27"/>
  <c r="M24" i="27"/>
  <c r="A24" i="27" s="1"/>
  <c r="K24" i="27"/>
  <c r="J24" i="27"/>
  <c r="I24" i="27"/>
  <c r="B24" i="27"/>
  <c r="J23" i="27"/>
  <c r="K23" i="27" s="1"/>
  <c r="I23" i="27"/>
  <c r="M23" i="27" s="1"/>
  <c r="A23" i="27" s="1"/>
  <c r="B23" i="27"/>
  <c r="M22" i="27"/>
  <c r="K22" i="27"/>
  <c r="J22" i="27"/>
  <c r="I22" i="27"/>
  <c r="B22" i="27"/>
  <c r="A22" i="27"/>
  <c r="J21" i="27"/>
  <c r="K21" i="27" s="1"/>
  <c r="I21" i="27"/>
  <c r="M21" i="27" s="1"/>
  <c r="A21" i="27" s="1"/>
  <c r="B21" i="27"/>
  <c r="M20" i="27"/>
  <c r="A20" i="27" s="1"/>
  <c r="K20" i="27"/>
  <c r="J20" i="27"/>
  <c r="I20" i="27"/>
  <c r="B20" i="27"/>
  <c r="J19" i="27"/>
  <c r="K19" i="27" s="1"/>
  <c r="I19" i="27"/>
  <c r="M19" i="27" s="1"/>
  <c r="A19" i="27" s="1"/>
  <c r="B19" i="27"/>
  <c r="M18" i="27"/>
  <c r="K18" i="27"/>
  <c r="J18" i="27"/>
  <c r="I18" i="27"/>
  <c r="B18" i="27"/>
  <c r="A18" i="27"/>
  <c r="J17" i="27"/>
  <c r="K17" i="27" s="1"/>
  <c r="I17" i="27"/>
  <c r="M17" i="27" s="1"/>
  <c r="A17" i="27" s="1"/>
  <c r="B17" i="27"/>
  <c r="AI16" i="27"/>
  <c r="M16" i="27"/>
  <c r="A16" i="27" s="1"/>
  <c r="K16" i="27"/>
  <c r="J16" i="27"/>
  <c r="I16" i="27"/>
  <c r="B16" i="27"/>
  <c r="J15" i="27"/>
  <c r="K15" i="27" s="1"/>
  <c r="I15" i="27"/>
  <c r="M15" i="27" s="1"/>
  <c r="A15" i="27" s="1"/>
  <c r="B15" i="27"/>
  <c r="AI14" i="27"/>
  <c r="J14" i="27"/>
  <c r="K14" i="27" s="1"/>
  <c r="I14" i="27"/>
  <c r="M14" i="27" s="1"/>
  <c r="A14" i="27" s="1"/>
  <c r="B14" i="27"/>
  <c r="AI13" i="27"/>
  <c r="J13" i="27"/>
  <c r="K13" i="27" s="1"/>
  <c r="I13" i="27"/>
  <c r="M13" i="27" s="1"/>
  <c r="A13" i="27" s="1"/>
  <c r="B13" i="27"/>
  <c r="AI12" i="27"/>
  <c r="M12" i="27"/>
  <c r="K12" i="27"/>
  <c r="J12" i="27"/>
  <c r="I12" i="27"/>
  <c r="B12" i="27"/>
  <c r="A12" i="27"/>
  <c r="J11" i="27"/>
  <c r="K11" i="27" s="1"/>
  <c r="I11" i="27"/>
  <c r="M11" i="27" s="1"/>
  <c r="A11" i="27" s="1"/>
  <c r="B11" i="27"/>
  <c r="M10" i="27"/>
  <c r="A10" i="27" s="1"/>
  <c r="K10" i="27"/>
  <c r="J10" i="27"/>
  <c r="I10" i="27"/>
  <c r="B10" i="27"/>
  <c r="J9" i="27"/>
  <c r="K9" i="27" s="1"/>
  <c r="I9" i="27"/>
  <c r="M9" i="27" s="1"/>
  <c r="A9" i="27" s="1"/>
  <c r="B9" i="27"/>
  <c r="J8" i="27"/>
  <c r="K8" i="27" s="1"/>
  <c r="I8" i="27"/>
  <c r="M8" i="27" s="1"/>
  <c r="A8" i="27" s="1"/>
  <c r="B8" i="27"/>
  <c r="L7" i="27"/>
  <c r="J7" i="27"/>
  <c r="K7" i="27" s="1"/>
  <c r="I7" i="27"/>
  <c r="M7" i="27" s="1"/>
  <c r="A7" i="27" s="1"/>
  <c r="B7" i="27"/>
  <c r="K6" i="27"/>
  <c r="J6" i="27"/>
  <c r="I6" i="27"/>
  <c r="M6" i="27" s="1"/>
  <c r="B6" i="27"/>
  <c r="A6" i="27"/>
  <c r="K2" i="27"/>
  <c r="L6" i="27" s="1"/>
  <c r="J305" i="26"/>
  <c r="K305" i="26" s="1"/>
  <c r="I305" i="26"/>
  <c r="M305" i="26" s="1"/>
  <c r="J304" i="26"/>
  <c r="K304" i="26" s="1"/>
  <c r="I304" i="26"/>
  <c r="M304" i="26" s="1"/>
  <c r="J303" i="26"/>
  <c r="K303" i="26" s="1"/>
  <c r="I303" i="26"/>
  <c r="M303" i="26" s="1"/>
  <c r="J302" i="26"/>
  <c r="K302" i="26" s="1"/>
  <c r="I302" i="26"/>
  <c r="M302" i="26" s="1"/>
  <c r="J301" i="26"/>
  <c r="K301" i="26" s="1"/>
  <c r="I301" i="26"/>
  <c r="M301" i="26" s="1"/>
  <c r="J300" i="26"/>
  <c r="K300" i="26" s="1"/>
  <c r="I300" i="26"/>
  <c r="M300" i="26" s="1"/>
  <c r="J299" i="26"/>
  <c r="K299" i="26" s="1"/>
  <c r="I299" i="26"/>
  <c r="M299" i="26" s="1"/>
  <c r="J298" i="26"/>
  <c r="K298" i="26" s="1"/>
  <c r="I298" i="26"/>
  <c r="M298" i="26" s="1"/>
  <c r="J297" i="26"/>
  <c r="K297" i="26" s="1"/>
  <c r="I297" i="26"/>
  <c r="M297" i="26" s="1"/>
  <c r="J296" i="26"/>
  <c r="K296" i="26" s="1"/>
  <c r="I296" i="26"/>
  <c r="M296" i="26" s="1"/>
  <c r="J295" i="26"/>
  <c r="K295" i="26" s="1"/>
  <c r="I295" i="26"/>
  <c r="M295" i="26" s="1"/>
  <c r="J294" i="26"/>
  <c r="K294" i="26" s="1"/>
  <c r="I294" i="26"/>
  <c r="M294" i="26" s="1"/>
  <c r="J293" i="26"/>
  <c r="K293" i="26" s="1"/>
  <c r="I293" i="26"/>
  <c r="M293" i="26" s="1"/>
  <c r="J292" i="26"/>
  <c r="K292" i="26" s="1"/>
  <c r="I292" i="26"/>
  <c r="M292" i="26" s="1"/>
  <c r="J291" i="26"/>
  <c r="K291" i="26" s="1"/>
  <c r="I291" i="26"/>
  <c r="M291" i="26" s="1"/>
  <c r="J290" i="26"/>
  <c r="K290" i="26" s="1"/>
  <c r="I290" i="26"/>
  <c r="M290" i="26" s="1"/>
  <c r="J289" i="26"/>
  <c r="K289" i="26" s="1"/>
  <c r="I289" i="26"/>
  <c r="M289" i="26" s="1"/>
  <c r="J288" i="26"/>
  <c r="K288" i="26" s="1"/>
  <c r="I288" i="26"/>
  <c r="M288" i="26" s="1"/>
  <c r="J287" i="26"/>
  <c r="K287" i="26" s="1"/>
  <c r="I287" i="26"/>
  <c r="M287" i="26" s="1"/>
  <c r="J286" i="26"/>
  <c r="K286" i="26" s="1"/>
  <c r="I286" i="26"/>
  <c r="M286" i="26" s="1"/>
  <c r="J285" i="26"/>
  <c r="K285" i="26" s="1"/>
  <c r="I285" i="26"/>
  <c r="M285" i="26" s="1"/>
  <c r="J284" i="26"/>
  <c r="K284" i="26" s="1"/>
  <c r="I284" i="26"/>
  <c r="M284" i="26" s="1"/>
  <c r="J283" i="26"/>
  <c r="K283" i="26" s="1"/>
  <c r="I283" i="26"/>
  <c r="M283" i="26" s="1"/>
  <c r="J282" i="26"/>
  <c r="K282" i="26" s="1"/>
  <c r="I282" i="26"/>
  <c r="M282" i="26" s="1"/>
  <c r="J281" i="26"/>
  <c r="K281" i="26" s="1"/>
  <c r="I281" i="26"/>
  <c r="M281" i="26" s="1"/>
  <c r="J280" i="26"/>
  <c r="K280" i="26" s="1"/>
  <c r="I280" i="26"/>
  <c r="M280" i="26" s="1"/>
  <c r="J279" i="26"/>
  <c r="K279" i="26" s="1"/>
  <c r="I279" i="26"/>
  <c r="M279" i="26" s="1"/>
  <c r="J278" i="26"/>
  <c r="K278" i="26" s="1"/>
  <c r="I278" i="26"/>
  <c r="M278" i="26" s="1"/>
  <c r="J277" i="26"/>
  <c r="K277" i="26" s="1"/>
  <c r="I277" i="26"/>
  <c r="M277" i="26" s="1"/>
  <c r="J276" i="26"/>
  <c r="K276" i="26" s="1"/>
  <c r="I276" i="26"/>
  <c r="M276" i="26" s="1"/>
  <c r="J275" i="26"/>
  <c r="K275" i="26" s="1"/>
  <c r="I275" i="26"/>
  <c r="M275" i="26" s="1"/>
  <c r="J274" i="26"/>
  <c r="K274" i="26" s="1"/>
  <c r="I274" i="26"/>
  <c r="M274" i="26" s="1"/>
  <c r="J273" i="26"/>
  <c r="K273" i="26" s="1"/>
  <c r="I273" i="26"/>
  <c r="M273" i="26" s="1"/>
  <c r="J272" i="26"/>
  <c r="K272" i="26" s="1"/>
  <c r="I272" i="26"/>
  <c r="M272" i="26" s="1"/>
  <c r="J271" i="26"/>
  <c r="K271" i="26" s="1"/>
  <c r="I271" i="26"/>
  <c r="M271" i="26" s="1"/>
  <c r="J270" i="26"/>
  <c r="K270" i="26" s="1"/>
  <c r="I270" i="26"/>
  <c r="M270" i="26" s="1"/>
  <c r="J269" i="26"/>
  <c r="K269" i="26" s="1"/>
  <c r="I269" i="26"/>
  <c r="M269" i="26" s="1"/>
  <c r="J268" i="26"/>
  <c r="K268" i="26" s="1"/>
  <c r="I268" i="26"/>
  <c r="M268" i="26" s="1"/>
  <c r="J267" i="26"/>
  <c r="K267" i="26" s="1"/>
  <c r="I267" i="26"/>
  <c r="M267" i="26" s="1"/>
  <c r="J266" i="26"/>
  <c r="K266" i="26" s="1"/>
  <c r="I266" i="26"/>
  <c r="M266" i="26" s="1"/>
  <c r="J265" i="26"/>
  <c r="K265" i="26" s="1"/>
  <c r="I265" i="26"/>
  <c r="M265" i="26" s="1"/>
  <c r="J264" i="26"/>
  <c r="K264" i="26" s="1"/>
  <c r="I264" i="26"/>
  <c r="M264" i="26" s="1"/>
  <c r="J263" i="26"/>
  <c r="K263" i="26" s="1"/>
  <c r="I263" i="26"/>
  <c r="M263" i="26" s="1"/>
  <c r="J262" i="26"/>
  <c r="K262" i="26" s="1"/>
  <c r="I262" i="26"/>
  <c r="M262" i="26" s="1"/>
  <c r="J261" i="26"/>
  <c r="K261" i="26" s="1"/>
  <c r="I261" i="26"/>
  <c r="M261" i="26" s="1"/>
  <c r="J260" i="26"/>
  <c r="K260" i="26" s="1"/>
  <c r="I260" i="26"/>
  <c r="M260" i="26" s="1"/>
  <c r="J259" i="26"/>
  <c r="K259" i="26" s="1"/>
  <c r="I259" i="26"/>
  <c r="M259" i="26" s="1"/>
  <c r="J258" i="26"/>
  <c r="K258" i="26" s="1"/>
  <c r="I258" i="26"/>
  <c r="M258" i="26" s="1"/>
  <c r="J257" i="26"/>
  <c r="K257" i="26" s="1"/>
  <c r="I257" i="26"/>
  <c r="M257" i="26" s="1"/>
  <c r="J256" i="26"/>
  <c r="K256" i="26" s="1"/>
  <c r="I256" i="26"/>
  <c r="M256" i="26" s="1"/>
  <c r="J255" i="26"/>
  <c r="K255" i="26" s="1"/>
  <c r="I255" i="26"/>
  <c r="M255" i="26" s="1"/>
  <c r="J254" i="26"/>
  <c r="K254" i="26" s="1"/>
  <c r="I254" i="26"/>
  <c r="M254" i="26" s="1"/>
  <c r="J253" i="26"/>
  <c r="K253" i="26" s="1"/>
  <c r="I253" i="26"/>
  <c r="M253" i="26" s="1"/>
  <c r="J252" i="26"/>
  <c r="K252" i="26" s="1"/>
  <c r="I252" i="26"/>
  <c r="M252" i="26" s="1"/>
  <c r="J251" i="26"/>
  <c r="K251" i="26" s="1"/>
  <c r="I251" i="26"/>
  <c r="M251" i="26" s="1"/>
  <c r="J250" i="26"/>
  <c r="K250" i="26" s="1"/>
  <c r="I250" i="26"/>
  <c r="M250" i="26" s="1"/>
  <c r="J249" i="26"/>
  <c r="K249" i="26" s="1"/>
  <c r="I249" i="26"/>
  <c r="M249" i="26" s="1"/>
  <c r="J248" i="26"/>
  <c r="K248" i="26" s="1"/>
  <c r="I248" i="26"/>
  <c r="M248" i="26" s="1"/>
  <c r="J247" i="26"/>
  <c r="K247" i="26" s="1"/>
  <c r="I247" i="26"/>
  <c r="M247" i="26" s="1"/>
  <c r="J246" i="26"/>
  <c r="K246" i="26" s="1"/>
  <c r="I246" i="26"/>
  <c r="M246" i="26" s="1"/>
  <c r="J245" i="26"/>
  <c r="K245" i="26" s="1"/>
  <c r="I245" i="26"/>
  <c r="M245" i="26" s="1"/>
  <c r="J244" i="26"/>
  <c r="K244" i="26" s="1"/>
  <c r="I244" i="26"/>
  <c r="M244" i="26" s="1"/>
  <c r="J243" i="26"/>
  <c r="K243" i="26" s="1"/>
  <c r="I243" i="26"/>
  <c r="M243" i="26" s="1"/>
  <c r="J242" i="26"/>
  <c r="K242" i="26" s="1"/>
  <c r="I242" i="26"/>
  <c r="M242" i="26" s="1"/>
  <c r="J241" i="26"/>
  <c r="K241" i="26" s="1"/>
  <c r="I241" i="26"/>
  <c r="M241" i="26" s="1"/>
  <c r="J240" i="26"/>
  <c r="K240" i="26" s="1"/>
  <c r="I240" i="26"/>
  <c r="M240" i="26" s="1"/>
  <c r="J239" i="26"/>
  <c r="K239" i="26" s="1"/>
  <c r="I239" i="26"/>
  <c r="M239" i="26" s="1"/>
  <c r="J238" i="26"/>
  <c r="K238" i="26" s="1"/>
  <c r="I238" i="26"/>
  <c r="M238" i="26" s="1"/>
  <c r="J237" i="26"/>
  <c r="K237" i="26" s="1"/>
  <c r="I237" i="26"/>
  <c r="M237" i="26" s="1"/>
  <c r="J236" i="26"/>
  <c r="K236" i="26" s="1"/>
  <c r="I236" i="26"/>
  <c r="M236" i="26" s="1"/>
  <c r="J235" i="26"/>
  <c r="K235" i="26" s="1"/>
  <c r="I235" i="26"/>
  <c r="M235" i="26" s="1"/>
  <c r="J234" i="26"/>
  <c r="K234" i="26" s="1"/>
  <c r="I234" i="26"/>
  <c r="M234" i="26" s="1"/>
  <c r="J233" i="26"/>
  <c r="K233" i="26" s="1"/>
  <c r="I233" i="26"/>
  <c r="M233" i="26" s="1"/>
  <c r="J232" i="26"/>
  <c r="K232" i="26" s="1"/>
  <c r="I232" i="26"/>
  <c r="M232" i="26" s="1"/>
  <c r="J231" i="26"/>
  <c r="K231" i="26" s="1"/>
  <c r="I231" i="26"/>
  <c r="M231" i="26" s="1"/>
  <c r="J230" i="26"/>
  <c r="K230" i="26" s="1"/>
  <c r="I230" i="26"/>
  <c r="M230" i="26" s="1"/>
  <c r="J229" i="26"/>
  <c r="K229" i="26" s="1"/>
  <c r="I229" i="26"/>
  <c r="M229" i="26" s="1"/>
  <c r="J228" i="26"/>
  <c r="K228" i="26" s="1"/>
  <c r="I228" i="26"/>
  <c r="M228" i="26" s="1"/>
  <c r="J227" i="26"/>
  <c r="K227" i="26" s="1"/>
  <c r="I227" i="26"/>
  <c r="M227" i="26" s="1"/>
  <c r="J226" i="26"/>
  <c r="K226" i="26" s="1"/>
  <c r="I226" i="26"/>
  <c r="M226" i="26" s="1"/>
  <c r="J225" i="26"/>
  <c r="K225" i="26" s="1"/>
  <c r="I225" i="26"/>
  <c r="M225" i="26" s="1"/>
  <c r="J224" i="26"/>
  <c r="K224" i="26" s="1"/>
  <c r="I224" i="26"/>
  <c r="M224" i="26" s="1"/>
  <c r="J223" i="26"/>
  <c r="K223" i="26" s="1"/>
  <c r="I223" i="26"/>
  <c r="M223" i="26" s="1"/>
  <c r="J222" i="26"/>
  <c r="K222" i="26" s="1"/>
  <c r="I222" i="26"/>
  <c r="M222" i="26" s="1"/>
  <c r="J221" i="26"/>
  <c r="K221" i="26" s="1"/>
  <c r="I221" i="26"/>
  <c r="M221" i="26" s="1"/>
  <c r="J220" i="26"/>
  <c r="K220" i="26" s="1"/>
  <c r="I220" i="26"/>
  <c r="M220" i="26" s="1"/>
  <c r="J219" i="26"/>
  <c r="K219" i="26" s="1"/>
  <c r="I219" i="26"/>
  <c r="M219" i="26" s="1"/>
  <c r="J218" i="26"/>
  <c r="K218" i="26" s="1"/>
  <c r="I218" i="26"/>
  <c r="M218" i="26" s="1"/>
  <c r="J217" i="26"/>
  <c r="K217" i="26" s="1"/>
  <c r="I217" i="26"/>
  <c r="M217" i="26" s="1"/>
  <c r="J216" i="26"/>
  <c r="K216" i="26" s="1"/>
  <c r="I216" i="26"/>
  <c r="M216" i="26" s="1"/>
  <c r="J215" i="26"/>
  <c r="K215" i="26" s="1"/>
  <c r="I215" i="26"/>
  <c r="M215" i="26" s="1"/>
  <c r="J214" i="26"/>
  <c r="K214" i="26" s="1"/>
  <c r="I214" i="26"/>
  <c r="M214" i="26" s="1"/>
  <c r="J213" i="26"/>
  <c r="K213" i="26" s="1"/>
  <c r="I213" i="26"/>
  <c r="M213" i="26" s="1"/>
  <c r="J212" i="26"/>
  <c r="K212" i="26" s="1"/>
  <c r="I212" i="26"/>
  <c r="M212" i="26" s="1"/>
  <c r="J211" i="26"/>
  <c r="K211" i="26" s="1"/>
  <c r="I211" i="26"/>
  <c r="M211" i="26" s="1"/>
  <c r="J210" i="26"/>
  <c r="K210" i="26" s="1"/>
  <c r="I210" i="26"/>
  <c r="M210" i="26" s="1"/>
  <c r="J209" i="26"/>
  <c r="K209" i="26" s="1"/>
  <c r="I209" i="26"/>
  <c r="M209" i="26" s="1"/>
  <c r="J208" i="26"/>
  <c r="K208" i="26" s="1"/>
  <c r="I208" i="26"/>
  <c r="M208" i="26" s="1"/>
  <c r="J207" i="26"/>
  <c r="K207" i="26" s="1"/>
  <c r="I207" i="26"/>
  <c r="M207" i="26" s="1"/>
  <c r="J206" i="26"/>
  <c r="K206" i="26" s="1"/>
  <c r="I206" i="26"/>
  <c r="M206" i="26" s="1"/>
  <c r="J205" i="26"/>
  <c r="K205" i="26" s="1"/>
  <c r="I205" i="26"/>
  <c r="M205" i="26" s="1"/>
  <c r="J204" i="26"/>
  <c r="K204" i="26" s="1"/>
  <c r="I204" i="26"/>
  <c r="M204" i="26" s="1"/>
  <c r="J203" i="26"/>
  <c r="K203" i="26" s="1"/>
  <c r="I203" i="26"/>
  <c r="M203" i="26" s="1"/>
  <c r="J202" i="26"/>
  <c r="K202" i="26" s="1"/>
  <c r="I202" i="26"/>
  <c r="M202" i="26" s="1"/>
  <c r="J201" i="26"/>
  <c r="K201" i="26" s="1"/>
  <c r="I201" i="26"/>
  <c r="M201" i="26" s="1"/>
  <c r="J200" i="26"/>
  <c r="K200" i="26" s="1"/>
  <c r="I200" i="26"/>
  <c r="M200" i="26" s="1"/>
  <c r="J199" i="26"/>
  <c r="K199" i="26" s="1"/>
  <c r="I199" i="26"/>
  <c r="M199" i="26" s="1"/>
  <c r="J198" i="26"/>
  <c r="K198" i="26" s="1"/>
  <c r="I198" i="26"/>
  <c r="M198" i="26" s="1"/>
  <c r="J197" i="26"/>
  <c r="K197" i="26" s="1"/>
  <c r="I197" i="26"/>
  <c r="M197" i="26" s="1"/>
  <c r="J196" i="26"/>
  <c r="K196" i="26" s="1"/>
  <c r="I196" i="26"/>
  <c r="M196" i="26" s="1"/>
  <c r="J195" i="26"/>
  <c r="K195" i="26" s="1"/>
  <c r="I195" i="26"/>
  <c r="M195" i="26" s="1"/>
  <c r="J194" i="26"/>
  <c r="K194" i="26" s="1"/>
  <c r="I194" i="26"/>
  <c r="M194" i="26" s="1"/>
  <c r="J193" i="26"/>
  <c r="K193" i="26" s="1"/>
  <c r="I193" i="26"/>
  <c r="M193" i="26" s="1"/>
  <c r="J192" i="26"/>
  <c r="K192" i="26" s="1"/>
  <c r="I192" i="26"/>
  <c r="M192" i="26" s="1"/>
  <c r="J191" i="26"/>
  <c r="K191" i="26" s="1"/>
  <c r="I191" i="26"/>
  <c r="M191" i="26" s="1"/>
  <c r="J190" i="26"/>
  <c r="K190" i="26" s="1"/>
  <c r="I190" i="26"/>
  <c r="M190" i="26" s="1"/>
  <c r="J189" i="26"/>
  <c r="K189" i="26" s="1"/>
  <c r="I189" i="26"/>
  <c r="M189" i="26" s="1"/>
  <c r="J188" i="26"/>
  <c r="K188" i="26" s="1"/>
  <c r="I188" i="26"/>
  <c r="M188" i="26" s="1"/>
  <c r="J187" i="26"/>
  <c r="K187" i="26" s="1"/>
  <c r="I187" i="26"/>
  <c r="M187" i="26" s="1"/>
  <c r="J186" i="26"/>
  <c r="K186" i="26" s="1"/>
  <c r="I186" i="26"/>
  <c r="M186" i="26" s="1"/>
  <c r="J185" i="26"/>
  <c r="K185" i="26" s="1"/>
  <c r="I185" i="26"/>
  <c r="M185" i="26" s="1"/>
  <c r="J184" i="26"/>
  <c r="K184" i="26" s="1"/>
  <c r="I184" i="26"/>
  <c r="M184" i="26" s="1"/>
  <c r="J183" i="26"/>
  <c r="K183" i="26" s="1"/>
  <c r="I183" i="26"/>
  <c r="M183" i="26" s="1"/>
  <c r="J182" i="26"/>
  <c r="K182" i="26" s="1"/>
  <c r="I182" i="26"/>
  <c r="M182" i="26" s="1"/>
  <c r="J181" i="26"/>
  <c r="K181" i="26" s="1"/>
  <c r="I181" i="26"/>
  <c r="M181" i="26" s="1"/>
  <c r="J180" i="26"/>
  <c r="K180" i="26" s="1"/>
  <c r="I180" i="26"/>
  <c r="M180" i="26" s="1"/>
  <c r="J179" i="26"/>
  <c r="K179" i="26" s="1"/>
  <c r="I179" i="26"/>
  <c r="M179" i="26" s="1"/>
  <c r="J178" i="26"/>
  <c r="K178" i="26" s="1"/>
  <c r="I178" i="26"/>
  <c r="M178" i="26" s="1"/>
  <c r="J177" i="26"/>
  <c r="K177" i="26" s="1"/>
  <c r="I177" i="26"/>
  <c r="M177" i="26" s="1"/>
  <c r="J176" i="26"/>
  <c r="K176" i="26" s="1"/>
  <c r="I176" i="26"/>
  <c r="M176" i="26" s="1"/>
  <c r="J175" i="26"/>
  <c r="K175" i="26" s="1"/>
  <c r="I175" i="26"/>
  <c r="M175" i="26" s="1"/>
  <c r="J174" i="26"/>
  <c r="K174" i="26" s="1"/>
  <c r="I174" i="26"/>
  <c r="M174" i="26" s="1"/>
  <c r="J173" i="26"/>
  <c r="K173" i="26" s="1"/>
  <c r="I173" i="26"/>
  <c r="M173" i="26" s="1"/>
  <c r="J172" i="26"/>
  <c r="K172" i="26" s="1"/>
  <c r="I172" i="26"/>
  <c r="M172" i="26" s="1"/>
  <c r="J171" i="26"/>
  <c r="K171" i="26" s="1"/>
  <c r="I171" i="26"/>
  <c r="M171" i="26" s="1"/>
  <c r="J170" i="26"/>
  <c r="K170" i="26" s="1"/>
  <c r="I170" i="26"/>
  <c r="M170" i="26" s="1"/>
  <c r="J169" i="26"/>
  <c r="K169" i="26" s="1"/>
  <c r="I169" i="26"/>
  <c r="M169" i="26" s="1"/>
  <c r="J168" i="26"/>
  <c r="K168" i="26" s="1"/>
  <c r="I168" i="26"/>
  <c r="M168" i="26" s="1"/>
  <c r="J167" i="26"/>
  <c r="K167" i="26" s="1"/>
  <c r="I167" i="26"/>
  <c r="M167" i="26" s="1"/>
  <c r="J166" i="26"/>
  <c r="K166" i="26" s="1"/>
  <c r="I166" i="26"/>
  <c r="M166" i="26" s="1"/>
  <c r="J165" i="26"/>
  <c r="K165" i="26" s="1"/>
  <c r="I165" i="26"/>
  <c r="M165" i="26" s="1"/>
  <c r="J164" i="26"/>
  <c r="K164" i="26" s="1"/>
  <c r="I164" i="26"/>
  <c r="M164" i="26" s="1"/>
  <c r="J163" i="26"/>
  <c r="K163" i="26" s="1"/>
  <c r="I163" i="26"/>
  <c r="M163" i="26" s="1"/>
  <c r="J162" i="26"/>
  <c r="K162" i="26" s="1"/>
  <c r="I162" i="26"/>
  <c r="M162" i="26" s="1"/>
  <c r="J161" i="26"/>
  <c r="K161" i="26" s="1"/>
  <c r="I161" i="26"/>
  <c r="M161" i="26" s="1"/>
  <c r="J160" i="26"/>
  <c r="K160" i="26" s="1"/>
  <c r="I160" i="26"/>
  <c r="M160" i="26" s="1"/>
  <c r="J159" i="26"/>
  <c r="K159" i="26" s="1"/>
  <c r="I159" i="26"/>
  <c r="M159" i="26" s="1"/>
  <c r="J158" i="26"/>
  <c r="K158" i="26" s="1"/>
  <c r="I158" i="26"/>
  <c r="M158" i="26" s="1"/>
  <c r="J157" i="26"/>
  <c r="K157" i="26" s="1"/>
  <c r="I157" i="26"/>
  <c r="M157" i="26" s="1"/>
  <c r="J156" i="26"/>
  <c r="K156" i="26" s="1"/>
  <c r="I156" i="26"/>
  <c r="M156" i="26" s="1"/>
  <c r="J155" i="26"/>
  <c r="K155" i="26" s="1"/>
  <c r="I155" i="26"/>
  <c r="M155" i="26" s="1"/>
  <c r="J154" i="26"/>
  <c r="K154" i="26" s="1"/>
  <c r="I154" i="26"/>
  <c r="M154" i="26" s="1"/>
  <c r="J153" i="26"/>
  <c r="K153" i="26" s="1"/>
  <c r="I153" i="26"/>
  <c r="M153" i="26" s="1"/>
  <c r="J152" i="26"/>
  <c r="K152" i="26" s="1"/>
  <c r="I152" i="26"/>
  <c r="M152" i="26" s="1"/>
  <c r="J151" i="26"/>
  <c r="K151" i="26" s="1"/>
  <c r="I151" i="26"/>
  <c r="M151" i="26" s="1"/>
  <c r="J150" i="26"/>
  <c r="K150" i="26" s="1"/>
  <c r="I150" i="26"/>
  <c r="M150" i="26" s="1"/>
  <c r="J149" i="26"/>
  <c r="K149" i="26" s="1"/>
  <c r="I149" i="26"/>
  <c r="M149" i="26" s="1"/>
  <c r="J148" i="26"/>
  <c r="K148" i="26" s="1"/>
  <c r="I148" i="26"/>
  <c r="M148" i="26" s="1"/>
  <c r="J147" i="26"/>
  <c r="K147" i="26" s="1"/>
  <c r="I147" i="26"/>
  <c r="M147" i="26" s="1"/>
  <c r="J146" i="26"/>
  <c r="K146" i="26" s="1"/>
  <c r="I146" i="26"/>
  <c r="M146" i="26" s="1"/>
  <c r="J145" i="26"/>
  <c r="K145" i="26" s="1"/>
  <c r="I145" i="26"/>
  <c r="M145" i="26" s="1"/>
  <c r="J144" i="26"/>
  <c r="K144" i="26" s="1"/>
  <c r="I144" i="26"/>
  <c r="M144" i="26" s="1"/>
  <c r="J143" i="26"/>
  <c r="K143" i="26" s="1"/>
  <c r="I143" i="26"/>
  <c r="M143" i="26" s="1"/>
  <c r="J142" i="26"/>
  <c r="K142" i="26" s="1"/>
  <c r="I142" i="26"/>
  <c r="M142" i="26" s="1"/>
  <c r="J141" i="26"/>
  <c r="K141" i="26" s="1"/>
  <c r="I141" i="26"/>
  <c r="M141" i="26" s="1"/>
  <c r="J140" i="26"/>
  <c r="K140" i="26" s="1"/>
  <c r="I140" i="26"/>
  <c r="M140" i="26" s="1"/>
  <c r="J139" i="26"/>
  <c r="K139" i="26" s="1"/>
  <c r="I139" i="26"/>
  <c r="M139" i="26" s="1"/>
  <c r="J138" i="26"/>
  <c r="K138" i="26" s="1"/>
  <c r="I138" i="26"/>
  <c r="M138" i="26" s="1"/>
  <c r="J137" i="26"/>
  <c r="K137" i="26" s="1"/>
  <c r="I137" i="26"/>
  <c r="M137" i="26" s="1"/>
  <c r="J136" i="26"/>
  <c r="K136" i="26" s="1"/>
  <c r="I136" i="26"/>
  <c r="M136" i="26" s="1"/>
  <c r="J135" i="26"/>
  <c r="K135" i="26" s="1"/>
  <c r="I135" i="26"/>
  <c r="M135" i="26" s="1"/>
  <c r="J134" i="26"/>
  <c r="K134" i="26" s="1"/>
  <c r="I134" i="26"/>
  <c r="M134" i="26" s="1"/>
  <c r="J133" i="26"/>
  <c r="K133" i="26" s="1"/>
  <c r="I133" i="26"/>
  <c r="M133" i="26" s="1"/>
  <c r="J132" i="26"/>
  <c r="K132" i="26" s="1"/>
  <c r="I132" i="26"/>
  <c r="M132" i="26" s="1"/>
  <c r="J131" i="26"/>
  <c r="K131" i="26" s="1"/>
  <c r="I131" i="26"/>
  <c r="M131" i="26" s="1"/>
  <c r="J130" i="26"/>
  <c r="K130" i="26" s="1"/>
  <c r="I130" i="26"/>
  <c r="M130" i="26" s="1"/>
  <c r="J129" i="26"/>
  <c r="K129" i="26" s="1"/>
  <c r="I129" i="26"/>
  <c r="M129" i="26" s="1"/>
  <c r="J128" i="26"/>
  <c r="K128" i="26" s="1"/>
  <c r="I128" i="26"/>
  <c r="M128" i="26" s="1"/>
  <c r="J127" i="26"/>
  <c r="K127" i="26" s="1"/>
  <c r="I127" i="26"/>
  <c r="M127" i="26" s="1"/>
  <c r="J126" i="26"/>
  <c r="K126" i="26" s="1"/>
  <c r="I126" i="26"/>
  <c r="M126" i="26" s="1"/>
  <c r="J125" i="26"/>
  <c r="K125" i="26" s="1"/>
  <c r="I125" i="26"/>
  <c r="M125" i="26" s="1"/>
  <c r="J124" i="26"/>
  <c r="K124" i="26" s="1"/>
  <c r="I124" i="26"/>
  <c r="M124" i="26" s="1"/>
  <c r="J123" i="26"/>
  <c r="K123" i="26" s="1"/>
  <c r="I123" i="26"/>
  <c r="M123" i="26" s="1"/>
  <c r="J122" i="26"/>
  <c r="K122" i="26" s="1"/>
  <c r="I122" i="26"/>
  <c r="M122" i="26" s="1"/>
  <c r="J121" i="26"/>
  <c r="K121" i="26" s="1"/>
  <c r="I121" i="26"/>
  <c r="M121" i="26" s="1"/>
  <c r="J120" i="26"/>
  <c r="K120" i="26" s="1"/>
  <c r="I120" i="26"/>
  <c r="M120" i="26" s="1"/>
  <c r="J119" i="26"/>
  <c r="K119" i="26" s="1"/>
  <c r="I119" i="26"/>
  <c r="M119" i="26" s="1"/>
  <c r="J118" i="26"/>
  <c r="K118" i="26" s="1"/>
  <c r="I118" i="26"/>
  <c r="M118" i="26" s="1"/>
  <c r="J117" i="26"/>
  <c r="K117" i="26" s="1"/>
  <c r="I117" i="26"/>
  <c r="M117" i="26" s="1"/>
  <c r="J116" i="26"/>
  <c r="K116" i="26" s="1"/>
  <c r="I116" i="26"/>
  <c r="M116" i="26" s="1"/>
  <c r="J115" i="26"/>
  <c r="K115" i="26" s="1"/>
  <c r="I115" i="26"/>
  <c r="M115" i="26" s="1"/>
  <c r="J114" i="26"/>
  <c r="K114" i="26" s="1"/>
  <c r="I114" i="26"/>
  <c r="M114" i="26" s="1"/>
  <c r="J113" i="26"/>
  <c r="K113" i="26" s="1"/>
  <c r="I113" i="26"/>
  <c r="M113" i="26" s="1"/>
  <c r="J112" i="26"/>
  <c r="K112" i="26" s="1"/>
  <c r="I112" i="26"/>
  <c r="M112" i="26" s="1"/>
  <c r="J111" i="26"/>
  <c r="K111" i="26" s="1"/>
  <c r="I111" i="26"/>
  <c r="M111" i="26" s="1"/>
  <c r="J110" i="26"/>
  <c r="K110" i="26" s="1"/>
  <c r="I110" i="26"/>
  <c r="M110" i="26" s="1"/>
  <c r="J109" i="26"/>
  <c r="K109" i="26" s="1"/>
  <c r="I109" i="26"/>
  <c r="M109" i="26" s="1"/>
  <c r="J108" i="26"/>
  <c r="K108" i="26" s="1"/>
  <c r="I108" i="26"/>
  <c r="M108" i="26" s="1"/>
  <c r="J107" i="26"/>
  <c r="K107" i="26" s="1"/>
  <c r="I107" i="26"/>
  <c r="M107" i="26" s="1"/>
  <c r="J106" i="26"/>
  <c r="K106" i="26" s="1"/>
  <c r="I106" i="26"/>
  <c r="M106" i="26" s="1"/>
  <c r="J105" i="26"/>
  <c r="K105" i="26" s="1"/>
  <c r="I105" i="26"/>
  <c r="M105" i="26" s="1"/>
  <c r="J104" i="26"/>
  <c r="K104" i="26" s="1"/>
  <c r="I104" i="26"/>
  <c r="M104" i="26" s="1"/>
  <c r="J103" i="26"/>
  <c r="K103" i="26" s="1"/>
  <c r="I103" i="26"/>
  <c r="M103" i="26" s="1"/>
  <c r="J102" i="26"/>
  <c r="K102" i="26" s="1"/>
  <c r="I102" i="26"/>
  <c r="M102" i="26" s="1"/>
  <c r="J101" i="26"/>
  <c r="K101" i="26" s="1"/>
  <c r="I101" i="26"/>
  <c r="M101" i="26" s="1"/>
  <c r="J100" i="26"/>
  <c r="K100" i="26" s="1"/>
  <c r="I100" i="26"/>
  <c r="M100" i="26" s="1"/>
  <c r="J99" i="26"/>
  <c r="K99" i="26" s="1"/>
  <c r="I99" i="26"/>
  <c r="M99" i="26" s="1"/>
  <c r="J98" i="26"/>
  <c r="K98" i="26" s="1"/>
  <c r="I98" i="26"/>
  <c r="M98" i="26" s="1"/>
  <c r="J97" i="26"/>
  <c r="K97" i="26" s="1"/>
  <c r="I97" i="26"/>
  <c r="M97" i="26" s="1"/>
  <c r="J96" i="26"/>
  <c r="K96" i="26" s="1"/>
  <c r="I96" i="26"/>
  <c r="M96" i="26" s="1"/>
  <c r="J95" i="26"/>
  <c r="K95" i="26" s="1"/>
  <c r="I95" i="26"/>
  <c r="M95" i="26" s="1"/>
  <c r="J94" i="26"/>
  <c r="K94" i="26" s="1"/>
  <c r="I94" i="26"/>
  <c r="M94" i="26" s="1"/>
  <c r="J93" i="26"/>
  <c r="K93" i="26" s="1"/>
  <c r="I93" i="26"/>
  <c r="M93" i="26" s="1"/>
  <c r="J92" i="26"/>
  <c r="K92" i="26" s="1"/>
  <c r="I92" i="26"/>
  <c r="M92" i="26" s="1"/>
  <c r="J91" i="26"/>
  <c r="K91" i="26" s="1"/>
  <c r="I91" i="26"/>
  <c r="M91" i="26" s="1"/>
  <c r="J90" i="26"/>
  <c r="K90" i="26" s="1"/>
  <c r="I90" i="26"/>
  <c r="M90" i="26" s="1"/>
  <c r="J89" i="26"/>
  <c r="K89" i="26" s="1"/>
  <c r="I89" i="26"/>
  <c r="M89" i="26" s="1"/>
  <c r="J88" i="26"/>
  <c r="K88" i="26" s="1"/>
  <c r="I88" i="26"/>
  <c r="M88" i="26" s="1"/>
  <c r="J87" i="26"/>
  <c r="K87" i="26" s="1"/>
  <c r="I87" i="26"/>
  <c r="M87" i="26" s="1"/>
  <c r="J86" i="26"/>
  <c r="K86" i="26" s="1"/>
  <c r="I86" i="26"/>
  <c r="M86" i="26" s="1"/>
  <c r="J85" i="26"/>
  <c r="K85" i="26" s="1"/>
  <c r="I85" i="26"/>
  <c r="M85" i="26" s="1"/>
  <c r="J84" i="26"/>
  <c r="K84" i="26" s="1"/>
  <c r="I84" i="26"/>
  <c r="M84" i="26" s="1"/>
  <c r="J83" i="26"/>
  <c r="K83" i="26" s="1"/>
  <c r="I83" i="26"/>
  <c r="M83" i="26" s="1"/>
  <c r="J82" i="26"/>
  <c r="K82" i="26" s="1"/>
  <c r="I82" i="26"/>
  <c r="M82" i="26" s="1"/>
  <c r="J81" i="26"/>
  <c r="K81" i="26" s="1"/>
  <c r="I81" i="26"/>
  <c r="M81" i="26" s="1"/>
  <c r="J80" i="26"/>
  <c r="K80" i="26" s="1"/>
  <c r="I80" i="26"/>
  <c r="M80" i="26" s="1"/>
  <c r="J79" i="26"/>
  <c r="K79" i="26" s="1"/>
  <c r="I79" i="26"/>
  <c r="M79" i="26" s="1"/>
  <c r="J78" i="26"/>
  <c r="K78" i="26" s="1"/>
  <c r="I78" i="26"/>
  <c r="M78" i="26" s="1"/>
  <c r="J77" i="26"/>
  <c r="K77" i="26" s="1"/>
  <c r="I77" i="26"/>
  <c r="M77" i="26" s="1"/>
  <c r="J76" i="26"/>
  <c r="K76" i="26" s="1"/>
  <c r="I76" i="26"/>
  <c r="M76" i="26" s="1"/>
  <c r="J75" i="26"/>
  <c r="K75" i="26" s="1"/>
  <c r="I75" i="26"/>
  <c r="M75" i="26" s="1"/>
  <c r="J74" i="26"/>
  <c r="K74" i="26" s="1"/>
  <c r="I74" i="26"/>
  <c r="M74" i="26" s="1"/>
  <c r="J73" i="26"/>
  <c r="K73" i="26" s="1"/>
  <c r="I73" i="26"/>
  <c r="M73" i="26" s="1"/>
  <c r="J72" i="26"/>
  <c r="K72" i="26" s="1"/>
  <c r="I72" i="26"/>
  <c r="M72" i="26" s="1"/>
  <c r="J71" i="26"/>
  <c r="K71" i="26" s="1"/>
  <c r="I71" i="26"/>
  <c r="M71" i="26" s="1"/>
  <c r="J70" i="26"/>
  <c r="K70" i="26" s="1"/>
  <c r="I70" i="26"/>
  <c r="M70" i="26" s="1"/>
  <c r="J69" i="26"/>
  <c r="K69" i="26" s="1"/>
  <c r="I69" i="26"/>
  <c r="M69" i="26" s="1"/>
  <c r="J68" i="26"/>
  <c r="K68" i="26" s="1"/>
  <c r="I68" i="26"/>
  <c r="M68" i="26" s="1"/>
  <c r="J67" i="26"/>
  <c r="K67" i="26" s="1"/>
  <c r="I67" i="26"/>
  <c r="M67" i="26" s="1"/>
  <c r="J66" i="26"/>
  <c r="K66" i="26" s="1"/>
  <c r="I66" i="26"/>
  <c r="M66" i="26" s="1"/>
  <c r="J65" i="26"/>
  <c r="K65" i="26" s="1"/>
  <c r="I65" i="26"/>
  <c r="M65" i="26" s="1"/>
  <c r="B65" i="26"/>
  <c r="J64" i="26"/>
  <c r="K64" i="26" s="1"/>
  <c r="I64" i="26"/>
  <c r="M64" i="26" s="1"/>
  <c r="B64" i="26"/>
  <c r="J63" i="26"/>
  <c r="K63" i="26" s="1"/>
  <c r="I63" i="26"/>
  <c r="M63" i="26" s="1"/>
  <c r="B63" i="26"/>
  <c r="J62" i="26"/>
  <c r="K62" i="26" s="1"/>
  <c r="I62" i="26"/>
  <c r="M62" i="26" s="1"/>
  <c r="B62" i="26"/>
  <c r="J61" i="26"/>
  <c r="K61" i="26" s="1"/>
  <c r="I61" i="26"/>
  <c r="M61" i="26" s="1"/>
  <c r="B61" i="26"/>
  <c r="J60" i="26"/>
  <c r="K60" i="26" s="1"/>
  <c r="I60" i="26"/>
  <c r="M60" i="26" s="1"/>
  <c r="B60" i="26"/>
  <c r="J59" i="26"/>
  <c r="K59" i="26" s="1"/>
  <c r="I59" i="26"/>
  <c r="M59" i="26" s="1"/>
  <c r="B59" i="26"/>
  <c r="J58" i="26"/>
  <c r="K58" i="26" s="1"/>
  <c r="I58" i="26"/>
  <c r="M58" i="26" s="1"/>
  <c r="B58" i="26"/>
  <c r="J57" i="26"/>
  <c r="K57" i="26" s="1"/>
  <c r="I57" i="26"/>
  <c r="M57" i="26" s="1"/>
  <c r="B57" i="26"/>
  <c r="J56" i="26"/>
  <c r="K56" i="26" s="1"/>
  <c r="I56" i="26"/>
  <c r="M56" i="26" s="1"/>
  <c r="B56" i="26"/>
  <c r="J55" i="26"/>
  <c r="K55" i="26" s="1"/>
  <c r="I55" i="26"/>
  <c r="M55" i="26" s="1"/>
  <c r="B55" i="26"/>
  <c r="J54" i="26"/>
  <c r="K54" i="26" s="1"/>
  <c r="I54" i="26"/>
  <c r="M54" i="26" s="1"/>
  <c r="B54" i="26"/>
  <c r="J53" i="26"/>
  <c r="K53" i="26" s="1"/>
  <c r="I53" i="26"/>
  <c r="M53" i="26" s="1"/>
  <c r="B53" i="26"/>
  <c r="J52" i="26"/>
  <c r="K52" i="26" s="1"/>
  <c r="I52" i="26"/>
  <c r="M52" i="26" s="1"/>
  <c r="B52" i="26"/>
  <c r="J51" i="26"/>
  <c r="K51" i="26" s="1"/>
  <c r="I51" i="26"/>
  <c r="M51" i="26" s="1"/>
  <c r="B51" i="26"/>
  <c r="J50" i="26"/>
  <c r="K50" i="26" s="1"/>
  <c r="I50" i="26"/>
  <c r="M50" i="26" s="1"/>
  <c r="B50" i="26"/>
  <c r="J49" i="26"/>
  <c r="K49" i="26" s="1"/>
  <c r="I49" i="26"/>
  <c r="M49" i="26" s="1"/>
  <c r="B49" i="26"/>
  <c r="J48" i="26"/>
  <c r="K48" i="26" s="1"/>
  <c r="I48" i="26"/>
  <c r="M48" i="26" s="1"/>
  <c r="B48" i="26"/>
  <c r="J47" i="26"/>
  <c r="K47" i="26" s="1"/>
  <c r="I47" i="26"/>
  <c r="M47" i="26" s="1"/>
  <c r="B47" i="26"/>
  <c r="T46" i="26"/>
  <c r="R46" i="26"/>
  <c r="J46" i="26"/>
  <c r="K46" i="26" s="1"/>
  <c r="I46" i="26"/>
  <c r="M46" i="26" s="1"/>
  <c r="B46" i="26"/>
  <c r="J45" i="26"/>
  <c r="K45" i="26" s="1"/>
  <c r="I45" i="26"/>
  <c r="M45" i="26" s="1"/>
  <c r="B45" i="26"/>
  <c r="J44" i="26"/>
  <c r="K44" i="26" s="1"/>
  <c r="I44" i="26"/>
  <c r="M44" i="26" s="1"/>
  <c r="B44" i="26"/>
  <c r="J43" i="26"/>
  <c r="K43" i="26" s="1"/>
  <c r="I43" i="26"/>
  <c r="M43" i="26" s="1"/>
  <c r="B43" i="26"/>
  <c r="J42" i="26"/>
  <c r="K42" i="26" s="1"/>
  <c r="I42" i="26"/>
  <c r="M42" i="26" s="1"/>
  <c r="B42" i="26"/>
  <c r="J41" i="26"/>
  <c r="K41" i="26" s="1"/>
  <c r="I41" i="26"/>
  <c r="M41" i="26" s="1"/>
  <c r="B41" i="26"/>
  <c r="J40" i="26"/>
  <c r="K40" i="26" s="1"/>
  <c r="I40" i="26"/>
  <c r="M40" i="26" s="1"/>
  <c r="B40" i="26"/>
  <c r="J39" i="26"/>
  <c r="K39" i="26" s="1"/>
  <c r="I39" i="26"/>
  <c r="M39" i="26" s="1"/>
  <c r="B39" i="26"/>
  <c r="J38" i="26"/>
  <c r="K38" i="26" s="1"/>
  <c r="I38" i="26"/>
  <c r="M38" i="26" s="1"/>
  <c r="B38" i="26"/>
  <c r="J37" i="26"/>
  <c r="K37" i="26" s="1"/>
  <c r="I37" i="26"/>
  <c r="M37" i="26" s="1"/>
  <c r="A37" i="26" s="1"/>
  <c r="B37" i="26"/>
  <c r="J36" i="26"/>
  <c r="K36" i="26" s="1"/>
  <c r="I36" i="26"/>
  <c r="M36" i="26" s="1"/>
  <c r="B36" i="26"/>
  <c r="A36" i="26"/>
  <c r="J35" i="26"/>
  <c r="K35" i="26" s="1"/>
  <c r="I35" i="26"/>
  <c r="M35" i="26" s="1"/>
  <c r="A35" i="26" s="1"/>
  <c r="B35" i="26"/>
  <c r="J34" i="26"/>
  <c r="K34" i="26" s="1"/>
  <c r="I34" i="26"/>
  <c r="M34" i="26" s="1"/>
  <c r="A34" i="26" s="1"/>
  <c r="B34" i="26"/>
  <c r="J33" i="26"/>
  <c r="K33" i="26" s="1"/>
  <c r="I33" i="26"/>
  <c r="M33" i="26" s="1"/>
  <c r="A33" i="26" s="1"/>
  <c r="B33" i="26"/>
  <c r="J32" i="26"/>
  <c r="K32" i="26" s="1"/>
  <c r="I32" i="26"/>
  <c r="M32" i="26" s="1"/>
  <c r="B32" i="26"/>
  <c r="A32" i="26"/>
  <c r="J31" i="26"/>
  <c r="K31" i="26" s="1"/>
  <c r="I31" i="26"/>
  <c r="M31" i="26" s="1"/>
  <c r="A31" i="26" s="1"/>
  <c r="B31" i="26"/>
  <c r="J30" i="26"/>
  <c r="K30" i="26" s="1"/>
  <c r="I30" i="26"/>
  <c r="B30" i="26"/>
  <c r="J29" i="26"/>
  <c r="K29" i="26" s="1"/>
  <c r="I29" i="26"/>
  <c r="M29" i="26" s="1"/>
  <c r="A29" i="26" s="1"/>
  <c r="B29" i="26"/>
  <c r="J28" i="26"/>
  <c r="K28" i="26" s="1"/>
  <c r="I28" i="26"/>
  <c r="B28" i="26"/>
  <c r="J27" i="26"/>
  <c r="K27" i="26" s="1"/>
  <c r="I27" i="26"/>
  <c r="M27" i="26" s="1"/>
  <c r="A27" i="26" s="1"/>
  <c r="B27" i="26"/>
  <c r="J26" i="26"/>
  <c r="K26" i="26" s="1"/>
  <c r="I26" i="26"/>
  <c r="M26" i="26" s="1"/>
  <c r="A26" i="26" s="1"/>
  <c r="B26" i="26"/>
  <c r="J25" i="26"/>
  <c r="K25" i="26" s="1"/>
  <c r="I25" i="26"/>
  <c r="M25" i="26" s="1"/>
  <c r="A25" i="26" s="1"/>
  <c r="B25" i="26"/>
  <c r="J24" i="26"/>
  <c r="K24" i="26" s="1"/>
  <c r="I24" i="26"/>
  <c r="B24" i="26"/>
  <c r="J23" i="26"/>
  <c r="K23" i="26" s="1"/>
  <c r="I23" i="26"/>
  <c r="M23" i="26" s="1"/>
  <c r="A23" i="26" s="1"/>
  <c r="B23" i="26"/>
  <c r="J22" i="26"/>
  <c r="K22" i="26" s="1"/>
  <c r="I22" i="26"/>
  <c r="B22" i="26"/>
  <c r="J21" i="26"/>
  <c r="K21" i="26" s="1"/>
  <c r="I21" i="26"/>
  <c r="M21" i="26" s="1"/>
  <c r="A21" i="26" s="1"/>
  <c r="B21" i="26"/>
  <c r="J20" i="26"/>
  <c r="K20" i="26" s="1"/>
  <c r="I20" i="26"/>
  <c r="B20" i="26"/>
  <c r="J19" i="26"/>
  <c r="K19" i="26" s="1"/>
  <c r="I19" i="26"/>
  <c r="M19" i="26" s="1"/>
  <c r="A19" i="26" s="1"/>
  <c r="B19" i="26"/>
  <c r="J18" i="26"/>
  <c r="K18" i="26" s="1"/>
  <c r="I18" i="26"/>
  <c r="M18" i="26" s="1"/>
  <c r="A18" i="26" s="1"/>
  <c r="B18" i="26"/>
  <c r="J17" i="26"/>
  <c r="K17" i="26" s="1"/>
  <c r="I17" i="26"/>
  <c r="M17" i="26" s="1"/>
  <c r="A17" i="26" s="1"/>
  <c r="B17" i="26"/>
  <c r="J16" i="26"/>
  <c r="K16" i="26" s="1"/>
  <c r="I16" i="26"/>
  <c r="M16" i="26" s="1"/>
  <c r="A16" i="26" s="1"/>
  <c r="B16" i="26"/>
  <c r="J15" i="26"/>
  <c r="K15" i="26" s="1"/>
  <c r="I15" i="26"/>
  <c r="M15" i="26" s="1"/>
  <c r="A15" i="26" s="1"/>
  <c r="B15" i="26"/>
  <c r="AI14" i="26"/>
  <c r="J14" i="26"/>
  <c r="K14" i="26" s="1"/>
  <c r="I14" i="26"/>
  <c r="M14" i="26" s="1"/>
  <c r="A14" i="26" s="1"/>
  <c r="B14" i="26"/>
  <c r="AI13" i="26"/>
  <c r="J13" i="26"/>
  <c r="K13" i="26" s="1"/>
  <c r="I13" i="26"/>
  <c r="M13" i="26" s="1"/>
  <c r="A13" i="26" s="1"/>
  <c r="B13" i="26"/>
  <c r="AI12" i="26"/>
  <c r="AI16" i="26" s="1"/>
  <c r="J12" i="26"/>
  <c r="K12" i="26" s="1"/>
  <c r="I12" i="26"/>
  <c r="B12" i="26"/>
  <c r="J11" i="26"/>
  <c r="K11" i="26" s="1"/>
  <c r="I11" i="26"/>
  <c r="M11" i="26" s="1"/>
  <c r="A11" i="26" s="1"/>
  <c r="B11" i="26"/>
  <c r="J10" i="26"/>
  <c r="K10" i="26" s="1"/>
  <c r="I10" i="26"/>
  <c r="M10" i="26" s="1"/>
  <c r="A10" i="26" s="1"/>
  <c r="B10" i="26"/>
  <c r="J9" i="26"/>
  <c r="K9" i="26" s="1"/>
  <c r="I9" i="26"/>
  <c r="B9" i="26"/>
  <c r="J8" i="26"/>
  <c r="K8" i="26" s="1"/>
  <c r="I8" i="26"/>
  <c r="B8" i="26"/>
  <c r="J7" i="26"/>
  <c r="K7" i="26" s="1"/>
  <c r="I7" i="26"/>
  <c r="B7" i="26"/>
  <c r="J6" i="26"/>
  <c r="K6" i="26" s="1"/>
  <c r="I6" i="26"/>
  <c r="B6" i="26"/>
  <c r="K2" i="26"/>
  <c r="L7" i="26" s="1"/>
  <c r="J305" i="25"/>
  <c r="K305" i="25" s="1"/>
  <c r="I305" i="25"/>
  <c r="M305" i="25" s="1"/>
  <c r="J304" i="25"/>
  <c r="K304" i="25" s="1"/>
  <c r="I304" i="25"/>
  <c r="M304" i="25" s="1"/>
  <c r="J303" i="25"/>
  <c r="K303" i="25" s="1"/>
  <c r="I303" i="25"/>
  <c r="M303" i="25" s="1"/>
  <c r="J302" i="25"/>
  <c r="K302" i="25" s="1"/>
  <c r="I302" i="25"/>
  <c r="M302" i="25" s="1"/>
  <c r="J301" i="25"/>
  <c r="K301" i="25" s="1"/>
  <c r="I301" i="25"/>
  <c r="M301" i="25" s="1"/>
  <c r="J300" i="25"/>
  <c r="K300" i="25" s="1"/>
  <c r="I300" i="25"/>
  <c r="M300" i="25" s="1"/>
  <c r="J299" i="25"/>
  <c r="K299" i="25" s="1"/>
  <c r="I299" i="25"/>
  <c r="M299" i="25" s="1"/>
  <c r="J298" i="25"/>
  <c r="K298" i="25" s="1"/>
  <c r="I298" i="25"/>
  <c r="M298" i="25" s="1"/>
  <c r="J297" i="25"/>
  <c r="K297" i="25" s="1"/>
  <c r="I297" i="25"/>
  <c r="M297" i="25" s="1"/>
  <c r="J296" i="25"/>
  <c r="K296" i="25" s="1"/>
  <c r="I296" i="25"/>
  <c r="M296" i="25" s="1"/>
  <c r="J295" i="25"/>
  <c r="K295" i="25" s="1"/>
  <c r="I295" i="25"/>
  <c r="M295" i="25" s="1"/>
  <c r="J294" i="25"/>
  <c r="K294" i="25" s="1"/>
  <c r="I294" i="25"/>
  <c r="M294" i="25" s="1"/>
  <c r="J293" i="25"/>
  <c r="K293" i="25" s="1"/>
  <c r="I293" i="25"/>
  <c r="M293" i="25" s="1"/>
  <c r="J292" i="25"/>
  <c r="K292" i="25" s="1"/>
  <c r="I292" i="25"/>
  <c r="M292" i="25" s="1"/>
  <c r="J291" i="25"/>
  <c r="K291" i="25" s="1"/>
  <c r="I291" i="25"/>
  <c r="M291" i="25" s="1"/>
  <c r="J290" i="25"/>
  <c r="K290" i="25" s="1"/>
  <c r="I290" i="25"/>
  <c r="M290" i="25" s="1"/>
  <c r="J289" i="25"/>
  <c r="K289" i="25" s="1"/>
  <c r="I289" i="25"/>
  <c r="M289" i="25" s="1"/>
  <c r="J288" i="25"/>
  <c r="K288" i="25" s="1"/>
  <c r="I288" i="25"/>
  <c r="M288" i="25" s="1"/>
  <c r="J287" i="25"/>
  <c r="K287" i="25" s="1"/>
  <c r="I287" i="25"/>
  <c r="M287" i="25" s="1"/>
  <c r="J286" i="25"/>
  <c r="K286" i="25" s="1"/>
  <c r="I286" i="25"/>
  <c r="M286" i="25" s="1"/>
  <c r="J285" i="25"/>
  <c r="K285" i="25" s="1"/>
  <c r="I285" i="25"/>
  <c r="M285" i="25" s="1"/>
  <c r="J284" i="25"/>
  <c r="K284" i="25" s="1"/>
  <c r="I284" i="25"/>
  <c r="M284" i="25" s="1"/>
  <c r="J283" i="25"/>
  <c r="K283" i="25" s="1"/>
  <c r="I283" i="25"/>
  <c r="M283" i="25" s="1"/>
  <c r="J282" i="25"/>
  <c r="K282" i="25" s="1"/>
  <c r="I282" i="25"/>
  <c r="M282" i="25" s="1"/>
  <c r="J281" i="25"/>
  <c r="K281" i="25" s="1"/>
  <c r="I281" i="25"/>
  <c r="M281" i="25" s="1"/>
  <c r="J280" i="25"/>
  <c r="K280" i="25" s="1"/>
  <c r="I280" i="25"/>
  <c r="M280" i="25" s="1"/>
  <c r="J279" i="25"/>
  <c r="K279" i="25" s="1"/>
  <c r="I279" i="25"/>
  <c r="M279" i="25" s="1"/>
  <c r="J278" i="25"/>
  <c r="K278" i="25" s="1"/>
  <c r="I278" i="25"/>
  <c r="M278" i="25" s="1"/>
  <c r="J277" i="25"/>
  <c r="K277" i="25" s="1"/>
  <c r="I277" i="25"/>
  <c r="M277" i="25" s="1"/>
  <c r="J276" i="25"/>
  <c r="K276" i="25" s="1"/>
  <c r="I276" i="25"/>
  <c r="M276" i="25" s="1"/>
  <c r="J275" i="25"/>
  <c r="K275" i="25" s="1"/>
  <c r="I275" i="25"/>
  <c r="M275" i="25" s="1"/>
  <c r="J274" i="25"/>
  <c r="K274" i="25" s="1"/>
  <c r="I274" i="25"/>
  <c r="M274" i="25" s="1"/>
  <c r="J273" i="25"/>
  <c r="K273" i="25" s="1"/>
  <c r="I273" i="25"/>
  <c r="M273" i="25" s="1"/>
  <c r="J272" i="25"/>
  <c r="K272" i="25" s="1"/>
  <c r="I272" i="25"/>
  <c r="M272" i="25" s="1"/>
  <c r="J271" i="25"/>
  <c r="K271" i="25" s="1"/>
  <c r="I271" i="25"/>
  <c r="M271" i="25" s="1"/>
  <c r="J270" i="25"/>
  <c r="K270" i="25" s="1"/>
  <c r="I270" i="25"/>
  <c r="M270" i="25" s="1"/>
  <c r="J269" i="25"/>
  <c r="K269" i="25" s="1"/>
  <c r="I269" i="25"/>
  <c r="M269" i="25" s="1"/>
  <c r="J268" i="25"/>
  <c r="K268" i="25" s="1"/>
  <c r="I268" i="25"/>
  <c r="M268" i="25" s="1"/>
  <c r="J267" i="25"/>
  <c r="K267" i="25" s="1"/>
  <c r="I267" i="25"/>
  <c r="M267" i="25" s="1"/>
  <c r="J266" i="25"/>
  <c r="K266" i="25" s="1"/>
  <c r="I266" i="25"/>
  <c r="M266" i="25" s="1"/>
  <c r="J265" i="25"/>
  <c r="K265" i="25" s="1"/>
  <c r="I265" i="25"/>
  <c r="M265" i="25" s="1"/>
  <c r="J264" i="25"/>
  <c r="K264" i="25" s="1"/>
  <c r="I264" i="25"/>
  <c r="M264" i="25" s="1"/>
  <c r="J263" i="25"/>
  <c r="K263" i="25" s="1"/>
  <c r="I263" i="25"/>
  <c r="M263" i="25" s="1"/>
  <c r="J262" i="25"/>
  <c r="K262" i="25" s="1"/>
  <c r="I262" i="25"/>
  <c r="M262" i="25" s="1"/>
  <c r="J261" i="25"/>
  <c r="K261" i="25" s="1"/>
  <c r="I261" i="25"/>
  <c r="M261" i="25" s="1"/>
  <c r="J260" i="25"/>
  <c r="K260" i="25" s="1"/>
  <c r="I260" i="25"/>
  <c r="M260" i="25" s="1"/>
  <c r="J259" i="25"/>
  <c r="K259" i="25" s="1"/>
  <c r="I259" i="25"/>
  <c r="M259" i="25" s="1"/>
  <c r="J258" i="25"/>
  <c r="K258" i="25" s="1"/>
  <c r="I258" i="25"/>
  <c r="M258" i="25" s="1"/>
  <c r="J257" i="25"/>
  <c r="K257" i="25" s="1"/>
  <c r="I257" i="25"/>
  <c r="M257" i="25" s="1"/>
  <c r="J256" i="25"/>
  <c r="K256" i="25" s="1"/>
  <c r="I256" i="25"/>
  <c r="M256" i="25" s="1"/>
  <c r="J255" i="25"/>
  <c r="K255" i="25" s="1"/>
  <c r="I255" i="25"/>
  <c r="M255" i="25" s="1"/>
  <c r="J254" i="25"/>
  <c r="K254" i="25" s="1"/>
  <c r="I254" i="25"/>
  <c r="M254" i="25" s="1"/>
  <c r="J253" i="25"/>
  <c r="K253" i="25" s="1"/>
  <c r="I253" i="25"/>
  <c r="M253" i="25" s="1"/>
  <c r="J252" i="25"/>
  <c r="K252" i="25" s="1"/>
  <c r="I252" i="25"/>
  <c r="M252" i="25" s="1"/>
  <c r="J251" i="25"/>
  <c r="K251" i="25" s="1"/>
  <c r="I251" i="25"/>
  <c r="M251" i="25" s="1"/>
  <c r="J250" i="25"/>
  <c r="K250" i="25" s="1"/>
  <c r="I250" i="25"/>
  <c r="M250" i="25" s="1"/>
  <c r="J249" i="25"/>
  <c r="K249" i="25" s="1"/>
  <c r="I249" i="25"/>
  <c r="M249" i="25" s="1"/>
  <c r="J248" i="25"/>
  <c r="K248" i="25" s="1"/>
  <c r="I248" i="25"/>
  <c r="M248" i="25" s="1"/>
  <c r="J247" i="25"/>
  <c r="K247" i="25" s="1"/>
  <c r="I247" i="25"/>
  <c r="M247" i="25" s="1"/>
  <c r="J246" i="25"/>
  <c r="K246" i="25" s="1"/>
  <c r="I246" i="25"/>
  <c r="M246" i="25" s="1"/>
  <c r="J245" i="25"/>
  <c r="K245" i="25" s="1"/>
  <c r="I245" i="25"/>
  <c r="M245" i="25" s="1"/>
  <c r="J244" i="25"/>
  <c r="K244" i="25" s="1"/>
  <c r="I244" i="25"/>
  <c r="M244" i="25" s="1"/>
  <c r="J243" i="25"/>
  <c r="K243" i="25" s="1"/>
  <c r="I243" i="25"/>
  <c r="M243" i="25" s="1"/>
  <c r="J242" i="25"/>
  <c r="K242" i="25" s="1"/>
  <c r="I242" i="25"/>
  <c r="M242" i="25" s="1"/>
  <c r="J241" i="25"/>
  <c r="K241" i="25" s="1"/>
  <c r="I241" i="25"/>
  <c r="M241" i="25" s="1"/>
  <c r="J240" i="25"/>
  <c r="K240" i="25" s="1"/>
  <c r="I240" i="25"/>
  <c r="M240" i="25" s="1"/>
  <c r="J239" i="25"/>
  <c r="K239" i="25" s="1"/>
  <c r="I239" i="25"/>
  <c r="M239" i="25" s="1"/>
  <c r="J238" i="25"/>
  <c r="K238" i="25" s="1"/>
  <c r="I238" i="25"/>
  <c r="M238" i="25" s="1"/>
  <c r="J237" i="25"/>
  <c r="K237" i="25" s="1"/>
  <c r="I237" i="25"/>
  <c r="M237" i="25" s="1"/>
  <c r="J236" i="25"/>
  <c r="K236" i="25" s="1"/>
  <c r="I236" i="25"/>
  <c r="M236" i="25" s="1"/>
  <c r="J235" i="25"/>
  <c r="K235" i="25" s="1"/>
  <c r="I235" i="25"/>
  <c r="M235" i="25" s="1"/>
  <c r="J234" i="25"/>
  <c r="K234" i="25" s="1"/>
  <c r="I234" i="25"/>
  <c r="M234" i="25" s="1"/>
  <c r="J233" i="25"/>
  <c r="K233" i="25" s="1"/>
  <c r="I233" i="25"/>
  <c r="M233" i="25" s="1"/>
  <c r="J232" i="25"/>
  <c r="K232" i="25" s="1"/>
  <c r="I232" i="25"/>
  <c r="M232" i="25" s="1"/>
  <c r="J231" i="25"/>
  <c r="K231" i="25" s="1"/>
  <c r="I231" i="25"/>
  <c r="M231" i="25" s="1"/>
  <c r="J230" i="25"/>
  <c r="K230" i="25" s="1"/>
  <c r="I230" i="25"/>
  <c r="M230" i="25" s="1"/>
  <c r="J229" i="25"/>
  <c r="K229" i="25" s="1"/>
  <c r="I229" i="25"/>
  <c r="M229" i="25" s="1"/>
  <c r="J228" i="25"/>
  <c r="K228" i="25" s="1"/>
  <c r="I228" i="25"/>
  <c r="M228" i="25" s="1"/>
  <c r="J227" i="25"/>
  <c r="K227" i="25" s="1"/>
  <c r="I227" i="25"/>
  <c r="M227" i="25" s="1"/>
  <c r="J226" i="25"/>
  <c r="K226" i="25" s="1"/>
  <c r="I226" i="25"/>
  <c r="M226" i="25" s="1"/>
  <c r="J225" i="25"/>
  <c r="K225" i="25" s="1"/>
  <c r="I225" i="25"/>
  <c r="M225" i="25" s="1"/>
  <c r="J224" i="25"/>
  <c r="K224" i="25" s="1"/>
  <c r="I224" i="25"/>
  <c r="M224" i="25" s="1"/>
  <c r="J223" i="25"/>
  <c r="K223" i="25" s="1"/>
  <c r="I223" i="25"/>
  <c r="M223" i="25" s="1"/>
  <c r="J222" i="25"/>
  <c r="K222" i="25" s="1"/>
  <c r="I222" i="25"/>
  <c r="M222" i="25" s="1"/>
  <c r="J221" i="25"/>
  <c r="K221" i="25" s="1"/>
  <c r="I221" i="25"/>
  <c r="M221" i="25" s="1"/>
  <c r="J220" i="25"/>
  <c r="K220" i="25" s="1"/>
  <c r="I220" i="25"/>
  <c r="M220" i="25" s="1"/>
  <c r="J219" i="25"/>
  <c r="K219" i="25" s="1"/>
  <c r="I219" i="25"/>
  <c r="M219" i="25" s="1"/>
  <c r="J218" i="25"/>
  <c r="K218" i="25" s="1"/>
  <c r="I218" i="25"/>
  <c r="M218" i="25" s="1"/>
  <c r="J217" i="25"/>
  <c r="K217" i="25" s="1"/>
  <c r="I217" i="25"/>
  <c r="M217" i="25" s="1"/>
  <c r="J216" i="25"/>
  <c r="K216" i="25" s="1"/>
  <c r="I216" i="25"/>
  <c r="M216" i="25" s="1"/>
  <c r="J215" i="25"/>
  <c r="K215" i="25" s="1"/>
  <c r="I215" i="25"/>
  <c r="M215" i="25" s="1"/>
  <c r="J214" i="25"/>
  <c r="K214" i="25" s="1"/>
  <c r="I214" i="25"/>
  <c r="M214" i="25" s="1"/>
  <c r="J213" i="25"/>
  <c r="K213" i="25" s="1"/>
  <c r="I213" i="25"/>
  <c r="M213" i="25" s="1"/>
  <c r="J212" i="25"/>
  <c r="K212" i="25" s="1"/>
  <c r="I212" i="25"/>
  <c r="M212" i="25" s="1"/>
  <c r="J211" i="25"/>
  <c r="K211" i="25" s="1"/>
  <c r="I211" i="25"/>
  <c r="M211" i="25" s="1"/>
  <c r="J210" i="25"/>
  <c r="K210" i="25" s="1"/>
  <c r="I210" i="25"/>
  <c r="M210" i="25" s="1"/>
  <c r="J209" i="25"/>
  <c r="K209" i="25" s="1"/>
  <c r="I209" i="25"/>
  <c r="M209" i="25" s="1"/>
  <c r="J208" i="25"/>
  <c r="K208" i="25" s="1"/>
  <c r="I208" i="25"/>
  <c r="M208" i="25" s="1"/>
  <c r="J207" i="25"/>
  <c r="K207" i="25" s="1"/>
  <c r="I207" i="25"/>
  <c r="M207" i="25" s="1"/>
  <c r="J206" i="25"/>
  <c r="K206" i="25" s="1"/>
  <c r="I206" i="25"/>
  <c r="M206" i="25" s="1"/>
  <c r="J205" i="25"/>
  <c r="K205" i="25" s="1"/>
  <c r="I205" i="25"/>
  <c r="M205" i="25" s="1"/>
  <c r="J204" i="25"/>
  <c r="K204" i="25" s="1"/>
  <c r="I204" i="25"/>
  <c r="M204" i="25" s="1"/>
  <c r="J203" i="25"/>
  <c r="K203" i="25" s="1"/>
  <c r="I203" i="25"/>
  <c r="M203" i="25" s="1"/>
  <c r="J202" i="25"/>
  <c r="K202" i="25" s="1"/>
  <c r="I202" i="25"/>
  <c r="M202" i="25" s="1"/>
  <c r="J201" i="25"/>
  <c r="K201" i="25" s="1"/>
  <c r="I201" i="25"/>
  <c r="M201" i="25" s="1"/>
  <c r="J200" i="25"/>
  <c r="K200" i="25" s="1"/>
  <c r="I200" i="25"/>
  <c r="M200" i="25" s="1"/>
  <c r="J199" i="25"/>
  <c r="K199" i="25" s="1"/>
  <c r="I199" i="25"/>
  <c r="M199" i="25" s="1"/>
  <c r="J198" i="25"/>
  <c r="K198" i="25" s="1"/>
  <c r="I198" i="25"/>
  <c r="M198" i="25" s="1"/>
  <c r="J197" i="25"/>
  <c r="K197" i="25" s="1"/>
  <c r="I197" i="25"/>
  <c r="M197" i="25" s="1"/>
  <c r="J196" i="25"/>
  <c r="K196" i="25" s="1"/>
  <c r="I196" i="25"/>
  <c r="M196" i="25" s="1"/>
  <c r="J195" i="25"/>
  <c r="K195" i="25" s="1"/>
  <c r="I195" i="25"/>
  <c r="M195" i="25" s="1"/>
  <c r="J194" i="25"/>
  <c r="K194" i="25" s="1"/>
  <c r="I194" i="25"/>
  <c r="M194" i="25" s="1"/>
  <c r="J193" i="25"/>
  <c r="K193" i="25" s="1"/>
  <c r="I193" i="25"/>
  <c r="M193" i="25" s="1"/>
  <c r="J192" i="25"/>
  <c r="K192" i="25" s="1"/>
  <c r="I192" i="25"/>
  <c r="M192" i="25" s="1"/>
  <c r="J191" i="25"/>
  <c r="K191" i="25" s="1"/>
  <c r="I191" i="25"/>
  <c r="M191" i="25" s="1"/>
  <c r="J190" i="25"/>
  <c r="K190" i="25" s="1"/>
  <c r="I190" i="25"/>
  <c r="M190" i="25" s="1"/>
  <c r="J189" i="25"/>
  <c r="K189" i="25" s="1"/>
  <c r="I189" i="25"/>
  <c r="M189" i="25" s="1"/>
  <c r="J188" i="25"/>
  <c r="K188" i="25" s="1"/>
  <c r="I188" i="25"/>
  <c r="M188" i="25" s="1"/>
  <c r="J187" i="25"/>
  <c r="K187" i="25" s="1"/>
  <c r="I187" i="25"/>
  <c r="M187" i="25" s="1"/>
  <c r="J186" i="25"/>
  <c r="K186" i="25" s="1"/>
  <c r="I186" i="25"/>
  <c r="M186" i="25" s="1"/>
  <c r="J185" i="25"/>
  <c r="K185" i="25" s="1"/>
  <c r="I185" i="25"/>
  <c r="M185" i="25" s="1"/>
  <c r="J184" i="25"/>
  <c r="K184" i="25" s="1"/>
  <c r="I184" i="25"/>
  <c r="M184" i="25" s="1"/>
  <c r="J183" i="25"/>
  <c r="K183" i="25" s="1"/>
  <c r="I183" i="25"/>
  <c r="M183" i="25" s="1"/>
  <c r="J182" i="25"/>
  <c r="K182" i="25" s="1"/>
  <c r="I182" i="25"/>
  <c r="M182" i="25" s="1"/>
  <c r="J181" i="25"/>
  <c r="K181" i="25" s="1"/>
  <c r="I181" i="25"/>
  <c r="M181" i="25" s="1"/>
  <c r="J180" i="25"/>
  <c r="K180" i="25" s="1"/>
  <c r="I180" i="25"/>
  <c r="M180" i="25" s="1"/>
  <c r="J179" i="25"/>
  <c r="K179" i="25" s="1"/>
  <c r="I179" i="25"/>
  <c r="M179" i="25" s="1"/>
  <c r="J178" i="25"/>
  <c r="K178" i="25" s="1"/>
  <c r="I178" i="25"/>
  <c r="M178" i="25" s="1"/>
  <c r="J177" i="25"/>
  <c r="K177" i="25" s="1"/>
  <c r="I177" i="25"/>
  <c r="M177" i="25" s="1"/>
  <c r="J176" i="25"/>
  <c r="K176" i="25" s="1"/>
  <c r="I176" i="25"/>
  <c r="M176" i="25" s="1"/>
  <c r="J175" i="25"/>
  <c r="K175" i="25" s="1"/>
  <c r="I175" i="25"/>
  <c r="M175" i="25" s="1"/>
  <c r="J174" i="25"/>
  <c r="K174" i="25" s="1"/>
  <c r="I174" i="25"/>
  <c r="M174" i="25" s="1"/>
  <c r="J173" i="25"/>
  <c r="K173" i="25" s="1"/>
  <c r="I173" i="25"/>
  <c r="M173" i="25" s="1"/>
  <c r="J172" i="25"/>
  <c r="K172" i="25" s="1"/>
  <c r="I172" i="25"/>
  <c r="M172" i="25" s="1"/>
  <c r="J171" i="25"/>
  <c r="K171" i="25" s="1"/>
  <c r="I171" i="25"/>
  <c r="M171" i="25" s="1"/>
  <c r="J170" i="25"/>
  <c r="K170" i="25" s="1"/>
  <c r="I170" i="25"/>
  <c r="M170" i="25" s="1"/>
  <c r="J169" i="25"/>
  <c r="K169" i="25" s="1"/>
  <c r="I169" i="25"/>
  <c r="M169" i="25" s="1"/>
  <c r="J168" i="25"/>
  <c r="K168" i="25" s="1"/>
  <c r="I168" i="25"/>
  <c r="M168" i="25" s="1"/>
  <c r="J167" i="25"/>
  <c r="K167" i="25" s="1"/>
  <c r="I167" i="25"/>
  <c r="M167" i="25" s="1"/>
  <c r="J166" i="25"/>
  <c r="K166" i="25" s="1"/>
  <c r="I166" i="25"/>
  <c r="M166" i="25" s="1"/>
  <c r="J165" i="25"/>
  <c r="K165" i="25" s="1"/>
  <c r="I165" i="25"/>
  <c r="M165" i="25" s="1"/>
  <c r="J164" i="25"/>
  <c r="K164" i="25" s="1"/>
  <c r="I164" i="25"/>
  <c r="M164" i="25" s="1"/>
  <c r="J163" i="25"/>
  <c r="K163" i="25" s="1"/>
  <c r="I163" i="25"/>
  <c r="M163" i="25" s="1"/>
  <c r="J162" i="25"/>
  <c r="K162" i="25" s="1"/>
  <c r="I162" i="25"/>
  <c r="M162" i="25" s="1"/>
  <c r="J161" i="25"/>
  <c r="K161" i="25" s="1"/>
  <c r="I161" i="25"/>
  <c r="M161" i="25" s="1"/>
  <c r="J160" i="25"/>
  <c r="K160" i="25" s="1"/>
  <c r="I160" i="25"/>
  <c r="M160" i="25" s="1"/>
  <c r="J159" i="25"/>
  <c r="K159" i="25" s="1"/>
  <c r="I159" i="25"/>
  <c r="M159" i="25" s="1"/>
  <c r="J158" i="25"/>
  <c r="K158" i="25" s="1"/>
  <c r="I158" i="25"/>
  <c r="M158" i="25" s="1"/>
  <c r="J157" i="25"/>
  <c r="K157" i="25" s="1"/>
  <c r="I157" i="25"/>
  <c r="M157" i="25" s="1"/>
  <c r="J156" i="25"/>
  <c r="K156" i="25" s="1"/>
  <c r="I156" i="25"/>
  <c r="M156" i="25" s="1"/>
  <c r="J155" i="25"/>
  <c r="K155" i="25" s="1"/>
  <c r="I155" i="25"/>
  <c r="M155" i="25" s="1"/>
  <c r="J154" i="25"/>
  <c r="K154" i="25" s="1"/>
  <c r="I154" i="25"/>
  <c r="M154" i="25" s="1"/>
  <c r="J153" i="25"/>
  <c r="K153" i="25" s="1"/>
  <c r="I153" i="25"/>
  <c r="M153" i="25" s="1"/>
  <c r="J152" i="25"/>
  <c r="K152" i="25" s="1"/>
  <c r="I152" i="25"/>
  <c r="M152" i="25" s="1"/>
  <c r="M151" i="25"/>
  <c r="J151" i="25"/>
  <c r="K151" i="25" s="1"/>
  <c r="I151" i="25"/>
  <c r="J150" i="25"/>
  <c r="K150" i="25" s="1"/>
  <c r="I150" i="25"/>
  <c r="M150" i="25" s="1"/>
  <c r="J149" i="25"/>
  <c r="K149" i="25" s="1"/>
  <c r="I149" i="25"/>
  <c r="M149" i="25" s="1"/>
  <c r="J148" i="25"/>
  <c r="K148" i="25" s="1"/>
  <c r="I148" i="25"/>
  <c r="M148" i="25" s="1"/>
  <c r="J147" i="25"/>
  <c r="K147" i="25" s="1"/>
  <c r="I147" i="25"/>
  <c r="M147" i="25" s="1"/>
  <c r="J146" i="25"/>
  <c r="K146" i="25" s="1"/>
  <c r="I146" i="25"/>
  <c r="M146" i="25" s="1"/>
  <c r="M145" i="25"/>
  <c r="J145" i="25"/>
  <c r="K145" i="25" s="1"/>
  <c r="I145" i="25"/>
  <c r="J144" i="25"/>
  <c r="K144" i="25" s="1"/>
  <c r="I144" i="25"/>
  <c r="M144" i="25" s="1"/>
  <c r="M143" i="25"/>
  <c r="J143" i="25"/>
  <c r="K143" i="25" s="1"/>
  <c r="I143" i="25"/>
  <c r="M142" i="25"/>
  <c r="J142" i="25"/>
  <c r="K142" i="25" s="1"/>
  <c r="I142" i="25"/>
  <c r="J141" i="25"/>
  <c r="K141" i="25" s="1"/>
  <c r="I141" i="25"/>
  <c r="M141" i="25" s="1"/>
  <c r="J140" i="25"/>
  <c r="K140" i="25" s="1"/>
  <c r="I140" i="25"/>
  <c r="M140" i="25" s="1"/>
  <c r="M139" i="25"/>
  <c r="J139" i="25"/>
  <c r="K139" i="25" s="1"/>
  <c r="I139" i="25"/>
  <c r="M138" i="25"/>
  <c r="J138" i="25"/>
  <c r="K138" i="25" s="1"/>
  <c r="I138" i="25"/>
  <c r="J137" i="25"/>
  <c r="K137" i="25" s="1"/>
  <c r="I137" i="25"/>
  <c r="M137" i="25" s="1"/>
  <c r="J136" i="25"/>
  <c r="K136" i="25" s="1"/>
  <c r="I136" i="25"/>
  <c r="M136" i="25" s="1"/>
  <c r="M135" i="25"/>
  <c r="J135" i="25"/>
  <c r="K135" i="25" s="1"/>
  <c r="I135" i="25"/>
  <c r="M134" i="25"/>
  <c r="J134" i="25"/>
  <c r="K134" i="25" s="1"/>
  <c r="I134" i="25"/>
  <c r="J133" i="25"/>
  <c r="K133" i="25" s="1"/>
  <c r="I133" i="25"/>
  <c r="M133" i="25" s="1"/>
  <c r="J132" i="25"/>
  <c r="K132" i="25" s="1"/>
  <c r="I132" i="25"/>
  <c r="M132" i="25" s="1"/>
  <c r="M131" i="25"/>
  <c r="J131" i="25"/>
  <c r="K131" i="25" s="1"/>
  <c r="I131" i="25"/>
  <c r="M130" i="25"/>
  <c r="J130" i="25"/>
  <c r="K130" i="25" s="1"/>
  <c r="I130" i="25"/>
  <c r="J129" i="25"/>
  <c r="K129" i="25" s="1"/>
  <c r="I129" i="25"/>
  <c r="M129" i="25" s="1"/>
  <c r="J128" i="25"/>
  <c r="K128" i="25" s="1"/>
  <c r="I128" i="25"/>
  <c r="M128" i="25" s="1"/>
  <c r="M127" i="25"/>
  <c r="J127" i="25"/>
  <c r="K127" i="25" s="1"/>
  <c r="I127" i="25"/>
  <c r="M126" i="25"/>
  <c r="J126" i="25"/>
  <c r="K126" i="25" s="1"/>
  <c r="I126" i="25"/>
  <c r="J125" i="25"/>
  <c r="K125" i="25" s="1"/>
  <c r="I125" i="25"/>
  <c r="M125" i="25" s="1"/>
  <c r="J124" i="25"/>
  <c r="K124" i="25" s="1"/>
  <c r="I124" i="25"/>
  <c r="M124" i="25" s="1"/>
  <c r="M123" i="25"/>
  <c r="J123" i="25"/>
  <c r="K123" i="25" s="1"/>
  <c r="I123" i="25"/>
  <c r="M122" i="25"/>
  <c r="J122" i="25"/>
  <c r="K122" i="25" s="1"/>
  <c r="I122" i="25"/>
  <c r="J121" i="25"/>
  <c r="K121" i="25" s="1"/>
  <c r="I121" i="25"/>
  <c r="M121" i="25" s="1"/>
  <c r="J120" i="25"/>
  <c r="K120" i="25" s="1"/>
  <c r="I120" i="25"/>
  <c r="M120" i="25" s="1"/>
  <c r="M119" i="25"/>
  <c r="J119" i="25"/>
  <c r="K119" i="25" s="1"/>
  <c r="I119" i="25"/>
  <c r="M118" i="25"/>
  <c r="J118" i="25"/>
  <c r="K118" i="25" s="1"/>
  <c r="I118" i="25"/>
  <c r="J117" i="25"/>
  <c r="K117" i="25" s="1"/>
  <c r="I117" i="25"/>
  <c r="M117" i="25" s="1"/>
  <c r="J116" i="25"/>
  <c r="K116" i="25" s="1"/>
  <c r="I116" i="25"/>
  <c r="M116" i="25" s="1"/>
  <c r="M115" i="25"/>
  <c r="J115" i="25"/>
  <c r="K115" i="25" s="1"/>
  <c r="I115" i="25"/>
  <c r="M114" i="25"/>
  <c r="J114" i="25"/>
  <c r="K114" i="25" s="1"/>
  <c r="I114" i="25"/>
  <c r="J113" i="25"/>
  <c r="K113" i="25" s="1"/>
  <c r="I113" i="25"/>
  <c r="M113" i="25" s="1"/>
  <c r="J112" i="25"/>
  <c r="K112" i="25" s="1"/>
  <c r="I112" i="25"/>
  <c r="M112" i="25" s="1"/>
  <c r="M111" i="25"/>
  <c r="J111" i="25"/>
  <c r="K111" i="25" s="1"/>
  <c r="I111" i="25"/>
  <c r="M110" i="25"/>
  <c r="J110" i="25"/>
  <c r="K110" i="25" s="1"/>
  <c r="I110" i="25"/>
  <c r="J109" i="25"/>
  <c r="K109" i="25" s="1"/>
  <c r="I109" i="25"/>
  <c r="M109" i="25" s="1"/>
  <c r="J108" i="25"/>
  <c r="K108" i="25" s="1"/>
  <c r="I108" i="25"/>
  <c r="M108" i="25" s="1"/>
  <c r="M107" i="25"/>
  <c r="J107" i="25"/>
  <c r="K107" i="25" s="1"/>
  <c r="I107" i="25"/>
  <c r="M106" i="25"/>
  <c r="J106" i="25"/>
  <c r="K106" i="25" s="1"/>
  <c r="I106" i="25"/>
  <c r="J105" i="25"/>
  <c r="K105" i="25" s="1"/>
  <c r="I105" i="25"/>
  <c r="M105" i="25" s="1"/>
  <c r="J104" i="25"/>
  <c r="K104" i="25" s="1"/>
  <c r="I104" i="25"/>
  <c r="M104" i="25" s="1"/>
  <c r="M103" i="25"/>
  <c r="J103" i="25"/>
  <c r="K103" i="25" s="1"/>
  <c r="I103" i="25"/>
  <c r="M102" i="25"/>
  <c r="J102" i="25"/>
  <c r="K102" i="25" s="1"/>
  <c r="I102" i="25"/>
  <c r="J101" i="25"/>
  <c r="K101" i="25" s="1"/>
  <c r="I101" i="25"/>
  <c r="M101" i="25" s="1"/>
  <c r="J100" i="25"/>
  <c r="K100" i="25" s="1"/>
  <c r="I100" i="25"/>
  <c r="M100" i="25" s="1"/>
  <c r="M99" i="25"/>
  <c r="J99" i="25"/>
  <c r="K99" i="25" s="1"/>
  <c r="I99" i="25"/>
  <c r="M98" i="25"/>
  <c r="J98" i="25"/>
  <c r="K98" i="25" s="1"/>
  <c r="I98" i="25"/>
  <c r="J97" i="25"/>
  <c r="K97" i="25" s="1"/>
  <c r="I97" i="25"/>
  <c r="M97" i="25" s="1"/>
  <c r="J96" i="25"/>
  <c r="K96" i="25" s="1"/>
  <c r="I96" i="25"/>
  <c r="M96" i="25" s="1"/>
  <c r="M95" i="25"/>
  <c r="J95" i="25"/>
  <c r="K95" i="25" s="1"/>
  <c r="I95" i="25"/>
  <c r="M94" i="25"/>
  <c r="J94" i="25"/>
  <c r="K94" i="25" s="1"/>
  <c r="I94" i="25"/>
  <c r="J93" i="25"/>
  <c r="K93" i="25" s="1"/>
  <c r="I93" i="25"/>
  <c r="M93" i="25" s="1"/>
  <c r="J92" i="25"/>
  <c r="K92" i="25" s="1"/>
  <c r="I92" i="25"/>
  <c r="M92" i="25" s="1"/>
  <c r="M91" i="25"/>
  <c r="J91" i="25"/>
  <c r="K91" i="25" s="1"/>
  <c r="I91" i="25"/>
  <c r="M90" i="25"/>
  <c r="J90" i="25"/>
  <c r="K90" i="25" s="1"/>
  <c r="I90" i="25"/>
  <c r="J89" i="25"/>
  <c r="K89" i="25" s="1"/>
  <c r="I89" i="25"/>
  <c r="M89" i="25" s="1"/>
  <c r="J88" i="25"/>
  <c r="K88" i="25" s="1"/>
  <c r="I88" i="25"/>
  <c r="M88" i="25" s="1"/>
  <c r="M87" i="25"/>
  <c r="J87" i="25"/>
  <c r="K87" i="25" s="1"/>
  <c r="I87" i="25"/>
  <c r="M86" i="25"/>
  <c r="J86" i="25"/>
  <c r="K86" i="25" s="1"/>
  <c r="I86" i="25"/>
  <c r="J85" i="25"/>
  <c r="K85" i="25" s="1"/>
  <c r="I85" i="25"/>
  <c r="M85" i="25" s="1"/>
  <c r="J84" i="25"/>
  <c r="K84" i="25" s="1"/>
  <c r="I84" i="25"/>
  <c r="M84" i="25" s="1"/>
  <c r="M83" i="25"/>
  <c r="J83" i="25"/>
  <c r="K83" i="25" s="1"/>
  <c r="I83" i="25"/>
  <c r="M82" i="25"/>
  <c r="J82" i="25"/>
  <c r="K82" i="25" s="1"/>
  <c r="I82" i="25"/>
  <c r="J81" i="25"/>
  <c r="K81" i="25" s="1"/>
  <c r="I81" i="25"/>
  <c r="M81" i="25" s="1"/>
  <c r="J80" i="25"/>
  <c r="K80" i="25" s="1"/>
  <c r="I80" i="25"/>
  <c r="M80" i="25" s="1"/>
  <c r="M79" i="25"/>
  <c r="J79" i="25"/>
  <c r="K79" i="25" s="1"/>
  <c r="I79" i="25"/>
  <c r="M78" i="25"/>
  <c r="J78" i="25"/>
  <c r="K78" i="25" s="1"/>
  <c r="I78" i="25"/>
  <c r="J77" i="25"/>
  <c r="K77" i="25" s="1"/>
  <c r="I77" i="25"/>
  <c r="M77" i="25" s="1"/>
  <c r="J76" i="25"/>
  <c r="K76" i="25" s="1"/>
  <c r="I76" i="25"/>
  <c r="M76" i="25" s="1"/>
  <c r="M75" i="25"/>
  <c r="J75" i="25"/>
  <c r="K75" i="25" s="1"/>
  <c r="I75" i="25"/>
  <c r="M74" i="25"/>
  <c r="J74" i="25"/>
  <c r="K74" i="25" s="1"/>
  <c r="I74" i="25"/>
  <c r="J73" i="25"/>
  <c r="K73" i="25" s="1"/>
  <c r="I73" i="25"/>
  <c r="M73" i="25" s="1"/>
  <c r="J72" i="25"/>
  <c r="K72" i="25" s="1"/>
  <c r="I72" i="25"/>
  <c r="M72" i="25" s="1"/>
  <c r="M71" i="25"/>
  <c r="J71" i="25"/>
  <c r="K71" i="25" s="1"/>
  <c r="I71" i="25"/>
  <c r="M70" i="25"/>
  <c r="J70" i="25"/>
  <c r="K70" i="25" s="1"/>
  <c r="I70" i="25"/>
  <c r="J69" i="25"/>
  <c r="K69" i="25" s="1"/>
  <c r="I69" i="25"/>
  <c r="M69" i="25" s="1"/>
  <c r="J68" i="25"/>
  <c r="K68" i="25" s="1"/>
  <c r="I68" i="25"/>
  <c r="M68" i="25" s="1"/>
  <c r="M67" i="25"/>
  <c r="J67" i="25"/>
  <c r="K67" i="25" s="1"/>
  <c r="I67" i="25"/>
  <c r="M66" i="25"/>
  <c r="J66" i="25"/>
  <c r="K66" i="25" s="1"/>
  <c r="I66" i="25"/>
  <c r="J65" i="25"/>
  <c r="K65" i="25" s="1"/>
  <c r="I65" i="25"/>
  <c r="M65" i="25" s="1"/>
  <c r="B65" i="25"/>
  <c r="J64" i="25"/>
  <c r="K64" i="25" s="1"/>
  <c r="I64" i="25"/>
  <c r="M64" i="25" s="1"/>
  <c r="B64" i="25"/>
  <c r="M63" i="25"/>
  <c r="K63" i="25"/>
  <c r="J63" i="25"/>
  <c r="I63" i="25"/>
  <c r="B63" i="25"/>
  <c r="M62" i="25"/>
  <c r="K62" i="25"/>
  <c r="J62" i="25"/>
  <c r="I62" i="25"/>
  <c r="B62" i="25"/>
  <c r="M61" i="25"/>
  <c r="J61" i="25"/>
  <c r="K61" i="25" s="1"/>
  <c r="I61" i="25"/>
  <c r="B61" i="25"/>
  <c r="K60" i="25"/>
  <c r="J60" i="25"/>
  <c r="I60" i="25"/>
  <c r="M60" i="25" s="1"/>
  <c r="B60" i="25"/>
  <c r="A60" i="25"/>
  <c r="K59" i="25"/>
  <c r="J59" i="25"/>
  <c r="I59" i="25"/>
  <c r="M59" i="25" s="1"/>
  <c r="A59" i="25" s="1"/>
  <c r="B59" i="25"/>
  <c r="J58" i="25"/>
  <c r="K58" i="25" s="1"/>
  <c r="I58" i="25"/>
  <c r="M58" i="25" s="1"/>
  <c r="B58" i="25"/>
  <c r="A58" i="25"/>
  <c r="K57" i="25"/>
  <c r="J57" i="25"/>
  <c r="I57" i="25"/>
  <c r="M57" i="25" s="1"/>
  <c r="A57" i="25" s="1"/>
  <c r="B57" i="25"/>
  <c r="J56" i="25"/>
  <c r="K56" i="25" s="1"/>
  <c r="I56" i="25"/>
  <c r="M56" i="25" s="1"/>
  <c r="A56" i="25" s="1"/>
  <c r="B56" i="25"/>
  <c r="M55" i="25"/>
  <c r="A55" i="25" s="1"/>
  <c r="K55" i="25"/>
  <c r="J55" i="25"/>
  <c r="I55" i="25"/>
  <c r="B55" i="25"/>
  <c r="J54" i="25"/>
  <c r="K54" i="25" s="1"/>
  <c r="I54" i="25"/>
  <c r="M54" i="25" s="1"/>
  <c r="A54" i="25" s="1"/>
  <c r="B54" i="25"/>
  <c r="M53" i="25"/>
  <c r="K53" i="25"/>
  <c r="J53" i="25"/>
  <c r="I53" i="25"/>
  <c r="B53" i="25"/>
  <c r="A53" i="25"/>
  <c r="K52" i="25"/>
  <c r="J52" i="25"/>
  <c r="I52" i="25"/>
  <c r="M52" i="25" s="1"/>
  <c r="B52" i="25"/>
  <c r="A52" i="25"/>
  <c r="K51" i="25"/>
  <c r="J51" i="25"/>
  <c r="I51" i="25"/>
  <c r="M51" i="25" s="1"/>
  <c r="A51" i="25" s="1"/>
  <c r="B51" i="25"/>
  <c r="K50" i="25"/>
  <c r="J50" i="25"/>
  <c r="I50" i="25"/>
  <c r="M50" i="25" s="1"/>
  <c r="B50" i="25"/>
  <c r="A50" i="25"/>
  <c r="M49" i="25"/>
  <c r="A49" i="25" s="1"/>
  <c r="K49" i="25"/>
  <c r="J49" i="25"/>
  <c r="I49" i="25"/>
  <c r="B49" i="25"/>
  <c r="J48" i="25"/>
  <c r="K48" i="25" s="1"/>
  <c r="I48" i="25"/>
  <c r="M48" i="25" s="1"/>
  <c r="A48" i="25" s="1"/>
  <c r="B48" i="25"/>
  <c r="M47" i="25"/>
  <c r="K47" i="25"/>
  <c r="J47" i="25"/>
  <c r="I47" i="25"/>
  <c r="B47" i="25"/>
  <c r="A47" i="25"/>
  <c r="T46" i="25"/>
  <c r="R46" i="25"/>
  <c r="U46" i="25" s="1"/>
  <c r="M46" i="25"/>
  <c r="A46" i="25" s="1"/>
  <c r="J46" i="25"/>
  <c r="K46" i="25" s="1"/>
  <c r="I46" i="25"/>
  <c r="B46" i="25"/>
  <c r="M45" i="25"/>
  <c r="A45" i="25" s="1"/>
  <c r="K45" i="25"/>
  <c r="J45" i="25"/>
  <c r="I45" i="25"/>
  <c r="B45" i="25"/>
  <c r="J44" i="25"/>
  <c r="K44" i="25" s="1"/>
  <c r="I44" i="25"/>
  <c r="M44" i="25" s="1"/>
  <c r="A44" i="25" s="1"/>
  <c r="B44" i="25"/>
  <c r="M43" i="25"/>
  <c r="J43" i="25"/>
  <c r="K43" i="25" s="1"/>
  <c r="I43" i="25"/>
  <c r="B43" i="25"/>
  <c r="A43" i="25"/>
  <c r="M42" i="25"/>
  <c r="A42" i="25" s="1"/>
  <c r="J42" i="25"/>
  <c r="K42" i="25" s="1"/>
  <c r="I42" i="25"/>
  <c r="B42" i="25"/>
  <c r="M41" i="25"/>
  <c r="K41" i="25"/>
  <c r="J41" i="25"/>
  <c r="I41" i="25"/>
  <c r="B41" i="25"/>
  <c r="A41" i="25"/>
  <c r="J40" i="25"/>
  <c r="K40" i="25" s="1"/>
  <c r="I40" i="25"/>
  <c r="M40" i="25" s="1"/>
  <c r="A40" i="25" s="1"/>
  <c r="B40" i="25"/>
  <c r="M39" i="25"/>
  <c r="J39" i="25"/>
  <c r="K39" i="25" s="1"/>
  <c r="I39" i="25"/>
  <c r="B39" i="25"/>
  <c r="A39" i="25"/>
  <c r="M38" i="25"/>
  <c r="A38" i="25" s="1"/>
  <c r="J38" i="25"/>
  <c r="K38" i="25" s="1"/>
  <c r="I38" i="25"/>
  <c r="B38" i="25"/>
  <c r="M37" i="25"/>
  <c r="A37" i="25" s="1"/>
  <c r="K37" i="25"/>
  <c r="J37" i="25"/>
  <c r="I37" i="25"/>
  <c r="B37" i="25"/>
  <c r="J36" i="25"/>
  <c r="K36" i="25" s="1"/>
  <c r="I36" i="25"/>
  <c r="M36" i="25" s="1"/>
  <c r="A36" i="25" s="1"/>
  <c r="B36" i="25"/>
  <c r="M35" i="25"/>
  <c r="J35" i="25"/>
  <c r="K35" i="25" s="1"/>
  <c r="I35" i="25"/>
  <c r="B35" i="25"/>
  <c r="A35" i="25"/>
  <c r="M34" i="25"/>
  <c r="A34" i="25" s="1"/>
  <c r="J34" i="25"/>
  <c r="K34" i="25" s="1"/>
  <c r="I34" i="25"/>
  <c r="B34" i="25"/>
  <c r="M33" i="25"/>
  <c r="K33" i="25"/>
  <c r="J33" i="25"/>
  <c r="I33" i="25"/>
  <c r="B33" i="25"/>
  <c r="A33" i="25"/>
  <c r="J32" i="25"/>
  <c r="K32" i="25" s="1"/>
  <c r="I32" i="25"/>
  <c r="M32" i="25" s="1"/>
  <c r="A32" i="25" s="1"/>
  <c r="B32" i="25"/>
  <c r="M31" i="25"/>
  <c r="J31" i="25"/>
  <c r="K31" i="25" s="1"/>
  <c r="I31" i="25"/>
  <c r="B31" i="25"/>
  <c r="A31" i="25"/>
  <c r="M30" i="25"/>
  <c r="A30" i="25" s="1"/>
  <c r="J30" i="25"/>
  <c r="K30" i="25" s="1"/>
  <c r="I30" i="25"/>
  <c r="B30" i="25"/>
  <c r="M29" i="25"/>
  <c r="A29" i="25" s="1"/>
  <c r="K29" i="25"/>
  <c r="J29" i="25"/>
  <c r="I29" i="25"/>
  <c r="B29" i="25"/>
  <c r="J28" i="25"/>
  <c r="K28" i="25" s="1"/>
  <c r="I28" i="25"/>
  <c r="M28" i="25" s="1"/>
  <c r="A28" i="25" s="1"/>
  <c r="B28" i="25"/>
  <c r="M27" i="25"/>
  <c r="J27" i="25"/>
  <c r="K27" i="25" s="1"/>
  <c r="I27" i="25"/>
  <c r="B27" i="25"/>
  <c r="A27" i="25"/>
  <c r="M26" i="25"/>
  <c r="A26" i="25" s="1"/>
  <c r="J26" i="25"/>
  <c r="K26" i="25" s="1"/>
  <c r="I26" i="25"/>
  <c r="B26" i="25"/>
  <c r="M25" i="25"/>
  <c r="K25" i="25"/>
  <c r="J25" i="25"/>
  <c r="I25" i="25"/>
  <c r="B25" i="25"/>
  <c r="A25" i="25"/>
  <c r="J24" i="25"/>
  <c r="K24" i="25" s="1"/>
  <c r="I24" i="25"/>
  <c r="M24" i="25" s="1"/>
  <c r="A24" i="25" s="1"/>
  <c r="B24" i="25"/>
  <c r="M23" i="25"/>
  <c r="J23" i="25"/>
  <c r="K23" i="25" s="1"/>
  <c r="I23" i="25"/>
  <c r="B23" i="25"/>
  <c r="A23" i="25"/>
  <c r="M22" i="25"/>
  <c r="A22" i="25" s="1"/>
  <c r="J22" i="25"/>
  <c r="K22" i="25" s="1"/>
  <c r="I22" i="25"/>
  <c r="B22" i="25"/>
  <c r="M21" i="25"/>
  <c r="A21" i="25" s="1"/>
  <c r="K21" i="25"/>
  <c r="J21" i="25"/>
  <c r="I21" i="25"/>
  <c r="B21" i="25"/>
  <c r="J20" i="25"/>
  <c r="K20" i="25" s="1"/>
  <c r="I20" i="25"/>
  <c r="M20" i="25" s="1"/>
  <c r="A20" i="25" s="1"/>
  <c r="B20" i="25"/>
  <c r="M19" i="25"/>
  <c r="K19" i="25"/>
  <c r="J19" i="25"/>
  <c r="I19" i="25"/>
  <c r="B19" i="25"/>
  <c r="A19" i="25"/>
  <c r="M18" i="25"/>
  <c r="A18" i="25" s="1"/>
  <c r="J18" i="25"/>
  <c r="K18" i="25" s="1"/>
  <c r="I18" i="25"/>
  <c r="B18" i="25"/>
  <c r="M17" i="25"/>
  <c r="J17" i="25"/>
  <c r="K17" i="25" s="1"/>
  <c r="I17" i="25"/>
  <c r="B17" i="25"/>
  <c r="A17" i="25"/>
  <c r="J16" i="25"/>
  <c r="K16" i="25" s="1"/>
  <c r="I16" i="25"/>
  <c r="M16" i="25" s="1"/>
  <c r="A16" i="25" s="1"/>
  <c r="B16" i="25"/>
  <c r="M15" i="25"/>
  <c r="K15" i="25"/>
  <c r="J15" i="25"/>
  <c r="I15" i="25"/>
  <c r="B15" i="25"/>
  <c r="A15" i="25"/>
  <c r="AI14" i="25"/>
  <c r="M14" i="25"/>
  <c r="K14" i="25"/>
  <c r="J14" i="25"/>
  <c r="I14" i="25"/>
  <c r="B14" i="25"/>
  <c r="A14" i="25"/>
  <c r="AI13" i="25"/>
  <c r="J13" i="25"/>
  <c r="K13" i="25" s="1"/>
  <c r="I13" i="25"/>
  <c r="M13" i="25" s="1"/>
  <c r="A13" i="25" s="1"/>
  <c r="B13" i="25"/>
  <c r="AI12" i="25"/>
  <c r="M12" i="25"/>
  <c r="A12" i="25" s="1"/>
  <c r="J12" i="25"/>
  <c r="K12" i="25" s="1"/>
  <c r="I12" i="25"/>
  <c r="B12" i="25"/>
  <c r="M11" i="25"/>
  <c r="K11" i="25"/>
  <c r="J11" i="25"/>
  <c r="I11" i="25"/>
  <c r="B11" i="25"/>
  <c r="A11" i="25"/>
  <c r="J10" i="25"/>
  <c r="K10" i="25" s="1"/>
  <c r="I10" i="25"/>
  <c r="M10" i="25" s="1"/>
  <c r="A10" i="25" s="1"/>
  <c r="B10" i="25"/>
  <c r="L9" i="25"/>
  <c r="K9" i="25"/>
  <c r="J9" i="25"/>
  <c r="I9" i="25"/>
  <c r="M9" i="25" s="1"/>
  <c r="A9" i="25" s="1"/>
  <c r="B9" i="25"/>
  <c r="K8" i="25"/>
  <c r="J8" i="25"/>
  <c r="I8" i="25"/>
  <c r="M8" i="25" s="1"/>
  <c r="B8" i="25"/>
  <c r="A8" i="25"/>
  <c r="M7" i="25"/>
  <c r="A7" i="25" s="1"/>
  <c r="J7" i="25"/>
  <c r="K7" i="25" s="1"/>
  <c r="I7" i="25"/>
  <c r="B7" i="25"/>
  <c r="M6" i="25"/>
  <c r="A6" i="25" s="1"/>
  <c r="L6" i="25"/>
  <c r="J6" i="25"/>
  <c r="K6" i="25" s="1"/>
  <c r="I6" i="25"/>
  <c r="B6" i="25"/>
  <c r="K2" i="25"/>
  <c r="L7" i="25" s="1"/>
  <c r="M305" i="24"/>
  <c r="K305" i="24"/>
  <c r="J305" i="24"/>
  <c r="I305" i="24"/>
  <c r="M304" i="24"/>
  <c r="K304" i="24"/>
  <c r="J304" i="24"/>
  <c r="I304" i="24"/>
  <c r="M303" i="24"/>
  <c r="K303" i="24"/>
  <c r="J303" i="24"/>
  <c r="I303" i="24"/>
  <c r="M302" i="24"/>
  <c r="K302" i="24"/>
  <c r="J302" i="24"/>
  <c r="I302" i="24"/>
  <c r="M301" i="24"/>
  <c r="K301" i="24"/>
  <c r="J301" i="24"/>
  <c r="I301" i="24"/>
  <c r="M300" i="24"/>
  <c r="K300" i="24"/>
  <c r="J300" i="24"/>
  <c r="I300" i="24"/>
  <c r="M299" i="24"/>
  <c r="K299" i="24"/>
  <c r="J299" i="24"/>
  <c r="I299" i="24"/>
  <c r="M298" i="24"/>
  <c r="K298" i="24"/>
  <c r="J298" i="24"/>
  <c r="I298" i="24"/>
  <c r="M297" i="24"/>
  <c r="K297" i="24"/>
  <c r="J297" i="24"/>
  <c r="I297" i="24"/>
  <c r="M296" i="24"/>
  <c r="K296" i="24"/>
  <c r="J296" i="24"/>
  <c r="I296" i="24"/>
  <c r="M295" i="24"/>
  <c r="K295" i="24"/>
  <c r="J295" i="24"/>
  <c r="I295" i="24"/>
  <c r="M294" i="24"/>
  <c r="K294" i="24"/>
  <c r="J294" i="24"/>
  <c r="I294" i="24"/>
  <c r="M293" i="24"/>
  <c r="K293" i="24"/>
  <c r="J293" i="24"/>
  <c r="I293" i="24"/>
  <c r="M292" i="24"/>
  <c r="K292" i="24"/>
  <c r="J292" i="24"/>
  <c r="I292" i="24"/>
  <c r="M291" i="24"/>
  <c r="K291" i="24"/>
  <c r="J291" i="24"/>
  <c r="I291" i="24"/>
  <c r="M290" i="24"/>
  <c r="K290" i="24"/>
  <c r="J290" i="24"/>
  <c r="I290" i="24"/>
  <c r="M289" i="24"/>
  <c r="K289" i="24"/>
  <c r="J289" i="24"/>
  <c r="I289" i="24"/>
  <c r="M288" i="24"/>
  <c r="K288" i="24"/>
  <c r="J288" i="24"/>
  <c r="I288" i="24"/>
  <c r="M287" i="24"/>
  <c r="K287" i="24"/>
  <c r="J287" i="24"/>
  <c r="I287" i="24"/>
  <c r="M286" i="24"/>
  <c r="K286" i="24"/>
  <c r="J286" i="24"/>
  <c r="I286" i="24"/>
  <c r="M285" i="24"/>
  <c r="K285" i="24"/>
  <c r="J285" i="24"/>
  <c r="I285" i="24"/>
  <c r="M284" i="24"/>
  <c r="K284" i="24"/>
  <c r="J284" i="24"/>
  <c r="I284" i="24"/>
  <c r="M283" i="24"/>
  <c r="K283" i="24"/>
  <c r="J283" i="24"/>
  <c r="I283" i="24"/>
  <c r="M282" i="24"/>
  <c r="K282" i="24"/>
  <c r="J282" i="24"/>
  <c r="I282" i="24"/>
  <c r="M281" i="24"/>
  <c r="K281" i="24"/>
  <c r="J281" i="24"/>
  <c r="I281" i="24"/>
  <c r="M280" i="24"/>
  <c r="K280" i="24"/>
  <c r="J280" i="24"/>
  <c r="I280" i="24"/>
  <c r="M279" i="24"/>
  <c r="K279" i="24"/>
  <c r="J279" i="24"/>
  <c r="I279" i="24"/>
  <c r="M278" i="24"/>
  <c r="K278" i="24"/>
  <c r="J278" i="24"/>
  <c r="I278" i="24"/>
  <c r="M277" i="24"/>
  <c r="K277" i="24"/>
  <c r="J277" i="24"/>
  <c r="I277" i="24"/>
  <c r="M276" i="24"/>
  <c r="K276" i="24"/>
  <c r="J276" i="24"/>
  <c r="I276" i="24"/>
  <c r="M275" i="24"/>
  <c r="K275" i="24"/>
  <c r="J275" i="24"/>
  <c r="I275" i="24"/>
  <c r="M274" i="24"/>
  <c r="K274" i="24"/>
  <c r="J274" i="24"/>
  <c r="I274" i="24"/>
  <c r="M273" i="24"/>
  <c r="K273" i="24"/>
  <c r="J273" i="24"/>
  <c r="I273" i="24"/>
  <c r="M272" i="24"/>
  <c r="K272" i="24"/>
  <c r="J272" i="24"/>
  <c r="I272" i="24"/>
  <c r="M271" i="24"/>
  <c r="K271" i="24"/>
  <c r="J271" i="24"/>
  <c r="I271" i="24"/>
  <c r="M270" i="24"/>
  <c r="K270" i="24"/>
  <c r="J270" i="24"/>
  <c r="I270" i="24"/>
  <c r="M269" i="24"/>
  <c r="K269" i="24"/>
  <c r="J269" i="24"/>
  <c r="I269" i="24"/>
  <c r="M268" i="24"/>
  <c r="K268" i="24"/>
  <c r="J268" i="24"/>
  <c r="I268" i="24"/>
  <c r="M267" i="24"/>
  <c r="K267" i="24"/>
  <c r="J267" i="24"/>
  <c r="I267" i="24"/>
  <c r="M266" i="24"/>
  <c r="K266" i="24"/>
  <c r="J266" i="24"/>
  <c r="I266" i="24"/>
  <c r="M265" i="24"/>
  <c r="K265" i="24"/>
  <c r="J265" i="24"/>
  <c r="I265" i="24"/>
  <c r="M264" i="24"/>
  <c r="K264" i="24"/>
  <c r="J264" i="24"/>
  <c r="I264" i="24"/>
  <c r="M263" i="24"/>
  <c r="K263" i="24"/>
  <c r="J263" i="24"/>
  <c r="I263" i="24"/>
  <c r="M262" i="24"/>
  <c r="K262" i="24"/>
  <c r="J262" i="24"/>
  <c r="I262" i="24"/>
  <c r="M261" i="24"/>
  <c r="K261" i="24"/>
  <c r="J261" i="24"/>
  <c r="I261" i="24"/>
  <c r="M260" i="24"/>
  <c r="K260" i="24"/>
  <c r="J260" i="24"/>
  <c r="I260" i="24"/>
  <c r="M259" i="24"/>
  <c r="K259" i="24"/>
  <c r="J259" i="24"/>
  <c r="I259" i="24"/>
  <c r="M258" i="24"/>
  <c r="K258" i="24"/>
  <c r="J258" i="24"/>
  <c r="I258" i="24"/>
  <c r="M257" i="24"/>
  <c r="K257" i="24"/>
  <c r="J257" i="24"/>
  <c r="I257" i="24"/>
  <c r="M256" i="24"/>
  <c r="K256" i="24"/>
  <c r="J256" i="24"/>
  <c r="I256" i="24"/>
  <c r="M255" i="24"/>
  <c r="K255" i="24"/>
  <c r="J255" i="24"/>
  <c r="I255" i="24"/>
  <c r="M254" i="24"/>
  <c r="K254" i="24"/>
  <c r="J254" i="24"/>
  <c r="I254" i="24"/>
  <c r="M253" i="24"/>
  <c r="K253" i="24"/>
  <c r="J253" i="24"/>
  <c r="I253" i="24"/>
  <c r="M252" i="24"/>
  <c r="K252" i="24"/>
  <c r="J252" i="24"/>
  <c r="I252" i="24"/>
  <c r="M251" i="24"/>
  <c r="K251" i="24"/>
  <c r="J251" i="24"/>
  <c r="I251" i="24"/>
  <c r="M250" i="24"/>
  <c r="K250" i="24"/>
  <c r="J250" i="24"/>
  <c r="I250" i="24"/>
  <c r="M249" i="24"/>
  <c r="K249" i="24"/>
  <c r="J249" i="24"/>
  <c r="I249" i="24"/>
  <c r="M248" i="24"/>
  <c r="K248" i="24"/>
  <c r="J248" i="24"/>
  <c r="I248" i="24"/>
  <c r="M247" i="24"/>
  <c r="K247" i="24"/>
  <c r="J247" i="24"/>
  <c r="I247" i="24"/>
  <c r="M246" i="24"/>
  <c r="J246" i="24"/>
  <c r="K246" i="24" s="1"/>
  <c r="I246" i="24"/>
  <c r="M245" i="24"/>
  <c r="K245" i="24"/>
  <c r="J245" i="24"/>
  <c r="I245" i="24"/>
  <c r="M244" i="24"/>
  <c r="J244" i="24"/>
  <c r="K244" i="24" s="1"/>
  <c r="I244" i="24"/>
  <c r="M243" i="24"/>
  <c r="K243" i="24"/>
  <c r="J243" i="24"/>
  <c r="I243" i="24"/>
  <c r="M242" i="24"/>
  <c r="J242" i="24"/>
  <c r="K242" i="24" s="1"/>
  <c r="I242" i="24"/>
  <c r="M241" i="24"/>
  <c r="K241" i="24"/>
  <c r="J241" i="24"/>
  <c r="I241" i="24"/>
  <c r="M240" i="24"/>
  <c r="J240" i="24"/>
  <c r="K240" i="24" s="1"/>
  <c r="I240" i="24"/>
  <c r="M239" i="24"/>
  <c r="K239" i="24"/>
  <c r="J239" i="24"/>
  <c r="I239" i="24"/>
  <c r="M238" i="24"/>
  <c r="J238" i="24"/>
  <c r="K238" i="24" s="1"/>
  <c r="I238" i="24"/>
  <c r="M237" i="24"/>
  <c r="K237" i="24"/>
  <c r="J237" i="24"/>
  <c r="I237" i="24"/>
  <c r="M236" i="24"/>
  <c r="J236" i="24"/>
  <c r="K236" i="24" s="1"/>
  <c r="I236" i="24"/>
  <c r="M235" i="24"/>
  <c r="K235" i="24"/>
  <c r="J235" i="24"/>
  <c r="I235" i="24"/>
  <c r="M234" i="24"/>
  <c r="J234" i="24"/>
  <c r="K234" i="24" s="1"/>
  <c r="I234" i="24"/>
  <c r="M233" i="24"/>
  <c r="K233" i="24"/>
  <c r="J233" i="24"/>
  <c r="I233" i="24"/>
  <c r="M232" i="24"/>
  <c r="J232" i="24"/>
  <c r="K232" i="24" s="1"/>
  <c r="I232" i="24"/>
  <c r="M231" i="24"/>
  <c r="K231" i="24"/>
  <c r="J231" i="24"/>
  <c r="I231" i="24"/>
  <c r="M230" i="24"/>
  <c r="J230" i="24"/>
  <c r="K230" i="24" s="1"/>
  <c r="I230" i="24"/>
  <c r="M229" i="24"/>
  <c r="K229" i="24"/>
  <c r="J229" i="24"/>
  <c r="I229" i="24"/>
  <c r="M228" i="24"/>
  <c r="J228" i="24"/>
  <c r="K228" i="24" s="1"/>
  <c r="I228" i="24"/>
  <c r="M227" i="24"/>
  <c r="K227" i="24"/>
  <c r="J227" i="24"/>
  <c r="I227" i="24"/>
  <c r="M226" i="24"/>
  <c r="J226" i="24"/>
  <c r="K226" i="24" s="1"/>
  <c r="I226" i="24"/>
  <c r="M225" i="24"/>
  <c r="K225" i="24"/>
  <c r="J225" i="24"/>
  <c r="I225" i="24"/>
  <c r="M224" i="24"/>
  <c r="J224" i="24"/>
  <c r="K224" i="24" s="1"/>
  <c r="I224" i="24"/>
  <c r="M223" i="24"/>
  <c r="K223" i="24"/>
  <c r="J223" i="24"/>
  <c r="I223" i="24"/>
  <c r="M222" i="24"/>
  <c r="J222" i="24"/>
  <c r="K222" i="24" s="1"/>
  <c r="I222" i="24"/>
  <c r="M221" i="24"/>
  <c r="K221" i="24"/>
  <c r="J221" i="24"/>
  <c r="I221" i="24"/>
  <c r="M220" i="24"/>
  <c r="J220" i="24"/>
  <c r="K220" i="24" s="1"/>
  <c r="I220" i="24"/>
  <c r="M219" i="24"/>
  <c r="K219" i="24"/>
  <c r="J219" i="24"/>
  <c r="I219" i="24"/>
  <c r="M218" i="24"/>
  <c r="J218" i="24"/>
  <c r="K218" i="24" s="1"/>
  <c r="I218" i="24"/>
  <c r="M217" i="24"/>
  <c r="K217" i="24"/>
  <c r="J217" i="24"/>
  <c r="I217" i="24"/>
  <c r="M216" i="24"/>
  <c r="J216" i="24"/>
  <c r="K216" i="24" s="1"/>
  <c r="I216" i="24"/>
  <c r="M215" i="24"/>
  <c r="K215" i="24"/>
  <c r="J215" i="24"/>
  <c r="I215" i="24"/>
  <c r="M214" i="24"/>
  <c r="J214" i="24"/>
  <c r="K214" i="24" s="1"/>
  <c r="I214" i="24"/>
  <c r="M213" i="24"/>
  <c r="K213" i="24"/>
  <c r="J213" i="24"/>
  <c r="I213" i="24"/>
  <c r="M212" i="24"/>
  <c r="J212" i="24"/>
  <c r="K212" i="24" s="1"/>
  <c r="I212" i="24"/>
  <c r="M211" i="24"/>
  <c r="J211" i="24"/>
  <c r="K211" i="24" s="1"/>
  <c r="I211" i="24"/>
  <c r="M210" i="24"/>
  <c r="J210" i="24"/>
  <c r="K210" i="24" s="1"/>
  <c r="I210" i="24"/>
  <c r="M209" i="24"/>
  <c r="K209" i="24"/>
  <c r="J209" i="24"/>
  <c r="I209" i="24"/>
  <c r="M208" i="24"/>
  <c r="J208" i="24"/>
  <c r="K208" i="24" s="1"/>
  <c r="I208" i="24"/>
  <c r="M207" i="24"/>
  <c r="J207" i="24"/>
  <c r="K207" i="24" s="1"/>
  <c r="I207" i="24"/>
  <c r="M206" i="24"/>
  <c r="J206" i="24"/>
  <c r="K206" i="24" s="1"/>
  <c r="I206" i="24"/>
  <c r="M205" i="24"/>
  <c r="J205" i="24"/>
  <c r="K205" i="24" s="1"/>
  <c r="I205" i="24"/>
  <c r="M204" i="24"/>
  <c r="J204" i="24"/>
  <c r="K204" i="24" s="1"/>
  <c r="I204" i="24"/>
  <c r="M203" i="24"/>
  <c r="K203" i="24"/>
  <c r="J203" i="24"/>
  <c r="I203" i="24"/>
  <c r="M202" i="24"/>
  <c r="J202" i="24"/>
  <c r="K202" i="24" s="1"/>
  <c r="I202" i="24"/>
  <c r="M201" i="24"/>
  <c r="K201" i="24"/>
  <c r="J201" i="24"/>
  <c r="I201" i="24"/>
  <c r="M200" i="24"/>
  <c r="J200" i="24"/>
  <c r="K200" i="24" s="1"/>
  <c r="I200" i="24"/>
  <c r="M199" i="24"/>
  <c r="K199" i="24"/>
  <c r="J199" i="24"/>
  <c r="I199" i="24"/>
  <c r="M198" i="24"/>
  <c r="J198" i="24"/>
  <c r="K198" i="24" s="1"/>
  <c r="I198" i="24"/>
  <c r="M197" i="24"/>
  <c r="J197" i="24"/>
  <c r="K197" i="24" s="1"/>
  <c r="I197" i="24"/>
  <c r="M196" i="24"/>
  <c r="J196" i="24"/>
  <c r="K196" i="24" s="1"/>
  <c r="I196" i="24"/>
  <c r="M195" i="24"/>
  <c r="J195" i="24"/>
  <c r="K195" i="24" s="1"/>
  <c r="I195" i="24"/>
  <c r="M194" i="24"/>
  <c r="J194" i="24"/>
  <c r="K194" i="24" s="1"/>
  <c r="I194" i="24"/>
  <c r="M193" i="24"/>
  <c r="K193" i="24"/>
  <c r="J193" i="24"/>
  <c r="I193" i="24"/>
  <c r="M192" i="24"/>
  <c r="J192" i="24"/>
  <c r="K192" i="24" s="1"/>
  <c r="I192" i="24"/>
  <c r="M191" i="24"/>
  <c r="J191" i="24"/>
  <c r="K191" i="24" s="1"/>
  <c r="I191" i="24"/>
  <c r="M190" i="24"/>
  <c r="J190" i="24"/>
  <c r="K190" i="24" s="1"/>
  <c r="I190" i="24"/>
  <c r="M189" i="24"/>
  <c r="J189" i="24"/>
  <c r="K189" i="24" s="1"/>
  <c r="I189" i="24"/>
  <c r="M188" i="24"/>
  <c r="J188" i="24"/>
  <c r="K188" i="24" s="1"/>
  <c r="I188" i="24"/>
  <c r="M187" i="24"/>
  <c r="K187" i="24"/>
  <c r="J187" i="24"/>
  <c r="I187" i="24"/>
  <c r="M186" i="24"/>
  <c r="J186" i="24"/>
  <c r="K186" i="24" s="1"/>
  <c r="I186" i="24"/>
  <c r="M185" i="24"/>
  <c r="K185" i="24"/>
  <c r="J185" i="24"/>
  <c r="I185" i="24"/>
  <c r="M184" i="24"/>
  <c r="J184" i="24"/>
  <c r="K184" i="24" s="1"/>
  <c r="I184" i="24"/>
  <c r="M183" i="24"/>
  <c r="J183" i="24"/>
  <c r="K183" i="24" s="1"/>
  <c r="I183" i="24"/>
  <c r="M182" i="24"/>
  <c r="J182" i="24"/>
  <c r="K182" i="24" s="1"/>
  <c r="I182" i="24"/>
  <c r="M181" i="24"/>
  <c r="K181" i="24"/>
  <c r="J181" i="24"/>
  <c r="I181" i="24"/>
  <c r="M180" i="24"/>
  <c r="J180" i="24"/>
  <c r="K180" i="24" s="1"/>
  <c r="I180" i="24"/>
  <c r="M179" i="24"/>
  <c r="J179" i="24"/>
  <c r="K179" i="24" s="1"/>
  <c r="I179" i="24"/>
  <c r="M178" i="24"/>
  <c r="J178" i="24"/>
  <c r="K178" i="24" s="1"/>
  <c r="I178" i="24"/>
  <c r="M177" i="24"/>
  <c r="K177" i="24"/>
  <c r="J177" i="24"/>
  <c r="I177" i="24"/>
  <c r="M176" i="24"/>
  <c r="J176" i="24"/>
  <c r="K176" i="24" s="1"/>
  <c r="I176" i="24"/>
  <c r="M175" i="24"/>
  <c r="J175" i="24"/>
  <c r="K175" i="24" s="1"/>
  <c r="I175" i="24"/>
  <c r="M174" i="24"/>
  <c r="J174" i="24"/>
  <c r="K174" i="24" s="1"/>
  <c r="I174" i="24"/>
  <c r="M173" i="24"/>
  <c r="J173" i="24"/>
  <c r="K173" i="24" s="1"/>
  <c r="I173" i="24"/>
  <c r="M172" i="24"/>
  <c r="J172" i="24"/>
  <c r="K172" i="24" s="1"/>
  <c r="I172" i="24"/>
  <c r="M171" i="24"/>
  <c r="K171" i="24"/>
  <c r="J171" i="24"/>
  <c r="I171" i="24"/>
  <c r="M170" i="24"/>
  <c r="J170" i="24"/>
  <c r="K170" i="24" s="1"/>
  <c r="I170" i="24"/>
  <c r="M169" i="24"/>
  <c r="K169" i="24"/>
  <c r="J169" i="24"/>
  <c r="I169" i="24"/>
  <c r="M168" i="24"/>
  <c r="J168" i="24"/>
  <c r="K168" i="24" s="1"/>
  <c r="I168" i="24"/>
  <c r="M167" i="24"/>
  <c r="J167" i="24"/>
  <c r="K167" i="24" s="1"/>
  <c r="I167" i="24"/>
  <c r="M166" i="24"/>
  <c r="J166" i="24"/>
  <c r="K166" i="24" s="1"/>
  <c r="I166" i="24"/>
  <c r="M165" i="24"/>
  <c r="J165" i="24"/>
  <c r="K165" i="24" s="1"/>
  <c r="I165" i="24"/>
  <c r="M164" i="24"/>
  <c r="J164" i="24"/>
  <c r="K164" i="24" s="1"/>
  <c r="I164" i="24"/>
  <c r="M163" i="24"/>
  <c r="J163" i="24"/>
  <c r="K163" i="24" s="1"/>
  <c r="I163" i="24"/>
  <c r="M162" i="24"/>
  <c r="J162" i="24"/>
  <c r="K162" i="24" s="1"/>
  <c r="I162" i="24"/>
  <c r="M161" i="24"/>
  <c r="K161" i="24"/>
  <c r="J161" i="24"/>
  <c r="I161" i="24"/>
  <c r="M160" i="24"/>
  <c r="J160" i="24"/>
  <c r="K160" i="24" s="1"/>
  <c r="I160" i="24"/>
  <c r="M159" i="24"/>
  <c r="J159" i="24"/>
  <c r="K159" i="24" s="1"/>
  <c r="I159" i="24"/>
  <c r="M158" i="24"/>
  <c r="J158" i="24"/>
  <c r="K158" i="24" s="1"/>
  <c r="I158" i="24"/>
  <c r="M157" i="24"/>
  <c r="J157" i="24"/>
  <c r="K157" i="24" s="1"/>
  <c r="I157" i="24"/>
  <c r="M156" i="24"/>
  <c r="J156" i="24"/>
  <c r="K156" i="24" s="1"/>
  <c r="I156" i="24"/>
  <c r="M155" i="24"/>
  <c r="K155" i="24"/>
  <c r="J155" i="24"/>
  <c r="I155" i="24"/>
  <c r="M154" i="24"/>
  <c r="J154" i="24"/>
  <c r="K154" i="24" s="1"/>
  <c r="I154" i="24"/>
  <c r="M153" i="24"/>
  <c r="K153" i="24"/>
  <c r="J153" i="24"/>
  <c r="I153" i="24"/>
  <c r="M152" i="24"/>
  <c r="J152" i="24"/>
  <c r="K152" i="24" s="1"/>
  <c r="I152" i="24"/>
  <c r="M151" i="24"/>
  <c r="J151" i="24"/>
  <c r="K151" i="24" s="1"/>
  <c r="I151" i="24"/>
  <c r="M150" i="24"/>
  <c r="J150" i="24"/>
  <c r="K150" i="24" s="1"/>
  <c r="I150" i="24"/>
  <c r="M149" i="24"/>
  <c r="K149" i="24"/>
  <c r="J149" i="24"/>
  <c r="I149" i="24"/>
  <c r="M148" i="24"/>
  <c r="J148" i="24"/>
  <c r="K148" i="24" s="1"/>
  <c r="I148" i="24"/>
  <c r="M147" i="24"/>
  <c r="J147" i="24"/>
  <c r="K147" i="24" s="1"/>
  <c r="I147" i="24"/>
  <c r="M146" i="24"/>
  <c r="J146" i="24"/>
  <c r="K146" i="24" s="1"/>
  <c r="I146" i="24"/>
  <c r="M145" i="24"/>
  <c r="K145" i="24"/>
  <c r="J145" i="24"/>
  <c r="I145" i="24"/>
  <c r="M144" i="24"/>
  <c r="J144" i="24"/>
  <c r="K144" i="24" s="1"/>
  <c r="I144" i="24"/>
  <c r="M143" i="24"/>
  <c r="J143" i="24"/>
  <c r="K143" i="24" s="1"/>
  <c r="I143" i="24"/>
  <c r="M142" i="24"/>
  <c r="J142" i="24"/>
  <c r="K142" i="24" s="1"/>
  <c r="I142" i="24"/>
  <c r="M141" i="24"/>
  <c r="J141" i="24"/>
  <c r="K141" i="24" s="1"/>
  <c r="I141" i="24"/>
  <c r="M140" i="24"/>
  <c r="A140" i="24" s="1"/>
  <c r="J140" i="24"/>
  <c r="K140" i="24" s="1"/>
  <c r="I140" i="24"/>
  <c r="B140" i="24"/>
  <c r="M139" i="24"/>
  <c r="A139" i="24" s="1"/>
  <c r="J139" i="24"/>
  <c r="K139" i="24" s="1"/>
  <c r="I139" i="24"/>
  <c r="B139" i="24"/>
  <c r="M138" i="24"/>
  <c r="A138" i="24" s="1"/>
  <c r="J138" i="24"/>
  <c r="K138" i="24" s="1"/>
  <c r="I138" i="24"/>
  <c r="B138" i="24"/>
  <c r="M137" i="24"/>
  <c r="A137" i="24" s="1"/>
  <c r="J137" i="24"/>
  <c r="K137" i="24" s="1"/>
  <c r="I137" i="24"/>
  <c r="B137" i="24"/>
  <c r="M136" i="24"/>
  <c r="A136" i="24" s="1"/>
  <c r="J136" i="24"/>
  <c r="K136" i="24" s="1"/>
  <c r="I136" i="24"/>
  <c r="B136" i="24"/>
  <c r="M135" i="24"/>
  <c r="A135" i="24" s="1"/>
  <c r="J135" i="24"/>
  <c r="K135" i="24" s="1"/>
  <c r="I135" i="24"/>
  <c r="B135" i="24"/>
  <c r="M134" i="24"/>
  <c r="A134" i="24" s="1"/>
  <c r="K134" i="24"/>
  <c r="J134" i="24"/>
  <c r="I134" i="24"/>
  <c r="B134" i="24"/>
  <c r="J133" i="24"/>
  <c r="K133" i="24" s="1"/>
  <c r="I133" i="24"/>
  <c r="M133" i="24" s="1"/>
  <c r="A133" i="24" s="1"/>
  <c r="B133" i="24"/>
  <c r="M132" i="24"/>
  <c r="J132" i="24"/>
  <c r="K132" i="24" s="1"/>
  <c r="I132" i="24"/>
  <c r="B132" i="24"/>
  <c r="A132" i="24"/>
  <c r="M131" i="24"/>
  <c r="A131" i="24" s="1"/>
  <c r="J131" i="24"/>
  <c r="K131" i="24" s="1"/>
  <c r="I131" i="24"/>
  <c r="B131" i="24"/>
  <c r="M130" i="24"/>
  <c r="A130" i="24" s="1"/>
  <c r="J130" i="24"/>
  <c r="K130" i="24" s="1"/>
  <c r="I130" i="24"/>
  <c r="B130" i="24"/>
  <c r="M129" i="24"/>
  <c r="A129" i="24" s="1"/>
  <c r="J129" i="24"/>
  <c r="K129" i="24" s="1"/>
  <c r="I129" i="24"/>
  <c r="B129" i="24"/>
  <c r="M128" i="24"/>
  <c r="J128" i="24"/>
  <c r="K128" i="24" s="1"/>
  <c r="I128" i="24"/>
  <c r="B128" i="24"/>
  <c r="A128" i="24"/>
  <c r="M127" i="24"/>
  <c r="A127" i="24" s="1"/>
  <c r="J127" i="24"/>
  <c r="K127" i="24" s="1"/>
  <c r="I127" i="24"/>
  <c r="B127" i="24"/>
  <c r="M126" i="24"/>
  <c r="A126" i="24" s="1"/>
  <c r="J126" i="24"/>
  <c r="K126" i="24" s="1"/>
  <c r="I126" i="24"/>
  <c r="B126" i="24"/>
  <c r="J125" i="24"/>
  <c r="K125" i="24" s="1"/>
  <c r="I125" i="24"/>
  <c r="M125" i="24" s="1"/>
  <c r="A125" i="24" s="1"/>
  <c r="B125" i="24"/>
  <c r="M124" i="24"/>
  <c r="A124" i="24" s="1"/>
  <c r="J124" i="24"/>
  <c r="K124" i="24" s="1"/>
  <c r="I124" i="24"/>
  <c r="B124" i="24"/>
  <c r="M123" i="24"/>
  <c r="A123" i="24" s="1"/>
  <c r="J123" i="24"/>
  <c r="K123" i="24" s="1"/>
  <c r="I123" i="24"/>
  <c r="B123" i="24"/>
  <c r="M122" i="24"/>
  <c r="A122" i="24" s="1"/>
  <c r="J122" i="24"/>
  <c r="K122" i="24" s="1"/>
  <c r="I122" i="24"/>
  <c r="B122" i="24"/>
  <c r="M121" i="24"/>
  <c r="A121" i="24" s="1"/>
  <c r="J121" i="24"/>
  <c r="K121" i="24" s="1"/>
  <c r="I121" i="24"/>
  <c r="B121" i="24"/>
  <c r="M120" i="24"/>
  <c r="A120" i="24" s="1"/>
  <c r="J120" i="24"/>
  <c r="K120" i="24" s="1"/>
  <c r="I120" i="24"/>
  <c r="B120" i="24"/>
  <c r="M119" i="24"/>
  <c r="A119" i="24" s="1"/>
  <c r="J119" i="24"/>
  <c r="K119" i="24" s="1"/>
  <c r="I119" i="24"/>
  <c r="B119" i="24"/>
  <c r="M118" i="24"/>
  <c r="A118" i="24" s="1"/>
  <c r="K118" i="24"/>
  <c r="J118" i="24"/>
  <c r="I118" i="24"/>
  <c r="B118" i="24"/>
  <c r="J117" i="24"/>
  <c r="K117" i="24" s="1"/>
  <c r="I117" i="24"/>
  <c r="M117" i="24" s="1"/>
  <c r="A117" i="24" s="1"/>
  <c r="B117" i="24"/>
  <c r="M116" i="24"/>
  <c r="J116" i="24"/>
  <c r="K116" i="24" s="1"/>
  <c r="I116" i="24"/>
  <c r="B116" i="24"/>
  <c r="A116" i="24"/>
  <c r="M115" i="24"/>
  <c r="A115" i="24" s="1"/>
  <c r="J115" i="24"/>
  <c r="K115" i="24" s="1"/>
  <c r="I115" i="24"/>
  <c r="B115" i="24"/>
  <c r="M114" i="24"/>
  <c r="A114" i="24" s="1"/>
  <c r="J114" i="24"/>
  <c r="K114" i="24" s="1"/>
  <c r="I114" i="24"/>
  <c r="B114" i="24"/>
  <c r="M113" i="24"/>
  <c r="A113" i="24" s="1"/>
  <c r="J113" i="24"/>
  <c r="K113" i="24" s="1"/>
  <c r="I113" i="24"/>
  <c r="B113" i="24"/>
  <c r="M112" i="24"/>
  <c r="J112" i="24"/>
  <c r="K112" i="24" s="1"/>
  <c r="I112" i="24"/>
  <c r="B112" i="24"/>
  <c r="A112" i="24"/>
  <c r="M111" i="24"/>
  <c r="A111" i="24" s="1"/>
  <c r="J111" i="24"/>
  <c r="K111" i="24" s="1"/>
  <c r="I111" i="24"/>
  <c r="B111" i="24"/>
  <c r="M110" i="24"/>
  <c r="A110" i="24" s="1"/>
  <c r="J110" i="24"/>
  <c r="K110" i="24" s="1"/>
  <c r="I110" i="24"/>
  <c r="B110" i="24"/>
  <c r="J109" i="24"/>
  <c r="K109" i="24" s="1"/>
  <c r="I109" i="24"/>
  <c r="M109" i="24" s="1"/>
  <c r="A109" i="24" s="1"/>
  <c r="B109" i="24"/>
  <c r="M108" i="24"/>
  <c r="A108" i="24" s="1"/>
  <c r="J108" i="24"/>
  <c r="K108" i="24" s="1"/>
  <c r="I108" i="24"/>
  <c r="B108" i="24"/>
  <c r="M107" i="24"/>
  <c r="A107" i="24" s="1"/>
  <c r="J107" i="24"/>
  <c r="K107" i="24" s="1"/>
  <c r="I107" i="24"/>
  <c r="B107" i="24"/>
  <c r="M106" i="24"/>
  <c r="A106" i="24" s="1"/>
  <c r="K106" i="24"/>
  <c r="J106" i="24"/>
  <c r="I106" i="24"/>
  <c r="B106" i="24"/>
  <c r="J105" i="24"/>
  <c r="K105" i="24" s="1"/>
  <c r="I105" i="24"/>
  <c r="M105" i="24" s="1"/>
  <c r="A105" i="24" s="1"/>
  <c r="B105" i="24"/>
  <c r="M104" i="24"/>
  <c r="J104" i="24"/>
  <c r="K104" i="24" s="1"/>
  <c r="I104" i="24"/>
  <c r="B104" i="24"/>
  <c r="A104" i="24"/>
  <c r="M103" i="24"/>
  <c r="A103" i="24" s="1"/>
  <c r="K103" i="24"/>
  <c r="J103" i="24"/>
  <c r="I103" i="24"/>
  <c r="B103" i="24"/>
  <c r="J102" i="24"/>
  <c r="K102" i="24" s="1"/>
  <c r="I102" i="24"/>
  <c r="M102" i="24" s="1"/>
  <c r="A102" i="24" s="1"/>
  <c r="B102" i="24"/>
  <c r="J101" i="24"/>
  <c r="K101" i="24" s="1"/>
  <c r="I101" i="24"/>
  <c r="M101" i="24" s="1"/>
  <c r="A101" i="24" s="1"/>
  <c r="B101" i="24"/>
  <c r="M100" i="24"/>
  <c r="A100" i="24" s="1"/>
  <c r="J100" i="24"/>
  <c r="K100" i="24" s="1"/>
  <c r="I100" i="24"/>
  <c r="B100" i="24"/>
  <c r="M99" i="24"/>
  <c r="A99" i="24" s="1"/>
  <c r="J99" i="24"/>
  <c r="K99" i="24" s="1"/>
  <c r="I99" i="24"/>
  <c r="B99" i="24"/>
  <c r="J98" i="24"/>
  <c r="K98" i="24" s="1"/>
  <c r="I98" i="24"/>
  <c r="M98" i="24" s="1"/>
  <c r="A98" i="24" s="1"/>
  <c r="B98" i="24"/>
  <c r="J97" i="24"/>
  <c r="K97" i="24" s="1"/>
  <c r="I97" i="24"/>
  <c r="M97" i="24" s="1"/>
  <c r="A97" i="24" s="1"/>
  <c r="B97" i="24"/>
  <c r="M96" i="24"/>
  <c r="A96" i="24" s="1"/>
  <c r="J96" i="24"/>
  <c r="K96" i="24" s="1"/>
  <c r="I96" i="24"/>
  <c r="B96" i="24"/>
  <c r="M95" i="24"/>
  <c r="A95" i="24" s="1"/>
  <c r="K95" i="24"/>
  <c r="J95" i="24"/>
  <c r="I95" i="24"/>
  <c r="B95" i="24"/>
  <c r="J94" i="24"/>
  <c r="K94" i="24" s="1"/>
  <c r="I94" i="24"/>
  <c r="M94" i="24" s="1"/>
  <c r="A94" i="24" s="1"/>
  <c r="B94" i="24"/>
  <c r="J93" i="24"/>
  <c r="K93" i="24" s="1"/>
  <c r="I93" i="24"/>
  <c r="M93" i="24" s="1"/>
  <c r="B93" i="24"/>
  <c r="A93" i="24"/>
  <c r="M92" i="24"/>
  <c r="A92" i="24" s="1"/>
  <c r="J92" i="24"/>
  <c r="K92" i="24" s="1"/>
  <c r="I92" i="24"/>
  <c r="B92" i="24"/>
  <c r="M91" i="24"/>
  <c r="A91" i="24" s="1"/>
  <c r="J91" i="24"/>
  <c r="K91" i="24" s="1"/>
  <c r="I91" i="24"/>
  <c r="B91" i="24"/>
  <c r="J90" i="24"/>
  <c r="K90" i="24" s="1"/>
  <c r="I90" i="24"/>
  <c r="M90" i="24" s="1"/>
  <c r="A90" i="24" s="1"/>
  <c r="B90" i="24"/>
  <c r="J89" i="24"/>
  <c r="K89" i="24" s="1"/>
  <c r="I89" i="24"/>
  <c r="M89" i="24" s="1"/>
  <c r="B89" i="24"/>
  <c r="A89" i="24"/>
  <c r="M88" i="24"/>
  <c r="A88" i="24" s="1"/>
  <c r="J88" i="24"/>
  <c r="K88" i="24" s="1"/>
  <c r="I88" i="24"/>
  <c r="B88" i="24"/>
  <c r="M87" i="24"/>
  <c r="A87" i="24" s="1"/>
  <c r="J87" i="24"/>
  <c r="K87" i="24" s="1"/>
  <c r="I87" i="24"/>
  <c r="B87" i="24"/>
  <c r="M86" i="24"/>
  <c r="A86" i="24" s="1"/>
  <c r="J86" i="24"/>
  <c r="K86" i="24" s="1"/>
  <c r="I86" i="24"/>
  <c r="B86" i="24"/>
  <c r="J85" i="24"/>
  <c r="K85" i="24" s="1"/>
  <c r="I85" i="24"/>
  <c r="M85" i="24" s="1"/>
  <c r="B85" i="24"/>
  <c r="A85" i="24"/>
  <c r="M84" i="24"/>
  <c r="A84" i="24" s="1"/>
  <c r="J84" i="24"/>
  <c r="K84" i="24" s="1"/>
  <c r="I84" i="24"/>
  <c r="B84" i="24"/>
  <c r="M83" i="24"/>
  <c r="A83" i="24" s="1"/>
  <c r="J83" i="24"/>
  <c r="K83" i="24" s="1"/>
  <c r="I83" i="24"/>
  <c r="B83" i="24"/>
  <c r="M82" i="24"/>
  <c r="A82" i="24" s="1"/>
  <c r="J82" i="24"/>
  <c r="K82" i="24" s="1"/>
  <c r="I82" i="24"/>
  <c r="B82" i="24"/>
  <c r="J81" i="24"/>
  <c r="K81" i="24" s="1"/>
  <c r="I81" i="24"/>
  <c r="M81" i="24" s="1"/>
  <c r="B81" i="24"/>
  <c r="A81" i="24"/>
  <c r="M80" i="24"/>
  <c r="A80" i="24" s="1"/>
  <c r="J80" i="24"/>
  <c r="K80" i="24" s="1"/>
  <c r="I80" i="24"/>
  <c r="B80" i="24"/>
  <c r="M79" i="24"/>
  <c r="A79" i="24" s="1"/>
  <c r="K79" i="24"/>
  <c r="J79" i="24"/>
  <c r="I79" i="24"/>
  <c r="B79" i="24"/>
  <c r="M78" i="24"/>
  <c r="A78" i="24" s="1"/>
  <c r="J78" i="24"/>
  <c r="K78" i="24" s="1"/>
  <c r="I78" i="24"/>
  <c r="B78" i="24"/>
  <c r="M77" i="24"/>
  <c r="J77" i="24"/>
  <c r="K77" i="24" s="1"/>
  <c r="I77" i="24"/>
  <c r="B77" i="24"/>
  <c r="A77" i="24"/>
  <c r="M76" i="24"/>
  <c r="A76" i="24" s="1"/>
  <c r="J76" i="24"/>
  <c r="K76" i="24" s="1"/>
  <c r="I76" i="24"/>
  <c r="B76" i="24"/>
  <c r="M75" i="24"/>
  <c r="A75" i="24" s="1"/>
  <c r="K75" i="24"/>
  <c r="J75" i="24"/>
  <c r="I75" i="24"/>
  <c r="B75" i="24"/>
  <c r="J74" i="24"/>
  <c r="K74" i="24" s="1"/>
  <c r="I74" i="24"/>
  <c r="M74" i="24" s="1"/>
  <c r="A74" i="24" s="1"/>
  <c r="B74" i="24"/>
  <c r="M73" i="24"/>
  <c r="J73" i="24"/>
  <c r="K73" i="24" s="1"/>
  <c r="I73" i="24"/>
  <c r="B73" i="24"/>
  <c r="A73" i="24"/>
  <c r="M72" i="24"/>
  <c r="A72" i="24" s="1"/>
  <c r="J72" i="24"/>
  <c r="K72" i="24" s="1"/>
  <c r="I72" i="24"/>
  <c r="B72" i="24"/>
  <c r="M71" i="24"/>
  <c r="A71" i="24" s="1"/>
  <c r="K71" i="24"/>
  <c r="J71" i="24"/>
  <c r="I71" i="24"/>
  <c r="B71" i="24"/>
  <c r="J70" i="24"/>
  <c r="K70" i="24" s="1"/>
  <c r="I70" i="24"/>
  <c r="M70" i="24" s="1"/>
  <c r="A70" i="24" s="1"/>
  <c r="B70" i="24"/>
  <c r="M69" i="24"/>
  <c r="J69" i="24"/>
  <c r="K69" i="24" s="1"/>
  <c r="I69" i="24"/>
  <c r="B69" i="24"/>
  <c r="A69" i="24"/>
  <c r="M68" i="24"/>
  <c r="A68" i="24" s="1"/>
  <c r="J68" i="24"/>
  <c r="K68" i="24" s="1"/>
  <c r="I68" i="24"/>
  <c r="B68" i="24"/>
  <c r="M67" i="24"/>
  <c r="A67" i="24" s="1"/>
  <c r="J67" i="24"/>
  <c r="K67" i="24" s="1"/>
  <c r="I67" i="24"/>
  <c r="B67" i="24"/>
  <c r="J66" i="24"/>
  <c r="K66" i="24" s="1"/>
  <c r="I66" i="24"/>
  <c r="M66" i="24" s="1"/>
  <c r="A66" i="24" s="1"/>
  <c r="B66" i="24"/>
  <c r="M65" i="24"/>
  <c r="J65" i="24"/>
  <c r="K65" i="24" s="1"/>
  <c r="I65" i="24"/>
  <c r="B65" i="24"/>
  <c r="A65" i="24"/>
  <c r="M64" i="24"/>
  <c r="A64" i="24" s="1"/>
  <c r="J64" i="24"/>
  <c r="K64" i="24" s="1"/>
  <c r="I64" i="24"/>
  <c r="B64" i="24"/>
  <c r="M63" i="24"/>
  <c r="A63" i="24" s="1"/>
  <c r="K63" i="24"/>
  <c r="J63" i="24"/>
  <c r="I63" i="24"/>
  <c r="B63" i="24"/>
  <c r="M62" i="24"/>
  <c r="A62" i="24" s="1"/>
  <c r="J62" i="24"/>
  <c r="K62" i="24" s="1"/>
  <c r="I62" i="24"/>
  <c r="B62" i="24"/>
  <c r="M61" i="24"/>
  <c r="J61" i="24"/>
  <c r="K61" i="24" s="1"/>
  <c r="I61" i="24"/>
  <c r="B61" i="24"/>
  <c r="A61" i="24"/>
  <c r="M60" i="24"/>
  <c r="A60" i="24" s="1"/>
  <c r="J60" i="24"/>
  <c r="K60" i="24" s="1"/>
  <c r="I60" i="24"/>
  <c r="B60" i="24"/>
  <c r="M59" i="24"/>
  <c r="A59" i="24" s="1"/>
  <c r="K59" i="24"/>
  <c r="J59" i="24"/>
  <c r="I59" i="24"/>
  <c r="B59" i="24"/>
  <c r="J58" i="24"/>
  <c r="K58" i="24" s="1"/>
  <c r="I58" i="24"/>
  <c r="M58" i="24" s="1"/>
  <c r="A58" i="24" s="1"/>
  <c r="B58" i="24"/>
  <c r="M57" i="24"/>
  <c r="J57" i="24"/>
  <c r="K57" i="24" s="1"/>
  <c r="I57" i="24"/>
  <c r="B57" i="24"/>
  <c r="A57" i="24"/>
  <c r="M56" i="24"/>
  <c r="A56" i="24" s="1"/>
  <c r="J56" i="24"/>
  <c r="K56" i="24" s="1"/>
  <c r="I56" i="24"/>
  <c r="B56" i="24"/>
  <c r="M55" i="24"/>
  <c r="A55" i="24" s="1"/>
  <c r="K55" i="24"/>
  <c r="J55" i="24"/>
  <c r="I55" i="24"/>
  <c r="B55" i="24"/>
  <c r="J54" i="24"/>
  <c r="K54" i="24" s="1"/>
  <c r="I54" i="24"/>
  <c r="M54" i="24" s="1"/>
  <c r="A54" i="24" s="1"/>
  <c r="B54" i="24"/>
  <c r="M53" i="24"/>
  <c r="J53" i="24"/>
  <c r="K53" i="24" s="1"/>
  <c r="I53" i="24"/>
  <c r="B53" i="24"/>
  <c r="A53" i="24"/>
  <c r="M52" i="24"/>
  <c r="A52" i="24" s="1"/>
  <c r="J52" i="24"/>
  <c r="K52" i="24" s="1"/>
  <c r="I52" i="24"/>
  <c r="B52" i="24"/>
  <c r="M51" i="24"/>
  <c r="A51" i="24" s="1"/>
  <c r="J51" i="24"/>
  <c r="K51" i="24" s="1"/>
  <c r="I51" i="24"/>
  <c r="B51" i="24"/>
  <c r="J50" i="24"/>
  <c r="K50" i="24" s="1"/>
  <c r="I50" i="24"/>
  <c r="M50" i="24" s="1"/>
  <c r="A50" i="24" s="1"/>
  <c r="B50" i="24"/>
  <c r="M49" i="24"/>
  <c r="J49" i="24"/>
  <c r="K49" i="24" s="1"/>
  <c r="I49" i="24"/>
  <c r="B49" i="24"/>
  <c r="A49" i="24"/>
  <c r="M48" i="24"/>
  <c r="A48" i="24" s="1"/>
  <c r="J48" i="24"/>
  <c r="K48" i="24" s="1"/>
  <c r="I48" i="24"/>
  <c r="B48" i="24"/>
  <c r="M47" i="24"/>
  <c r="A47" i="24" s="1"/>
  <c r="K47" i="24"/>
  <c r="J47" i="24"/>
  <c r="I47" i="24"/>
  <c r="B47" i="24"/>
  <c r="M46" i="24"/>
  <c r="A46" i="24" s="1"/>
  <c r="J46" i="24"/>
  <c r="K46" i="24" s="1"/>
  <c r="I46" i="24"/>
  <c r="B46" i="24"/>
  <c r="M45" i="24"/>
  <c r="J45" i="24"/>
  <c r="K45" i="24" s="1"/>
  <c r="I45" i="24"/>
  <c r="B45" i="24"/>
  <c r="A45" i="24"/>
  <c r="M44" i="24"/>
  <c r="A44" i="24" s="1"/>
  <c r="J44" i="24"/>
  <c r="K44" i="24" s="1"/>
  <c r="I44" i="24"/>
  <c r="B44" i="24"/>
  <c r="M43" i="24"/>
  <c r="A43" i="24" s="1"/>
  <c r="K43" i="24"/>
  <c r="J43" i="24"/>
  <c r="I43" i="24"/>
  <c r="B43" i="24"/>
  <c r="J42" i="24"/>
  <c r="K42" i="24" s="1"/>
  <c r="I42" i="24"/>
  <c r="M42" i="24" s="1"/>
  <c r="A42" i="24" s="1"/>
  <c r="B42" i="24"/>
  <c r="M41" i="24"/>
  <c r="J41" i="24"/>
  <c r="K41" i="24" s="1"/>
  <c r="I41" i="24"/>
  <c r="B41" i="24"/>
  <c r="A41" i="24"/>
  <c r="M40" i="24"/>
  <c r="A40" i="24" s="1"/>
  <c r="J40" i="24"/>
  <c r="K40" i="24" s="1"/>
  <c r="I40" i="24"/>
  <c r="B40" i="24"/>
  <c r="M39" i="24"/>
  <c r="A39" i="24" s="1"/>
  <c r="K39" i="24"/>
  <c r="J39" i="24"/>
  <c r="I39" i="24"/>
  <c r="B39" i="24"/>
  <c r="J38" i="24"/>
  <c r="K38" i="24" s="1"/>
  <c r="I38" i="24"/>
  <c r="M38" i="24" s="1"/>
  <c r="A38" i="24" s="1"/>
  <c r="B38" i="24"/>
  <c r="M37" i="24"/>
  <c r="J37" i="24"/>
  <c r="K37" i="24" s="1"/>
  <c r="I37" i="24"/>
  <c r="B37" i="24"/>
  <c r="A37" i="24"/>
  <c r="M36" i="24"/>
  <c r="A36" i="24" s="1"/>
  <c r="J36" i="24"/>
  <c r="K36" i="24" s="1"/>
  <c r="I36" i="24"/>
  <c r="B36" i="24"/>
  <c r="M35" i="24"/>
  <c r="A35" i="24" s="1"/>
  <c r="J35" i="24"/>
  <c r="K35" i="24" s="1"/>
  <c r="I35" i="24"/>
  <c r="B35" i="24"/>
  <c r="J34" i="24"/>
  <c r="K34" i="24" s="1"/>
  <c r="I34" i="24"/>
  <c r="M34" i="24" s="1"/>
  <c r="A34" i="24" s="1"/>
  <c r="B34" i="24"/>
  <c r="M33" i="24"/>
  <c r="J33" i="24"/>
  <c r="K33" i="24" s="1"/>
  <c r="I33" i="24"/>
  <c r="B33" i="24"/>
  <c r="A33" i="24"/>
  <c r="M32" i="24"/>
  <c r="A32" i="24" s="1"/>
  <c r="J32" i="24"/>
  <c r="K32" i="24" s="1"/>
  <c r="I32" i="24"/>
  <c r="B32" i="24"/>
  <c r="M31" i="24"/>
  <c r="A31" i="24" s="1"/>
  <c r="K31" i="24"/>
  <c r="J31" i="24"/>
  <c r="I31" i="24"/>
  <c r="B31" i="24"/>
  <c r="M30" i="24"/>
  <c r="A30" i="24" s="1"/>
  <c r="J30" i="24"/>
  <c r="K30" i="24" s="1"/>
  <c r="I30" i="24"/>
  <c r="B30" i="24"/>
  <c r="M29" i="24"/>
  <c r="J29" i="24"/>
  <c r="K29" i="24" s="1"/>
  <c r="I29" i="24"/>
  <c r="B29" i="24"/>
  <c r="A29" i="24"/>
  <c r="M28" i="24"/>
  <c r="A28" i="24" s="1"/>
  <c r="J28" i="24"/>
  <c r="K28" i="24" s="1"/>
  <c r="I28" i="24"/>
  <c r="B28" i="24"/>
  <c r="M27" i="24"/>
  <c r="A27" i="24" s="1"/>
  <c r="K27" i="24"/>
  <c r="J27" i="24"/>
  <c r="I27" i="24"/>
  <c r="B27" i="24"/>
  <c r="J26" i="24"/>
  <c r="K26" i="24" s="1"/>
  <c r="I26" i="24"/>
  <c r="M26" i="24" s="1"/>
  <c r="A26" i="24" s="1"/>
  <c r="B26" i="24"/>
  <c r="M25" i="24"/>
  <c r="J25" i="24"/>
  <c r="K25" i="24" s="1"/>
  <c r="I25" i="24"/>
  <c r="B25" i="24"/>
  <c r="A25" i="24"/>
  <c r="M24" i="24"/>
  <c r="A24" i="24" s="1"/>
  <c r="J24" i="24"/>
  <c r="K24" i="24" s="1"/>
  <c r="I24" i="24"/>
  <c r="B24" i="24"/>
  <c r="M23" i="24"/>
  <c r="A23" i="24" s="1"/>
  <c r="K23" i="24"/>
  <c r="J23" i="24"/>
  <c r="I23" i="24"/>
  <c r="B23" i="24"/>
  <c r="J22" i="24"/>
  <c r="K22" i="24" s="1"/>
  <c r="I22" i="24"/>
  <c r="M22" i="24" s="1"/>
  <c r="A22" i="24" s="1"/>
  <c r="B22" i="24"/>
  <c r="M21" i="24"/>
  <c r="J21" i="24"/>
  <c r="K21" i="24" s="1"/>
  <c r="I21" i="24"/>
  <c r="B21" i="24"/>
  <c r="A21" i="24"/>
  <c r="M20" i="24"/>
  <c r="A20" i="24" s="1"/>
  <c r="J20" i="24"/>
  <c r="K20" i="24" s="1"/>
  <c r="I20" i="24"/>
  <c r="B20" i="24"/>
  <c r="M19" i="24"/>
  <c r="A19" i="24" s="1"/>
  <c r="J19" i="24"/>
  <c r="K19" i="24" s="1"/>
  <c r="I19" i="24"/>
  <c r="B19" i="24"/>
  <c r="J18" i="24"/>
  <c r="K18" i="24" s="1"/>
  <c r="I18" i="24"/>
  <c r="M18" i="24" s="1"/>
  <c r="A18" i="24" s="1"/>
  <c r="B18" i="24"/>
  <c r="M17" i="24"/>
  <c r="J17" i="24"/>
  <c r="K17" i="24" s="1"/>
  <c r="I17" i="24"/>
  <c r="B17" i="24"/>
  <c r="A17" i="24"/>
  <c r="AI16" i="24"/>
  <c r="K16" i="24"/>
  <c r="J16" i="24"/>
  <c r="I16" i="24"/>
  <c r="M16" i="24" s="1"/>
  <c r="B16" i="24"/>
  <c r="A16" i="24"/>
  <c r="M15" i="24"/>
  <c r="A15" i="24" s="1"/>
  <c r="K15" i="24"/>
  <c r="J15" i="24"/>
  <c r="I15" i="24"/>
  <c r="B15" i="24"/>
  <c r="AI14" i="24"/>
  <c r="M14" i="24"/>
  <c r="A14" i="24" s="1"/>
  <c r="J14" i="24"/>
  <c r="K14" i="24" s="1"/>
  <c r="I14" i="24"/>
  <c r="B14" i="24"/>
  <c r="AI13" i="24"/>
  <c r="J13" i="24"/>
  <c r="K13" i="24" s="1"/>
  <c r="I13" i="24"/>
  <c r="M13" i="24" s="1"/>
  <c r="A13" i="24" s="1"/>
  <c r="B13" i="24"/>
  <c r="AI12" i="24"/>
  <c r="M12" i="24"/>
  <c r="A12" i="24" s="1"/>
  <c r="J12" i="24"/>
  <c r="K12" i="24" s="1"/>
  <c r="I12" i="24"/>
  <c r="B12" i="24"/>
  <c r="M11" i="24"/>
  <c r="J11" i="24"/>
  <c r="K11" i="24" s="1"/>
  <c r="I11" i="24"/>
  <c r="B11" i="24"/>
  <c r="A11" i="24"/>
  <c r="M10" i="24"/>
  <c r="A10" i="24" s="1"/>
  <c r="J10" i="24"/>
  <c r="K10" i="24" s="1"/>
  <c r="I10" i="24"/>
  <c r="B10" i="24"/>
  <c r="M9" i="24"/>
  <c r="A9" i="24" s="1"/>
  <c r="L9" i="24"/>
  <c r="K9" i="24"/>
  <c r="J9" i="24"/>
  <c r="I9" i="24"/>
  <c r="B9" i="24"/>
  <c r="M8" i="24"/>
  <c r="L8" i="24"/>
  <c r="J8" i="24"/>
  <c r="K8" i="24" s="1"/>
  <c r="I8" i="24"/>
  <c r="B8" i="24"/>
  <c r="A8" i="24"/>
  <c r="J7" i="24"/>
  <c r="K7" i="24" s="1"/>
  <c r="I7" i="24"/>
  <c r="M7" i="24" s="1"/>
  <c r="A7" i="24" s="1"/>
  <c r="B7" i="24"/>
  <c r="L6" i="24"/>
  <c r="J6" i="24"/>
  <c r="K6" i="24" s="1"/>
  <c r="I6" i="24"/>
  <c r="M6" i="24" s="1"/>
  <c r="A6" i="24" s="1"/>
  <c r="B6" i="24"/>
  <c r="K2" i="24"/>
  <c r="L7" i="24" s="1"/>
  <c r="K305" i="23"/>
  <c r="J305" i="23"/>
  <c r="I305" i="23"/>
  <c r="M305" i="23" s="1"/>
  <c r="M304" i="23"/>
  <c r="K304" i="23"/>
  <c r="J304" i="23"/>
  <c r="I304" i="23"/>
  <c r="K303" i="23"/>
  <c r="J303" i="23"/>
  <c r="I303" i="23"/>
  <c r="M303" i="23" s="1"/>
  <c r="M302" i="23"/>
  <c r="K302" i="23"/>
  <c r="J302" i="23"/>
  <c r="I302" i="23"/>
  <c r="K301" i="23"/>
  <c r="J301" i="23"/>
  <c r="I301" i="23"/>
  <c r="M301" i="23" s="1"/>
  <c r="M300" i="23"/>
  <c r="K300" i="23"/>
  <c r="J300" i="23"/>
  <c r="I300" i="23"/>
  <c r="K299" i="23"/>
  <c r="J299" i="23"/>
  <c r="I299" i="23"/>
  <c r="M299" i="23" s="1"/>
  <c r="M298" i="23"/>
  <c r="K298" i="23"/>
  <c r="J298" i="23"/>
  <c r="I298" i="23"/>
  <c r="K297" i="23"/>
  <c r="J297" i="23"/>
  <c r="I297" i="23"/>
  <c r="M297" i="23" s="1"/>
  <c r="M296" i="23"/>
  <c r="K296" i="23"/>
  <c r="J296" i="23"/>
  <c r="I296" i="23"/>
  <c r="K295" i="23"/>
  <c r="J295" i="23"/>
  <c r="I295" i="23"/>
  <c r="M295" i="23" s="1"/>
  <c r="M294" i="23"/>
  <c r="K294" i="23"/>
  <c r="J294" i="23"/>
  <c r="I294" i="23"/>
  <c r="K293" i="23"/>
  <c r="J293" i="23"/>
  <c r="I293" i="23"/>
  <c r="M293" i="23" s="1"/>
  <c r="M292" i="23"/>
  <c r="K292" i="23"/>
  <c r="J292" i="23"/>
  <c r="I292" i="23"/>
  <c r="K291" i="23"/>
  <c r="J291" i="23"/>
  <c r="I291" i="23"/>
  <c r="M291" i="23" s="1"/>
  <c r="M290" i="23"/>
  <c r="K290" i="23"/>
  <c r="J290" i="23"/>
  <c r="I290" i="23"/>
  <c r="K289" i="23"/>
  <c r="J289" i="23"/>
  <c r="I289" i="23"/>
  <c r="M289" i="23" s="1"/>
  <c r="M288" i="23"/>
  <c r="K288" i="23"/>
  <c r="J288" i="23"/>
  <c r="I288" i="23"/>
  <c r="K287" i="23"/>
  <c r="J287" i="23"/>
  <c r="I287" i="23"/>
  <c r="M287" i="23" s="1"/>
  <c r="M286" i="23"/>
  <c r="K286" i="23"/>
  <c r="J286" i="23"/>
  <c r="I286" i="23"/>
  <c r="K285" i="23"/>
  <c r="J285" i="23"/>
  <c r="I285" i="23"/>
  <c r="M285" i="23" s="1"/>
  <c r="M284" i="23"/>
  <c r="K284" i="23"/>
  <c r="J284" i="23"/>
  <c r="I284" i="23"/>
  <c r="K283" i="23"/>
  <c r="J283" i="23"/>
  <c r="I283" i="23"/>
  <c r="M283" i="23" s="1"/>
  <c r="M282" i="23"/>
  <c r="K282" i="23"/>
  <c r="J282" i="23"/>
  <c r="I282" i="23"/>
  <c r="K281" i="23"/>
  <c r="J281" i="23"/>
  <c r="I281" i="23"/>
  <c r="M281" i="23" s="1"/>
  <c r="M280" i="23"/>
  <c r="K280" i="23"/>
  <c r="J280" i="23"/>
  <c r="I280" i="23"/>
  <c r="K279" i="23"/>
  <c r="J279" i="23"/>
  <c r="I279" i="23"/>
  <c r="M279" i="23" s="1"/>
  <c r="M278" i="23"/>
  <c r="K278" i="23"/>
  <c r="J278" i="23"/>
  <c r="I278" i="23"/>
  <c r="K277" i="23"/>
  <c r="J277" i="23"/>
  <c r="I277" i="23"/>
  <c r="M277" i="23" s="1"/>
  <c r="K276" i="23"/>
  <c r="J276" i="23"/>
  <c r="I276" i="23"/>
  <c r="M276" i="23" s="1"/>
  <c r="K275" i="23"/>
  <c r="J275" i="23"/>
  <c r="I275" i="23"/>
  <c r="M275" i="23" s="1"/>
  <c r="M274" i="23"/>
  <c r="K274" i="23"/>
  <c r="J274" i="23"/>
  <c r="I274" i="23"/>
  <c r="K273" i="23"/>
  <c r="J273" i="23"/>
  <c r="I273" i="23"/>
  <c r="M273" i="23" s="1"/>
  <c r="M272" i="23"/>
  <c r="K272" i="23"/>
  <c r="J272" i="23"/>
  <c r="I272" i="23"/>
  <c r="K271" i="23"/>
  <c r="J271" i="23"/>
  <c r="I271" i="23"/>
  <c r="M271" i="23" s="1"/>
  <c r="M270" i="23"/>
  <c r="K270" i="23"/>
  <c r="J270" i="23"/>
  <c r="I270" i="23"/>
  <c r="K269" i="23"/>
  <c r="J269" i="23"/>
  <c r="I269" i="23"/>
  <c r="M269" i="23" s="1"/>
  <c r="K268" i="23"/>
  <c r="J268" i="23"/>
  <c r="I268" i="23"/>
  <c r="M268" i="23" s="1"/>
  <c r="K267" i="23"/>
  <c r="J267" i="23"/>
  <c r="I267" i="23"/>
  <c r="M267" i="23" s="1"/>
  <c r="J266" i="23"/>
  <c r="K266" i="23" s="1"/>
  <c r="I266" i="23"/>
  <c r="M266" i="23" s="1"/>
  <c r="K265" i="23"/>
  <c r="J265" i="23"/>
  <c r="I265" i="23"/>
  <c r="M265" i="23" s="1"/>
  <c r="K264" i="23"/>
  <c r="J264" i="23"/>
  <c r="I264" i="23"/>
  <c r="M264" i="23" s="1"/>
  <c r="K263" i="23"/>
  <c r="J263" i="23"/>
  <c r="I263" i="23"/>
  <c r="M263" i="23" s="1"/>
  <c r="J262" i="23"/>
  <c r="K262" i="23" s="1"/>
  <c r="I262" i="23"/>
  <c r="M262" i="23" s="1"/>
  <c r="J261" i="23"/>
  <c r="K261" i="23" s="1"/>
  <c r="I261" i="23"/>
  <c r="M261" i="23" s="1"/>
  <c r="J260" i="23"/>
  <c r="K260" i="23" s="1"/>
  <c r="I260" i="23"/>
  <c r="M260" i="23" s="1"/>
  <c r="J259" i="23"/>
  <c r="K259" i="23" s="1"/>
  <c r="I259" i="23"/>
  <c r="M259" i="23" s="1"/>
  <c r="M258" i="23"/>
  <c r="K258" i="23"/>
  <c r="J258" i="23"/>
  <c r="I258" i="23"/>
  <c r="K257" i="23"/>
  <c r="J257" i="23"/>
  <c r="I257" i="23"/>
  <c r="M257" i="23" s="1"/>
  <c r="M256" i="23"/>
  <c r="K256" i="23"/>
  <c r="J256" i="23"/>
  <c r="I256" i="23"/>
  <c r="J255" i="23"/>
  <c r="K255" i="23" s="1"/>
  <c r="I255" i="23"/>
  <c r="M255" i="23" s="1"/>
  <c r="M254" i="23"/>
  <c r="J254" i="23"/>
  <c r="K254" i="23" s="1"/>
  <c r="I254" i="23"/>
  <c r="J253" i="23"/>
  <c r="K253" i="23" s="1"/>
  <c r="I253" i="23"/>
  <c r="M253" i="23" s="1"/>
  <c r="J252" i="23"/>
  <c r="K252" i="23" s="1"/>
  <c r="I252" i="23"/>
  <c r="M252" i="23" s="1"/>
  <c r="K251" i="23"/>
  <c r="J251" i="23"/>
  <c r="I251" i="23"/>
  <c r="M251" i="23" s="1"/>
  <c r="J250" i="23"/>
  <c r="K250" i="23" s="1"/>
  <c r="I250" i="23"/>
  <c r="M250" i="23" s="1"/>
  <c r="K249" i="23"/>
  <c r="J249" i="23"/>
  <c r="I249" i="23"/>
  <c r="M249" i="23" s="1"/>
  <c r="K248" i="23"/>
  <c r="J248" i="23"/>
  <c r="I248" i="23"/>
  <c r="M248" i="23" s="1"/>
  <c r="J247" i="23"/>
  <c r="K247" i="23" s="1"/>
  <c r="I247" i="23"/>
  <c r="M247" i="23" s="1"/>
  <c r="J246" i="23"/>
  <c r="K246" i="23" s="1"/>
  <c r="I246" i="23"/>
  <c r="M246" i="23" s="1"/>
  <c r="J245" i="23"/>
  <c r="K245" i="23" s="1"/>
  <c r="I245" i="23"/>
  <c r="M245" i="23" s="1"/>
  <c r="J244" i="23"/>
  <c r="K244" i="23" s="1"/>
  <c r="I244" i="23"/>
  <c r="M244" i="23" s="1"/>
  <c r="J243" i="23"/>
  <c r="K243" i="23" s="1"/>
  <c r="I243" i="23"/>
  <c r="M243" i="23" s="1"/>
  <c r="M242" i="23"/>
  <c r="K242" i="23"/>
  <c r="J242" i="23"/>
  <c r="I242" i="23"/>
  <c r="K241" i="23"/>
  <c r="J241" i="23"/>
  <c r="I241" i="23"/>
  <c r="M241" i="23" s="1"/>
  <c r="M240" i="23"/>
  <c r="K240" i="23"/>
  <c r="J240" i="23"/>
  <c r="I240" i="23"/>
  <c r="J239" i="23"/>
  <c r="K239" i="23" s="1"/>
  <c r="I239" i="23"/>
  <c r="M239" i="23" s="1"/>
  <c r="M238" i="23"/>
  <c r="J238" i="23"/>
  <c r="K238" i="23" s="1"/>
  <c r="I238" i="23"/>
  <c r="J237" i="23"/>
  <c r="K237" i="23" s="1"/>
  <c r="I237" i="23"/>
  <c r="M237" i="23" s="1"/>
  <c r="K236" i="23"/>
  <c r="J236" i="23"/>
  <c r="I236" i="23"/>
  <c r="M236" i="23" s="1"/>
  <c r="K235" i="23"/>
  <c r="J235" i="23"/>
  <c r="I235" i="23"/>
  <c r="M235" i="23" s="1"/>
  <c r="J234" i="23"/>
  <c r="K234" i="23" s="1"/>
  <c r="I234" i="23"/>
  <c r="M234" i="23" s="1"/>
  <c r="K233" i="23"/>
  <c r="J233" i="23"/>
  <c r="I233" i="23"/>
  <c r="M233" i="23" s="1"/>
  <c r="K232" i="23"/>
  <c r="J232" i="23"/>
  <c r="I232" i="23"/>
  <c r="M232" i="23" s="1"/>
  <c r="J231" i="23"/>
  <c r="K231" i="23" s="1"/>
  <c r="I231" i="23"/>
  <c r="M231" i="23" s="1"/>
  <c r="J230" i="23"/>
  <c r="K230" i="23" s="1"/>
  <c r="I230" i="23"/>
  <c r="M230" i="23" s="1"/>
  <c r="J229" i="23"/>
  <c r="K229" i="23" s="1"/>
  <c r="I229" i="23"/>
  <c r="M229" i="23" s="1"/>
  <c r="J228" i="23"/>
  <c r="K228" i="23" s="1"/>
  <c r="I228" i="23"/>
  <c r="M228" i="23" s="1"/>
  <c r="J227" i="23"/>
  <c r="K227" i="23" s="1"/>
  <c r="I227" i="23"/>
  <c r="M227" i="23" s="1"/>
  <c r="M226" i="23"/>
  <c r="K226" i="23"/>
  <c r="J226" i="23"/>
  <c r="I226" i="23"/>
  <c r="K225" i="23"/>
  <c r="J225" i="23"/>
  <c r="I225" i="23"/>
  <c r="M225" i="23" s="1"/>
  <c r="M224" i="23"/>
  <c r="K224" i="23"/>
  <c r="J224" i="23"/>
  <c r="I224" i="23"/>
  <c r="J223" i="23"/>
  <c r="K223" i="23" s="1"/>
  <c r="I223" i="23"/>
  <c r="M223" i="23" s="1"/>
  <c r="M222" i="23"/>
  <c r="K222" i="23"/>
  <c r="J222" i="23"/>
  <c r="I222" i="23"/>
  <c r="J221" i="23"/>
  <c r="K221" i="23" s="1"/>
  <c r="I221" i="23"/>
  <c r="M221" i="23" s="1"/>
  <c r="J220" i="23"/>
  <c r="K220" i="23" s="1"/>
  <c r="I220" i="23"/>
  <c r="M220" i="23" s="1"/>
  <c r="K219" i="23"/>
  <c r="J219" i="23"/>
  <c r="I219" i="23"/>
  <c r="M219" i="23" s="1"/>
  <c r="J218" i="23"/>
  <c r="K218" i="23" s="1"/>
  <c r="I218" i="23"/>
  <c r="M218" i="23" s="1"/>
  <c r="K217" i="23"/>
  <c r="J217" i="23"/>
  <c r="I217" i="23"/>
  <c r="M217" i="23" s="1"/>
  <c r="K216" i="23"/>
  <c r="J216" i="23"/>
  <c r="I216" i="23"/>
  <c r="M216" i="23" s="1"/>
  <c r="J215" i="23"/>
  <c r="K215" i="23" s="1"/>
  <c r="I215" i="23"/>
  <c r="M215" i="23" s="1"/>
  <c r="J214" i="23"/>
  <c r="K214" i="23" s="1"/>
  <c r="I214" i="23"/>
  <c r="M214" i="23" s="1"/>
  <c r="K213" i="23"/>
  <c r="J213" i="23"/>
  <c r="I213" i="23"/>
  <c r="M213" i="23" s="1"/>
  <c r="J212" i="23"/>
  <c r="K212" i="23" s="1"/>
  <c r="I212" i="23"/>
  <c r="M212" i="23" s="1"/>
  <c r="J211" i="23"/>
  <c r="K211" i="23" s="1"/>
  <c r="I211" i="23"/>
  <c r="M211" i="23" s="1"/>
  <c r="M210" i="23"/>
  <c r="K210" i="23"/>
  <c r="J210" i="23"/>
  <c r="I210" i="23"/>
  <c r="K209" i="23"/>
  <c r="J209" i="23"/>
  <c r="I209" i="23"/>
  <c r="M209" i="23" s="1"/>
  <c r="M208" i="23"/>
  <c r="K208" i="23"/>
  <c r="J208" i="23"/>
  <c r="I208" i="23"/>
  <c r="J207" i="23"/>
  <c r="K207" i="23" s="1"/>
  <c r="I207" i="23"/>
  <c r="M207" i="23" s="1"/>
  <c r="M206" i="23"/>
  <c r="J206" i="23"/>
  <c r="K206" i="23" s="1"/>
  <c r="I206" i="23"/>
  <c r="J205" i="23"/>
  <c r="K205" i="23" s="1"/>
  <c r="I205" i="23"/>
  <c r="M205" i="23" s="1"/>
  <c r="J204" i="23"/>
  <c r="K204" i="23" s="1"/>
  <c r="I204" i="23"/>
  <c r="M204" i="23" s="1"/>
  <c r="K203" i="23"/>
  <c r="J203" i="23"/>
  <c r="I203" i="23"/>
  <c r="M203" i="23" s="1"/>
  <c r="J202" i="23"/>
  <c r="K202" i="23" s="1"/>
  <c r="I202" i="23"/>
  <c r="M202" i="23" s="1"/>
  <c r="K201" i="23"/>
  <c r="J201" i="23"/>
  <c r="I201" i="23"/>
  <c r="M201" i="23" s="1"/>
  <c r="K200" i="23"/>
  <c r="J200" i="23"/>
  <c r="I200" i="23"/>
  <c r="M200" i="23" s="1"/>
  <c r="K199" i="23"/>
  <c r="J199" i="23"/>
  <c r="I199" i="23"/>
  <c r="M199" i="23" s="1"/>
  <c r="J198" i="23"/>
  <c r="K198" i="23" s="1"/>
  <c r="I198" i="23"/>
  <c r="M198" i="23" s="1"/>
  <c r="J197" i="23"/>
  <c r="K197" i="23" s="1"/>
  <c r="I197" i="23"/>
  <c r="M197" i="23" s="1"/>
  <c r="J196" i="23"/>
  <c r="K196" i="23" s="1"/>
  <c r="I196" i="23"/>
  <c r="M196" i="23" s="1"/>
  <c r="J195" i="23"/>
  <c r="K195" i="23" s="1"/>
  <c r="I195" i="23"/>
  <c r="M195" i="23" s="1"/>
  <c r="M194" i="23"/>
  <c r="K194" i="23"/>
  <c r="J194" i="23"/>
  <c r="I194" i="23"/>
  <c r="K193" i="23"/>
  <c r="J193" i="23"/>
  <c r="I193" i="23"/>
  <c r="M193" i="23" s="1"/>
  <c r="M192" i="23"/>
  <c r="K192" i="23"/>
  <c r="J192" i="23"/>
  <c r="I192" i="23"/>
  <c r="J191" i="23"/>
  <c r="K191" i="23" s="1"/>
  <c r="I191" i="23"/>
  <c r="M191" i="23" s="1"/>
  <c r="M190" i="23"/>
  <c r="J190" i="23"/>
  <c r="K190" i="23" s="1"/>
  <c r="I190" i="23"/>
  <c r="J189" i="23"/>
  <c r="K189" i="23" s="1"/>
  <c r="I189" i="23"/>
  <c r="M189" i="23" s="1"/>
  <c r="J188" i="23"/>
  <c r="K188" i="23" s="1"/>
  <c r="I188" i="23"/>
  <c r="M188" i="23" s="1"/>
  <c r="K187" i="23"/>
  <c r="J187" i="23"/>
  <c r="I187" i="23"/>
  <c r="M187" i="23" s="1"/>
  <c r="J186" i="23"/>
  <c r="K186" i="23" s="1"/>
  <c r="I186" i="23"/>
  <c r="M186" i="23" s="1"/>
  <c r="K185" i="23"/>
  <c r="J185" i="23"/>
  <c r="I185" i="23"/>
  <c r="M185" i="23" s="1"/>
  <c r="K184" i="23"/>
  <c r="J184" i="23"/>
  <c r="I184" i="23"/>
  <c r="M184" i="23" s="1"/>
  <c r="J183" i="23"/>
  <c r="K183" i="23" s="1"/>
  <c r="I183" i="23"/>
  <c r="M183" i="23" s="1"/>
  <c r="J182" i="23"/>
  <c r="K182" i="23" s="1"/>
  <c r="I182" i="23"/>
  <c r="M182" i="23" s="1"/>
  <c r="J181" i="23"/>
  <c r="K181" i="23" s="1"/>
  <c r="I181" i="23"/>
  <c r="M181" i="23" s="1"/>
  <c r="J180" i="23"/>
  <c r="K180" i="23" s="1"/>
  <c r="I180" i="23"/>
  <c r="M180" i="23" s="1"/>
  <c r="J179" i="23"/>
  <c r="K179" i="23" s="1"/>
  <c r="I179" i="23"/>
  <c r="M179" i="23" s="1"/>
  <c r="M178" i="23"/>
  <c r="K178" i="23"/>
  <c r="J178" i="23"/>
  <c r="I178" i="23"/>
  <c r="K177" i="23"/>
  <c r="J177" i="23"/>
  <c r="I177" i="23"/>
  <c r="M177" i="23" s="1"/>
  <c r="M176" i="23"/>
  <c r="K176" i="23"/>
  <c r="J176" i="23"/>
  <c r="I176" i="23"/>
  <c r="J175" i="23"/>
  <c r="K175" i="23" s="1"/>
  <c r="I175" i="23"/>
  <c r="M175" i="23" s="1"/>
  <c r="M174" i="23"/>
  <c r="J174" i="23"/>
  <c r="K174" i="23" s="1"/>
  <c r="I174" i="23"/>
  <c r="J173" i="23"/>
  <c r="K173" i="23" s="1"/>
  <c r="I173" i="23"/>
  <c r="M173" i="23" s="1"/>
  <c r="K172" i="23"/>
  <c r="J172" i="23"/>
  <c r="I172" i="23"/>
  <c r="M172" i="23" s="1"/>
  <c r="K171" i="23"/>
  <c r="J171" i="23"/>
  <c r="I171" i="23"/>
  <c r="M171" i="23" s="1"/>
  <c r="J170" i="23"/>
  <c r="K170" i="23" s="1"/>
  <c r="I170" i="23"/>
  <c r="M170" i="23" s="1"/>
  <c r="K169" i="23"/>
  <c r="J169" i="23"/>
  <c r="I169" i="23"/>
  <c r="M169" i="23" s="1"/>
  <c r="K168" i="23"/>
  <c r="J168" i="23"/>
  <c r="I168" i="23"/>
  <c r="M168" i="23" s="1"/>
  <c r="J167" i="23"/>
  <c r="K167" i="23" s="1"/>
  <c r="I167" i="23"/>
  <c r="M167" i="23" s="1"/>
  <c r="J166" i="23"/>
  <c r="K166" i="23" s="1"/>
  <c r="I166" i="23"/>
  <c r="M166" i="23" s="1"/>
  <c r="J165" i="23"/>
  <c r="K165" i="23" s="1"/>
  <c r="I165" i="23"/>
  <c r="M165" i="23" s="1"/>
  <c r="J164" i="23"/>
  <c r="K164" i="23" s="1"/>
  <c r="I164" i="23"/>
  <c r="M164" i="23" s="1"/>
  <c r="J163" i="23"/>
  <c r="K163" i="23" s="1"/>
  <c r="I163" i="23"/>
  <c r="M163" i="23" s="1"/>
  <c r="M162" i="23"/>
  <c r="K162" i="23"/>
  <c r="J162" i="23"/>
  <c r="I162" i="23"/>
  <c r="K161" i="23"/>
  <c r="J161" i="23"/>
  <c r="I161" i="23"/>
  <c r="M161" i="23" s="1"/>
  <c r="M160" i="23"/>
  <c r="K160" i="23"/>
  <c r="J160" i="23"/>
  <c r="I160" i="23"/>
  <c r="J159" i="23"/>
  <c r="K159" i="23" s="1"/>
  <c r="I159" i="23"/>
  <c r="M159" i="23" s="1"/>
  <c r="M158" i="23"/>
  <c r="J158" i="23"/>
  <c r="K158" i="23" s="1"/>
  <c r="I158" i="23"/>
  <c r="J157" i="23"/>
  <c r="K157" i="23" s="1"/>
  <c r="I157" i="23"/>
  <c r="M157" i="23" s="1"/>
  <c r="J156" i="23"/>
  <c r="K156" i="23" s="1"/>
  <c r="I156" i="23"/>
  <c r="M156" i="23" s="1"/>
  <c r="K155" i="23"/>
  <c r="J155" i="23"/>
  <c r="I155" i="23"/>
  <c r="M155" i="23" s="1"/>
  <c r="J154" i="23"/>
  <c r="K154" i="23" s="1"/>
  <c r="I154" i="23"/>
  <c r="M154" i="23" s="1"/>
  <c r="K153" i="23"/>
  <c r="J153" i="23"/>
  <c r="I153" i="23"/>
  <c r="M153" i="23" s="1"/>
  <c r="K152" i="23"/>
  <c r="J152" i="23"/>
  <c r="I152" i="23"/>
  <c r="M152" i="23" s="1"/>
  <c r="J151" i="23"/>
  <c r="K151" i="23" s="1"/>
  <c r="I151" i="23"/>
  <c r="M151" i="23" s="1"/>
  <c r="J150" i="23"/>
  <c r="K150" i="23" s="1"/>
  <c r="I150" i="23"/>
  <c r="M150" i="23" s="1"/>
  <c r="K149" i="23"/>
  <c r="J149" i="23"/>
  <c r="I149" i="23"/>
  <c r="M149" i="23" s="1"/>
  <c r="J148" i="23"/>
  <c r="K148" i="23" s="1"/>
  <c r="I148" i="23"/>
  <c r="M148" i="23" s="1"/>
  <c r="J147" i="23"/>
  <c r="K147" i="23" s="1"/>
  <c r="I147" i="23"/>
  <c r="M147" i="23" s="1"/>
  <c r="M146" i="23"/>
  <c r="K146" i="23"/>
  <c r="J146" i="23"/>
  <c r="I146" i="23"/>
  <c r="K145" i="23"/>
  <c r="J145" i="23"/>
  <c r="I145" i="23"/>
  <c r="M145" i="23" s="1"/>
  <c r="M144" i="23"/>
  <c r="K144" i="23"/>
  <c r="J144" i="23"/>
  <c r="I144" i="23"/>
  <c r="J143" i="23"/>
  <c r="K143" i="23" s="1"/>
  <c r="I143" i="23"/>
  <c r="M143" i="23" s="1"/>
  <c r="M142" i="23"/>
  <c r="J142" i="23"/>
  <c r="K142" i="23" s="1"/>
  <c r="I142" i="23"/>
  <c r="J141" i="23"/>
  <c r="K141" i="23" s="1"/>
  <c r="I141" i="23"/>
  <c r="M141" i="23" s="1"/>
  <c r="J140" i="23"/>
  <c r="K140" i="23" s="1"/>
  <c r="I140" i="23"/>
  <c r="M140" i="23" s="1"/>
  <c r="K139" i="23"/>
  <c r="J139" i="23"/>
  <c r="I139" i="23"/>
  <c r="M139" i="23" s="1"/>
  <c r="J138" i="23"/>
  <c r="K138" i="23" s="1"/>
  <c r="I138" i="23"/>
  <c r="M138" i="23" s="1"/>
  <c r="K137" i="23"/>
  <c r="J137" i="23"/>
  <c r="I137" i="23"/>
  <c r="M137" i="23" s="1"/>
  <c r="K136" i="23"/>
  <c r="J136" i="23"/>
  <c r="I136" i="23"/>
  <c r="M136" i="23" s="1"/>
  <c r="J135" i="23"/>
  <c r="K135" i="23" s="1"/>
  <c r="I135" i="23"/>
  <c r="M135" i="23" s="1"/>
  <c r="J134" i="23"/>
  <c r="K134" i="23" s="1"/>
  <c r="I134" i="23"/>
  <c r="M134" i="23" s="1"/>
  <c r="K133" i="23"/>
  <c r="J133" i="23"/>
  <c r="I133" i="23"/>
  <c r="M133" i="23" s="1"/>
  <c r="J132" i="23"/>
  <c r="K132" i="23" s="1"/>
  <c r="I132" i="23"/>
  <c r="M132" i="23" s="1"/>
  <c r="J131" i="23"/>
  <c r="K131" i="23" s="1"/>
  <c r="I131" i="23"/>
  <c r="M131" i="23" s="1"/>
  <c r="M130" i="23"/>
  <c r="K130" i="23"/>
  <c r="J130" i="23"/>
  <c r="I130" i="23"/>
  <c r="K129" i="23"/>
  <c r="J129" i="23"/>
  <c r="I129" i="23"/>
  <c r="M129" i="23" s="1"/>
  <c r="M128" i="23"/>
  <c r="K128" i="23"/>
  <c r="J128" i="23"/>
  <c r="I128" i="23"/>
  <c r="J127" i="23"/>
  <c r="K127" i="23" s="1"/>
  <c r="I127" i="23"/>
  <c r="M127" i="23" s="1"/>
  <c r="M126" i="23"/>
  <c r="J126" i="23"/>
  <c r="K126" i="23" s="1"/>
  <c r="I126" i="23"/>
  <c r="J125" i="23"/>
  <c r="K125" i="23" s="1"/>
  <c r="I125" i="23"/>
  <c r="M125" i="23" s="1"/>
  <c r="K124" i="23"/>
  <c r="J124" i="23"/>
  <c r="I124" i="23"/>
  <c r="M124" i="23" s="1"/>
  <c r="K123" i="23"/>
  <c r="J123" i="23"/>
  <c r="I123" i="23"/>
  <c r="M123" i="23" s="1"/>
  <c r="M122" i="23"/>
  <c r="J122" i="23"/>
  <c r="K122" i="23" s="1"/>
  <c r="I122" i="23"/>
  <c r="K121" i="23"/>
  <c r="J121" i="23"/>
  <c r="I121" i="23"/>
  <c r="M121" i="23" s="1"/>
  <c r="K120" i="23"/>
  <c r="J120" i="23"/>
  <c r="I120" i="23"/>
  <c r="M120" i="23" s="1"/>
  <c r="J119" i="23"/>
  <c r="K119" i="23" s="1"/>
  <c r="I119" i="23"/>
  <c r="M119" i="23" s="1"/>
  <c r="J118" i="23"/>
  <c r="K118" i="23" s="1"/>
  <c r="I118" i="23"/>
  <c r="M118" i="23" s="1"/>
  <c r="J117" i="23"/>
  <c r="K117" i="23" s="1"/>
  <c r="I117" i="23"/>
  <c r="M117" i="23" s="1"/>
  <c r="J116" i="23"/>
  <c r="K116" i="23" s="1"/>
  <c r="I116" i="23"/>
  <c r="M116" i="23" s="1"/>
  <c r="J115" i="23"/>
  <c r="K115" i="23" s="1"/>
  <c r="I115" i="23"/>
  <c r="M115" i="23" s="1"/>
  <c r="M114" i="23"/>
  <c r="K114" i="23"/>
  <c r="J114" i="23"/>
  <c r="I114" i="23"/>
  <c r="K113" i="23"/>
  <c r="J113" i="23"/>
  <c r="I113" i="23"/>
  <c r="M113" i="23" s="1"/>
  <c r="M112" i="23"/>
  <c r="K112" i="23"/>
  <c r="J112" i="23"/>
  <c r="I112" i="23"/>
  <c r="J111" i="23"/>
  <c r="K111" i="23" s="1"/>
  <c r="I111" i="23"/>
  <c r="M111" i="23" s="1"/>
  <c r="M110" i="23"/>
  <c r="J110" i="23"/>
  <c r="K110" i="23" s="1"/>
  <c r="I110" i="23"/>
  <c r="J109" i="23"/>
  <c r="K109" i="23" s="1"/>
  <c r="I109" i="23"/>
  <c r="M109" i="23" s="1"/>
  <c r="K108" i="23"/>
  <c r="J108" i="23"/>
  <c r="I108" i="23"/>
  <c r="M108" i="23" s="1"/>
  <c r="K107" i="23"/>
  <c r="J107" i="23"/>
  <c r="I107" i="23"/>
  <c r="M107" i="23" s="1"/>
  <c r="J106" i="23"/>
  <c r="K106" i="23" s="1"/>
  <c r="I106" i="23"/>
  <c r="M106" i="23" s="1"/>
  <c r="K105" i="23"/>
  <c r="J105" i="23"/>
  <c r="I105" i="23"/>
  <c r="M105" i="23" s="1"/>
  <c r="K104" i="23"/>
  <c r="J104" i="23"/>
  <c r="I104" i="23"/>
  <c r="M104" i="23" s="1"/>
  <c r="J103" i="23"/>
  <c r="K103" i="23" s="1"/>
  <c r="I103" i="23"/>
  <c r="M103" i="23" s="1"/>
  <c r="J102" i="23"/>
  <c r="K102" i="23" s="1"/>
  <c r="I102" i="23"/>
  <c r="M102" i="23" s="1"/>
  <c r="J101" i="23"/>
  <c r="K101" i="23" s="1"/>
  <c r="I101" i="23"/>
  <c r="M101" i="23" s="1"/>
  <c r="J100" i="23"/>
  <c r="K100" i="23" s="1"/>
  <c r="I100" i="23"/>
  <c r="M100" i="23" s="1"/>
  <c r="J99" i="23"/>
  <c r="K99" i="23" s="1"/>
  <c r="I99" i="23"/>
  <c r="M99" i="23" s="1"/>
  <c r="M98" i="23"/>
  <c r="K98" i="23"/>
  <c r="J98" i="23"/>
  <c r="I98" i="23"/>
  <c r="K97" i="23"/>
  <c r="J97" i="23"/>
  <c r="I97" i="23"/>
  <c r="M97" i="23" s="1"/>
  <c r="M96" i="23"/>
  <c r="K96" i="23"/>
  <c r="J96" i="23"/>
  <c r="I96" i="23"/>
  <c r="J95" i="23"/>
  <c r="K95" i="23" s="1"/>
  <c r="I95" i="23"/>
  <c r="M95" i="23" s="1"/>
  <c r="M94" i="23"/>
  <c r="J94" i="23"/>
  <c r="K94" i="23" s="1"/>
  <c r="I94" i="23"/>
  <c r="J93" i="23"/>
  <c r="K93" i="23" s="1"/>
  <c r="I93" i="23"/>
  <c r="M93" i="23" s="1"/>
  <c r="J92" i="23"/>
  <c r="K92" i="23" s="1"/>
  <c r="I92" i="23"/>
  <c r="M92" i="23" s="1"/>
  <c r="K91" i="23"/>
  <c r="J91" i="23"/>
  <c r="I91" i="23"/>
  <c r="M91" i="23" s="1"/>
  <c r="J90" i="23"/>
  <c r="K90" i="23" s="1"/>
  <c r="I90" i="23"/>
  <c r="M90" i="23" s="1"/>
  <c r="K89" i="23"/>
  <c r="J89" i="23"/>
  <c r="I89" i="23"/>
  <c r="M89" i="23" s="1"/>
  <c r="K88" i="23"/>
  <c r="J88" i="23"/>
  <c r="I88" i="23"/>
  <c r="M88" i="23" s="1"/>
  <c r="J87" i="23"/>
  <c r="K87" i="23" s="1"/>
  <c r="I87" i="23"/>
  <c r="M87" i="23" s="1"/>
  <c r="J86" i="23"/>
  <c r="K86" i="23" s="1"/>
  <c r="I86" i="23"/>
  <c r="M86" i="23" s="1"/>
  <c r="K85" i="23"/>
  <c r="J85" i="23"/>
  <c r="I85" i="23"/>
  <c r="M85" i="23" s="1"/>
  <c r="J84" i="23"/>
  <c r="K84" i="23" s="1"/>
  <c r="I84" i="23"/>
  <c r="M84" i="23" s="1"/>
  <c r="J83" i="23"/>
  <c r="K83" i="23" s="1"/>
  <c r="I83" i="23"/>
  <c r="M83" i="23" s="1"/>
  <c r="M82" i="23"/>
  <c r="K82" i="23"/>
  <c r="J82" i="23"/>
  <c r="I82" i="23"/>
  <c r="J81" i="23"/>
  <c r="K81" i="23" s="1"/>
  <c r="I81" i="23"/>
  <c r="M81" i="23" s="1"/>
  <c r="M80" i="23"/>
  <c r="J80" i="23"/>
  <c r="K80" i="23" s="1"/>
  <c r="I80" i="23"/>
  <c r="J79" i="23"/>
  <c r="K79" i="23" s="1"/>
  <c r="I79" i="23"/>
  <c r="M79" i="23" s="1"/>
  <c r="M78" i="23"/>
  <c r="J78" i="23"/>
  <c r="K78" i="23" s="1"/>
  <c r="I78" i="23"/>
  <c r="J77" i="23"/>
  <c r="K77" i="23" s="1"/>
  <c r="I77" i="23"/>
  <c r="M77" i="23" s="1"/>
  <c r="M76" i="23"/>
  <c r="J76" i="23"/>
  <c r="K76" i="23" s="1"/>
  <c r="I76" i="23"/>
  <c r="M75" i="23"/>
  <c r="J75" i="23"/>
  <c r="K75" i="23" s="1"/>
  <c r="I75" i="23"/>
  <c r="M74" i="23"/>
  <c r="J74" i="23"/>
  <c r="K74" i="23" s="1"/>
  <c r="I74" i="23"/>
  <c r="J73" i="23"/>
  <c r="K73" i="23" s="1"/>
  <c r="I73" i="23"/>
  <c r="M73" i="23" s="1"/>
  <c r="M72" i="23"/>
  <c r="J72" i="23"/>
  <c r="K72" i="23" s="1"/>
  <c r="I72" i="23"/>
  <c r="J71" i="23"/>
  <c r="K71" i="23" s="1"/>
  <c r="I71" i="23"/>
  <c r="M71" i="23" s="1"/>
  <c r="M70" i="23"/>
  <c r="J70" i="23"/>
  <c r="K70" i="23" s="1"/>
  <c r="I70" i="23"/>
  <c r="J69" i="23"/>
  <c r="K69" i="23" s="1"/>
  <c r="I69" i="23"/>
  <c r="M69" i="23" s="1"/>
  <c r="M68" i="23"/>
  <c r="J68" i="23"/>
  <c r="K68" i="23" s="1"/>
  <c r="I68" i="23"/>
  <c r="M67" i="23"/>
  <c r="J67" i="23"/>
  <c r="K67" i="23" s="1"/>
  <c r="I67" i="23"/>
  <c r="M66" i="23"/>
  <c r="J66" i="23"/>
  <c r="K66" i="23" s="1"/>
  <c r="I66" i="23"/>
  <c r="J65" i="23"/>
  <c r="K65" i="23" s="1"/>
  <c r="I65" i="23"/>
  <c r="M65" i="23" s="1"/>
  <c r="B65" i="23"/>
  <c r="J64" i="23"/>
  <c r="K64" i="23" s="1"/>
  <c r="I64" i="23"/>
  <c r="M64" i="23" s="1"/>
  <c r="B64" i="23"/>
  <c r="M63" i="23"/>
  <c r="J63" i="23"/>
  <c r="K63" i="23" s="1"/>
  <c r="I63" i="23"/>
  <c r="B63" i="23"/>
  <c r="K62" i="23"/>
  <c r="J62" i="23"/>
  <c r="I62" i="23"/>
  <c r="M62" i="23" s="1"/>
  <c r="B62" i="23"/>
  <c r="M61" i="23"/>
  <c r="J61" i="23"/>
  <c r="K61" i="23" s="1"/>
  <c r="I61" i="23"/>
  <c r="B61" i="23"/>
  <c r="J60" i="23"/>
  <c r="K60" i="23" s="1"/>
  <c r="I60" i="23"/>
  <c r="M60" i="23" s="1"/>
  <c r="B60" i="23"/>
  <c r="J59" i="23"/>
  <c r="K59" i="23" s="1"/>
  <c r="I59" i="23"/>
  <c r="M59" i="23" s="1"/>
  <c r="B59" i="23"/>
  <c r="M58" i="23"/>
  <c r="K58" i="23"/>
  <c r="J58" i="23"/>
  <c r="I58" i="23"/>
  <c r="B58" i="23"/>
  <c r="J57" i="23"/>
  <c r="K57" i="23" s="1"/>
  <c r="I57" i="23"/>
  <c r="M57" i="23" s="1"/>
  <c r="B57" i="23"/>
  <c r="J56" i="23"/>
  <c r="K56" i="23" s="1"/>
  <c r="I56" i="23"/>
  <c r="M56" i="23" s="1"/>
  <c r="B56" i="23"/>
  <c r="M55" i="23"/>
  <c r="J55" i="23"/>
  <c r="K55" i="23" s="1"/>
  <c r="I55" i="23"/>
  <c r="B55" i="23"/>
  <c r="K54" i="23"/>
  <c r="J54" i="23"/>
  <c r="I54" i="23"/>
  <c r="M54" i="23" s="1"/>
  <c r="B54" i="23"/>
  <c r="M53" i="23"/>
  <c r="J53" i="23"/>
  <c r="K53" i="23" s="1"/>
  <c r="I53" i="23"/>
  <c r="B53" i="23"/>
  <c r="J52" i="23"/>
  <c r="K52" i="23" s="1"/>
  <c r="I52" i="23"/>
  <c r="M52" i="23" s="1"/>
  <c r="B52" i="23"/>
  <c r="J51" i="23"/>
  <c r="K51" i="23" s="1"/>
  <c r="I51" i="23"/>
  <c r="M51" i="23" s="1"/>
  <c r="B51" i="23"/>
  <c r="M50" i="23"/>
  <c r="K50" i="23"/>
  <c r="J50" i="23"/>
  <c r="I50" i="23"/>
  <c r="B50" i="23"/>
  <c r="J49" i="23"/>
  <c r="K49" i="23" s="1"/>
  <c r="I49" i="23"/>
  <c r="M49" i="23" s="1"/>
  <c r="B49" i="23"/>
  <c r="J48" i="23"/>
  <c r="K48" i="23" s="1"/>
  <c r="I48" i="23"/>
  <c r="M48" i="23" s="1"/>
  <c r="B48" i="23"/>
  <c r="M47" i="23"/>
  <c r="J47" i="23"/>
  <c r="K47" i="23" s="1"/>
  <c r="I47" i="23"/>
  <c r="B47" i="23"/>
  <c r="T46" i="23"/>
  <c r="R46" i="23"/>
  <c r="U46" i="23" s="1"/>
  <c r="M46" i="23"/>
  <c r="J46" i="23"/>
  <c r="K46" i="23" s="1"/>
  <c r="I46" i="23"/>
  <c r="B46" i="23"/>
  <c r="K45" i="23"/>
  <c r="J45" i="23"/>
  <c r="I45" i="23"/>
  <c r="M45" i="23" s="1"/>
  <c r="B45" i="23"/>
  <c r="M44" i="23"/>
  <c r="J44" i="23"/>
  <c r="K44" i="23" s="1"/>
  <c r="I44" i="23"/>
  <c r="B44" i="23"/>
  <c r="K43" i="23"/>
  <c r="J43" i="23"/>
  <c r="I43" i="23"/>
  <c r="M43" i="23" s="1"/>
  <c r="B43" i="23"/>
  <c r="J42" i="23"/>
  <c r="K42" i="23" s="1"/>
  <c r="I42" i="23"/>
  <c r="M42" i="23" s="1"/>
  <c r="B42" i="23"/>
  <c r="M41" i="23"/>
  <c r="K41" i="23"/>
  <c r="J41" i="23"/>
  <c r="I41" i="23"/>
  <c r="B41" i="23"/>
  <c r="J40" i="23"/>
  <c r="K40" i="23" s="1"/>
  <c r="I40" i="23"/>
  <c r="M40" i="23" s="1"/>
  <c r="B40" i="23"/>
  <c r="J39" i="23"/>
  <c r="K39" i="23" s="1"/>
  <c r="I39" i="23"/>
  <c r="M39" i="23" s="1"/>
  <c r="B39" i="23"/>
  <c r="M38" i="23"/>
  <c r="J38" i="23"/>
  <c r="K38" i="23" s="1"/>
  <c r="I38" i="23"/>
  <c r="B38" i="23"/>
  <c r="K37" i="23"/>
  <c r="J37" i="23"/>
  <c r="I37" i="23"/>
  <c r="M37" i="23" s="1"/>
  <c r="B37" i="23"/>
  <c r="A37" i="23"/>
  <c r="J36" i="23"/>
  <c r="K36" i="23" s="1"/>
  <c r="I36" i="23"/>
  <c r="M36" i="23" s="1"/>
  <c r="B36" i="23"/>
  <c r="A36" i="23"/>
  <c r="M35" i="23"/>
  <c r="K35" i="23"/>
  <c r="J35" i="23"/>
  <c r="I35" i="23"/>
  <c r="B35" i="23"/>
  <c r="A35" i="23"/>
  <c r="M34" i="23"/>
  <c r="A34" i="23" s="1"/>
  <c r="K34" i="23"/>
  <c r="J34" i="23"/>
  <c r="I34" i="23"/>
  <c r="B34" i="23"/>
  <c r="J33" i="23"/>
  <c r="K33" i="23" s="1"/>
  <c r="I33" i="23"/>
  <c r="M33" i="23" s="1"/>
  <c r="B33" i="23"/>
  <c r="A33" i="23"/>
  <c r="J32" i="23"/>
  <c r="K32" i="23" s="1"/>
  <c r="I32" i="23"/>
  <c r="M32" i="23" s="1"/>
  <c r="B32" i="23"/>
  <c r="A32" i="23"/>
  <c r="M31" i="23"/>
  <c r="A31" i="23" s="1"/>
  <c r="K31" i="23"/>
  <c r="J31" i="23"/>
  <c r="I31" i="23"/>
  <c r="B31" i="23"/>
  <c r="J30" i="23"/>
  <c r="K30" i="23" s="1"/>
  <c r="I30" i="23"/>
  <c r="M30" i="23" s="1"/>
  <c r="A30" i="23" s="1"/>
  <c r="B30" i="23"/>
  <c r="K29" i="23"/>
  <c r="J29" i="23"/>
  <c r="I29" i="23"/>
  <c r="M29" i="23" s="1"/>
  <c r="B29" i="23"/>
  <c r="A29" i="23"/>
  <c r="J28" i="23"/>
  <c r="K28" i="23" s="1"/>
  <c r="I28" i="23"/>
  <c r="M28" i="23" s="1"/>
  <c r="B28" i="23"/>
  <c r="A28" i="23"/>
  <c r="M27" i="23"/>
  <c r="K27" i="23"/>
  <c r="J27" i="23"/>
  <c r="I27" i="23"/>
  <c r="B27" i="23"/>
  <c r="A27" i="23"/>
  <c r="M26" i="23"/>
  <c r="A26" i="23" s="1"/>
  <c r="K26" i="23"/>
  <c r="J26" i="23"/>
  <c r="I26" i="23"/>
  <c r="B26" i="23"/>
  <c r="J25" i="23"/>
  <c r="K25" i="23" s="1"/>
  <c r="I25" i="23"/>
  <c r="M25" i="23" s="1"/>
  <c r="B25" i="23"/>
  <c r="A25" i="23"/>
  <c r="J24" i="23"/>
  <c r="K24" i="23" s="1"/>
  <c r="I24" i="23"/>
  <c r="M24" i="23" s="1"/>
  <c r="B24" i="23"/>
  <c r="A24" i="23"/>
  <c r="M23" i="23"/>
  <c r="A23" i="23" s="1"/>
  <c r="K23" i="23"/>
  <c r="J23" i="23"/>
  <c r="I23" i="23"/>
  <c r="B23" i="23"/>
  <c r="J22" i="23"/>
  <c r="K22" i="23" s="1"/>
  <c r="I22" i="23"/>
  <c r="M22" i="23" s="1"/>
  <c r="A22" i="23" s="1"/>
  <c r="B22" i="23"/>
  <c r="K21" i="23"/>
  <c r="J21" i="23"/>
  <c r="I21" i="23"/>
  <c r="M21" i="23" s="1"/>
  <c r="B21" i="23"/>
  <c r="A21" i="23"/>
  <c r="J20" i="23"/>
  <c r="K20" i="23" s="1"/>
  <c r="I20" i="23"/>
  <c r="M20" i="23" s="1"/>
  <c r="B20" i="23"/>
  <c r="A20" i="23"/>
  <c r="M19" i="23"/>
  <c r="K19" i="23"/>
  <c r="J19" i="23"/>
  <c r="I19" i="23"/>
  <c r="B19" i="23"/>
  <c r="A19" i="23"/>
  <c r="M18" i="23"/>
  <c r="A18" i="23" s="1"/>
  <c r="K18" i="23"/>
  <c r="J18" i="23"/>
  <c r="I18" i="23"/>
  <c r="B18" i="23"/>
  <c r="J17" i="23"/>
  <c r="K17" i="23" s="1"/>
  <c r="I17" i="23"/>
  <c r="M17" i="23" s="1"/>
  <c r="B17" i="23"/>
  <c r="A17" i="23"/>
  <c r="J16" i="23"/>
  <c r="K16" i="23" s="1"/>
  <c r="I16" i="23"/>
  <c r="M16" i="23" s="1"/>
  <c r="B16" i="23"/>
  <c r="A16" i="23"/>
  <c r="M15" i="23"/>
  <c r="A15" i="23" s="1"/>
  <c r="K15" i="23"/>
  <c r="J15" i="23"/>
  <c r="I15" i="23"/>
  <c r="B15" i="23"/>
  <c r="AI14" i="23"/>
  <c r="M14" i="23"/>
  <c r="A14" i="23" s="1"/>
  <c r="K14" i="23"/>
  <c r="J14" i="23"/>
  <c r="I14" i="23"/>
  <c r="B14" i="23"/>
  <c r="AI13" i="23"/>
  <c r="M13" i="23"/>
  <c r="A13" i="23" s="1"/>
  <c r="J13" i="23"/>
  <c r="K13" i="23" s="1"/>
  <c r="I13" i="23"/>
  <c r="B13" i="23"/>
  <c r="AI12" i="23"/>
  <c r="AI16" i="23" s="1"/>
  <c r="K12" i="23"/>
  <c r="J12" i="23"/>
  <c r="I12" i="23"/>
  <c r="M12" i="23" s="1"/>
  <c r="A12" i="23" s="1"/>
  <c r="B12" i="23"/>
  <c r="K11" i="23"/>
  <c r="J11" i="23"/>
  <c r="I11" i="23"/>
  <c r="M11" i="23" s="1"/>
  <c r="A11" i="23" s="1"/>
  <c r="B11" i="23"/>
  <c r="J10" i="23"/>
  <c r="K10" i="23" s="1"/>
  <c r="I10" i="23"/>
  <c r="M10" i="23" s="1"/>
  <c r="B10" i="23"/>
  <c r="A10" i="23"/>
  <c r="M9" i="23"/>
  <c r="A9" i="23" s="1"/>
  <c r="L9" i="23"/>
  <c r="K9" i="23"/>
  <c r="I9" i="23"/>
  <c r="B9" i="23"/>
  <c r="L8" i="23"/>
  <c r="K8" i="23"/>
  <c r="I8" i="23"/>
  <c r="M8" i="23" s="1"/>
  <c r="A8" i="23" s="1"/>
  <c r="B8" i="23"/>
  <c r="L7" i="23"/>
  <c r="K7" i="23"/>
  <c r="I7" i="23"/>
  <c r="M7" i="23" s="1"/>
  <c r="B7" i="23"/>
  <c r="A7" i="23"/>
  <c r="K6" i="23"/>
  <c r="I6" i="23"/>
  <c r="M6" i="23" s="1"/>
  <c r="A6" i="23" s="1"/>
  <c r="B6" i="23"/>
  <c r="K2" i="23"/>
  <c r="L6" i="23" s="1"/>
  <c r="J374" i="22"/>
  <c r="J373" i="22"/>
  <c r="J372" i="22"/>
  <c r="J371" i="22"/>
  <c r="J370" i="22"/>
  <c r="J369" i="22"/>
  <c r="J368" i="22"/>
  <c r="J367" i="22"/>
  <c r="J366" i="22"/>
  <c r="J365" i="22"/>
  <c r="J364" i="22"/>
  <c r="J363" i="22"/>
  <c r="J362" i="22"/>
  <c r="J361" i="22"/>
  <c r="J360" i="22"/>
  <c r="J359" i="22"/>
  <c r="J358" i="22"/>
  <c r="J357" i="22"/>
  <c r="J356" i="22"/>
  <c r="J355" i="22"/>
  <c r="J354" i="22"/>
  <c r="J353" i="22"/>
  <c r="J352" i="22"/>
  <c r="J351" i="22"/>
  <c r="J350" i="22"/>
  <c r="J349" i="22"/>
  <c r="J348" i="22"/>
  <c r="J347" i="22"/>
  <c r="J346" i="22"/>
  <c r="J345" i="22"/>
  <c r="J344" i="22"/>
  <c r="J343" i="22"/>
  <c r="J342" i="22"/>
  <c r="J341" i="22"/>
  <c r="J340" i="22"/>
  <c r="J339" i="22"/>
  <c r="J338" i="22"/>
  <c r="J337" i="22"/>
  <c r="J336" i="22"/>
  <c r="J335" i="22"/>
  <c r="J334" i="22"/>
  <c r="J333" i="22"/>
  <c r="J332" i="22"/>
  <c r="J331" i="22"/>
  <c r="J330" i="22"/>
  <c r="J329" i="22"/>
  <c r="J328" i="22"/>
  <c r="J327" i="22"/>
  <c r="J326" i="22"/>
  <c r="J325" i="22"/>
  <c r="J324" i="22"/>
  <c r="J323" i="22"/>
  <c r="J322" i="22"/>
  <c r="J321" i="22"/>
  <c r="J320" i="22"/>
  <c r="J319" i="22"/>
  <c r="J318" i="22"/>
  <c r="J317" i="22"/>
  <c r="J316" i="22"/>
  <c r="J315" i="22"/>
  <c r="J314" i="22"/>
  <c r="J313" i="22"/>
  <c r="J312" i="22"/>
  <c r="J311" i="22"/>
  <c r="J310" i="22"/>
  <c r="J309" i="22"/>
  <c r="J308" i="22"/>
  <c r="J307" i="22"/>
  <c r="J306" i="22"/>
  <c r="K305" i="22"/>
  <c r="J305" i="22"/>
  <c r="I305" i="22"/>
  <c r="M305" i="22" s="1"/>
  <c r="J304" i="22"/>
  <c r="K304" i="22" s="1"/>
  <c r="I304" i="22"/>
  <c r="M304" i="22" s="1"/>
  <c r="M303" i="22"/>
  <c r="K303" i="22"/>
  <c r="J303" i="22"/>
  <c r="I303" i="22"/>
  <c r="J302" i="22"/>
  <c r="K302" i="22" s="1"/>
  <c r="I302" i="22"/>
  <c r="M302" i="22" s="1"/>
  <c r="J301" i="22"/>
  <c r="K301" i="22" s="1"/>
  <c r="I301" i="22"/>
  <c r="M301" i="22" s="1"/>
  <c r="J300" i="22"/>
  <c r="K300" i="22" s="1"/>
  <c r="I300" i="22"/>
  <c r="M300" i="22" s="1"/>
  <c r="J299" i="22"/>
  <c r="K299" i="22" s="1"/>
  <c r="I299" i="22"/>
  <c r="M299" i="22" s="1"/>
  <c r="J298" i="22"/>
  <c r="K298" i="22" s="1"/>
  <c r="I298" i="22"/>
  <c r="M298" i="22" s="1"/>
  <c r="K297" i="22"/>
  <c r="J297" i="22"/>
  <c r="I297" i="22"/>
  <c r="M297" i="22" s="1"/>
  <c r="J296" i="22"/>
  <c r="K296" i="22" s="1"/>
  <c r="I296" i="22"/>
  <c r="M296" i="22" s="1"/>
  <c r="M295" i="22"/>
  <c r="K295" i="22"/>
  <c r="J295" i="22"/>
  <c r="I295" i="22"/>
  <c r="J294" i="22"/>
  <c r="K294" i="22" s="1"/>
  <c r="I294" i="22"/>
  <c r="M294" i="22" s="1"/>
  <c r="J293" i="22"/>
  <c r="K293" i="22" s="1"/>
  <c r="I293" i="22"/>
  <c r="M293" i="22" s="1"/>
  <c r="J292" i="22"/>
  <c r="K292" i="22" s="1"/>
  <c r="I292" i="22"/>
  <c r="M292" i="22" s="1"/>
  <c r="J291" i="22"/>
  <c r="K291" i="22" s="1"/>
  <c r="I291" i="22"/>
  <c r="M291" i="22" s="1"/>
  <c r="J290" i="22"/>
  <c r="K290" i="22" s="1"/>
  <c r="I290" i="22"/>
  <c r="M290" i="22" s="1"/>
  <c r="K289" i="22"/>
  <c r="J289" i="22"/>
  <c r="I289" i="22"/>
  <c r="M289" i="22" s="1"/>
  <c r="J288" i="22"/>
  <c r="K288" i="22" s="1"/>
  <c r="I288" i="22"/>
  <c r="M288" i="22" s="1"/>
  <c r="M287" i="22"/>
  <c r="K287" i="22"/>
  <c r="J287" i="22"/>
  <c r="I287" i="22"/>
  <c r="J286" i="22"/>
  <c r="K286" i="22" s="1"/>
  <c r="I286" i="22"/>
  <c r="M286" i="22" s="1"/>
  <c r="J285" i="22"/>
  <c r="K285" i="22" s="1"/>
  <c r="I285" i="22"/>
  <c r="M285" i="22" s="1"/>
  <c r="J284" i="22"/>
  <c r="K284" i="22" s="1"/>
  <c r="I284" i="22"/>
  <c r="M284" i="22" s="1"/>
  <c r="J283" i="22"/>
  <c r="K283" i="22" s="1"/>
  <c r="I283" i="22"/>
  <c r="M283" i="22" s="1"/>
  <c r="J282" i="22"/>
  <c r="K282" i="22" s="1"/>
  <c r="I282" i="22"/>
  <c r="M282" i="22" s="1"/>
  <c r="K281" i="22"/>
  <c r="J281" i="22"/>
  <c r="I281" i="22"/>
  <c r="M281" i="22" s="1"/>
  <c r="J280" i="22"/>
  <c r="K280" i="22" s="1"/>
  <c r="I280" i="22"/>
  <c r="M280" i="22" s="1"/>
  <c r="M279" i="22"/>
  <c r="K279" i="22"/>
  <c r="J279" i="22"/>
  <c r="I279" i="22"/>
  <c r="J278" i="22"/>
  <c r="K278" i="22" s="1"/>
  <c r="I278" i="22"/>
  <c r="M278" i="22" s="1"/>
  <c r="J277" i="22"/>
  <c r="K277" i="22" s="1"/>
  <c r="I277" i="22"/>
  <c r="M277" i="22" s="1"/>
  <c r="J276" i="22"/>
  <c r="K276" i="22" s="1"/>
  <c r="I276" i="22"/>
  <c r="M276" i="22" s="1"/>
  <c r="J275" i="22"/>
  <c r="K275" i="22" s="1"/>
  <c r="I275" i="22"/>
  <c r="M275" i="22" s="1"/>
  <c r="J274" i="22"/>
  <c r="K274" i="22" s="1"/>
  <c r="I274" i="22"/>
  <c r="M274" i="22" s="1"/>
  <c r="K273" i="22"/>
  <c r="J273" i="22"/>
  <c r="I273" i="22"/>
  <c r="M273" i="22" s="1"/>
  <c r="J272" i="22"/>
  <c r="K272" i="22" s="1"/>
  <c r="I272" i="22"/>
  <c r="M272" i="22" s="1"/>
  <c r="M271" i="22"/>
  <c r="K271" i="22"/>
  <c r="J271" i="22"/>
  <c r="I271" i="22"/>
  <c r="J270" i="22"/>
  <c r="K270" i="22" s="1"/>
  <c r="I270" i="22"/>
  <c r="M270" i="22" s="1"/>
  <c r="J269" i="22"/>
  <c r="K269" i="22" s="1"/>
  <c r="I269" i="22"/>
  <c r="M269" i="22" s="1"/>
  <c r="J268" i="22"/>
  <c r="K268" i="22" s="1"/>
  <c r="I268" i="22"/>
  <c r="M268" i="22" s="1"/>
  <c r="J267" i="22"/>
  <c r="K267" i="22" s="1"/>
  <c r="I267" i="22"/>
  <c r="M267" i="22" s="1"/>
  <c r="J266" i="22"/>
  <c r="K266" i="22" s="1"/>
  <c r="I266" i="22"/>
  <c r="M266" i="22" s="1"/>
  <c r="K265" i="22"/>
  <c r="J265" i="22"/>
  <c r="I265" i="22"/>
  <c r="M265" i="22" s="1"/>
  <c r="J264" i="22"/>
  <c r="K264" i="22" s="1"/>
  <c r="I264" i="22"/>
  <c r="M264" i="22" s="1"/>
  <c r="M263" i="22"/>
  <c r="K263" i="22"/>
  <c r="J263" i="22"/>
  <c r="I263" i="22"/>
  <c r="J262" i="22"/>
  <c r="K262" i="22" s="1"/>
  <c r="I262" i="22"/>
  <c r="M262" i="22" s="1"/>
  <c r="J261" i="22"/>
  <c r="K261" i="22" s="1"/>
  <c r="I261" i="22"/>
  <c r="M261" i="22" s="1"/>
  <c r="J260" i="22"/>
  <c r="K260" i="22" s="1"/>
  <c r="I260" i="22"/>
  <c r="M260" i="22" s="1"/>
  <c r="J259" i="22"/>
  <c r="K259" i="22" s="1"/>
  <c r="I259" i="22"/>
  <c r="M259" i="22" s="1"/>
  <c r="J258" i="22"/>
  <c r="K258" i="22" s="1"/>
  <c r="I258" i="22"/>
  <c r="M258" i="22" s="1"/>
  <c r="J257" i="22"/>
  <c r="K257" i="22" s="1"/>
  <c r="I257" i="22"/>
  <c r="M257" i="22" s="1"/>
  <c r="J256" i="22"/>
  <c r="K256" i="22" s="1"/>
  <c r="I256" i="22"/>
  <c r="M256" i="22" s="1"/>
  <c r="M255" i="22"/>
  <c r="K255" i="22"/>
  <c r="J255" i="22"/>
  <c r="I255" i="22"/>
  <c r="J254" i="22"/>
  <c r="K254" i="22" s="1"/>
  <c r="I254" i="22"/>
  <c r="M254" i="22" s="1"/>
  <c r="J253" i="22"/>
  <c r="K253" i="22" s="1"/>
  <c r="I253" i="22"/>
  <c r="M253" i="22" s="1"/>
  <c r="J252" i="22"/>
  <c r="K252" i="22" s="1"/>
  <c r="I252" i="22"/>
  <c r="M252" i="22" s="1"/>
  <c r="J251" i="22"/>
  <c r="K251" i="22" s="1"/>
  <c r="I251" i="22"/>
  <c r="M251" i="22" s="1"/>
  <c r="J250" i="22"/>
  <c r="K250" i="22" s="1"/>
  <c r="I250" i="22"/>
  <c r="M250" i="22" s="1"/>
  <c r="J249" i="22"/>
  <c r="K249" i="22" s="1"/>
  <c r="I249" i="22"/>
  <c r="M249" i="22" s="1"/>
  <c r="J248" i="22"/>
  <c r="K248" i="22" s="1"/>
  <c r="I248" i="22"/>
  <c r="M248" i="22" s="1"/>
  <c r="M247" i="22"/>
  <c r="K247" i="22"/>
  <c r="J247" i="22"/>
  <c r="I247" i="22"/>
  <c r="J246" i="22"/>
  <c r="K246" i="22" s="1"/>
  <c r="I246" i="22"/>
  <c r="M246" i="22" s="1"/>
  <c r="J245" i="22"/>
  <c r="K245" i="22" s="1"/>
  <c r="I245" i="22"/>
  <c r="M245" i="22" s="1"/>
  <c r="J244" i="22"/>
  <c r="K244" i="22" s="1"/>
  <c r="I244" i="22"/>
  <c r="M244" i="22" s="1"/>
  <c r="J243" i="22"/>
  <c r="K243" i="22" s="1"/>
  <c r="I243" i="22"/>
  <c r="M243" i="22" s="1"/>
  <c r="J242" i="22"/>
  <c r="K242" i="22" s="1"/>
  <c r="I242" i="22"/>
  <c r="M242" i="22" s="1"/>
  <c r="J241" i="22"/>
  <c r="K241" i="22" s="1"/>
  <c r="I241" i="22"/>
  <c r="M241" i="22" s="1"/>
  <c r="J240" i="22"/>
  <c r="K240" i="22" s="1"/>
  <c r="I240" i="22"/>
  <c r="M240" i="22" s="1"/>
  <c r="M239" i="22"/>
  <c r="K239" i="22"/>
  <c r="J239" i="22"/>
  <c r="I239" i="22"/>
  <c r="J238" i="22"/>
  <c r="K238" i="22" s="1"/>
  <c r="I238" i="22"/>
  <c r="M238" i="22" s="1"/>
  <c r="J237" i="22"/>
  <c r="K237" i="22" s="1"/>
  <c r="I237" i="22"/>
  <c r="M237" i="22" s="1"/>
  <c r="J236" i="22"/>
  <c r="K236" i="22" s="1"/>
  <c r="I236" i="22"/>
  <c r="M236" i="22" s="1"/>
  <c r="J235" i="22"/>
  <c r="K235" i="22" s="1"/>
  <c r="I235" i="22"/>
  <c r="M235" i="22" s="1"/>
  <c r="J234" i="22"/>
  <c r="K234" i="22" s="1"/>
  <c r="I234" i="22"/>
  <c r="M234" i="22" s="1"/>
  <c r="J233" i="22"/>
  <c r="K233" i="22" s="1"/>
  <c r="I233" i="22"/>
  <c r="M233" i="22" s="1"/>
  <c r="J232" i="22"/>
  <c r="K232" i="22" s="1"/>
  <c r="I232" i="22"/>
  <c r="M232" i="22" s="1"/>
  <c r="M231" i="22"/>
  <c r="K231" i="22"/>
  <c r="J231" i="22"/>
  <c r="I231" i="22"/>
  <c r="J230" i="22"/>
  <c r="K230" i="22" s="1"/>
  <c r="I230" i="22"/>
  <c r="M230" i="22" s="1"/>
  <c r="J229" i="22"/>
  <c r="K229" i="22" s="1"/>
  <c r="I229" i="22"/>
  <c r="M229" i="22" s="1"/>
  <c r="J228" i="22"/>
  <c r="K228" i="22" s="1"/>
  <c r="I228" i="22"/>
  <c r="M228" i="22" s="1"/>
  <c r="J227" i="22"/>
  <c r="K227" i="22" s="1"/>
  <c r="I227" i="22"/>
  <c r="M227" i="22" s="1"/>
  <c r="J226" i="22"/>
  <c r="K226" i="22" s="1"/>
  <c r="I226" i="22"/>
  <c r="M226" i="22" s="1"/>
  <c r="J225" i="22"/>
  <c r="K225" i="22" s="1"/>
  <c r="I225" i="22"/>
  <c r="M225" i="22" s="1"/>
  <c r="J224" i="22"/>
  <c r="K224" i="22" s="1"/>
  <c r="I224" i="22"/>
  <c r="M224" i="22" s="1"/>
  <c r="M223" i="22"/>
  <c r="K223" i="22"/>
  <c r="J223" i="22"/>
  <c r="I223" i="22"/>
  <c r="J222" i="22"/>
  <c r="K222" i="22" s="1"/>
  <c r="I222" i="22"/>
  <c r="M222" i="22" s="1"/>
  <c r="J221" i="22"/>
  <c r="K221" i="22" s="1"/>
  <c r="I221" i="22"/>
  <c r="M221" i="22" s="1"/>
  <c r="J220" i="22"/>
  <c r="K220" i="22" s="1"/>
  <c r="I220" i="22"/>
  <c r="M220" i="22" s="1"/>
  <c r="J219" i="22"/>
  <c r="K219" i="22" s="1"/>
  <c r="I219" i="22"/>
  <c r="M219" i="22" s="1"/>
  <c r="J218" i="22"/>
  <c r="K218" i="22" s="1"/>
  <c r="I218" i="22"/>
  <c r="M218" i="22" s="1"/>
  <c r="J217" i="22"/>
  <c r="K217" i="22" s="1"/>
  <c r="I217" i="22"/>
  <c r="M217" i="22" s="1"/>
  <c r="J216" i="22"/>
  <c r="K216" i="22" s="1"/>
  <c r="I216" i="22"/>
  <c r="M216" i="22" s="1"/>
  <c r="M215" i="22"/>
  <c r="K215" i="22"/>
  <c r="J215" i="22"/>
  <c r="I215" i="22"/>
  <c r="J214" i="22"/>
  <c r="K214" i="22" s="1"/>
  <c r="I214" i="22"/>
  <c r="M214" i="22" s="1"/>
  <c r="J213" i="22"/>
  <c r="K213" i="22" s="1"/>
  <c r="I213" i="22"/>
  <c r="M213" i="22" s="1"/>
  <c r="J212" i="22"/>
  <c r="K212" i="22" s="1"/>
  <c r="I212" i="22"/>
  <c r="M212" i="22" s="1"/>
  <c r="J211" i="22"/>
  <c r="K211" i="22" s="1"/>
  <c r="I211" i="22"/>
  <c r="M211" i="22" s="1"/>
  <c r="J210" i="22"/>
  <c r="K210" i="22" s="1"/>
  <c r="I210" i="22"/>
  <c r="M210" i="22" s="1"/>
  <c r="J209" i="22"/>
  <c r="K209" i="22" s="1"/>
  <c r="I209" i="22"/>
  <c r="M209" i="22" s="1"/>
  <c r="J208" i="22"/>
  <c r="K208" i="22" s="1"/>
  <c r="I208" i="22"/>
  <c r="M208" i="22" s="1"/>
  <c r="M207" i="22"/>
  <c r="K207" i="22"/>
  <c r="J207" i="22"/>
  <c r="I207" i="22"/>
  <c r="J206" i="22"/>
  <c r="K206" i="22" s="1"/>
  <c r="I206" i="22"/>
  <c r="M206" i="22" s="1"/>
  <c r="J205" i="22"/>
  <c r="K205" i="22" s="1"/>
  <c r="I205" i="22"/>
  <c r="M205" i="22" s="1"/>
  <c r="J204" i="22"/>
  <c r="K204" i="22" s="1"/>
  <c r="I204" i="22"/>
  <c r="M204" i="22" s="1"/>
  <c r="J203" i="22"/>
  <c r="K203" i="22" s="1"/>
  <c r="I203" i="22"/>
  <c r="M203" i="22" s="1"/>
  <c r="J202" i="22"/>
  <c r="K202" i="22" s="1"/>
  <c r="I202" i="22"/>
  <c r="M202" i="22" s="1"/>
  <c r="J201" i="22"/>
  <c r="K201" i="22" s="1"/>
  <c r="I201" i="22"/>
  <c r="M201" i="22" s="1"/>
  <c r="J200" i="22"/>
  <c r="K200" i="22" s="1"/>
  <c r="I200" i="22"/>
  <c r="M200" i="22" s="1"/>
  <c r="M199" i="22"/>
  <c r="K199" i="22"/>
  <c r="J199" i="22"/>
  <c r="I199" i="22"/>
  <c r="J198" i="22"/>
  <c r="K198" i="22" s="1"/>
  <c r="I198" i="22"/>
  <c r="M198" i="22" s="1"/>
  <c r="J197" i="22"/>
  <c r="K197" i="22" s="1"/>
  <c r="I197" i="22"/>
  <c r="M197" i="22" s="1"/>
  <c r="J196" i="22"/>
  <c r="K196" i="22" s="1"/>
  <c r="I196" i="22"/>
  <c r="M196" i="22" s="1"/>
  <c r="J195" i="22"/>
  <c r="K195" i="22" s="1"/>
  <c r="I195" i="22"/>
  <c r="M195" i="22" s="1"/>
  <c r="J194" i="22"/>
  <c r="K194" i="22" s="1"/>
  <c r="I194" i="22"/>
  <c r="M194" i="22" s="1"/>
  <c r="J193" i="22"/>
  <c r="K193" i="22" s="1"/>
  <c r="I193" i="22"/>
  <c r="M193" i="22" s="1"/>
  <c r="J192" i="22"/>
  <c r="K192" i="22" s="1"/>
  <c r="I192" i="22"/>
  <c r="M192" i="22" s="1"/>
  <c r="M191" i="22"/>
  <c r="K191" i="22"/>
  <c r="J191" i="22"/>
  <c r="I191" i="22"/>
  <c r="J190" i="22"/>
  <c r="K190" i="22" s="1"/>
  <c r="I190" i="22"/>
  <c r="M190" i="22" s="1"/>
  <c r="J189" i="22"/>
  <c r="K189" i="22" s="1"/>
  <c r="I189" i="22"/>
  <c r="M189" i="22" s="1"/>
  <c r="J188" i="22"/>
  <c r="K188" i="22" s="1"/>
  <c r="I188" i="22"/>
  <c r="M188" i="22" s="1"/>
  <c r="J187" i="22"/>
  <c r="K187" i="22" s="1"/>
  <c r="I187" i="22"/>
  <c r="M187" i="22" s="1"/>
  <c r="J186" i="22"/>
  <c r="K186" i="22" s="1"/>
  <c r="I186" i="22"/>
  <c r="M186" i="22" s="1"/>
  <c r="J185" i="22"/>
  <c r="K185" i="22" s="1"/>
  <c r="I185" i="22"/>
  <c r="M185" i="22" s="1"/>
  <c r="J184" i="22"/>
  <c r="K184" i="22" s="1"/>
  <c r="I184" i="22"/>
  <c r="M184" i="22" s="1"/>
  <c r="M183" i="22"/>
  <c r="K183" i="22"/>
  <c r="J183" i="22"/>
  <c r="I183" i="22"/>
  <c r="J182" i="22"/>
  <c r="K182" i="22" s="1"/>
  <c r="I182" i="22"/>
  <c r="M182" i="22" s="1"/>
  <c r="J181" i="22"/>
  <c r="K181" i="22" s="1"/>
  <c r="I181" i="22"/>
  <c r="M181" i="22" s="1"/>
  <c r="J180" i="22"/>
  <c r="K180" i="22" s="1"/>
  <c r="I180" i="22"/>
  <c r="M180" i="22" s="1"/>
  <c r="J179" i="22"/>
  <c r="K179" i="22" s="1"/>
  <c r="I179" i="22"/>
  <c r="M179" i="22" s="1"/>
  <c r="J178" i="22"/>
  <c r="K178" i="22" s="1"/>
  <c r="I178" i="22"/>
  <c r="M178" i="22" s="1"/>
  <c r="J177" i="22"/>
  <c r="K177" i="22" s="1"/>
  <c r="I177" i="22"/>
  <c r="M177" i="22" s="1"/>
  <c r="J176" i="22"/>
  <c r="K176" i="22" s="1"/>
  <c r="I176" i="22"/>
  <c r="M176" i="22" s="1"/>
  <c r="M175" i="22"/>
  <c r="K175" i="22"/>
  <c r="J175" i="22"/>
  <c r="I175" i="22"/>
  <c r="J174" i="22"/>
  <c r="K174" i="22" s="1"/>
  <c r="I174" i="22"/>
  <c r="M174" i="22" s="1"/>
  <c r="J173" i="22"/>
  <c r="K173" i="22" s="1"/>
  <c r="I173" i="22"/>
  <c r="M173" i="22" s="1"/>
  <c r="J172" i="22"/>
  <c r="K172" i="22" s="1"/>
  <c r="I172" i="22"/>
  <c r="M172" i="22" s="1"/>
  <c r="J171" i="22"/>
  <c r="K171" i="22" s="1"/>
  <c r="I171" i="22"/>
  <c r="M171" i="22" s="1"/>
  <c r="J170" i="22"/>
  <c r="K170" i="22" s="1"/>
  <c r="I170" i="22"/>
  <c r="M170" i="22" s="1"/>
  <c r="J169" i="22"/>
  <c r="K169" i="22" s="1"/>
  <c r="I169" i="22"/>
  <c r="M169" i="22" s="1"/>
  <c r="J168" i="22"/>
  <c r="K168" i="22" s="1"/>
  <c r="I168" i="22"/>
  <c r="M168" i="22" s="1"/>
  <c r="M167" i="22"/>
  <c r="K167" i="22"/>
  <c r="J167" i="22"/>
  <c r="I167" i="22"/>
  <c r="J166" i="22"/>
  <c r="K166" i="22" s="1"/>
  <c r="I166" i="22"/>
  <c r="M166" i="22" s="1"/>
  <c r="J165" i="22"/>
  <c r="K165" i="22" s="1"/>
  <c r="I165" i="22"/>
  <c r="M165" i="22" s="1"/>
  <c r="J164" i="22"/>
  <c r="K164" i="22" s="1"/>
  <c r="I164" i="22"/>
  <c r="M164" i="22" s="1"/>
  <c r="J163" i="22"/>
  <c r="K163" i="22" s="1"/>
  <c r="I163" i="22"/>
  <c r="M163" i="22" s="1"/>
  <c r="J162" i="22"/>
  <c r="K162" i="22" s="1"/>
  <c r="I162" i="22"/>
  <c r="M162" i="22" s="1"/>
  <c r="J161" i="22"/>
  <c r="K161" i="22" s="1"/>
  <c r="I161" i="22"/>
  <c r="M161" i="22" s="1"/>
  <c r="J160" i="22"/>
  <c r="K160" i="22" s="1"/>
  <c r="I160" i="22"/>
  <c r="M160" i="22" s="1"/>
  <c r="M159" i="22"/>
  <c r="K159" i="22"/>
  <c r="J159" i="22"/>
  <c r="I159" i="22"/>
  <c r="J158" i="22"/>
  <c r="K158" i="22" s="1"/>
  <c r="I158" i="22"/>
  <c r="M158" i="22" s="1"/>
  <c r="J157" i="22"/>
  <c r="K157" i="22" s="1"/>
  <c r="I157" i="22"/>
  <c r="M157" i="22" s="1"/>
  <c r="J156" i="22"/>
  <c r="K156" i="22" s="1"/>
  <c r="I156" i="22"/>
  <c r="M156" i="22" s="1"/>
  <c r="J155" i="22"/>
  <c r="K155" i="22" s="1"/>
  <c r="I155" i="22"/>
  <c r="M155" i="22" s="1"/>
  <c r="J154" i="22"/>
  <c r="K154" i="22" s="1"/>
  <c r="I154" i="22"/>
  <c r="M154" i="22" s="1"/>
  <c r="M153" i="22"/>
  <c r="J153" i="22"/>
  <c r="K153" i="22" s="1"/>
  <c r="I153" i="22"/>
  <c r="J152" i="22"/>
  <c r="K152" i="22" s="1"/>
  <c r="I152" i="22"/>
  <c r="M152" i="22" s="1"/>
  <c r="M151" i="22"/>
  <c r="K151" i="22"/>
  <c r="J151" i="22"/>
  <c r="I151" i="22"/>
  <c r="J150" i="22"/>
  <c r="K150" i="22" s="1"/>
  <c r="I150" i="22"/>
  <c r="M150" i="22" s="1"/>
  <c r="J149" i="22"/>
  <c r="K149" i="22" s="1"/>
  <c r="I149" i="22"/>
  <c r="M149" i="22" s="1"/>
  <c r="J148" i="22"/>
  <c r="K148" i="22" s="1"/>
  <c r="I148" i="22"/>
  <c r="M148" i="22" s="1"/>
  <c r="J147" i="22"/>
  <c r="K147" i="22" s="1"/>
  <c r="I147" i="22"/>
  <c r="M147" i="22" s="1"/>
  <c r="J146" i="22"/>
  <c r="K146" i="22" s="1"/>
  <c r="I146" i="22"/>
  <c r="M146" i="22" s="1"/>
  <c r="M145" i="22"/>
  <c r="J145" i="22"/>
  <c r="K145" i="22" s="1"/>
  <c r="I145" i="22"/>
  <c r="J144" i="22"/>
  <c r="K144" i="22" s="1"/>
  <c r="I144" i="22"/>
  <c r="M144" i="22" s="1"/>
  <c r="M143" i="22"/>
  <c r="K143" i="22"/>
  <c r="J143" i="22"/>
  <c r="I143" i="22"/>
  <c r="J142" i="22"/>
  <c r="K142" i="22" s="1"/>
  <c r="I142" i="22"/>
  <c r="M142" i="22" s="1"/>
  <c r="J141" i="22"/>
  <c r="K141" i="22" s="1"/>
  <c r="I141" i="22"/>
  <c r="M141" i="22" s="1"/>
  <c r="J140" i="22"/>
  <c r="K140" i="22" s="1"/>
  <c r="I140" i="22"/>
  <c r="M140" i="22" s="1"/>
  <c r="J139" i="22"/>
  <c r="K139" i="22" s="1"/>
  <c r="I139" i="22"/>
  <c r="M139" i="22" s="1"/>
  <c r="J138" i="22"/>
  <c r="K138" i="22" s="1"/>
  <c r="I138" i="22"/>
  <c r="M138" i="22" s="1"/>
  <c r="M137" i="22"/>
  <c r="J137" i="22"/>
  <c r="K137" i="22" s="1"/>
  <c r="I137" i="22"/>
  <c r="J136" i="22"/>
  <c r="K136" i="22" s="1"/>
  <c r="I136" i="22"/>
  <c r="M136" i="22" s="1"/>
  <c r="M135" i="22"/>
  <c r="K135" i="22"/>
  <c r="J135" i="22"/>
  <c r="I135" i="22"/>
  <c r="J134" i="22"/>
  <c r="K134" i="22" s="1"/>
  <c r="I134" i="22"/>
  <c r="M134" i="22" s="1"/>
  <c r="J133" i="22"/>
  <c r="K133" i="22" s="1"/>
  <c r="I133" i="22"/>
  <c r="M133" i="22" s="1"/>
  <c r="J132" i="22"/>
  <c r="K132" i="22" s="1"/>
  <c r="I132" i="22"/>
  <c r="M132" i="22" s="1"/>
  <c r="J131" i="22"/>
  <c r="K131" i="22" s="1"/>
  <c r="I131" i="22"/>
  <c r="M131" i="22" s="1"/>
  <c r="J130" i="22"/>
  <c r="K130" i="22" s="1"/>
  <c r="I130" i="22"/>
  <c r="M130" i="22" s="1"/>
  <c r="M129" i="22"/>
  <c r="J129" i="22"/>
  <c r="K129" i="22" s="1"/>
  <c r="I129" i="22"/>
  <c r="J128" i="22"/>
  <c r="K128" i="22" s="1"/>
  <c r="I128" i="22"/>
  <c r="M128" i="22" s="1"/>
  <c r="M127" i="22"/>
  <c r="K127" i="22"/>
  <c r="J127" i="22"/>
  <c r="I127" i="22"/>
  <c r="J126" i="22"/>
  <c r="K126" i="22" s="1"/>
  <c r="I126" i="22"/>
  <c r="M126" i="22" s="1"/>
  <c r="J125" i="22"/>
  <c r="K125" i="22" s="1"/>
  <c r="I125" i="22"/>
  <c r="M125" i="22" s="1"/>
  <c r="J124" i="22"/>
  <c r="K124" i="22" s="1"/>
  <c r="I124" i="22"/>
  <c r="M124" i="22" s="1"/>
  <c r="J123" i="22"/>
  <c r="K123" i="22" s="1"/>
  <c r="I123" i="22"/>
  <c r="M123" i="22" s="1"/>
  <c r="J122" i="22"/>
  <c r="K122" i="22" s="1"/>
  <c r="I122" i="22"/>
  <c r="M122" i="22" s="1"/>
  <c r="M121" i="22"/>
  <c r="J121" i="22"/>
  <c r="K121" i="22" s="1"/>
  <c r="I121" i="22"/>
  <c r="J120" i="22"/>
  <c r="K120" i="22" s="1"/>
  <c r="I120" i="22"/>
  <c r="M120" i="22" s="1"/>
  <c r="M119" i="22"/>
  <c r="K119" i="22"/>
  <c r="J119" i="22"/>
  <c r="I119" i="22"/>
  <c r="J118" i="22"/>
  <c r="K118" i="22" s="1"/>
  <c r="I118" i="22"/>
  <c r="M118" i="22" s="1"/>
  <c r="J117" i="22"/>
  <c r="K117" i="22" s="1"/>
  <c r="I117" i="22"/>
  <c r="M117" i="22" s="1"/>
  <c r="J116" i="22"/>
  <c r="K116" i="22" s="1"/>
  <c r="I116" i="22"/>
  <c r="M116" i="22" s="1"/>
  <c r="J115" i="22"/>
  <c r="K115" i="22" s="1"/>
  <c r="I115" i="22"/>
  <c r="M115" i="22" s="1"/>
  <c r="J114" i="22"/>
  <c r="K114" i="22" s="1"/>
  <c r="I114" i="22"/>
  <c r="M114" i="22" s="1"/>
  <c r="M113" i="22"/>
  <c r="J113" i="22"/>
  <c r="K113" i="22" s="1"/>
  <c r="I113" i="22"/>
  <c r="J112" i="22"/>
  <c r="K112" i="22" s="1"/>
  <c r="I112" i="22"/>
  <c r="M112" i="22" s="1"/>
  <c r="M111" i="22"/>
  <c r="J111" i="22"/>
  <c r="K111" i="22" s="1"/>
  <c r="I111" i="22"/>
  <c r="J110" i="22"/>
  <c r="K110" i="22" s="1"/>
  <c r="I110" i="22"/>
  <c r="M110" i="22" s="1"/>
  <c r="M109" i="22"/>
  <c r="J109" i="22"/>
  <c r="K109" i="22" s="1"/>
  <c r="I109" i="22"/>
  <c r="J108" i="22"/>
  <c r="K108" i="22" s="1"/>
  <c r="I108" i="22"/>
  <c r="M108" i="22" s="1"/>
  <c r="M107" i="22"/>
  <c r="J107" i="22"/>
  <c r="K107" i="22" s="1"/>
  <c r="I107" i="22"/>
  <c r="J106" i="22"/>
  <c r="K106" i="22" s="1"/>
  <c r="I106" i="22"/>
  <c r="M106" i="22" s="1"/>
  <c r="M105" i="22"/>
  <c r="J105" i="22"/>
  <c r="K105" i="22" s="1"/>
  <c r="I105" i="22"/>
  <c r="J104" i="22"/>
  <c r="K104" i="22" s="1"/>
  <c r="I104" i="22"/>
  <c r="M104" i="22" s="1"/>
  <c r="M103" i="22"/>
  <c r="J103" i="22"/>
  <c r="K103" i="22" s="1"/>
  <c r="I103" i="22"/>
  <c r="J102" i="22"/>
  <c r="K102" i="22" s="1"/>
  <c r="I102" i="22"/>
  <c r="M102" i="22" s="1"/>
  <c r="M101" i="22"/>
  <c r="J101" i="22"/>
  <c r="K101" i="22" s="1"/>
  <c r="I101" i="22"/>
  <c r="J100" i="22"/>
  <c r="K100" i="22" s="1"/>
  <c r="I100" i="22"/>
  <c r="M100" i="22" s="1"/>
  <c r="M99" i="22"/>
  <c r="J99" i="22"/>
  <c r="K99" i="22" s="1"/>
  <c r="I99" i="22"/>
  <c r="J98" i="22"/>
  <c r="K98" i="22" s="1"/>
  <c r="I98" i="22"/>
  <c r="M98" i="22" s="1"/>
  <c r="M97" i="22"/>
  <c r="J97" i="22"/>
  <c r="K97" i="22" s="1"/>
  <c r="I97" i="22"/>
  <c r="J96" i="22"/>
  <c r="K96" i="22" s="1"/>
  <c r="I96" i="22"/>
  <c r="M96" i="22" s="1"/>
  <c r="M95" i="22"/>
  <c r="J95" i="22"/>
  <c r="K95" i="22" s="1"/>
  <c r="I95" i="22"/>
  <c r="J94" i="22"/>
  <c r="K94" i="22" s="1"/>
  <c r="I94" i="22"/>
  <c r="M94" i="22" s="1"/>
  <c r="M93" i="22"/>
  <c r="J93" i="22"/>
  <c r="K93" i="22" s="1"/>
  <c r="I93" i="22"/>
  <c r="J92" i="22"/>
  <c r="K92" i="22" s="1"/>
  <c r="I92" i="22"/>
  <c r="M92" i="22" s="1"/>
  <c r="M91" i="22"/>
  <c r="J91" i="22"/>
  <c r="K91" i="22" s="1"/>
  <c r="I91" i="22"/>
  <c r="J90" i="22"/>
  <c r="K90" i="22" s="1"/>
  <c r="I90" i="22"/>
  <c r="M90" i="22" s="1"/>
  <c r="M89" i="22"/>
  <c r="J89" i="22"/>
  <c r="K89" i="22" s="1"/>
  <c r="I89" i="22"/>
  <c r="J88" i="22"/>
  <c r="K88" i="22" s="1"/>
  <c r="I88" i="22"/>
  <c r="M88" i="22" s="1"/>
  <c r="M87" i="22"/>
  <c r="J87" i="22"/>
  <c r="K87" i="22" s="1"/>
  <c r="I87" i="22"/>
  <c r="J86" i="22"/>
  <c r="K86" i="22" s="1"/>
  <c r="I86" i="22"/>
  <c r="M86" i="22" s="1"/>
  <c r="M85" i="22"/>
  <c r="J85" i="22"/>
  <c r="K85" i="22" s="1"/>
  <c r="I85" i="22"/>
  <c r="J84" i="22"/>
  <c r="K84" i="22" s="1"/>
  <c r="I84" i="22"/>
  <c r="M84" i="22" s="1"/>
  <c r="M83" i="22"/>
  <c r="J83" i="22"/>
  <c r="K83" i="22" s="1"/>
  <c r="I83" i="22"/>
  <c r="J82" i="22"/>
  <c r="K82" i="22" s="1"/>
  <c r="I82" i="22"/>
  <c r="M82" i="22" s="1"/>
  <c r="M81" i="22"/>
  <c r="J81" i="22"/>
  <c r="K81" i="22" s="1"/>
  <c r="I81" i="22"/>
  <c r="J80" i="22"/>
  <c r="K80" i="22" s="1"/>
  <c r="I80" i="22"/>
  <c r="M80" i="22" s="1"/>
  <c r="M79" i="22"/>
  <c r="J79" i="22"/>
  <c r="K79" i="22" s="1"/>
  <c r="I79" i="22"/>
  <c r="J78" i="22"/>
  <c r="K78" i="22" s="1"/>
  <c r="I78" i="22"/>
  <c r="M78" i="22" s="1"/>
  <c r="M77" i="22"/>
  <c r="J77" i="22"/>
  <c r="K77" i="22" s="1"/>
  <c r="I77" i="22"/>
  <c r="J76" i="22"/>
  <c r="K76" i="22" s="1"/>
  <c r="I76" i="22"/>
  <c r="M76" i="22" s="1"/>
  <c r="M75" i="22"/>
  <c r="J75" i="22"/>
  <c r="K75" i="22" s="1"/>
  <c r="I75" i="22"/>
  <c r="J74" i="22"/>
  <c r="K74" i="22" s="1"/>
  <c r="I74" i="22"/>
  <c r="M74" i="22" s="1"/>
  <c r="M73" i="22"/>
  <c r="J73" i="22"/>
  <c r="K73" i="22" s="1"/>
  <c r="I73" i="22"/>
  <c r="J72" i="22"/>
  <c r="K72" i="22" s="1"/>
  <c r="I72" i="22"/>
  <c r="M72" i="22" s="1"/>
  <c r="M71" i="22"/>
  <c r="J71" i="22"/>
  <c r="K71" i="22" s="1"/>
  <c r="I71" i="22"/>
  <c r="J70" i="22"/>
  <c r="K70" i="22" s="1"/>
  <c r="I70" i="22"/>
  <c r="M70" i="22" s="1"/>
  <c r="M69" i="22"/>
  <c r="J69" i="22"/>
  <c r="K69" i="22" s="1"/>
  <c r="I69" i="22"/>
  <c r="J68" i="22"/>
  <c r="K68" i="22" s="1"/>
  <c r="I68" i="22"/>
  <c r="M68" i="22" s="1"/>
  <c r="M67" i="22"/>
  <c r="J67" i="22"/>
  <c r="K67" i="22" s="1"/>
  <c r="I67" i="22"/>
  <c r="J66" i="22"/>
  <c r="K66" i="22" s="1"/>
  <c r="I66" i="22"/>
  <c r="M66" i="22" s="1"/>
  <c r="M65" i="22"/>
  <c r="J65" i="22"/>
  <c r="K65" i="22" s="1"/>
  <c r="I65" i="22"/>
  <c r="B65" i="22"/>
  <c r="M64" i="22"/>
  <c r="K64" i="22"/>
  <c r="J64" i="22"/>
  <c r="I64" i="22"/>
  <c r="B64" i="22"/>
  <c r="J63" i="22"/>
  <c r="K63" i="22" s="1"/>
  <c r="I63" i="22"/>
  <c r="M63" i="22" s="1"/>
  <c r="B63" i="22"/>
  <c r="M62" i="22"/>
  <c r="K62" i="22"/>
  <c r="J62" i="22"/>
  <c r="I62" i="22"/>
  <c r="B62" i="22"/>
  <c r="J61" i="22"/>
  <c r="K61" i="22" s="1"/>
  <c r="I61" i="22"/>
  <c r="M61" i="22" s="1"/>
  <c r="B61" i="22"/>
  <c r="K60" i="22"/>
  <c r="J60" i="22"/>
  <c r="I60" i="22"/>
  <c r="M60" i="22" s="1"/>
  <c r="B60" i="22"/>
  <c r="M59" i="22"/>
  <c r="K59" i="22"/>
  <c r="J59" i="22"/>
  <c r="I59" i="22"/>
  <c r="B59" i="22"/>
  <c r="J58" i="22"/>
  <c r="K58" i="22" s="1"/>
  <c r="I58" i="22"/>
  <c r="M58" i="22" s="1"/>
  <c r="B58" i="22"/>
  <c r="M57" i="22"/>
  <c r="J57" i="22"/>
  <c r="K57" i="22" s="1"/>
  <c r="I57" i="22"/>
  <c r="B57" i="22"/>
  <c r="M56" i="22"/>
  <c r="K56" i="22"/>
  <c r="J56" i="22"/>
  <c r="I56" i="22"/>
  <c r="B56" i="22"/>
  <c r="J55" i="22"/>
  <c r="K55" i="22" s="1"/>
  <c r="I55" i="22"/>
  <c r="M55" i="22" s="1"/>
  <c r="B55" i="22"/>
  <c r="M54" i="22"/>
  <c r="K54" i="22"/>
  <c r="J54" i="22"/>
  <c r="I54" i="22"/>
  <c r="B54" i="22"/>
  <c r="J53" i="22"/>
  <c r="K53" i="22" s="1"/>
  <c r="I53" i="22"/>
  <c r="M53" i="22" s="1"/>
  <c r="B53" i="22"/>
  <c r="K52" i="22"/>
  <c r="J52" i="22"/>
  <c r="I52" i="22"/>
  <c r="M52" i="22" s="1"/>
  <c r="B52" i="22"/>
  <c r="M51" i="22"/>
  <c r="K51" i="22"/>
  <c r="J51" i="22"/>
  <c r="I51" i="22"/>
  <c r="B51" i="22"/>
  <c r="J50" i="22"/>
  <c r="K50" i="22" s="1"/>
  <c r="I50" i="22"/>
  <c r="M50" i="22" s="1"/>
  <c r="B50" i="22"/>
  <c r="M49" i="22"/>
  <c r="J49" i="22"/>
  <c r="K49" i="22" s="1"/>
  <c r="I49" i="22"/>
  <c r="B49" i="22"/>
  <c r="M48" i="22"/>
  <c r="K48" i="22"/>
  <c r="J48" i="22"/>
  <c r="I48" i="22"/>
  <c r="B48" i="22"/>
  <c r="J47" i="22"/>
  <c r="K47" i="22" s="1"/>
  <c r="I47" i="22"/>
  <c r="M47" i="22" s="1"/>
  <c r="B47" i="22"/>
  <c r="U46" i="22"/>
  <c r="T46" i="22"/>
  <c r="R46" i="22"/>
  <c r="J46" i="22"/>
  <c r="K46" i="22" s="1"/>
  <c r="I46" i="22"/>
  <c r="M46" i="22" s="1"/>
  <c r="B46" i="22"/>
  <c r="M45" i="22"/>
  <c r="K45" i="22"/>
  <c r="J45" i="22"/>
  <c r="I45" i="22"/>
  <c r="B45" i="22"/>
  <c r="J44" i="22"/>
  <c r="K44" i="22" s="1"/>
  <c r="I44" i="22"/>
  <c r="M44" i="22" s="1"/>
  <c r="B44" i="22"/>
  <c r="K43" i="22"/>
  <c r="J43" i="22"/>
  <c r="I43" i="22"/>
  <c r="M43" i="22" s="1"/>
  <c r="B43" i="22"/>
  <c r="M42" i="22"/>
  <c r="K42" i="22"/>
  <c r="J42" i="22"/>
  <c r="I42" i="22"/>
  <c r="B42" i="22"/>
  <c r="J41" i="22"/>
  <c r="K41" i="22" s="1"/>
  <c r="I41" i="22"/>
  <c r="M41" i="22" s="1"/>
  <c r="B41" i="22"/>
  <c r="M40" i="22"/>
  <c r="J40" i="22"/>
  <c r="K40" i="22" s="1"/>
  <c r="I40" i="22"/>
  <c r="B40" i="22"/>
  <c r="M39" i="22"/>
  <c r="J39" i="22"/>
  <c r="K39" i="22" s="1"/>
  <c r="I39" i="22"/>
  <c r="B39" i="22"/>
  <c r="J38" i="22"/>
  <c r="K38" i="22" s="1"/>
  <c r="I38" i="22"/>
  <c r="M38" i="22" s="1"/>
  <c r="B38" i="22"/>
  <c r="M37" i="22"/>
  <c r="A37" i="22" s="1"/>
  <c r="K37" i="22"/>
  <c r="J37" i="22"/>
  <c r="I37" i="22"/>
  <c r="B37" i="22"/>
  <c r="M36" i="22"/>
  <c r="A36" i="22" s="1"/>
  <c r="J36" i="22"/>
  <c r="K36" i="22" s="1"/>
  <c r="I36" i="22"/>
  <c r="B36" i="22"/>
  <c r="J35" i="22"/>
  <c r="K35" i="22" s="1"/>
  <c r="I35" i="22"/>
  <c r="M35" i="22" s="1"/>
  <c r="A35" i="22" s="1"/>
  <c r="B35" i="22"/>
  <c r="K34" i="22"/>
  <c r="J34" i="22"/>
  <c r="I34" i="22"/>
  <c r="M34" i="22" s="1"/>
  <c r="A34" i="22" s="1"/>
  <c r="B34" i="22"/>
  <c r="M33" i="22"/>
  <c r="A33" i="22" s="1"/>
  <c r="K33" i="22"/>
  <c r="J33" i="22"/>
  <c r="I33" i="22"/>
  <c r="B33" i="22"/>
  <c r="M32" i="22"/>
  <c r="A32" i="22" s="1"/>
  <c r="K32" i="22"/>
  <c r="J32" i="22"/>
  <c r="I32" i="22"/>
  <c r="B32" i="22"/>
  <c r="J31" i="22"/>
  <c r="K31" i="22" s="1"/>
  <c r="I31" i="22"/>
  <c r="M31" i="22" s="1"/>
  <c r="A31" i="22" s="1"/>
  <c r="B31" i="22"/>
  <c r="K30" i="22"/>
  <c r="J30" i="22"/>
  <c r="I30" i="22"/>
  <c r="M30" i="22" s="1"/>
  <c r="B30" i="22"/>
  <c r="A30" i="22"/>
  <c r="M29" i="22"/>
  <c r="A29" i="22" s="1"/>
  <c r="K29" i="22"/>
  <c r="J29" i="22"/>
  <c r="I29" i="22"/>
  <c r="B29" i="22"/>
  <c r="M28" i="22"/>
  <c r="A28" i="22" s="1"/>
  <c r="J28" i="22"/>
  <c r="K28" i="22" s="1"/>
  <c r="I28" i="22"/>
  <c r="B28" i="22"/>
  <c r="J27" i="22"/>
  <c r="K27" i="22" s="1"/>
  <c r="I27" i="22"/>
  <c r="M27" i="22" s="1"/>
  <c r="A27" i="22" s="1"/>
  <c r="B27" i="22"/>
  <c r="K26" i="22"/>
  <c r="J26" i="22"/>
  <c r="I26" i="22"/>
  <c r="M26" i="22" s="1"/>
  <c r="A26" i="22" s="1"/>
  <c r="B26" i="22"/>
  <c r="M25" i="22"/>
  <c r="A25" i="22" s="1"/>
  <c r="K25" i="22"/>
  <c r="J25" i="22"/>
  <c r="I25" i="22"/>
  <c r="B25" i="22"/>
  <c r="M24" i="22"/>
  <c r="A24" i="22" s="1"/>
  <c r="K24" i="22"/>
  <c r="J24" i="22"/>
  <c r="I24" i="22"/>
  <c r="B24" i="22"/>
  <c r="J23" i="22"/>
  <c r="K23" i="22" s="1"/>
  <c r="I23" i="22"/>
  <c r="M23" i="22" s="1"/>
  <c r="A23" i="22" s="1"/>
  <c r="B23" i="22"/>
  <c r="K22" i="22"/>
  <c r="J22" i="22"/>
  <c r="I22" i="22"/>
  <c r="M22" i="22" s="1"/>
  <c r="B22" i="22"/>
  <c r="A22" i="22"/>
  <c r="M21" i="22"/>
  <c r="A21" i="22" s="1"/>
  <c r="K21" i="22"/>
  <c r="J21" i="22"/>
  <c r="I21" i="22"/>
  <c r="B21" i="22"/>
  <c r="M20" i="22"/>
  <c r="A20" i="22" s="1"/>
  <c r="J20" i="22"/>
  <c r="K20" i="22" s="1"/>
  <c r="I20" i="22"/>
  <c r="B20" i="22"/>
  <c r="J19" i="22"/>
  <c r="K19" i="22" s="1"/>
  <c r="I19" i="22"/>
  <c r="M19" i="22" s="1"/>
  <c r="A19" i="22" s="1"/>
  <c r="B19" i="22"/>
  <c r="K18" i="22"/>
  <c r="J18" i="22"/>
  <c r="I18" i="22"/>
  <c r="M18" i="22" s="1"/>
  <c r="A18" i="22" s="1"/>
  <c r="B18" i="22"/>
  <c r="M17" i="22"/>
  <c r="A17" i="22" s="1"/>
  <c r="K17" i="22"/>
  <c r="J17" i="22"/>
  <c r="I17" i="22"/>
  <c r="B17" i="22"/>
  <c r="AI16" i="22"/>
  <c r="M16" i="22"/>
  <c r="A16" i="22" s="1"/>
  <c r="K16" i="22"/>
  <c r="J16" i="22"/>
  <c r="I16" i="22"/>
  <c r="B16" i="22"/>
  <c r="J15" i="22"/>
  <c r="K15" i="22" s="1"/>
  <c r="I15" i="22"/>
  <c r="M15" i="22" s="1"/>
  <c r="A15" i="22" s="1"/>
  <c r="B15" i="22"/>
  <c r="AI14" i="22"/>
  <c r="J14" i="22"/>
  <c r="K14" i="22" s="1"/>
  <c r="I14" i="22"/>
  <c r="M14" i="22" s="1"/>
  <c r="A14" i="22" s="1"/>
  <c r="B14" i="22"/>
  <c r="AI13" i="22"/>
  <c r="J13" i="22"/>
  <c r="K13" i="22" s="1"/>
  <c r="I13" i="22"/>
  <c r="M13" i="22" s="1"/>
  <c r="B13" i="22"/>
  <c r="A13" i="22"/>
  <c r="AI12" i="22"/>
  <c r="K12" i="22"/>
  <c r="J12" i="22"/>
  <c r="I12" i="22"/>
  <c r="M12" i="22" s="1"/>
  <c r="B12" i="22"/>
  <c r="A12" i="22"/>
  <c r="M11" i="22"/>
  <c r="A11" i="22" s="1"/>
  <c r="K11" i="22"/>
  <c r="J11" i="22"/>
  <c r="I11" i="22"/>
  <c r="B11" i="22"/>
  <c r="M10" i="22"/>
  <c r="A10" i="22" s="1"/>
  <c r="J10" i="22"/>
  <c r="K10" i="22" s="1"/>
  <c r="I10" i="22"/>
  <c r="B10" i="22"/>
  <c r="J9" i="22"/>
  <c r="K9" i="22" s="1"/>
  <c r="I9" i="22"/>
  <c r="M9" i="22" s="1"/>
  <c r="A9" i="22" s="1"/>
  <c r="B9" i="22"/>
  <c r="J8" i="22"/>
  <c r="K8" i="22" s="1"/>
  <c r="I8" i="22"/>
  <c r="M8" i="22" s="1"/>
  <c r="A8" i="22" s="1"/>
  <c r="B8" i="22"/>
  <c r="J7" i="22"/>
  <c r="K7" i="22" s="1"/>
  <c r="I7" i="22"/>
  <c r="M7" i="22" s="1"/>
  <c r="A7" i="22" s="1"/>
  <c r="B7" i="22"/>
  <c r="K6" i="22"/>
  <c r="J6" i="22"/>
  <c r="I6" i="22"/>
  <c r="M6" i="22" s="1"/>
  <c r="B6" i="22"/>
  <c r="A6" i="22"/>
  <c r="K2" i="22"/>
  <c r="J374" i="21"/>
  <c r="J373" i="21"/>
  <c r="J372" i="21"/>
  <c r="J371" i="21"/>
  <c r="J370" i="21"/>
  <c r="J369" i="21"/>
  <c r="J368" i="21"/>
  <c r="J367" i="21"/>
  <c r="J366" i="21"/>
  <c r="J365" i="21"/>
  <c r="J364" i="21"/>
  <c r="J363" i="21"/>
  <c r="J362" i="21"/>
  <c r="J361" i="21"/>
  <c r="J360" i="21"/>
  <c r="J359" i="21"/>
  <c r="J358" i="21"/>
  <c r="J357" i="21"/>
  <c r="J356" i="21"/>
  <c r="J355" i="21"/>
  <c r="J354" i="21"/>
  <c r="J353" i="21"/>
  <c r="J352" i="21"/>
  <c r="J351" i="21"/>
  <c r="J350" i="21"/>
  <c r="J349" i="21"/>
  <c r="J348" i="21"/>
  <c r="J347" i="21"/>
  <c r="J346" i="21"/>
  <c r="J345" i="21"/>
  <c r="J344" i="21"/>
  <c r="J343" i="21"/>
  <c r="J342" i="21"/>
  <c r="J341" i="21"/>
  <c r="J340" i="21"/>
  <c r="J339" i="21"/>
  <c r="J338" i="21"/>
  <c r="J337" i="21"/>
  <c r="J336" i="21"/>
  <c r="J335" i="21"/>
  <c r="J334" i="21"/>
  <c r="J333" i="21"/>
  <c r="J332" i="21"/>
  <c r="J331" i="21"/>
  <c r="J330" i="21"/>
  <c r="J329" i="21"/>
  <c r="J328" i="21"/>
  <c r="J327" i="21"/>
  <c r="J326" i="21"/>
  <c r="J325" i="21"/>
  <c r="J324" i="21"/>
  <c r="J323" i="21"/>
  <c r="J322" i="21"/>
  <c r="J321" i="21"/>
  <c r="J320" i="21"/>
  <c r="J319" i="21"/>
  <c r="J318" i="21"/>
  <c r="J317" i="21"/>
  <c r="J316" i="21"/>
  <c r="J315" i="21"/>
  <c r="J314" i="21"/>
  <c r="J313" i="21"/>
  <c r="J312" i="21"/>
  <c r="J311" i="21"/>
  <c r="J310" i="21"/>
  <c r="J309" i="21"/>
  <c r="J308" i="21"/>
  <c r="J307" i="21"/>
  <c r="J306" i="21"/>
  <c r="M305" i="21"/>
  <c r="J305" i="21"/>
  <c r="K305" i="21" s="1"/>
  <c r="I305" i="21"/>
  <c r="K304" i="21"/>
  <c r="J304" i="21"/>
  <c r="I304" i="21"/>
  <c r="M304" i="21" s="1"/>
  <c r="M303" i="21"/>
  <c r="J303" i="21"/>
  <c r="K303" i="21" s="1"/>
  <c r="I303" i="21"/>
  <c r="K302" i="21"/>
  <c r="J302" i="21"/>
  <c r="I302" i="21"/>
  <c r="M302" i="21" s="1"/>
  <c r="M301" i="21"/>
  <c r="J301" i="21"/>
  <c r="K301" i="21" s="1"/>
  <c r="I301" i="21"/>
  <c r="K300" i="21"/>
  <c r="J300" i="21"/>
  <c r="I300" i="21"/>
  <c r="M300" i="21" s="1"/>
  <c r="M299" i="21"/>
  <c r="K299" i="21"/>
  <c r="J299" i="21"/>
  <c r="I299" i="21"/>
  <c r="K298" i="21"/>
  <c r="J298" i="21"/>
  <c r="I298" i="21"/>
  <c r="M298" i="21" s="1"/>
  <c r="M297" i="21"/>
  <c r="K297" i="21"/>
  <c r="J297" i="21"/>
  <c r="I297" i="21"/>
  <c r="K296" i="21"/>
  <c r="J296" i="21"/>
  <c r="I296" i="21"/>
  <c r="M296" i="21" s="1"/>
  <c r="M295" i="21"/>
  <c r="J295" i="21"/>
  <c r="K295" i="21" s="1"/>
  <c r="I295" i="21"/>
  <c r="K294" i="21"/>
  <c r="J294" i="21"/>
  <c r="I294" i="21"/>
  <c r="M294" i="21" s="1"/>
  <c r="M293" i="21"/>
  <c r="J293" i="21"/>
  <c r="K293" i="21" s="1"/>
  <c r="I293" i="21"/>
  <c r="K292" i="21"/>
  <c r="J292" i="21"/>
  <c r="I292" i="21"/>
  <c r="M292" i="21" s="1"/>
  <c r="M291" i="21"/>
  <c r="K291" i="21"/>
  <c r="J291" i="21"/>
  <c r="I291" i="21"/>
  <c r="K290" i="21"/>
  <c r="J290" i="21"/>
  <c r="I290" i="21"/>
  <c r="M290" i="21" s="1"/>
  <c r="M289" i="21"/>
  <c r="J289" i="21"/>
  <c r="K289" i="21" s="1"/>
  <c r="I289" i="21"/>
  <c r="K288" i="21"/>
  <c r="J288" i="21"/>
  <c r="I288" i="21"/>
  <c r="M288" i="21" s="1"/>
  <c r="M287" i="21"/>
  <c r="J287" i="21"/>
  <c r="K287" i="21" s="1"/>
  <c r="I287" i="21"/>
  <c r="K286" i="21"/>
  <c r="J286" i="21"/>
  <c r="I286" i="21"/>
  <c r="M286" i="21" s="1"/>
  <c r="M285" i="21"/>
  <c r="J285" i="21"/>
  <c r="K285" i="21" s="1"/>
  <c r="I285" i="21"/>
  <c r="K284" i="21"/>
  <c r="J284" i="21"/>
  <c r="I284" i="21"/>
  <c r="M284" i="21" s="1"/>
  <c r="M283" i="21"/>
  <c r="K283" i="21"/>
  <c r="J283" i="21"/>
  <c r="I283" i="21"/>
  <c r="K282" i="21"/>
  <c r="J282" i="21"/>
  <c r="I282" i="21"/>
  <c r="M282" i="21" s="1"/>
  <c r="M281" i="21"/>
  <c r="K281" i="21"/>
  <c r="J281" i="21"/>
  <c r="I281" i="21"/>
  <c r="K280" i="21"/>
  <c r="J280" i="21"/>
  <c r="I280" i="21"/>
  <c r="M280" i="21" s="1"/>
  <c r="M279" i="21"/>
  <c r="J279" i="21"/>
  <c r="K279" i="21" s="1"/>
  <c r="I279" i="21"/>
  <c r="K278" i="21"/>
  <c r="J278" i="21"/>
  <c r="I278" i="21"/>
  <c r="M278" i="21" s="1"/>
  <c r="M277" i="21"/>
  <c r="J277" i="21"/>
  <c r="K277" i="21" s="1"/>
  <c r="I277" i="21"/>
  <c r="K276" i="21"/>
  <c r="J276" i="21"/>
  <c r="I276" i="21"/>
  <c r="M276" i="21" s="1"/>
  <c r="M275" i="21"/>
  <c r="K275" i="21"/>
  <c r="J275" i="21"/>
  <c r="I275" i="21"/>
  <c r="K274" i="21"/>
  <c r="J274" i="21"/>
  <c r="I274" i="21"/>
  <c r="M274" i="21" s="1"/>
  <c r="M273" i="21"/>
  <c r="J273" i="21"/>
  <c r="K273" i="21" s="1"/>
  <c r="I273" i="21"/>
  <c r="K272" i="21"/>
  <c r="J272" i="21"/>
  <c r="I272" i="21"/>
  <c r="M272" i="21" s="1"/>
  <c r="M271" i="21"/>
  <c r="J271" i="21"/>
  <c r="K271" i="21" s="1"/>
  <c r="I271" i="21"/>
  <c r="K270" i="21"/>
  <c r="J270" i="21"/>
  <c r="I270" i="21"/>
  <c r="M270" i="21" s="1"/>
  <c r="M269" i="21"/>
  <c r="J269" i="21"/>
  <c r="K269" i="21" s="1"/>
  <c r="I269" i="21"/>
  <c r="K268" i="21"/>
  <c r="J268" i="21"/>
  <c r="I268" i="21"/>
  <c r="M268" i="21" s="1"/>
  <c r="M267" i="21"/>
  <c r="K267" i="21"/>
  <c r="J267" i="21"/>
  <c r="I267" i="21"/>
  <c r="K266" i="21"/>
  <c r="J266" i="21"/>
  <c r="I266" i="21"/>
  <c r="M266" i="21" s="1"/>
  <c r="M265" i="21"/>
  <c r="K265" i="21"/>
  <c r="J265" i="21"/>
  <c r="I265" i="21"/>
  <c r="K264" i="21"/>
  <c r="J264" i="21"/>
  <c r="I264" i="21"/>
  <c r="M264" i="21" s="1"/>
  <c r="M263" i="21"/>
  <c r="J263" i="21"/>
  <c r="K263" i="21" s="1"/>
  <c r="I263" i="21"/>
  <c r="K262" i="21"/>
  <c r="J262" i="21"/>
  <c r="I262" i="21"/>
  <c r="M262" i="21" s="1"/>
  <c r="M261" i="21"/>
  <c r="J261" i="21"/>
  <c r="K261" i="21" s="1"/>
  <c r="I261" i="21"/>
  <c r="K260" i="21"/>
  <c r="J260" i="21"/>
  <c r="I260" i="21"/>
  <c r="M260" i="21" s="1"/>
  <c r="M259" i="21"/>
  <c r="K259" i="21"/>
  <c r="J259" i="21"/>
  <c r="I259" i="21"/>
  <c r="K258" i="21"/>
  <c r="J258" i="21"/>
  <c r="I258" i="21"/>
  <c r="M258" i="21" s="1"/>
  <c r="M257" i="21"/>
  <c r="J257" i="21"/>
  <c r="K257" i="21" s="1"/>
  <c r="I257" i="21"/>
  <c r="K256" i="21"/>
  <c r="J256" i="21"/>
  <c r="I256" i="21"/>
  <c r="M256" i="21" s="1"/>
  <c r="M255" i="21"/>
  <c r="J255" i="21"/>
  <c r="K255" i="21" s="1"/>
  <c r="I255" i="21"/>
  <c r="K254" i="21"/>
  <c r="J254" i="21"/>
  <c r="I254" i="21"/>
  <c r="M254" i="21" s="1"/>
  <c r="M253" i="21"/>
  <c r="J253" i="21"/>
  <c r="K253" i="21" s="1"/>
  <c r="I253" i="21"/>
  <c r="J252" i="21"/>
  <c r="K252" i="21" s="1"/>
  <c r="I252" i="21"/>
  <c r="M252" i="21" s="1"/>
  <c r="M251" i="21"/>
  <c r="K251" i="21"/>
  <c r="J251" i="21"/>
  <c r="I251" i="21"/>
  <c r="J250" i="21"/>
  <c r="K250" i="21" s="1"/>
  <c r="I250" i="21"/>
  <c r="M250" i="21" s="1"/>
  <c r="M249" i="21"/>
  <c r="J249" i="21"/>
  <c r="K249" i="21" s="1"/>
  <c r="I249" i="21"/>
  <c r="J248" i="21"/>
  <c r="K248" i="21" s="1"/>
  <c r="I248" i="21"/>
  <c r="M248" i="21" s="1"/>
  <c r="M247" i="21"/>
  <c r="J247" i="21"/>
  <c r="K247" i="21" s="1"/>
  <c r="I247" i="21"/>
  <c r="J246" i="21"/>
  <c r="K246" i="21" s="1"/>
  <c r="I246" i="21"/>
  <c r="M246" i="21" s="1"/>
  <c r="M245" i="21"/>
  <c r="J245" i="21"/>
  <c r="K245" i="21" s="1"/>
  <c r="I245" i="21"/>
  <c r="J244" i="21"/>
  <c r="K244" i="21" s="1"/>
  <c r="I244" i="21"/>
  <c r="M244" i="21" s="1"/>
  <c r="M243" i="21"/>
  <c r="K243" i="21"/>
  <c r="J243" i="21"/>
  <c r="I243" i="21"/>
  <c r="J242" i="21"/>
  <c r="K242" i="21" s="1"/>
  <c r="I242" i="21"/>
  <c r="M242" i="21" s="1"/>
  <c r="M241" i="21"/>
  <c r="J241" i="21"/>
  <c r="K241" i="21" s="1"/>
  <c r="I241" i="21"/>
  <c r="J240" i="21"/>
  <c r="K240" i="21" s="1"/>
  <c r="I240" i="21"/>
  <c r="M240" i="21" s="1"/>
  <c r="M239" i="21"/>
  <c r="J239" i="21"/>
  <c r="K239" i="21" s="1"/>
  <c r="I239" i="21"/>
  <c r="J238" i="21"/>
  <c r="K238" i="21" s="1"/>
  <c r="I238" i="21"/>
  <c r="M238" i="21" s="1"/>
  <c r="M237" i="21"/>
  <c r="J237" i="21"/>
  <c r="K237" i="21" s="1"/>
  <c r="I237" i="21"/>
  <c r="J236" i="21"/>
  <c r="K236" i="21" s="1"/>
  <c r="I236" i="21"/>
  <c r="M236" i="21" s="1"/>
  <c r="M235" i="21"/>
  <c r="K235" i="21"/>
  <c r="J235" i="21"/>
  <c r="I235" i="21"/>
  <c r="J234" i="21"/>
  <c r="K234" i="21" s="1"/>
  <c r="I234" i="21"/>
  <c r="M234" i="21" s="1"/>
  <c r="M233" i="21"/>
  <c r="J233" i="21"/>
  <c r="K233" i="21" s="1"/>
  <c r="I233" i="21"/>
  <c r="J232" i="21"/>
  <c r="K232" i="21" s="1"/>
  <c r="I232" i="21"/>
  <c r="M232" i="21" s="1"/>
  <c r="M231" i="21"/>
  <c r="J231" i="21"/>
  <c r="K231" i="21" s="1"/>
  <c r="I231" i="21"/>
  <c r="J230" i="21"/>
  <c r="K230" i="21" s="1"/>
  <c r="I230" i="21"/>
  <c r="M230" i="21" s="1"/>
  <c r="M229" i="21"/>
  <c r="J229" i="21"/>
  <c r="K229" i="21" s="1"/>
  <c r="I229" i="21"/>
  <c r="J228" i="21"/>
  <c r="K228" i="21" s="1"/>
  <c r="I228" i="21"/>
  <c r="M228" i="21" s="1"/>
  <c r="M227" i="21"/>
  <c r="K227" i="21"/>
  <c r="J227" i="21"/>
  <c r="I227" i="21"/>
  <c r="J226" i="21"/>
  <c r="K226" i="21" s="1"/>
  <c r="I226" i="21"/>
  <c r="M226" i="21" s="1"/>
  <c r="M225" i="21"/>
  <c r="J225" i="21"/>
  <c r="K225" i="21" s="1"/>
  <c r="I225" i="21"/>
  <c r="J224" i="21"/>
  <c r="K224" i="21" s="1"/>
  <c r="I224" i="21"/>
  <c r="M224" i="21" s="1"/>
  <c r="M223" i="21"/>
  <c r="J223" i="21"/>
  <c r="K223" i="21" s="1"/>
  <c r="I223" i="21"/>
  <c r="J222" i="21"/>
  <c r="K222" i="21" s="1"/>
  <c r="I222" i="21"/>
  <c r="M222" i="21" s="1"/>
  <c r="M221" i="21"/>
  <c r="J221" i="21"/>
  <c r="K221" i="21" s="1"/>
  <c r="I221" i="21"/>
  <c r="J220" i="21"/>
  <c r="K220" i="21" s="1"/>
  <c r="I220" i="21"/>
  <c r="M220" i="21" s="1"/>
  <c r="M219" i="21"/>
  <c r="K219" i="21"/>
  <c r="J219" i="21"/>
  <c r="I219" i="21"/>
  <c r="J218" i="21"/>
  <c r="K218" i="21" s="1"/>
  <c r="I218" i="21"/>
  <c r="M218" i="21" s="1"/>
  <c r="M217" i="21"/>
  <c r="J217" i="21"/>
  <c r="K217" i="21" s="1"/>
  <c r="I217" i="21"/>
  <c r="J216" i="21"/>
  <c r="K216" i="21" s="1"/>
  <c r="I216" i="21"/>
  <c r="M216" i="21" s="1"/>
  <c r="M215" i="21"/>
  <c r="J215" i="21"/>
  <c r="K215" i="21" s="1"/>
  <c r="I215" i="21"/>
  <c r="J214" i="21"/>
  <c r="K214" i="21" s="1"/>
  <c r="I214" i="21"/>
  <c r="M214" i="21" s="1"/>
  <c r="M213" i="21"/>
  <c r="J213" i="21"/>
  <c r="K213" i="21" s="1"/>
  <c r="I213" i="21"/>
  <c r="J212" i="21"/>
  <c r="K212" i="21" s="1"/>
  <c r="I212" i="21"/>
  <c r="M212" i="21" s="1"/>
  <c r="M211" i="21"/>
  <c r="K211" i="21"/>
  <c r="J211" i="21"/>
  <c r="I211" i="21"/>
  <c r="J210" i="21"/>
  <c r="K210" i="21" s="1"/>
  <c r="I210" i="21"/>
  <c r="M210" i="21" s="1"/>
  <c r="M209" i="21"/>
  <c r="J209" i="21"/>
  <c r="K209" i="21" s="1"/>
  <c r="I209" i="21"/>
  <c r="J208" i="21"/>
  <c r="K208" i="21" s="1"/>
  <c r="I208" i="21"/>
  <c r="M208" i="21" s="1"/>
  <c r="M207" i="21"/>
  <c r="J207" i="21"/>
  <c r="K207" i="21" s="1"/>
  <c r="I207" i="21"/>
  <c r="J206" i="21"/>
  <c r="K206" i="21" s="1"/>
  <c r="I206" i="21"/>
  <c r="M206" i="21" s="1"/>
  <c r="M205" i="21"/>
  <c r="J205" i="21"/>
  <c r="K205" i="21" s="1"/>
  <c r="I205" i="21"/>
  <c r="J204" i="21"/>
  <c r="K204" i="21" s="1"/>
  <c r="I204" i="21"/>
  <c r="M204" i="21" s="1"/>
  <c r="M203" i="21"/>
  <c r="K203" i="21"/>
  <c r="J203" i="21"/>
  <c r="I203" i="21"/>
  <c r="J202" i="21"/>
  <c r="K202" i="21" s="1"/>
  <c r="I202" i="21"/>
  <c r="M202" i="21" s="1"/>
  <c r="M201" i="21"/>
  <c r="J201" i="21"/>
  <c r="K201" i="21" s="1"/>
  <c r="I201" i="21"/>
  <c r="J200" i="21"/>
  <c r="K200" i="21" s="1"/>
  <c r="I200" i="21"/>
  <c r="M200" i="21" s="1"/>
  <c r="M199" i="21"/>
  <c r="J199" i="21"/>
  <c r="K199" i="21" s="1"/>
  <c r="I199" i="21"/>
  <c r="J198" i="21"/>
  <c r="K198" i="21" s="1"/>
  <c r="I198" i="21"/>
  <c r="M198" i="21" s="1"/>
  <c r="M197" i="21"/>
  <c r="J197" i="21"/>
  <c r="K197" i="21" s="1"/>
  <c r="I197" i="21"/>
  <c r="J196" i="21"/>
  <c r="K196" i="21" s="1"/>
  <c r="I196" i="21"/>
  <c r="M196" i="21" s="1"/>
  <c r="M195" i="21"/>
  <c r="K195" i="21"/>
  <c r="J195" i="21"/>
  <c r="I195" i="21"/>
  <c r="J194" i="21"/>
  <c r="K194" i="21" s="1"/>
  <c r="I194" i="21"/>
  <c r="M194" i="21" s="1"/>
  <c r="M193" i="21"/>
  <c r="J193" i="21"/>
  <c r="K193" i="21" s="1"/>
  <c r="I193" i="21"/>
  <c r="J192" i="21"/>
  <c r="K192" i="21" s="1"/>
  <c r="I192" i="21"/>
  <c r="M192" i="21" s="1"/>
  <c r="M191" i="21"/>
  <c r="J191" i="21"/>
  <c r="K191" i="21" s="1"/>
  <c r="I191" i="21"/>
  <c r="J190" i="21"/>
  <c r="K190" i="21" s="1"/>
  <c r="I190" i="21"/>
  <c r="M190" i="21" s="1"/>
  <c r="M189" i="21"/>
  <c r="J189" i="21"/>
  <c r="K189" i="21" s="1"/>
  <c r="I189" i="21"/>
  <c r="J188" i="21"/>
  <c r="K188" i="21" s="1"/>
  <c r="I188" i="21"/>
  <c r="M188" i="21" s="1"/>
  <c r="M187" i="21"/>
  <c r="K187" i="21"/>
  <c r="J187" i="21"/>
  <c r="I187" i="21"/>
  <c r="J186" i="21"/>
  <c r="K186" i="21" s="1"/>
  <c r="I186" i="21"/>
  <c r="M186" i="21" s="1"/>
  <c r="M185" i="21"/>
  <c r="J185" i="21"/>
  <c r="K185" i="21" s="1"/>
  <c r="I185" i="21"/>
  <c r="J184" i="21"/>
  <c r="K184" i="21" s="1"/>
  <c r="I184" i="21"/>
  <c r="M184" i="21" s="1"/>
  <c r="M183" i="21"/>
  <c r="J183" i="21"/>
  <c r="K183" i="21" s="1"/>
  <c r="I183" i="21"/>
  <c r="J182" i="21"/>
  <c r="K182" i="21" s="1"/>
  <c r="I182" i="21"/>
  <c r="M182" i="21" s="1"/>
  <c r="M181" i="21"/>
  <c r="J181" i="21"/>
  <c r="K181" i="21" s="1"/>
  <c r="I181" i="21"/>
  <c r="J180" i="21"/>
  <c r="K180" i="21" s="1"/>
  <c r="I180" i="21"/>
  <c r="M180" i="21" s="1"/>
  <c r="M179" i="21"/>
  <c r="K179" i="21"/>
  <c r="J179" i="21"/>
  <c r="I179" i="21"/>
  <c r="J178" i="21"/>
  <c r="K178" i="21" s="1"/>
  <c r="I178" i="21"/>
  <c r="M178" i="21" s="1"/>
  <c r="M177" i="21"/>
  <c r="J177" i="21"/>
  <c r="K177" i="21" s="1"/>
  <c r="I177" i="21"/>
  <c r="J176" i="21"/>
  <c r="K176" i="21" s="1"/>
  <c r="I176" i="21"/>
  <c r="M176" i="21" s="1"/>
  <c r="M175" i="21"/>
  <c r="J175" i="21"/>
  <c r="K175" i="21" s="1"/>
  <c r="I175" i="21"/>
  <c r="J174" i="21"/>
  <c r="K174" i="21" s="1"/>
  <c r="I174" i="21"/>
  <c r="M174" i="21" s="1"/>
  <c r="M173" i="21"/>
  <c r="J173" i="21"/>
  <c r="K173" i="21" s="1"/>
  <c r="I173" i="21"/>
  <c r="J172" i="21"/>
  <c r="K172" i="21" s="1"/>
  <c r="I172" i="21"/>
  <c r="M172" i="21" s="1"/>
  <c r="M171" i="21"/>
  <c r="K171" i="21"/>
  <c r="J171" i="21"/>
  <c r="I171" i="21"/>
  <c r="J170" i="21"/>
  <c r="K170" i="21" s="1"/>
  <c r="I170" i="21"/>
  <c r="M170" i="21" s="1"/>
  <c r="M169" i="21"/>
  <c r="J169" i="21"/>
  <c r="K169" i="21" s="1"/>
  <c r="I169" i="21"/>
  <c r="J168" i="21"/>
  <c r="K168" i="21" s="1"/>
  <c r="I168" i="21"/>
  <c r="M168" i="21" s="1"/>
  <c r="M167" i="21"/>
  <c r="J167" i="21"/>
  <c r="K167" i="21" s="1"/>
  <c r="I167" i="21"/>
  <c r="J166" i="21"/>
  <c r="K166" i="21" s="1"/>
  <c r="I166" i="21"/>
  <c r="M166" i="21" s="1"/>
  <c r="M165" i="21"/>
  <c r="J165" i="21"/>
  <c r="K165" i="21" s="1"/>
  <c r="I165" i="21"/>
  <c r="J164" i="21"/>
  <c r="K164" i="21" s="1"/>
  <c r="I164" i="21"/>
  <c r="M164" i="21" s="1"/>
  <c r="M163" i="21"/>
  <c r="K163" i="21"/>
  <c r="J163" i="21"/>
  <c r="I163" i="21"/>
  <c r="J162" i="21"/>
  <c r="K162" i="21" s="1"/>
  <c r="I162" i="21"/>
  <c r="M162" i="21" s="1"/>
  <c r="M161" i="21"/>
  <c r="J161" i="21"/>
  <c r="K161" i="21" s="1"/>
  <c r="I161" i="21"/>
  <c r="J160" i="21"/>
  <c r="K160" i="21" s="1"/>
  <c r="I160" i="21"/>
  <c r="M160" i="21" s="1"/>
  <c r="M159" i="21"/>
  <c r="J159" i="21"/>
  <c r="K159" i="21" s="1"/>
  <c r="I159" i="21"/>
  <c r="J158" i="21"/>
  <c r="K158" i="21" s="1"/>
  <c r="I158" i="21"/>
  <c r="M158" i="21" s="1"/>
  <c r="M157" i="21"/>
  <c r="J157" i="21"/>
  <c r="K157" i="21" s="1"/>
  <c r="I157" i="21"/>
  <c r="J156" i="21"/>
  <c r="K156" i="21" s="1"/>
  <c r="I156" i="21"/>
  <c r="M156" i="21" s="1"/>
  <c r="M155" i="21"/>
  <c r="K155" i="21"/>
  <c r="J155" i="21"/>
  <c r="I155" i="21"/>
  <c r="J154" i="21"/>
  <c r="K154" i="21" s="1"/>
  <c r="I154" i="21"/>
  <c r="M154" i="21" s="1"/>
  <c r="M153" i="21"/>
  <c r="J153" i="21"/>
  <c r="K153" i="21" s="1"/>
  <c r="I153" i="21"/>
  <c r="J152" i="21"/>
  <c r="K152" i="21" s="1"/>
  <c r="I152" i="21"/>
  <c r="M152" i="21" s="1"/>
  <c r="M151" i="21"/>
  <c r="J151" i="21"/>
  <c r="K151" i="21" s="1"/>
  <c r="I151" i="21"/>
  <c r="J150" i="21"/>
  <c r="K150" i="21" s="1"/>
  <c r="I150" i="21"/>
  <c r="M150" i="21" s="1"/>
  <c r="M149" i="21"/>
  <c r="J149" i="21"/>
  <c r="K149" i="21" s="1"/>
  <c r="I149" i="21"/>
  <c r="J148" i="21"/>
  <c r="K148" i="21" s="1"/>
  <c r="I148" i="21"/>
  <c r="M148" i="21" s="1"/>
  <c r="M147" i="21"/>
  <c r="K147" i="21"/>
  <c r="J147" i="21"/>
  <c r="I147" i="21"/>
  <c r="J146" i="21"/>
  <c r="K146" i="21" s="1"/>
  <c r="I146" i="21"/>
  <c r="M146" i="21" s="1"/>
  <c r="M145" i="21"/>
  <c r="J145" i="21"/>
  <c r="K145" i="21" s="1"/>
  <c r="I145" i="21"/>
  <c r="J144" i="21"/>
  <c r="K144" i="21" s="1"/>
  <c r="I144" i="21"/>
  <c r="M144" i="21" s="1"/>
  <c r="M143" i="21"/>
  <c r="J143" i="21"/>
  <c r="K143" i="21" s="1"/>
  <c r="I143" i="21"/>
  <c r="J142" i="21"/>
  <c r="K142" i="21" s="1"/>
  <c r="I142" i="21"/>
  <c r="M142" i="21" s="1"/>
  <c r="M141" i="21"/>
  <c r="J141" i="21"/>
  <c r="K141" i="21" s="1"/>
  <c r="I141" i="21"/>
  <c r="J140" i="21"/>
  <c r="K140" i="21" s="1"/>
  <c r="I140" i="21"/>
  <c r="M140" i="21" s="1"/>
  <c r="M139" i="21"/>
  <c r="K139" i="21"/>
  <c r="J139" i="21"/>
  <c r="I139" i="21"/>
  <c r="J138" i="21"/>
  <c r="K138" i="21" s="1"/>
  <c r="I138" i="21"/>
  <c r="M138" i="21" s="1"/>
  <c r="M137" i="21"/>
  <c r="J137" i="21"/>
  <c r="K137" i="21" s="1"/>
  <c r="I137" i="21"/>
  <c r="J136" i="21"/>
  <c r="K136" i="21" s="1"/>
  <c r="I136" i="21"/>
  <c r="M136" i="21" s="1"/>
  <c r="M135" i="21"/>
  <c r="J135" i="21"/>
  <c r="K135" i="21" s="1"/>
  <c r="I135" i="21"/>
  <c r="J134" i="21"/>
  <c r="K134" i="21" s="1"/>
  <c r="I134" i="21"/>
  <c r="M134" i="21" s="1"/>
  <c r="M133" i="21"/>
  <c r="J133" i="21"/>
  <c r="K133" i="21" s="1"/>
  <c r="I133" i="21"/>
  <c r="J132" i="21"/>
  <c r="K132" i="21" s="1"/>
  <c r="I132" i="21"/>
  <c r="M132" i="21" s="1"/>
  <c r="M131" i="21"/>
  <c r="K131" i="21"/>
  <c r="J131" i="21"/>
  <c r="I131" i="21"/>
  <c r="J130" i="21"/>
  <c r="K130" i="21" s="1"/>
  <c r="I130" i="21"/>
  <c r="M130" i="21" s="1"/>
  <c r="M129" i="21"/>
  <c r="J129" i="21"/>
  <c r="K129" i="21" s="1"/>
  <c r="I129" i="21"/>
  <c r="J128" i="21"/>
  <c r="K128" i="21" s="1"/>
  <c r="I128" i="21"/>
  <c r="M128" i="21" s="1"/>
  <c r="M127" i="21"/>
  <c r="J127" i="21"/>
  <c r="K127" i="21" s="1"/>
  <c r="I127" i="21"/>
  <c r="J126" i="21"/>
  <c r="K126" i="21" s="1"/>
  <c r="I126" i="21"/>
  <c r="M126" i="21" s="1"/>
  <c r="M125" i="21"/>
  <c r="J125" i="21"/>
  <c r="K125" i="21" s="1"/>
  <c r="I125" i="21"/>
  <c r="J124" i="21"/>
  <c r="K124" i="21" s="1"/>
  <c r="I124" i="21"/>
  <c r="M124" i="21" s="1"/>
  <c r="M123" i="21"/>
  <c r="K123" i="21"/>
  <c r="J123" i="21"/>
  <c r="I123" i="21"/>
  <c r="J122" i="21"/>
  <c r="K122" i="21" s="1"/>
  <c r="I122" i="21"/>
  <c r="M122" i="21" s="1"/>
  <c r="M121" i="21"/>
  <c r="J121" i="21"/>
  <c r="K121" i="21" s="1"/>
  <c r="I121" i="21"/>
  <c r="J120" i="21"/>
  <c r="K120" i="21" s="1"/>
  <c r="I120" i="21"/>
  <c r="M120" i="21" s="1"/>
  <c r="M119" i="21"/>
  <c r="J119" i="21"/>
  <c r="K119" i="21" s="1"/>
  <c r="I119" i="21"/>
  <c r="J118" i="21"/>
  <c r="K118" i="21" s="1"/>
  <c r="I118" i="21"/>
  <c r="M118" i="21" s="1"/>
  <c r="M117" i="21"/>
  <c r="J117" i="21"/>
  <c r="K117" i="21" s="1"/>
  <c r="I117" i="21"/>
  <c r="J116" i="21"/>
  <c r="K116" i="21" s="1"/>
  <c r="I116" i="21"/>
  <c r="M116" i="21" s="1"/>
  <c r="M115" i="21"/>
  <c r="K115" i="21"/>
  <c r="J115" i="21"/>
  <c r="I115" i="21"/>
  <c r="J114" i="21"/>
  <c r="K114" i="21" s="1"/>
  <c r="I114" i="21"/>
  <c r="M114" i="21" s="1"/>
  <c r="M113" i="21"/>
  <c r="J113" i="21"/>
  <c r="K113" i="21" s="1"/>
  <c r="I113" i="21"/>
  <c r="J112" i="21"/>
  <c r="K112" i="21" s="1"/>
  <c r="I112" i="21"/>
  <c r="M112" i="21" s="1"/>
  <c r="M111" i="21"/>
  <c r="J111" i="21"/>
  <c r="K111" i="21" s="1"/>
  <c r="I111" i="21"/>
  <c r="J110" i="21"/>
  <c r="K110" i="21" s="1"/>
  <c r="I110" i="21"/>
  <c r="M110" i="21" s="1"/>
  <c r="M109" i="21"/>
  <c r="J109" i="21"/>
  <c r="K109" i="21" s="1"/>
  <c r="I109" i="21"/>
  <c r="J108" i="21"/>
  <c r="K108" i="21" s="1"/>
  <c r="I108" i="21"/>
  <c r="M108" i="21" s="1"/>
  <c r="M107" i="21"/>
  <c r="K107" i="21"/>
  <c r="J107" i="21"/>
  <c r="I107" i="21"/>
  <c r="J106" i="21"/>
  <c r="K106" i="21" s="1"/>
  <c r="I106" i="21"/>
  <c r="M106" i="21" s="1"/>
  <c r="M105" i="21"/>
  <c r="J105" i="21"/>
  <c r="K105" i="21" s="1"/>
  <c r="I105" i="21"/>
  <c r="J104" i="21"/>
  <c r="K104" i="21" s="1"/>
  <c r="I104" i="21"/>
  <c r="M104" i="21" s="1"/>
  <c r="M103" i="21"/>
  <c r="J103" i="21"/>
  <c r="K103" i="21" s="1"/>
  <c r="I103" i="21"/>
  <c r="J102" i="21"/>
  <c r="K102" i="21" s="1"/>
  <c r="I102" i="21"/>
  <c r="M102" i="21" s="1"/>
  <c r="M101" i="21"/>
  <c r="J101" i="21"/>
  <c r="K101" i="21" s="1"/>
  <c r="I101" i="21"/>
  <c r="J100" i="21"/>
  <c r="K100" i="21" s="1"/>
  <c r="I100" i="21"/>
  <c r="M100" i="21" s="1"/>
  <c r="M99" i="21"/>
  <c r="K99" i="21"/>
  <c r="J99" i="21"/>
  <c r="I99" i="21"/>
  <c r="J98" i="21"/>
  <c r="K98" i="21" s="1"/>
  <c r="I98" i="21"/>
  <c r="M98" i="21" s="1"/>
  <c r="M97" i="21"/>
  <c r="J97" i="21"/>
  <c r="K97" i="21" s="1"/>
  <c r="I97" i="21"/>
  <c r="J96" i="21"/>
  <c r="K96" i="21" s="1"/>
  <c r="I96" i="21"/>
  <c r="M96" i="21" s="1"/>
  <c r="M95" i="21"/>
  <c r="J95" i="21"/>
  <c r="K95" i="21" s="1"/>
  <c r="I95" i="21"/>
  <c r="J94" i="21"/>
  <c r="K94" i="21" s="1"/>
  <c r="I94" i="21"/>
  <c r="M94" i="21" s="1"/>
  <c r="M93" i="21"/>
  <c r="J93" i="21"/>
  <c r="K93" i="21" s="1"/>
  <c r="I93" i="21"/>
  <c r="J92" i="21"/>
  <c r="K92" i="21" s="1"/>
  <c r="I92" i="21"/>
  <c r="M92" i="21" s="1"/>
  <c r="M91" i="21"/>
  <c r="K91" i="21"/>
  <c r="J91" i="21"/>
  <c r="I91" i="21"/>
  <c r="J90" i="21"/>
  <c r="K90" i="21" s="1"/>
  <c r="I90" i="21"/>
  <c r="M90" i="21" s="1"/>
  <c r="M89" i="21"/>
  <c r="J89" i="21"/>
  <c r="K89" i="21" s="1"/>
  <c r="I89" i="21"/>
  <c r="J88" i="21"/>
  <c r="K88" i="21" s="1"/>
  <c r="I88" i="21"/>
  <c r="M88" i="21" s="1"/>
  <c r="M87" i="21"/>
  <c r="J87" i="21"/>
  <c r="K87" i="21" s="1"/>
  <c r="I87" i="21"/>
  <c r="J86" i="21"/>
  <c r="K86" i="21" s="1"/>
  <c r="I86" i="21"/>
  <c r="M86" i="21" s="1"/>
  <c r="M85" i="21"/>
  <c r="J85" i="21"/>
  <c r="K85" i="21" s="1"/>
  <c r="I85" i="21"/>
  <c r="J84" i="21"/>
  <c r="K84" i="21" s="1"/>
  <c r="I84" i="21"/>
  <c r="M84" i="21" s="1"/>
  <c r="M83" i="21"/>
  <c r="K83" i="21"/>
  <c r="J83" i="21"/>
  <c r="I83" i="21"/>
  <c r="J82" i="21"/>
  <c r="K82" i="21" s="1"/>
  <c r="I82" i="21"/>
  <c r="M82" i="21" s="1"/>
  <c r="M81" i="21"/>
  <c r="J81" i="21"/>
  <c r="K81" i="21" s="1"/>
  <c r="I81" i="21"/>
  <c r="J80" i="21"/>
  <c r="K80" i="21" s="1"/>
  <c r="I80" i="21"/>
  <c r="M80" i="21" s="1"/>
  <c r="M79" i="21"/>
  <c r="J79" i="21"/>
  <c r="K79" i="21" s="1"/>
  <c r="I79" i="21"/>
  <c r="J78" i="21"/>
  <c r="K78" i="21" s="1"/>
  <c r="I78" i="21"/>
  <c r="M78" i="21" s="1"/>
  <c r="M77" i="21"/>
  <c r="J77" i="21"/>
  <c r="K77" i="21" s="1"/>
  <c r="I77" i="21"/>
  <c r="J76" i="21"/>
  <c r="K76" i="21" s="1"/>
  <c r="I76" i="21"/>
  <c r="M76" i="21" s="1"/>
  <c r="M75" i="21"/>
  <c r="K75" i="21"/>
  <c r="J75" i="21"/>
  <c r="I75" i="21"/>
  <c r="J74" i="21"/>
  <c r="K74" i="21" s="1"/>
  <c r="I74" i="21"/>
  <c r="M74" i="21" s="1"/>
  <c r="M73" i="21"/>
  <c r="J73" i="21"/>
  <c r="K73" i="21" s="1"/>
  <c r="I73" i="21"/>
  <c r="J72" i="21"/>
  <c r="K72" i="21" s="1"/>
  <c r="I72" i="21"/>
  <c r="M72" i="21" s="1"/>
  <c r="M71" i="21"/>
  <c r="J71" i="21"/>
  <c r="K71" i="21" s="1"/>
  <c r="I71" i="21"/>
  <c r="J70" i="21"/>
  <c r="K70" i="21" s="1"/>
  <c r="I70" i="21"/>
  <c r="M70" i="21" s="1"/>
  <c r="M69" i="21"/>
  <c r="J69" i="21"/>
  <c r="K69" i="21" s="1"/>
  <c r="I69" i="21"/>
  <c r="J68" i="21"/>
  <c r="K68" i="21" s="1"/>
  <c r="I68" i="21"/>
  <c r="M68" i="21" s="1"/>
  <c r="M67" i="21"/>
  <c r="K67" i="21"/>
  <c r="J67" i="21"/>
  <c r="I67" i="21"/>
  <c r="J66" i="21"/>
  <c r="K66" i="21" s="1"/>
  <c r="I66" i="21"/>
  <c r="M66" i="21" s="1"/>
  <c r="M65" i="21"/>
  <c r="J65" i="21"/>
  <c r="K65" i="21" s="1"/>
  <c r="I65" i="21"/>
  <c r="B65" i="21"/>
  <c r="K64" i="21"/>
  <c r="J64" i="21"/>
  <c r="I64" i="21"/>
  <c r="M64" i="21" s="1"/>
  <c r="B64" i="21"/>
  <c r="M63" i="21"/>
  <c r="K63" i="21"/>
  <c r="J63" i="21"/>
  <c r="I63" i="21"/>
  <c r="B63" i="21"/>
  <c r="K62" i="21"/>
  <c r="J62" i="21"/>
  <c r="I62" i="21"/>
  <c r="M62" i="21" s="1"/>
  <c r="B62" i="21"/>
  <c r="J61" i="21"/>
  <c r="K61" i="21" s="1"/>
  <c r="I61" i="21"/>
  <c r="M61" i="21" s="1"/>
  <c r="B61" i="21"/>
  <c r="M60" i="21"/>
  <c r="K60" i="21"/>
  <c r="J60" i="21"/>
  <c r="I60" i="21"/>
  <c r="B60" i="21"/>
  <c r="M59" i="21"/>
  <c r="J59" i="21"/>
  <c r="K59" i="21" s="1"/>
  <c r="I59" i="21"/>
  <c r="B59" i="21"/>
  <c r="J58" i="21"/>
  <c r="K58" i="21" s="1"/>
  <c r="I58" i="21"/>
  <c r="M58" i="21" s="1"/>
  <c r="B58" i="21"/>
  <c r="M57" i="21"/>
  <c r="J57" i="21"/>
  <c r="K57" i="21" s="1"/>
  <c r="I57" i="21"/>
  <c r="B57" i="21"/>
  <c r="K56" i="21"/>
  <c r="J56" i="21"/>
  <c r="I56" i="21"/>
  <c r="M56" i="21" s="1"/>
  <c r="B56" i="21"/>
  <c r="M55" i="21"/>
  <c r="K55" i="21"/>
  <c r="J55" i="21"/>
  <c r="I55" i="21"/>
  <c r="B55" i="21"/>
  <c r="J54" i="21"/>
  <c r="K54" i="21" s="1"/>
  <c r="I54" i="21"/>
  <c r="M54" i="21" s="1"/>
  <c r="B54" i="21"/>
  <c r="J53" i="21"/>
  <c r="K53" i="21" s="1"/>
  <c r="I53" i="21"/>
  <c r="M53" i="21" s="1"/>
  <c r="B53" i="21"/>
  <c r="M52" i="21"/>
  <c r="K52" i="21"/>
  <c r="J52" i="21"/>
  <c r="I52" i="21"/>
  <c r="B52" i="21"/>
  <c r="M51" i="21"/>
  <c r="J51" i="21"/>
  <c r="K51" i="21" s="1"/>
  <c r="I51" i="21"/>
  <c r="B51" i="21"/>
  <c r="J50" i="21"/>
  <c r="K50" i="21" s="1"/>
  <c r="I50" i="21"/>
  <c r="M50" i="21" s="1"/>
  <c r="B50" i="21"/>
  <c r="M49" i="21"/>
  <c r="K49" i="21"/>
  <c r="J49" i="21"/>
  <c r="I49" i="21"/>
  <c r="B49" i="21"/>
  <c r="K48" i="21"/>
  <c r="J48" i="21"/>
  <c r="I48" i="21"/>
  <c r="M48" i="21" s="1"/>
  <c r="B48" i="21"/>
  <c r="M47" i="21"/>
  <c r="K47" i="21"/>
  <c r="J47" i="21"/>
  <c r="I47" i="21"/>
  <c r="B47" i="21"/>
  <c r="T46" i="21"/>
  <c r="R46" i="21"/>
  <c r="M46" i="21"/>
  <c r="K46" i="21"/>
  <c r="J46" i="21"/>
  <c r="I46" i="21"/>
  <c r="B46" i="21"/>
  <c r="J45" i="21"/>
  <c r="K45" i="21" s="1"/>
  <c r="I45" i="21"/>
  <c r="M45" i="21" s="1"/>
  <c r="B45" i="21"/>
  <c r="J44" i="21"/>
  <c r="K44" i="21" s="1"/>
  <c r="I44" i="21"/>
  <c r="M44" i="21" s="1"/>
  <c r="B44" i="21"/>
  <c r="M43" i="21"/>
  <c r="K43" i="21"/>
  <c r="J43" i="21"/>
  <c r="I43" i="21"/>
  <c r="B43" i="21"/>
  <c r="M42" i="21"/>
  <c r="J42" i="21"/>
  <c r="K42" i="21" s="1"/>
  <c r="I42" i="21"/>
  <c r="B42" i="21"/>
  <c r="J41" i="21"/>
  <c r="K41" i="21" s="1"/>
  <c r="I41" i="21"/>
  <c r="M41" i="21" s="1"/>
  <c r="B41" i="21"/>
  <c r="M40" i="21"/>
  <c r="K40" i="21"/>
  <c r="J40" i="21"/>
  <c r="I40" i="21"/>
  <c r="B40" i="21"/>
  <c r="J39" i="21"/>
  <c r="K39" i="21" s="1"/>
  <c r="I39" i="21"/>
  <c r="M39" i="21" s="1"/>
  <c r="B39" i="21"/>
  <c r="M38" i="21"/>
  <c r="K38" i="21"/>
  <c r="J38" i="21"/>
  <c r="I38" i="21"/>
  <c r="B38" i="21"/>
  <c r="M37" i="21"/>
  <c r="A37" i="21" s="1"/>
  <c r="J37" i="21"/>
  <c r="K37" i="21" s="1"/>
  <c r="I37" i="21"/>
  <c r="B37" i="21"/>
  <c r="J36" i="21"/>
  <c r="K36" i="21" s="1"/>
  <c r="I36" i="21"/>
  <c r="M36" i="21" s="1"/>
  <c r="A36" i="21" s="1"/>
  <c r="B36" i="21"/>
  <c r="J35" i="21"/>
  <c r="K35" i="21" s="1"/>
  <c r="I35" i="21"/>
  <c r="M35" i="21" s="1"/>
  <c r="A35" i="21" s="1"/>
  <c r="B35" i="21"/>
  <c r="M34" i="21"/>
  <c r="K34" i="21"/>
  <c r="J34" i="21"/>
  <c r="I34" i="21"/>
  <c r="B34" i="21"/>
  <c r="A34" i="21"/>
  <c r="M33" i="21"/>
  <c r="A33" i="21" s="1"/>
  <c r="J33" i="21"/>
  <c r="K33" i="21" s="1"/>
  <c r="I33" i="21"/>
  <c r="B33" i="21"/>
  <c r="J32" i="21"/>
  <c r="K32" i="21" s="1"/>
  <c r="I32" i="21"/>
  <c r="M32" i="21" s="1"/>
  <c r="A32" i="21" s="1"/>
  <c r="B32" i="21"/>
  <c r="J31" i="21"/>
  <c r="K31" i="21" s="1"/>
  <c r="I31" i="21"/>
  <c r="M31" i="21" s="1"/>
  <c r="A31" i="21" s="1"/>
  <c r="B31" i="21"/>
  <c r="M30" i="21"/>
  <c r="K30" i="21"/>
  <c r="J30" i="21"/>
  <c r="I30" i="21"/>
  <c r="B30" i="21"/>
  <c r="A30" i="21"/>
  <c r="J29" i="21"/>
  <c r="K29" i="21" s="1"/>
  <c r="I29" i="21"/>
  <c r="M29" i="21" s="1"/>
  <c r="A29" i="21" s="1"/>
  <c r="B29" i="21"/>
  <c r="K28" i="21"/>
  <c r="J28" i="21"/>
  <c r="I28" i="21"/>
  <c r="M28" i="21" s="1"/>
  <c r="A28" i="21" s="1"/>
  <c r="B28" i="21"/>
  <c r="M27" i="21"/>
  <c r="A27" i="21" s="1"/>
  <c r="J27" i="21"/>
  <c r="K27" i="21" s="1"/>
  <c r="I27" i="21"/>
  <c r="B27" i="21"/>
  <c r="M26" i="21"/>
  <c r="A26" i="21" s="1"/>
  <c r="J26" i="21"/>
  <c r="K26" i="21" s="1"/>
  <c r="I26" i="21"/>
  <c r="B26" i="21"/>
  <c r="M25" i="21"/>
  <c r="A25" i="21" s="1"/>
  <c r="J25" i="21"/>
  <c r="K25" i="21" s="1"/>
  <c r="I25" i="21"/>
  <c r="B25" i="21"/>
  <c r="K24" i="21"/>
  <c r="J24" i="21"/>
  <c r="I24" i="21"/>
  <c r="M24" i="21" s="1"/>
  <c r="B24" i="21"/>
  <c r="A24" i="21"/>
  <c r="M23" i="21"/>
  <c r="A23" i="21" s="1"/>
  <c r="J23" i="21"/>
  <c r="K23" i="21" s="1"/>
  <c r="I23" i="21"/>
  <c r="B23" i="21"/>
  <c r="M22" i="21"/>
  <c r="K22" i="21"/>
  <c r="J22" i="21"/>
  <c r="I22" i="21"/>
  <c r="B22" i="21"/>
  <c r="A22" i="21"/>
  <c r="M21" i="21"/>
  <c r="A21" i="21" s="1"/>
  <c r="K21" i="21"/>
  <c r="J21" i="21"/>
  <c r="I21" i="21"/>
  <c r="B21" i="21"/>
  <c r="K20" i="21"/>
  <c r="J20" i="21"/>
  <c r="I20" i="21"/>
  <c r="M20" i="21" s="1"/>
  <c r="A20" i="21" s="1"/>
  <c r="B20" i="21"/>
  <c r="J19" i="21"/>
  <c r="K19" i="21" s="1"/>
  <c r="I19" i="21"/>
  <c r="M19" i="21" s="1"/>
  <c r="A19" i="21" s="1"/>
  <c r="B19" i="21"/>
  <c r="M18" i="21"/>
  <c r="A18" i="21" s="1"/>
  <c r="K18" i="21"/>
  <c r="J18" i="21"/>
  <c r="I18" i="21"/>
  <c r="B18" i="21"/>
  <c r="M17" i="21"/>
  <c r="A17" i="21" s="1"/>
  <c r="J17" i="21"/>
  <c r="K17" i="21" s="1"/>
  <c r="I17" i="21"/>
  <c r="B17" i="21"/>
  <c r="K16" i="21"/>
  <c r="J16" i="21"/>
  <c r="I16" i="21"/>
  <c r="M16" i="21" s="1"/>
  <c r="A16" i="21" s="1"/>
  <c r="B16" i="21"/>
  <c r="J15" i="21"/>
  <c r="K15" i="21" s="1"/>
  <c r="I15" i="21"/>
  <c r="M15" i="21" s="1"/>
  <c r="B15" i="21"/>
  <c r="A15" i="21"/>
  <c r="AI14" i="21"/>
  <c r="M14" i="21"/>
  <c r="A14" i="21" s="1"/>
  <c r="J14" i="21"/>
  <c r="K14" i="21" s="1"/>
  <c r="I14" i="21"/>
  <c r="B14" i="21"/>
  <c r="AI13" i="21"/>
  <c r="M13" i="21"/>
  <c r="K13" i="21"/>
  <c r="J13" i="21"/>
  <c r="I13" i="21"/>
  <c r="B13" i="21"/>
  <c r="A13" i="21"/>
  <c r="AI12" i="21"/>
  <c r="AI16" i="21" s="1"/>
  <c r="M12" i="21"/>
  <c r="K12" i="21"/>
  <c r="J12" i="21"/>
  <c r="I12" i="21"/>
  <c r="B12" i="21"/>
  <c r="A12" i="21"/>
  <c r="M11" i="21"/>
  <c r="A11" i="21" s="1"/>
  <c r="K11" i="21"/>
  <c r="J11" i="21"/>
  <c r="I11" i="21"/>
  <c r="B11" i="21"/>
  <c r="K10" i="21"/>
  <c r="J10" i="21"/>
  <c r="I10" i="21"/>
  <c r="M10" i="21" s="1"/>
  <c r="A10" i="21" s="1"/>
  <c r="B10" i="21"/>
  <c r="K9" i="21"/>
  <c r="J9" i="21"/>
  <c r="I9" i="21"/>
  <c r="M9" i="21" s="1"/>
  <c r="A9" i="21" s="1"/>
  <c r="B9" i="21"/>
  <c r="M8" i="21"/>
  <c r="L8" i="21"/>
  <c r="J8" i="21"/>
  <c r="K8" i="21" s="1"/>
  <c r="I8" i="21"/>
  <c r="B8" i="21"/>
  <c r="A8" i="21"/>
  <c r="L7" i="21"/>
  <c r="K7" i="21"/>
  <c r="J7" i="21"/>
  <c r="I7" i="21"/>
  <c r="M7" i="21" s="1"/>
  <c r="A7" i="21" s="1"/>
  <c r="B7" i="21"/>
  <c r="M6" i="21"/>
  <c r="A6" i="21" s="1"/>
  <c r="J6" i="21"/>
  <c r="K6" i="21" s="1"/>
  <c r="I6" i="21"/>
  <c r="B6" i="21"/>
  <c r="K2" i="21"/>
  <c r="L9" i="21" s="1"/>
  <c r="AX29" i="20" a="1"/>
  <c r="AX29" i="20" s="1"/>
  <c r="AL29" i="20"/>
  <c r="AM29" i="20" s="1"/>
  <c r="BG29" i="20" s="1"/>
  <c r="AJ29" i="20"/>
  <c r="AH29" i="20"/>
  <c r="AI29" i="20" s="1"/>
  <c r="BE29" i="20" s="1"/>
  <c r="AF29" i="20"/>
  <c r="AG29" i="20" s="1"/>
  <c r="BD29" i="20" s="1"/>
  <c r="AB29" i="20"/>
  <c r="AC29" i="20" s="1"/>
  <c r="BC29" i="20" s="1"/>
  <c r="Z29" i="20"/>
  <c r="AA29" i="20" s="1"/>
  <c r="BB29" i="20" s="1"/>
  <c r="X29" i="20"/>
  <c r="A29" i="20"/>
  <c r="AX28" i="20" a="1"/>
  <c r="AX28" i="20" s="1"/>
  <c r="AL28" i="20"/>
  <c r="AM28" i="20" s="1"/>
  <c r="BG28" i="20" s="1"/>
  <c r="AJ28" i="20"/>
  <c r="AH28" i="20"/>
  <c r="AI28" i="20" s="1"/>
  <c r="BE28" i="20" s="1"/>
  <c r="AF28" i="20"/>
  <c r="AG28" i="20" s="1"/>
  <c r="BD28" i="20" s="1"/>
  <c r="AB28" i="20"/>
  <c r="AC28" i="20" s="1"/>
  <c r="BC28" i="20" s="1"/>
  <c r="Z28" i="20"/>
  <c r="AA28" i="20" s="1"/>
  <c r="BB28" i="20" s="1"/>
  <c r="X28" i="20"/>
  <c r="A28" i="20"/>
  <c r="AX27" i="20" a="1"/>
  <c r="AX27" i="20" s="1"/>
  <c r="AL27" i="20"/>
  <c r="AM27" i="20" s="1"/>
  <c r="BG27" i="20" s="1"/>
  <c r="AJ27" i="20"/>
  <c r="AH27" i="20"/>
  <c r="AI27" i="20" s="1"/>
  <c r="BE27" i="20" s="1"/>
  <c r="AF27" i="20"/>
  <c r="AG27" i="20" s="1"/>
  <c r="BD27" i="20" s="1"/>
  <c r="AB27" i="20"/>
  <c r="AC27" i="20" s="1"/>
  <c r="BC27" i="20" s="1"/>
  <c r="Z27" i="20"/>
  <c r="AA27" i="20" s="1"/>
  <c r="BB27" i="20" s="1"/>
  <c r="X27" i="20"/>
  <c r="A27" i="20"/>
  <c r="AX26" i="20" a="1"/>
  <c r="AX26" i="20" s="1"/>
  <c r="AL26" i="20"/>
  <c r="AM26" i="20" s="1"/>
  <c r="BG26" i="20" s="1"/>
  <c r="AJ26" i="20"/>
  <c r="AH26" i="20"/>
  <c r="AI26" i="20" s="1"/>
  <c r="BE26" i="20" s="1"/>
  <c r="AF26" i="20"/>
  <c r="AG26" i="20" s="1"/>
  <c r="BD26" i="20" s="1"/>
  <c r="AB26" i="20"/>
  <c r="AC26" i="20" s="1"/>
  <c r="BC26" i="20" s="1"/>
  <c r="Z26" i="20"/>
  <c r="AA26" i="20" s="1"/>
  <c r="BB26" i="20" s="1"/>
  <c r="X26" i="20"/>
  <c r="Y26" i="20" s="1"/>
  <c r="BA26" i="20" s="1"/>
  <c r="A26" i="20"/>
  <c r="AX25" i="20" a="1"/>
  <c r="AX25" i="20" s="1"/>
  <c r="AL25" i="20"/>
  <c r="AM25" i="20" s="1"/>
  <c r="BG25" i="20" s="1"/>
  <c r="AJ25" i="20"/>
  <c r="AH25" i="20"/>
  <c r="AI25" i="20" s="1"/>
  <c r="BE25" i="20" s="1"/>
  <c r="AF25" i="20"/>
  <c r="AG25" i="20" s="1"/>
  <c r="BD25" i="20" s="1"/>
  <c r="AB25" i="20"/>
  <c r="AC25" i="20" s="1"/>
  <c r="BC25" i="20" s="1"/>
  <c r="Z25" i="20"/>
  <c r="AA25" i="20" s="1"/>
  <c r="BB25" i="20" s="1"/>
  <c r="X25" i="20"/>
  <c r="A25" i="20"/>
  <c r="AX24" i="20" a="1"/>
  <c r="AX24" i="20" s="1"/>
  <c r="AL24" i="20"/>
  <c r="AM24" i="20" s="1"/>
  <c r="BG24" i="20" s="1"/>
  <c r="AJ24" i="20"/>
  <c r="AH24" i="20"/>
  <c r="AI24" i="20" s="1"/>
  <c r="BE24" i="20" s="1"/>
  <c r="AF24" i="20"/>
  <c r="AG24" i="20" s="1"/>
  <c r="BD24" i="20" s="1"/>
  <c r="AB24" i="20"/>
  <c r="AC24" i="20" s="1"/>
  <c r="BC24" i="20" s="1"/>
  <c r="Z24" i="20"/>
  <c r="AA24" i="20" s="1"/>
  <c r="BB24" i="20" s="1"/>
  <c r="X24" i="20"/>
  <c r="A24" i="20"/>
  <c r="AX23" i="20" a="1"/>
  <c r="AX23" i="20" s="1"/>
  <c r="AL23" i="20"/>
  <c r="AM23" i="20" s="1"/>
  <c r="BG23" i="20" s="1"/>
  <c r="AJ23" i="20"/>
  <c r="AH23" i="20"/>
  <c r="AI23" i="20" s="1"/>
  <c r="BE23" i="20" s="1"/>
  <c r="AF23" i="20"/>
  <c r="AG23" i="20" s="1"/>
  <c r="BD23" i="20" s="1"/>
  <c r="AB23" i="20"/>
  <c r="AC23" i="20" s="1"/>
  <c r="BC23" i="20" s="1"/>
  <c r="Z23" i="20"/>
  <c r="AA23" i="20" s="1"/>
  <c r="BB23" i="20" s="1"/>
  <c r="X23" i="20"/>
  <c r="A23" i="20"/>
  <c r="AX22" i="20" a="1"/>
  <c r="AX22" i="20" s="1"/>
  <c r="AL22" i="20"/>
  <c r="AM22" i="20" s="1"/>
  <c r="BG22" i="20" s="1"/>
  <c r="AJ22" i="20"/>
  <c r="AH22" i="20"/>
  <c r="AI22" i="20" s="1"/>
  <c r="BE22" i="20" s="1"/>
  <c r="AF22" i="20"/>
  <c r="AG22" i="20" s="1"/>
  <c r="BD22" i="20" s="1"/>
  <c r="AB22" i="20"/>
  <c r="AC22" i="20" s="1"/>
  <c r="BC22" i="20" s="1"/>
  <c r="Z22" i="20"/>
  <c r="AA22" i="20" s="1"/>
  <c r="BB22" i="20" s="1"/>
  <c r="X22" i="20"/>
  <c r="A22" i="20"/>
  <c r="AX21" i="20" a="1"/>
  <c r="AX21" i="20" s="1"/>
  <c r="AL21" i="20"/>
  <c r="AM21" i="20" s="1"/>
  <c r="BG21" i="20" s="1"/>
  <c r="AJ21" i="20"/>
  <c r="AH21" i="20"/>
  <c r="AI21" i="20" s="1"/>
  <c r="BE21" i="20" s="1"/>
  <c r="AF21" i="20"/>
  <c r="AG21" i="20" s="1"/>
  <c r="BD21" i="20" s="1"/>
  <c r="AB21" i="20"/>
  <c r="AC21" i="20" s="1"/>
  <c r="BC21" i="20" s="1"/>
  <c r="Z21" i="20"/>
  <c r="AA21" i="20" s="1"/>
  <c r="BB21" i="20" s="1"/>
  <c r="X21" i="20"/>
  <c r="Y21" i="20" s="1"/>
  <c r="BA21" i="20" s="1"/>
  <c r="A21" i="20"/>
  <c r="AX20" i="20" a="1"/>
  <c r="AX20" i="20" s="1"/>
  <c r="AL20" i="20"/>
  <c r="AM20" i="20" s="1"/>
  <c r="BG20" i="20" s="1"/>
  <c r="AJ20" i="20"/>
  <c r="AH20" i="20"/>
  <c r="AI20" i="20" s="1"/>
  <c r="BE20" i="20" s="1"/>
  <c r="AF20" i="20"/>
  <c r="AG20" i="20" s="1"/>
  <c r="BD20" i="20" s="1"/>
  <c r="AB20" i="20"/>
  <c r="AC20" i="20" s="1"/>
  <c r="BC20" i="20" s="1"/>
  <c r="Z20" i="20"/>
  <c r="AA20" i="20" s="1"/>
  <c r="BB20" i="20" s="1"/>
  <c r="X20" i="20"/>
  <c r="A20" i="20"/>
  <c r="AX19" i="20" a="1"/>
  <c r="AX19" i="20" s="1"/>
  <c r="AL19" i="20"/>
  <c r="AM19" i="20" s="1"/>
  <c r="BG19" i="20" s="1"/>
  <c r="AJ19" i="20"/>
  <c r="AH19" i="20"/>
  <c r="AI19" i="20" s="1"/>
  <c r="BE19" i="20" s="1"/>
  <c r="AF19" i="20"/>
  <c r="AG19" i="20" s="1"/>
  <c r="BD19" i="20" s="1"/>
  <c r="AB19" i="20"/>
  <c r="AC19" i="20" s="1"/>
  <c r="BC19" i="20" s="1"/>
  <c r="Z19" i="20"/>
  <c r="AA19" i="20" s="1"/>
  <c r="BB19" i="20" s="1"/>
  <c r="X19" i="20"/>
  <c r="A19" i="20"/>
  <c r="AX18" i="20" a="1"/>
  <c r="AX18" i="20" s="1"/>
  <c r="AL18" i="20"/>
  <c r="AM18" i="20" s="1"/>
  <c r="BG18" i="20" s="1"/>
  <c r="AJ18" i="20"/>
  <c r="AH18" i="20"/>
  <c r="AI18" i="20" s="1"/>
  <c r="BE18" i="20" s="1"/>
  <c r="AF18" i="20"/>
  <c r="AG18" i="20" s="1"/>
  <c r="BD18" i="20" s="1"/>
  <c r="AB18" i="20"/>
  <c r="AC18" i="20" s="1"/>
  <c r="BC18" i="20" s="1"/>
  <c r="Z18" i="20"/>
  <c r="AA18" i="20" s="1"/>
  <c r="BB18" i="20" s="1"/>
  <c r="X18" i="20"/>
  <c r="Y18" i="20" s="1"/>
  <c r="BA18" i="20" s="1"/>
  <c r="A18" i="20"/>
  <c r="AX17" i="20" a="1"/>
  <c r="AX17" i="20" s="1"/>
  <c r="AL17" i="20"/>
  <c r="AM17" i="20" s="1"/>
  <c r="BG17" i="20" s="1"/>
  <c r="AJ17" i="20"/>
  <c r="AH17" i="20"/>
  <c r="AI17" i="20" s="1"/>
  <c r="BE17" i="20" s="1"/>
  <c r="AF17" i="20"/>
  <c r="AG17" i="20" s="1"/>
  <c r="BD17" i="20" s="1"/>
  <c r="AB17" i="20"/>
  <c r="AC17" i="20" s="1"/>
  <c r="BC17" i="20" s="1"/>
  <c r="Z17" i="20"/>
  <c r="AA17" i="20" s="1"/>
  <c r="BB17" i="20" s="1"/>
  <c r="X17" i="20"/>
  <c r="Y17" i="20" s="1"/>
  <c r="BA17" i="20" s="1"/>
  <c r="A17" i="20"/>
  <c r="AX16" i="20" a="1"/>
  <c r="AX16" i="20" s="1"/>
  <c r="AL16" i="20"/>
  <c r="AM16" i="20" s="1"/>
  <c r="BG16" i="20" s="1"/>
  <c r="AJ16" i="20"/>
  <c r="AH16" i="20"/>
  <c r="AI16" i="20" s="1"/>
  <c r="BE16" i="20" s="1"/>
  <c r="AF16" i="20"/>
  <c r="AG16" i="20" s="1"/>
  <c r="BD16" i="20" s="1"/>
  <c r="AB16" i="20"/>
  <c r="AC16" i="20" s="1"/>
  <c r="BC16" i="20" s="1"/>
  <c r="Z16" i="20"/>
  <c r="AA16" i="20" s="1"/>
  <c r="BB16" i="20" s="1"/>
  <c r="X16" i="20"/>
  <c r="A16" i="20"/>
  <c r="AX15" i="20" a="1"/>
  <c r="AX15" i="20" s="1"/>
  <c r="AL15" i="20"/>
  <c r="AM15" i="20" s="1"/>
  <c r="BG15" i="20" s="1"/>
  <c r="AJ15" i="20"/>
  <c r="AH15" i="20"/>
  <c r="AI15" i="20" s="1"/>
  <c r="BE15" i="20" s="1"/>
  <c r="AF15" i="20"/>
  <c r="AG15" i="20" s="1"/>
  <c r="BD15" i="20" s="1"/>
  <c r="AB15" i="20"/>
  <c r="AC15" i="20" s="1"/>
  <c r="BC15" i="20" s="1"/>
  <c r="Z15" i="20"/>
  <c r="AA15" i="20" s="1"/>
  <c r="BB15" i="20" s="1"/>
  <c r="X15" i="20"/>
  <c r="Y15" i="20" s="1"/>
  <c r="BA15" i="20" s="1"/>
  <c r="A15" i="20"/>
  <c r="AX14" i="20" a="1"/>
  <c r="AX14" i="20" s="1"/>
  <c r="AL14" i="20"/>
  <c r="AM14" i="20" s="1"/>
  <c r="BG14" i="20" s="1"/>
  <c r="AJ14" i="20"/>
  <c r="AH14" i="20"/>
  <c r="AI14" i="20" s="1"/>
  <c r="BE14" i="20" s="1"/>
  <c r="AF14" i="20"/>
  <c r="AG14" i="20" s="1"/>
  <c r="BD14" i="20" s="1"/>
  <c r="AB14" i="20"/>
  <c r="AC14" i="20" s="1"/>
  <c r="BC14" i="20" s="1"/>
  <c r="Z14" i="20"/>
  <c r="AA14" i="20" s="1"/>
  <c r="BB14" i="20" s="1"/>
  <c r="X14" i="20"/>
  <c r="Y14" i="20" s="1"/>
  <c r="BA14" i="20" s="1"/>
  <c r="A14" i="20"/>
  <c r="AX13" i="20" a="1"/>
  <c r="AX13" i="20" s="1"/>
  <c r="AL13" i="20"/>
  <c r="AM13" i="20" s="1"/>
  <c r="BG13" i="20" s="1"/>
  <c r="AJ13" i="20"/>
  <c r="AH13" i="20"/>
  <c r="AI13" i="20" s="1"/>
  <c r="BE13" i="20" s="1"/>
  <c r="AF13" i="20"/>
  <c r="AG13" i="20" s="1"/>
  <c r="BD13" i="20" s="1"/>
  <c r="AB13" i="20"/>
  <c r="AC13" i="20" s="1"/>
  <c r="BC13" i="20" s="1"/>
  <c r="Z13" i="20"/>
  <c r="AA13" i="20" s="1"/>
  <c r="BB13" i="20" s="1"/>
  <c r="X13" i="20"/>
  <c r="Y13" i="20" s="1"/>
  <c r="BA13" i="20" s="1"/>
  <c r="A13" i="20"/>
  <c r="AX12" i="20" a="1"/>
  <c r="AX12" i="20" s="1"/>
  <c r="AL12" i="20"/>
  <c r="AM12" i="20" s="1"/>
  <c r="BG12" i="20" s="1"/>
  <c r="AJ12" i="20"/>
  <c r="AH12" i="20"/>
  <c r="AI12" i="20" s="1"/>
  <c r="BE12" i="20" s="1"/>
  <c r="AF12" i="20"/>
  <c r="AG12" i="20" s="1"/>
  <c r="BD12" i="20" s="1"/>
  <c r="AB12" i="20"/>
  <c r="AC12" i="20" s="1"/>
  <c r="BC12" i="20" s="1"/>
  <c r="Z12" i="20"/>
  <c r="AA12" i="20" s="1"/>
  <c r="BB12" i="20" s="1"/>
  <c r="X12" i="20"/>
  <c r="A12" i="20"/>
  <c r="AX11" i="20" a="1"/>
  <c r="AX11" i="20" s="1"/>
  <c r="AL11" i="20"/>
  <c r="AM11" i="20" s="1"/>
  <c r="BG11" i="20" s="1"/>
  <c r="AJ11" i="20"/>
  <c r="AH11" i="20"/>
  <c r="AI11" i="20" s="1"/>
  <c r="BE11" i="20" s="1"/>
  <c r="AF11" i="20"/>
  <c r="AG11" i="20" s="1"/>
  <c r="BD11" i="20" s="1"/>
  <c r="AB11" i="20"/>
  <c r="AC11" i="20" s="1"/>
  <c r="BC11" i="20" s="1"/>
  <c r="Z11" i="20"/>
  <c r="AA11" i="20" s="1"/>
  <c r="BB11" i="20" s="1"/>
  <c r="X11" i="20"/>
  <c r="Y11" i="20" s="1"/>
  <c r="BA11" i="20" s="1"/>
  <c r="A11" i="20"/>
  <c r="AX10" i="20" a="1"/>
  <c r="AX10" i="20" s="1"/>
  <c r="AL10" i="20"/>
  <c r="AM10" i="20" s="1"/>
  <c r="BG10" i="20" s="1"/>
  <c r="AJ10" i="20"/>
  <c r="AH10" i="20"/>
  <c r="AI10" i="20" s="1"/>
  <c r="BE10" i="20" s="1"/>
  <c r="AF10" i="20"/>
  <c r="AG10" i="20" s="1"/>
  <c r="BD10" i="20" s="1"/>
  <c r="AB10" i="20"/>
  <c r="AC10" i="20" s="1"/>
  <c r="BC10" i="20" s="1"/>
  <c r="Z10" i="20"/>
  <c r="AA10" i="20" s="1"/>
  <c r="BB10" i="20" s="1"/>
  <c r="X10" i="20"/>
  <c r="A10" i="20"/>
  <c r="AX9" i="20" a="1"/>
  <c r="AX9" i="20" s="1"/>
  <c r="AL9" i="20"/>
  <c r="AM9" i="20" s="1"/>
  <c r="BG9" i="20" s="1"/>
  <c r="AJ9" i="20"/>
  <c r="AH9" i="20"/>
  <c r="AI9" i="20" s="1"/>
  <c r="BE9" i="20" s="1"/>
  <c r="AF9" i="20"/>
  <c r="AG9" i="20" s="1"/>
  <c r="BD9" i="20" s="1"/>
  <c r="AB9" i="20"/>
  <c r="AC9" i="20" s="1"/>
  <c r="BC9" i="20" s="1"/>
  <c r="Z9" i="20"/>
  <c r="AA9" i="20" s="1"/>
  <c r="BB9" i="20" s="1"/>
  <c r="X9" i="20"/>
  <c r="A9" i="20"/>
  <c r="AX8" i="20" a="1"/>
  <c r="AX8" i="20" s="1"/>
  <c r="AL8" i="20"/>
  <c r="AM8" i="20" s="1"/>
  <c r="BG8" i="20" s="1"/>
  <c r="AJ8" i="20"/>
  <c r="AH8" i="20"/>
  <c r="AI8" i="20" s="1"/>
  <c r="BE8" i="20" s="1"/>
  <c r="AF8" i="20"/>
  <c r="AG8" i="20" s="1"/>
  <c r="BD8" i="20" s="1"/>
  <c r="AB8" i="20"/>
  <c r="AC8" i="20" s="1"/>
  <c r="BC8" i="20" s="1"/>
  <c r="Z8" i="20"/>
  <c r="AA8" i="20" s="1"/>
  <c r="BB8" i="20" s="1"/>
  <c r="X8" i="20"/>
  <c r="A8" i="20"/>
  <c r="AX6" i="20" a="1"/>
  <c r="AX6" i="20" s="1"/>
  <c r="AL6" i="20"/>
  <c r="AM6" i="20" s="1"/>
  <c r="AJ6" i="20"/>
  <c r="AH6" i="20"/>
  <c r="AI6" i="20" s="1"/>
  <c r="AF6" i="20"/>
  <c r="AG6" i="20" s="1"/>
  <c r="AB6" i="20"/>
  <c r="AC6" i="20" s="1"/>
  <c r="Z6" i="20"/>
  <c r="AA6" i="20" s="1"/>
  <c r="BB7" i="20" s="1"/>
  <c r="X6" i="20"/>
  <c r="Y6" i="20" s="1"/>
  <c r="A6" i="20"/>
  <c r="AX7" i="20" a="1"/>
  <c r="AX7" i="20" s="1"/>
  <c r="AL7" i="20"/>
  <c r="AM7" i="20" s="1"/>
  <c r="BG6" i="20" s="1"/>
  <c r="AJ7" i="20"/>
  <c r="AH7" i="20"/>
  <c r="AI7" i="20" s="1"/>
  <c r="BE6" i="20" s="1"/>
  <c r="AF7" i="20"/>
  <c r="AG7" i="20" s="1"/>
  <c r="BD6" i="20" s="1"/>
  <c r="AB7" i="20"/>
  <c r="AC7" i="20" s="1"/>
  <c r="BC6" i="20" s="1"/>
  <c r="Z7" i="20"/>
  <c r="AA7" i="20" s="1"/>
  <c r="X7" i="20"/>
  <c r="A7" i="20"/>
  <c r="U7" i="13"/>
  <c r="M7" i="13"/>
  <c r="M6" i="13"/>
  <c r="M8" i="13"/>
  <c r="M9" i="13"/>
  <c r="M10" i="13"/>
  <c r="M11" i="13"/>
  <c r="M12" i="13"/>
  <c r="M13" i="13"/>
  <c r="M14" i="13"/>
  <c r="M15" i="13"/>
  <c r="M16" i="13"/>
  <c r="M17" i="13"/>
  <c r="M18" i="13"/>
  <c r="M19" i="13"/>
  <c r="M20" i="13"/>
  <c r="M21" i="13"/>
  <c r="M22" i="13"/>
  <c r="M23" i="13"/>
  <c r="K7" i="13"/>
  <c r="K6" i="13"/>
  <c r="K8" i="13"/>
  <c r="K9" i="13"/>
  <c r="K10" i="13"/>
  <c r="K11" i="13"/>
  <c r="K12" i="13"/>
  <c r="K13" i="13"/>
  <c r="K14" i="13"/>
  <c r="K15" i="13"/>
  <c r="K16" i="13"/>
  <c r="K17" i="13"/>
  <c r="K18" i="13"/>
  <c r="K19" i="13"/>
  <c r="K20" i="13"/>
  <c r="K21" i="13"/>
  <c r="K22" i="13"/>
  <c r="K23" i="13"/>
  <c r="B6" i="14"/>
  <c r="M31" i="34" l="1"/>
  <c r="A31" i="34" s="1"/>
  <c r="M20" i="34"/>
  <c r="A20" i="34" s="1"/>
  <c r="M23" i="34"/>
  <c r="A23" i="34" s="1"/>
  <c r="M9" i="34"/>
  <c r="A9" i="34" s="1"/>
  <c r="L9" i="34"/>
  <c r="M18" i="34"/>
  <c r="A18" i="34" s="1"/>
  <c r="AR9" i="20"/>
  <c r="AS9" i="20" s="1"/>
  <c r="AR17" i="20"/>
  <c r="AS17" i="20" s="1"/>
  <c r="AR25" i="20"/>
  <c r="M32" i="34"/>
  <c r="A32" i="34" s="1"/>
  <c r="AR10" i="20"/>
  <c r="AR18" i="20"/>
  <c r="AR26" i="20"/>
  <c r="M28" i="34"/>
  <c r="A28" i="34" s="1"/>
  <c r="AR11" i="20"/>
  <c r="AS11" i="20" s="1"/>
  <c r="AR19" i="20"/>
  <c r="AS19" i="20" s="1"/>
  <c r="AR27" i="20"/>
  <c r="L8" i="34"/>
  <c r="M8" i="34" s="1"/>
  <c r="A8" i="34" s="1"/>
  <c r="AR12" i="20"/>
  <c r="AR20" i="20"/>
  <c r="AR28" i="20"/>
  <c r="L7" i="34"/>
  <c r="M7" i="34" s="1"/>
  <c r="A7" i="34" s="1"/>
  <c r="M12" i="34"/>
  <c r="A12" i="34" s="1"/>
  <c r="AR13" i="20"/>
  <c r="AS13" i="20" s="1"/>
  <c r="AR21" i="20"/>
  <c r="AR29" i="20"/>
  <c r="AR14" i="20"/>
  <c r="AR22" i="20"/>
  <c r="M21" i="34"/>
  <c r="A21" i="34" s="1"/>
  <c r="M29" i="34"/>
  <c r="A29" i="34" s="1"/>
  <c r="AS6" i="20"/>
  <c r="AR15" i="20"/>
  <c r="AR23" i="20"/>
  <c r="M6" i="34"/>
  <c r="A6" i="34" s="1"/>
  <c r="AS24" i="20" s="1"/>
  <c r="AR8" i="20"/>
  <c r="AR16" i="20"/>
  <c r="BD7" i="20"/>
  <c r="BE7" i="20"/>
  <c r="BG7" i="20"/>
  <c r="BB6" i="20"/>
  <c r="BC7" i="20"/>
  <c r="L9" i="37"/>
  <c r="L8" i="37"/>
  <c r="L7" i="37"/>
  <c r="AI16" i="36"/>
  <c r="L6" i="35"/>
  <c r="L9" i="33"/>
  <c r="L8" i="32"/>
  <c r="AI16" i="31"/>
  <c r="L6" i="20"/>
  <c r="L11" i="20"/>
  <c r="L13" i="20"/>
  <c r="L23" i="20"/>
  <c r="L27" i="20"/>
  <c r="L29" i="20"/>
  <c r="L8" i="20"/>
  <c r="L12" i="20"/>
  <c r="L14" i="20"/>
  <c r="L24" i="20"/>
  <c r="L28" i="20"/>
  <c r="L9" i="28"/>
  <c r="L8" i="28"/>
  <c r="L7" i="28"/>
  <c r="L6" i="28"/>
  <c r="M10" i="28"/>
  <c r="M12" i="28"/>
  <c r="M13" i="28"/>
  <c r="N13" i="28" s="1"/>
  <c r="A13" i="28" s="1"/>
  <c r="M15" i="28"/>
  <c r="N15" i="28" s="1"/>
  <c r="A15" i="28" s="1"/>
  <c r="M18" i="28"/>
  <c r="N18" i="28" s="1"/>
  <c r="A18" i="28" s="1"/>
  <c r="M23" i="28"/>
  <c r="M24" i="28"/>
  <c r="N24" i="28" s="1"/>
  <c r="A24" i="28" s="1"/>
  <c r="M26" i="28"/>
  <c r="N26" i="28" s="1"/>
  <c r="A26" i="28" s="1"/>
  <c r="M30" i="28"/>
  <c r="M36" i="28"/>
  <c r="N36" i="28" s="1"/>
  <c r="A36" i="28" s="1"/>
  <c r="M37" i="28"/>
  <c r="N37" i="28" s="1"/>
  <c r="A37" i="28" s="1"/>
  <c r="M44" i="28"/>
  <c r="N44" i="28" s="1"/>
  <c r="A44" i="28" s="1"/>
  <c r="N45" i="28"/>
  <c r="A45" i="28" s="1"/>
  <c r="M45" i="28"/>
  <c r="M52" i="28"/>
  <c r="N52" i="28" s="1"/>
  <c r="A52" i="28" s="1"/>
  <c r="N54" i="28"/>
  <c r="A54" i="28" s="1"/>
  <c r="M54" i="28"/>
  <c r="M60" i="28"/>
  <c r="N60" i="28" s="1"/>
  <c r="A60" i="28" s="1"/>
  <c r="M61" i="28"/>
  <c r="N61" i="28" s="1"/>
  <c r="A61" i="28" s="1"/>
  <c r="M68" i="28"/>
  <c r="N68" i="28" s="1"/>
  <c r="A68" i="28" s="1"/>
  <c r="M69" i="28"/>
  <c r="N69" i="28" s="1"/>
  <c r="A69" i="28" s="1"/>
  <c r="M70" i="28"/>
  <c r="N70" i="28" s="1"/>
  <c r="A70" i="28" s="1"/>
  <c r="M76" i="28"/>
  <c r="N76" i="28" s="1"/>
  <c r="A76" i="28" s="1"/>
  <c r="M78" i="28"/>
  <c r="N78" i="28" s="1"/>
  <c r="A78" i="28" s="1"/>
  <c r="M84" i="28"/>
  <c r="N84" i="28" s="1"/>
  <c r="A84" i="28" s="1"/>
  <c r="N92" i="28"/>
  <c r="A92" i="28" s="1"/>
  <c r="M92" i="28"/>
  <c r="N93" i="28"/>
  <c r="A93" i="28" s="1"/>
  <c r="M93" i="28"/>
  <c r="N94" i="28"/>
  <c r="A94" i="28" s="1"/>
  <c r="M94" i="28"/>
  <c r="M95" i="28"/>
  <c r="N95" i="28"/>
  <c r="A95" i="28" s="1"/>
  <c r="N100" i="28"/>
  <c r="A100" i="28" s="1"/>
  <c r="M100" i="28"/>
  <c r="N101" i="28"/>
  <c r="A101" i="28" s="1"/>
  <c r="M101" i="28"/>
  <c r="N102" i="28"/>
  <c r="A102" i="28" s="1"/>
  <c r="M102" i="28"/>
  <c r="M103" i="28"/>
  <c r="N103" i="28"/>
  <c r="A103" i="28" s="1"/>
  <c r="N108" i="28"/>
  <c r="A108" i="28" s="1"/>
  <c r="M108" i="28"/>
  <c r="N109" i="28"/>
  <c r="A109" i="28" s="1"/>
  <c r="M109" i="28"/>
  <c r="N110" i="28"/>
  <c r="A110" i="28" s="1"/>
  <c r="M110" i="28"/>
  <c r="M111" i="28"/>
  <c r="N111" i="28"/>
  <c r="A111" i="28" s="1"/>
  <c r="N116" i="28"/>
  <c r="A116" i="28" s="1"/>
  <c r="M116" i="28"/>
  <c r="N117" i="28"/>
  <c r="A117" i="28" s="1"/>
  <c r="M117" i="28"/>
  <c r="N118" i="28"/>
  <c r="A118" i="28" s="1"/>
  <c r="M118" i="28"/>
  <c r="M119" i="28"/>
  <c r="N119" i="28"/>
  <c r="A119" i="28" s="1"/>
  <c r="N124" i="28"/>
  <c r="A124" i="28" s="1"/>
  <c r="M124" i="28"/>
  <c r="N125" i="28"/>
  <c r="A125" i="28" s="1"/>
  <c r="M125" i="28"/>
  <c r="N126" i="28"/>
  <c r="A126" i="28" s="1"/>
  <c r="M126" i="28"/>
  <c r="M127" i="28"/>
  <c r="N127" i="28"/>
  <c r="A127" i="28" s="1"/>
  <c r="N132" i="28"/>
  <c r="A132" i="28" s="1"/>
  <c r="M132" i="28"/>
  <c r="N133" i="28"/>
  <c r="A133" i="28" s="1"/>
  <c r="M133" i="28"/>
  <c r="N134" i="28"/>
  <c r="A134" i="28" s="1"/>
  <c r="M134" i="28"/>
  <c r="M135" i="28"/>
  <c r="N135" i="28"/>
  <c r="A135" i="28" s="1"/>
  <c r="N139" i="28"/>
  <c r="A139" i="28" s="1"/>
  <c r="M139" i="28"/>
  <c r="M140" i="28"/>
  <c r="N140" i="28"/>
  <c r="A140" i="28" s="1"/>
  <c r="N142" i="28"/>
  <c r="A142" i="28" s="1"/>
  <c r="M142" i="28"/>
  <c r="M145" i="28"/>
  <c r="N145" i="28"/>
  <c r="A145" i="28" s="1"/>
  <c r="N149" i="28"/>
  <c r="A149" i="28" s="1"/>
  <c r="M149" i="28"/>
  <c r="N150" i="28"/>
  <c r="A150" i="28" s="1"/>
  <c r="M150" i="28"/>
  <c r="N151" i="28"/>
  <c r="A151" i="28" s="1"/>
  <c r="M151" i="28"/>
  <c r="N155" i="28"/>
  <c r="A155" i="28" s="1"/>
  <c r="M155" i="28"/>
  <c r="M156" i="28"/>
  <c r="N156" i="28"/>
  <c r="A156" i="28" s="1"/>
  <c r="M157" i="28"/>
  <c r="N157" i="28"/>
  <c r="A157" i="28" s="1"/>
  <c r="N158" i="28"/>
  <c r="A158" i="28" s="1"/>
  <c r="M158" i="28"/>
  <c r="N160" i="28"/>
  <c r="A160" i="28" s="1"/>
  <c r="M160" i="28"/>
  <c r="N163" i="28"/>
  <c r="A163" i="28" s="1"/>
  <c r="M163" i="28"/>
  <c r="N164" i="28"/>
  <c r="A164" i="28" s="1"/>
  <c r="M164" i="28"/>
  <c r="N166" i="28"/>
  <c r="A166" i="28" s="1"/>
  <c r="M166" i="28"/>
  <c r="N168" i="28"/>
  <c r="A168" i="28" s="1"/>
  <c r="M168" i="28"/>
  <c r="N171" i="28"/>
  <c r="A171" i="28" s="1"/>
  <c r="M171" i="28"/>
  <c r="N172" i="28"/>
  <c r="A172" i="28" s="1"/>
  <c r="M172" i="28"/>
  <c r="N174" i="28"/>
  <c r="A174" i="28" s="1"/>
  <c r="M174" i="28"/>
  <c r="N176" i="28"/>
  <c r="A176" i="28" s="1"/>
  <c r="M176" i="28"/>
  <c r="M177" i="28"/>
  <c r="N177" i="28"/>
  <c r="A177" i="28" s="1"/>
  <c r="N179" i="28"/>
  <c r="A179" i="28" s="1"/>
  <c r="M179" i="28"/>
  <c r="N180" i="28"/>
  <c r="A180" i="28" s="1"/>
  <c r="M180" i="28"/>
  <c r="N181" i="28"/>
  <c r="A181" i="28" s="1"/>
  <c r="M181" i="28"/>
  <c r="N182" i="28"/>
  <c r="A182" i="28" s="1"/>
  <c r="M182" i="28"/>
  <c r="N184" i="28"/>
  <c r="A184" i="28" s="1"/>
  <c r="M184" i="28"/>
  <c r="M185" i="28"/>
  <c r="N185" i="28"/>
  <c r="A185" i="28" s="1"/>
  <c r="N187" i="28"/>
  <c r="A187" i="28" s="1"/>
  <c r="M187" i="28"/>
  <c r="N188" i="28"/>
  <c r="A188" i="28" s="1"/>
  <c r="M188" i="28"/>
  <c r="N189" i="28"/>
  <c r="A189" i="28" s="1"/>
  <c r="M189" i="28"/>
  <c r="N190" i="28"/>
  <c r="A190" i="28" s="1"/>
  <c r="M190" i="28"/>
  <c r="N194" i="28"/>
  <c r="A194" i="28" s="1"/>
  <c r="M194" i="28"/>
  <c r="N195" i="28"/>
  <c r="A195" i="28" s="1"/>
  <c r="M195" i="28"/>
  <c r="N196" i="28"/>
  <c r="A196" i="28" s="1"/>
  <c r="M196" i="28"/>
  <c r="N197" i="28"/>
  <c r="A197" i="28" s="1"/>
  <c r="M197" i="28"/>
  <c r="N198" i="28"/>
  <c r="A198" i="28" s="1"/>
  <c r="M198" i="28"/>
  <c r="M199" i="28"/>
  <c r="N199" i="28"/>
  <c r="A199" i="28" s="1"/>
  <c r="N202" i="28"/>
  <c r="A202" i="28" s="1"/>
  <c r="M202" i="28"/>
  <c r="N204" i="28"/>
  <c r="A204" i="28" s="1"/>
  <c r="M204" i="28"/>
  <c r="N205" i="28"/>
  <c r="A205" i="28" s="1"/>
  <c r="M205" i="28"/>
  <c r="N206" i="28"/>
  <c r="A206" i="28" s="1"/>
  <c r="M206" i="28"/>
  <c r="N211" i="28"/>
  <c r="A211" i="28" s="1"/>
  <c r="M211" i="28"/>
  <c r="N212" i="28"/>
  <c r="A212" i="28" s="1"/>
  <c r="M212" i="28"/>
  <c r="N213" i="28"/>
  <c r="A213" i="28" s="1"/>
  <c r="M213" i="28"/>
  <c r="N214" i="28"/>
  <c r="A214" i="28" s="1"/>
  <c r="M214" i="28"/>
  <c r="M215" i="28"/>
  <c r="N215" i="28"/>
  <c r="A215" i="28" s="1"/>
  <c r="N218" i="28"/>
  <c r="A218" i="28" s="1"/>
  <c r="M218" i="28"/>
  <c r="N220" i="28"/>
  <c r="A220" i="28" s="1"/>
  <c r="M220" i="28"/>
  <c r="N221" i="28"/>
  <c r="A221" i="28" s="1"/>
  <c r="M221" i="28"/>
  <c r="N222" i="28"/>
  <c r="A222" i="28" s="1"/>
  <c r="M222" i="28"/>
  <c r="N227" i="28"/>
  <c r="A227" i="28" s="1"/>
  <c r="M227" i="28"/>
  <c r="N228" i="28"/>
  <c r="A228" i="28" s="1"/>
  <c r="M228" i="28"/>
  <c r="N229" i="28"/>
  <c r="A229" i="28" s="1"/>
  <c r="M229" i="28"/>
  <c r="N230" i="28"/>
  <c r="A230" i="28" s="1"/>
  <c r="M230" i="28"/>
  <c r="N234" i="28"/>
  <c r="A234" i="28" s="1"/>
  <c r="M234" i="28"/>
  <c r="M235" i="28"/>
  <c r="N235" i="28"/>
  <c r="A235" i="28" s="1"/>
  <c r="N236" i="28"/>
  <c r="A236" i="28" s="1"/>
  <c r="M236" i="28"/>
  <c r="N237" i="28"/>
  <c r="A237" i="28" s="1"/>
  <c r="M237" i="28"/>
  <c r="N238" i="28"/>
  <c r="A238" i="28" s="1"/>
  <c r="M238" i="28"/>
  <c r="M239" i="28"/>
  <c r="N239" i="28"/>
  <c r="A239" i="28" s="1"/>
  <c r="N244" i="28"/>
  <c r="A244" i="28" s="1"/>
  <c r="M244" i="28"/>
  <c r="N245" i="28"/>
  <c r="A245" i="28" s="1"/>
  <c r="M245" i="28"/>
  <c r="N246" i="28"/>
  <c r="A246" i="28" s="1"/>
  <c r="M246" i="28"/>
  <c r="M247" i="28"/>
  <c r="N247" i="28"/>
  <c r="A247" i="28" s="1"/>
  <c r="N251" i="28"/>
  <c r="A251" i="28" s="1"/>
  <c r="M251" i="28"/>
  <c r="N252" i="28"/>
  <c r="A252" i="28" s="1"/>
  <c r="M252" i="28"/>
  <c r="N254" i="28"/>
  <c r="A254" i="28" s="1"/>
  <c r="M254" i="28"/>
  <c r="N255" i="28"/>
  <c r="A255" i="28" s="1"/>
  <c r="M255" i="28"/>
  <c r="N256" i="28"/>
  <c r="A256" i="28" s="1"/>
  <c r="M256" i="28"/>
  <c r="N258" i="28"/>
  <c r="A258" i="28" s="1"/>
  <c r="M258" i="28"/>
  <c r="N259" i="28"/>
  <c r="A259" i="28" s="1"/>
  <c r="M259" i="28"/>
  <c r="N260" i="28"/>
  <c r="A260" i="28" s="1"/>
  <c r="M260" i="28"/>
  <c r="N262" i="28"/>
  <c r="A262" i="28" s="1"/>
  <c r="M262" i="28"/>
  <c r="N263" i="28"/>
  <c r="A263" i="28" s="1"/>
  <c r="M263" i="28"/>
  <c r="N264" i="28"/>
  <c r="A264" i="28" s="1"/>
  <c r="M264" i="28"/>
  <c r="N267" i="28"/>
  <c r="A267" i="28" s="1"/>
  <c r="M267" i="28"/>
  <c r="N268" i="28"/>
  <c r="A268" i="28" s="1"/>
  <c r="M268" i="28"/>
  <c r="N271" i="28"/>
  <c r="A271" i="28" s="1"/>
  <c r="M271" i="28"/>
  <c r="N272" i="28"/>
  <c r="A272" i="28" s="1"/>
  <c r="M272" i="28"/>
  <c r="N274" i="28"/>
  <c r="A274" i="28" s="1"/>
  <c r="M274" i="28"/>
  <c r="N275" i="28"/>
  <c r="A275" i="28" s="1"/>
  <c r="M275" i="28"/>
  <c r="N276" i="28"/>
  <c r="A276" i="28" s="1"/>
  <c r="M276" i="28"/>
  <c r="N278" i="28"/>
  <c r="A278" i="28" s="1"/>
  <c r="M278" i="28"/>
  <c r="N279" i="28"/>
  <c r="A279" i="28" s="1"/>
  <c r="M279" i="28"/>
  <c r="N280" i="28"/>
  <c r="A280" i="28" s="1"/>
  <c r="M280" i="28"/>
  <c r="N283" i="28"/>
  <c r="A283" i="28" s="1"/>
  <c r="M283" i="28"/>
  <c r="N284" i="28"/>
  <c r="A284" i="28" s="1"/>
  <c r="M284" i="28"/>
  <c r="N286" i="28"/>
  <c r="A286" i="28" s="1"/>
  <c r="M286" i="28"/>
  <c r="N287" i="28"/>
  <c r="A287" i="28" s="1"/>
  <c r="M287" i="28"/>
  <c r="N288" i="28"/>
  <c r="A288" i="28" s="1"/>
  <c r="M288" i="28"/>
  <c r="N291" i="28"/>
  <c r="A291" i="28" s="1"/>
  <c r="M291" i="28"/>
  <c r="N292" i="28"/>
  <c r="A292" i="28" s="1"/>
  <c r="M292" i="28"/>
  <c r="N295" i="28"/>
  <c r="A295" i="28" s="1"/>
  <c r="M295" i="28"/>
  <c r="N296" i="28"/>
  <c r="A296" i="28" s="1"/>
  <c r="M296" i="28"/>
  <c r="N299" i="28"/>
  <c r="A299" i="28" s="1"/>
  <c r="M299" i="28"/>
  <c r="N300" i="28"/>
  <c r="A300" i="28" s="1"/>
  <c r="M300" i="28"/>
  <c r="N302" i="28"/>
  <c r="A302" i="28" s="1"/>
  <c r="M302" i="28"/>
  <c r="N303" i="28"/>
  <c r="A303" i="28" s="1"/>
  <c r="M303" i="28"/>
  <c r="N304" i="28"/>
  <c r="A304" i="28" s="1"/>
  <c r="M304" i="28"/>
  <c r="V8" i="15"/>
  <c r="F7" i="20"/>
  <c r="U46" i="26"/>
  <c r="Y19" i="20"/>
  <c r="BA19" i="20" s="1"/>
  <c r="Y23" i="20"/>
  <c r="BA23" i="20" s="1"/>
  <c r="Y29" i="20"/>
  <c r="BA29" i="20" s="1"/>
  <c r="Y10" i="20"/>
  <c r="BA10" i="20" s="1"/>
  <c r="Y22" i="20"/>
  <c r="BA22" i="20" s="1"/>
  <c r="Y9" i="20"/>
  <c r="BA9" i="20" s="1"/>
  <c r="Y27" i="20"/>
  <c r="BA27" i="20" s="1"/>
  <c r="Y25" i="20"/>
  <c r="BA25" i="20" s="1"/>
  <c r="Y7" i="20"/>
  <c r="BA6" i="20" s="1"/>
  <c r="Y20" i="20"/>
  <c r="BA20" i="20" s="1"/>
  <c r="Y8" i="20"/>
  <c r="BA8" i="20" s="1"/>
  <c r="L6" i="22"/>
  <c r="L7" i="22"/>
  <c r="L8" i="22"/>
  <c r="L9" i="22"/>
  <c r="N293" i="28"/>
  <c r="A293" i="28" s="1"/>
  <c r="M293" i="28"/>
  <c r="Y28" i="20"/>
  <c r="BA28" i="20" s="1"/>
  <c r="Y16" i="20"/>
  <c r="BA16" i="20" s="1"/>
  <c r="Y24" i="20"/>
  <c r="BA24" i="20" s="1"/>
  <c r="Y12" i="20"/>
  <c r="BA12" i="20" s="1"/>
  <c r="L6" i="21"/>
  <c r="U46" i="21"/>
  <c r="M8" i="26"/>
  <c r="A8" i="26" s="1"/>
  <c r="M6" i="26"/>
  <c r="A6" i="26" s="1"/>
  <c r="AI16" i="25"/>
  <c r="M20" i="26"/>
  <c r="A20" i="26" s="1"/>
  <c r="M28" i="26"/>
  <c r="A28" i="26" s="1"/>
  <c r="M22" i="26"/>
  <c r="A22" i="26" s="1"/>
  <c r="M30" i="26"/>
  <c r="A30" i="26" s="1"/>
  <c r="L6" i="26"/>
  <c r="L9" i="26"/>
  <c r="M9" i="26" s="1"/>
  <c r="A9" i="26" s="1"/>
  <c r="L8" i="26"/>
  <c r="L8" i="25"/>
  <c r="M24" i="26"/>
  <c r="A24" i="26" s="1"/>
  <c r="M7" i="26"/>
  <c r="A7" i="26" s="1"/>
  <c r="M12" i="26"/>
  <c r="A12" i="26" s="1"/>
  <c r="M183" i="28"/>
  <c r="N183" i="28"/>
  <c r="A183" i="28" s="1"/>
  <c r="L9" i="27"/>
  <c r="L8" i="27"/>
  <c r="M11" i="28"/>
  <c r="N11" i="28" s="1"/>
  <c r="A11" i="28" s="1"/>
  <c r="N138" i="28"/>
  <c r="A138" i="28" s="1"/>
  <c r="M138" i="28"/>
  <c r="M59" i="28"/>
  <c r="N59" i="28"/>
  <c r="A59" i="28" s="1"/>
  <c r="N23" i="28"/>
  <c r="A23" i="28" s="1"/>
  <c r="M8" i="28"/>
  <c r="N8" i="28" s="1"/>
  <c r="A8" i="28" s="1"/>
  <c r="N12" i="28"/>
  <c r="A12" i="28" s="1"/>
  <c r="N30" i="28"/>
  <c r="A30" i="28" s="1"/>
  <c r="M191" i="28"/>
  <c r="N191" i="28"/>
  <c r="A191" i="28" s="1"/>
  <c r="M7" i="28"/>
  <c r="N7" i="28" s="1"/>
  <c r="A7" i="28" s="1"/>
  <c r="M66" i="28"/>
  <c r="N66" i="28" s="1"/>
  <c r="A66" i="28" s="1"/>
  <c r="M75" i="28"/>
  <c r="N75" i="28" s="1"/>
  <c r="A75" i="28" s="1"/>
  <c r="N106" i="28"/>
  <c r="A106" i="28" s="1"/>
  <c r="M106" i="28"/>
  <c r="N115" i="28"/>
  <c r="A115" i="28" s="1"/>
  <c r="M115" i="28"/>
  <c r="M167" i="28"/>
  <c r="N167" i="28"/>
  <c r="A167" i="28" s="1"/>
  <c r="M19" i="28"/>
  <c r="N19" i="28" s="1"/>
  <c r="A19" i="28" s="1"/>
  <c r="M27" i="28"/>
  <c r="N27" i="28" s="1"/>
  <c r="A27" i="28" s="1"/>
  <c r="M41" i="28"/>
  <c r="N41" i="28" s="1"/>
  <c r="A41" i="28" s="1"/>
  <c r="M90" i="28"/>
  <c r="N90" i="28" s="1"/>
  <c r="A90" i="28" s="1"/>
  <c r="M159" i="28"/>
  <c r="N159" i="28"/>
  <c r="A159" i="28" s="1"/>
  <c r="M6" i="28"/>
  <c r="N6" i="28" s="1"/>
  <c r="A6" i="28" s="1"/>
  <c r="N10" i="28"/>
  <c r="A10" i="28" s="1"/>
  <c r="M21" i="28"/>
  <c r="N21" i="28" s="1"/>
  <c r="A21" i="28" s="1"/>
  <c r="M22" i="28"/>
  <c r="N22" i="28" s="1"/>
  <c r="A22" i="28" s="1"/>
  <c r="N34" i="28"/>
  <c r="A34" i="28" s="1"/>
  <c r="N43" i="28"/>
  <c r="A43" i="28" s="1"/>
  <c r="N32" i="28"/>
  <c r="A32" i="28" s="1"/>
  <c r="M39" i="28"/>
  <c r="N39" i="28"/>
  <c r="A39" i="28" s="1"/>
  <c r="M58" i="28"/>
  <c r="N58" i="28" s="1"/>
  <c r="A58" i="28" s="1"/>
  <c r="M67" i="28"/>
  <c r="N67" i="28" s="1"/>
  <c r="A67" i="28" s="1"/>
  <c r="N107" i="28"/>
  <c r="A107" i="28" s="1"/>
  <c r="M107" i="28"/>
  <c r="N130" i="28"/>
  <c r="A130" i="28" s="1"/>
  <c r="M130" i="28"/>
  <c r="N253" i="28"/>
  <c r="A253" i="28" s="1"/>
  <c r="M253" i="28"/>
  <c r="M9" i="28"/>
  <c r="N9" i="28" s="1"/>
  <c r="A9" i="28" s="1"/>
  <c r="M47" i="28"/>
  <c r="N47" i="28"/>
  <c r="A47" i="28" s="1"/>
  <c r="N65" i="28"/>
  <c r="A65" i="28" s="1"/>
  <c r="M91" i="28"/>
  <c r="N91" i="28" s="1"/>
  <c r="A91" i="28" s="1"/>
  <c r="N178" i="28"/>
  <c r="A178" i="28" s="1"/>
  <c r="M178" i="28"/>
  <c r="N208" i="28"/>
  <c r="A208" i="28" s="1"/>
  <c r="M208" i="28"/>
  <c r="M20" i="28"/>
  <c r="N20" i="28" s="1"/>
  <c r="A20" i="28" s="1"/>
  <c r="M28" i="28"/>
  <c r="N28" i="28" s="1"/>
  <c r="A28" i="28" s="1"/>
  <c r="M42" i="28"/>
  <c r="N42" i="28" s="1"/>
  <c r="A42" i="28" s="1"/>
  <c r="N98" i="28"/>
  <c r="A98" i="28" s="1"/>
  <c r="M98" i="28"/>
  <c r="N170" i="28"/>
  <c r="A170" i="28" s="1"/>
  <c r="M170" i="28"/>
  <c r="N48" i="28"/>
  <c r="A48" i="28" s="1"/>
  <c r="N50" i="28"/>
  <c r="A50" i="28" s="1"/>
  <c r="N73" i="28"/>
  <c r="A73" i="28" s="1"/>
  <c r="M79" i="28"/>
  <c r="N79" i="28" s="1"/>
  <c r="A79" i="28" s="1"/>
  <c r="M83" i="28"/>
  <c r="N83" i="28" s="1"/>
  <c r="A83" i="28" s="1"/>
  <c r="N114" i="28"/>
  <c r="A114" i="28" s="1"/>
  <c r="M114" i="28"/>
  <c r="N123" i="28"/>
  <c r="A123" i="28" s="1"/>
  <c r="M123" i="28"/>
  <c r="N143" i="28"/>
  <c r="A143" i="28" s="1"/>
  <c r="M143" i="28"/>
  <c r="N162" i="28"/>
  <c r="A162" i="28" s="1"/>
  <c r="M162" i="28"/>
  <c r="N186" i="28"/>
  <c r="A186" i="28" s="1"/>
  <c r="M186" i="28"/>
  <c r="N81" i="28"/>
  <c r="A81" i="28" s="1"/>
  <c r="N99" i="28"/>
  <c r="A99" i="28" s="1"/>
  <c r="M99" i="28"/>
  <c r="N154" i="28"/>
  <c r="A154" i="28" s="1"/>
  <c r="M154" i="28"/>
  <c r="M175" i="28"/>
  <c r="N175" i="28"/>
  <c r="A175" i="28" s="1"/>
  <c r="N203" i="28"/>
  <c r="A203" i="28" s="1"/>
  <c r="M203" i="28"/>
  <c r="N210" i="28"/>
  <c r="A210" i="28" s="1"/>
  <c r="M210" i="28"/>
  <c r="N241" i="28"/>
  <c r="A241" i="28" s="1"/>
  <c r="M241" i="28"/>
  <c r="N290" i="28"/>
  <c r="A290" i="28" s="1"/>
  <c r="M290" i="28"/>
  <c r="M29" i="28"/>
  <c r="N29" i="28" s="1"/>
  <c r="A29" i="28" s="1"/>
  <c r="M35" i="28"/>
  <c r="N35" i="28" s="1"/>
  <c r="A35" i="28" s="1"/>
  <c r="M49" i="28"/>
  <c r="N49" i="28" s="1"/>
  <c r="A49" i="28" s="1"/>
  <c r="M51" i="28"/>
  <c r="N51" i="28" s="1"/>
  <c r="A51" i="28" s="1"/>
  <c r="N55" i="28"/>
  <c r="A55" i="28" s="1"/>
  <c r="N74" i="28"/>
  <c r="A74" i="28" s="1"/>
  <c r="M74" i="28"/>
  <c r="N144" i="28"/>
  <c r="A144" i="28" s="1"/>
  <c r="M144" i="28"/>
  <c r="N148" i="28"/>
  <c r="A148" i="28" s="1"/>
  <c r="M148" i="28"/>
  <c r="N269" i="28"/>
  <c r="A269" i="28" s="1"/>
  <c r="M269" i="28"/>
  <c r="M33" i="28"/>
  <c r="N33" i="28" s="1"/>
  <c r="A33" i="28" s="1"/>
  <c r="M82" i="28"/>
  <c r="N82" i="28" s="1"/>
  <c r="A82" i="28" s="1"/>
  <c r="N122" i="28"/>
  <c r="A122" i="28" s="1"/>
  <c r="M122" i="28"/>
  <c r="N131" i="28"/>
  <c r="A131" i="28" s="1"/>
  <c r="M131" i="28"/>
  <c r="N217" i="28"/>
  <c r="A217" i="28" s="1"/>
  <c r="M217" i="28"/>
  <c r="N248" i="28"/>
  <c r="A248" i="28" s="1"/>
  <c r="M248" i="28"/>
  <c r="N193" i="28"/>
  <c r="A193" i="28" s="1"/>
  <c r="M193" i="28"/>
  <c r="N224" i="28"/>
  <c r="A224" i="28" s="1"/>
  <c r="M224" i="28"/>
  <c r="N257" i="28"/>
  <c r="A257" i="28" s="1"/>
  <c r="M257" i="28"/>
  <c r="N273" i="28"/>
  <c r="A273" i="28" s="1"/>
  <c r="M273" i="28"/>
  <c r="N285" i="28"/>
  <c r="A285" i="28" s="1"/>
  <c r="M285" i="28"/>
  <c r="N200" i="28"/>
  <c r="A200" i="28" s="1"/>
  <c r="M200" i="28"/>
  <c r="N233" i="28"/>
  <c r="A233" i="28" s="1"/>
  <c r="M233" i="28"/>
  <c r="N209" i="28"/>
  <c r="A209" i="28" s="1"/>
  <c r="M209" i="28"/>
  <c r="N231" i="28"/>
  <c r="A231" i="28" s="1"/>
  <c r="N240" i="28"/>
  <c r="A240" i="28" s="1"/>
  <c r="M240" i="28"/>
  <c r="M243" i="28"/>
  <c r="M250" i="28"/>
  <c r="N261" i="28"/>
  <c r="A261" i="28" s="1"/>
  <c r="M261" i="28"/>
  <c r="M266" i="28"/>
  <c r="N277" i="28"/>
  <c r="A277" i="28" s="1"/>
  <c r="M277" i="28"/>
  <c r="M57" i="28"/>
  <c r="N57" i="28" s="1"/>
  <c r="A57" i="28" s="1"/>
  <c r="M65" i="28"/>
  <c r="M73" i="28"/>
  <c r="M81" i="28"/>
  <c r="M89" i="28"/>
  <c r="N89" i="28" s="1"/>
  <c r="A89" i="28" s="1"/>
  <c r="M97" i="28"/>
  <c r="M105" i="28"/>
  <c r="M113" i="28"/>
  <c r="M121" i="28"/>
  <c r="M129" i="28"/>
  <c r="N137" i="28"/>
  <c r="A137" i="28" s="1"/>
  <c r="M147" i="28"/>
  <c r="N153" i="28"/>
  <c r="A153" i="28" s="1"/>
  <c r="N207" i="28"/>
  <c r="A207" i="28" s="1"/>
  <c r="N216" i="28"/>
  <c r="A216" i="28" s="1"/>
  <c r="M216" i="28"/>
  <c r="M219" i="28"/>
  <c r="M226" i="28"/>
  <c r="N249" i="28"/>
  <c r="A249" i="28" s="1"/>
  <c r="M249" i="28"/>
  <c r="M282" i="28"/>
  <c r="N289" i="28"/>
  <c r="A289" i="28" s="1"/>
  <c r="M289" i="28"/>
  <c r="M294" i="28"/>
  <c r="M40" i="28"/>
  <c r="N40" i="28" s="1"/>
  <c r="A40" i="28" s="1"/>
  <c r="M48" i="28"/>
  <c r="M56" i="28"/>
  <c r="N56" i="28" s="1"/>
  <c r="A56" i="28" s="1"/>
  <c r="M64" i="28"/>
  <c r="N64" i="28" s="1"/>
  <c r="A64" i="28" s="1"/>
  <c r="M72" i="28"/>
  <c r="N72" i="28" s="1"/>
  <c r="A72" i="28" s="1"/>
  <c r="M80" i="28"/>
  <c r="N80" i="28" s="1"/>
  <c r="A80" i="28" s="1"/>
  <c r="M88" i="28"/>
  <c r="N88" i="28" s="1"/>
  <c r="A88" i="28" s="1"/>
  <c r="M96" i="28"/>
  <c r="M104" i="28"/>
  <c r="M112" i="28"/>
  <c r="M120" i="28"/>
  <c r="M128" i="28"/>
  <c r="M136" i="28"/>
  <c r="M141" i="28"/>
  <c r="M152" i="28"/>
  <c r="N161" i="28"/>
  <c r="A161" i="28" s="1"/>
  <c r="M165" i="28"/>
  <c r="N169" i="28"/>
  <c r="A169" i="28" s="1"/>
  <c r="M173" i="28"/>
  <c r="N192" i="28"/>
  <c r="A192" i="28" s="1"/>
  <c r="M192" i="28"/>
  <c r="N225" i="28"/>
  <c r="A225" i="28" s="1"/>
  <c r="M225" i="28"/>
  <c r="N265" i="28"/>
  <c r="A265" i="28" s="1"/>
  <c r="M265" i="28"/>
  <c r="M270" i="28"/>
  <c r="M146" i="28"/>
  <c r="N201" i="28"/>
  <c r="A201" i="28" s="1"/>
  <c r="M201" i="28"/>
  <c r="N223" i="28"/>
  <c r="A223" i="28" s="1"/>
  <c r="N232" i="28"/>
  <c r="A232" i="28" s="1"/>
  <c r="M232" i="28"/>
  <c r="M242" i="28"/>
  <c r="N281" i="28"/>
  <c r="A281" i="28" s="1"/>
  <c r="M281" i="28"/>
  <c r="M298" i="28"/>
  <c r="M297" i="28"/>
  <c r="M301" i="28"/>
  <c r="M305" i="28"/>
  <c r="E23" i="13"/>
  <c r="E22" i="13"/>
  <c r="E21" i="13"/>
  <c r="E20" i="13"/>
  <c r="E19" i="13"/>
  <c r="E18" i="13"/>
  <c r="E17" i="13"/>
  <c r="E16" i="13"/>
  <c r="E15" i="13"/>
  <c r="E14" i="13"/>
  <c r="E13" i="13"/>
  <c r="E12" i="13"/>
  <c r="E11" i="13"/>
  <c r="E10" i="13"/>
  <c r="E9" i="13"/>
  <c r="E8" i="13"/>
  <c r="E6" i="13"/>
  <c r="J305" i="19"/>
  <c r="J304" i="19"/>
  <c r="J303" i="19"/>
  <c r="J302" i="19"/>
  <c r="J301" i="19"/>
  <c r="J300" i="19"/>
  <c r="J299" i="19"/>
  <c r="K299" i="19" s="1"/>
  <c r="J298" i="19"/>
  <c r="K298" i="19" s="1"/>
  <c r="J297" i="19"/>
  <c r="J296" i="19"/>
  <c r="J295" i="19"/>
  <c r="J294" i="19"/>
  <c r="J293" i="19"/>
  <c r="J292" i="19"/>
  <c r="J291" i="19"/>
  <c r="J290" i="19"/>
  <c r="K290" i="19" s="1"/>
  <c r="J289" i="19"/>
  <c r="J288" i="19"/>
  <c r="J287" i="19"/>
  <c r="J286" i="19"/>
  <c r="J285" i="19"/>
  <c r="J284" i="19"/>
  <c r="J283" i="19"/>
  <c r="K283" i="19" s="1"/>
  <c r="J282" i="19"/>
  <c r="K282" i="19" s="1"/>
  <c r="J281" i="19"/>
  <c r="J280" i="19"/>
  <c r="J279" i="19"/>
  <c r="J278" i="19"/>
  <c r="J277" i="19"/>
  <c r="J276" i="19"/>
  <c r="J275" i="19"/>
  <c r="K275" i="19" s="1"/>
  <c r="J274" i="19"/>
  <c r="K274" i="19" s="1"/>
  <c r="J273" i="19"/>
  <c r="J272" i="19"/>
  <c r="J271" i="19"/>
  <c r="J270" i="19"/>
  <c r="J269" i="19"/>
  <c r="J268" i="19"/>
  <c r="J267" i="19"/>
  <c r="K267" i="19" s="1"/>
  <c r="J266" i="19"/>
  <c r="K266" i="19" s="1"/>
  <c r="J265" i="19"/>
  <c r="J264" i="19"/>
  <c r="J263" i="19"/>
  <c r="J262" i="19"/>
  <c r="J261" i="19"/>
  <c r="J260" i="19"/>
  <c r="J259" i="19"/>
  <c r="K259" i="19" s="1"/>
  <c r="J258" i="19"/>
  <c r="K258" i="19" s="1"/>
  <c r="J257" i="19"/>
  <c r="J256" i="19"/>
  <c r="J255" i="19"/>
  <c r="J254" i="19"/>
  <c r="J253" i="19"/>
  <c r="J252" i="19"/>
  <c r="J251" i="19"/>
  <c r="K251" i="19" s="1"/>
  <c r="J250" i="19"/>
  <c r="K250" i="19" s="1"/>
  <c r="J249" i="19"/>
  <c r="J248" i="19"/>
  <c r="J247" i="19"/>
  <c r="J246" i="19"/>
  <c r="J245" i="19"/>
  <c r="J244" i="19"/>
  <c r="J243" i="19"/>
  <c r="K243" i="19" s="1"/>
  <c r="J242" i="19"/>
  <c r="K242" i="19" s="1"/>
  <c r="J241" i="19"/>
  <c r="J240" i="19"/>
  <c r="J239" i="19"/>
  <c r="J238" i="19"/>
  <c r="J237" i="19"/>
  <c r="J236" i="19"/>
  <c r="J235" i="19"/>
  <c r="K235" i="19" s="1"/>
  <c r="J234" i="19"/>
  <c r="K234" i="19" s="1"/>
  <c r="J233" i="19"/>
  <c r="J232" i="19"/>
  <c r="J231" i="19"/>
  <c r="J230" i="19"/>
  <c r="J229" i="19"/>
  <c r="J228" i="19"/>
  <c r="J227" i="19"/>
  <c r="J226" i="19"/>
  <c r="K226" i="19" s="1"/>
  <c r="J225" i="19"/>
  <c r="J224" i="19"/>
  <c r="J223" i="19"/>
  <c r="J222" i="19"/>
  <c r="J221" i="19"/>
  <c r="J220" i="19"/>
  <c r="J219" i="19"/>
  <c r="K219" i="19" s="1"/>
  <c r="J218" i="19"/>
  <c r="K218" i="19" s="1"/>
  <c r="J217" i="19"/>
  <c r="J216" i="19"/>
  <c r="J215" i="19"/>
  <c r="J214" i="19"/>
  <c r="J213" i="19"/>
  <c r="J212" i="19"/>
  <c r="J211" i="19"/>
  <c r="K211" i="19" s="1"/>
  <c r="J210" i="19"/>
  <c r="K210" i="19" s="1"/>
  <c r="J209" i="19"/>
  <c r="J208" i="19"/>
  <c r="J207" i="19"/>
  <c r="J206" i="19"/>
  <c r="J205" i="19"/>
  <c r="J204" i="19"/>
  <c r="J203" i="19"/>
  <c r="K203" i="19" s="1"/>
  <c r="J202" i="19"/>
  <c r="K202" i="19" s="1"/>
  <c r="J201" i="19"/>
  <c r="J200" i="19"/>
  <c r="J199" i="19"/>
  <c r="J198" i="19"/>
  <c r="J197" i="19"/>
  <c r="J196" i="19"/>
  <c r="J195" i="19"/>
  <c r="J194" i="19"/>
  <c r="K194" i="19" s="1"/>
  <c r="J193" i="19"/>
  <c r="J192" i="19"/>
  <c r="J191" i="19"/>
  <c r="J190" i="19"/>
  <c r="J189" i="19"/>
  <c r="J188" i="19"/>
  <c r="J187" i="19"/>
  <c r="K187" i="19" s="1"/>
  <c r="J186" i="19"/>
  <c r="K186" i="19" s="1"/>
  <c r="J185" i="19"/>
  <c r="J184" i="19"/>
  <c r="J183" i="19"/>
  <c r="J182" i="19"/>
  <c r="J181" i="19"/>
  <c r="J180" i="19"/>
  <c r="J179" i="19"/>
  <c r="K179" i="19" s="1"/>
  <c r="J178" i="19"/>
  <c r="K178" i="19" s="1"/>
  <c r="J177" i="19"/>
  <c r="J176" i="19"/>
  <c r="J175" i="19"/>
  <c r="J174" i="19"/>
  <c r="J173" i="19"/>
  <c r="J172" i="19"/>
  <c r="J171" i="19"/>
  <c r="K171" i="19" s="1"/>
  <c r="J170" i="19"/>
  <c r="K170" i="19" s="1"/>
  <c r="J169" i="19"/>
  <c r="J168" i="19"/>
  <c r="J167" i="19"/>
  <c r="J166" i="19"/>
  <c r="J165" i="19"/>
  <c r="J164" i="19"/>
  <c r="J163" i="19"/>
  <c r="K163" i="19" s="1"/>
  <c r="J162" i="19"/>
  <c r="K162" i="19" s="1"/>
  <c r="J161" i="19"/>
  <c r="J160" i="19"/>
  <c r="J159" i="19"/>
  <c r="J158" i="19"/>
  <c r="J157" i="19"/>
  <c r="J156" i="19"/>
  <c r="J155" i="19"/>
  <c r="K155" i="19" s="1"/>
  <c r="J154" i="19"/>
  <c r="K154" i="19" s="1"/>
  <c r="J153" i="19"/>
  <c r="J152" i="19"/>
  <c r="J151" i="19"/>
  <c r="J150" i="19"/>
  <c r="J149" i="19"/>
  <c r="J148" i="19"/>
  <c r="J147" i="19"/>
  <c r="J146" i="19"/>
  <c r="K146" i="19" s="1"/>
  <c r="J145" i="19"/>
  <c r="J144" i="19"/>
  <c r="J143" i="19"/>
  <c r="J142" i="19"/>
  <c r="J141" i="19"/>
  <c r="J140" i="19"/>
  <c r="J139" i="19"/>
  <c r="K139" i="19" s="1"/>
  <c r="J138" i="19"/>
  <c r="K138" i="19" s="1"/>
  <c r="J137" i="19"/>
  <c r="J136" i="19"/>
  <c r="J135" i="19"/>
  <c r="J134" i="19"/>
  <c r="J133" i="19"/>
  <c r="J132" i="19"/>
  <c r="J131" i="19"/>
  <c r="K131" i="19" s="1"/>
  <c r="J130" i="19"/>
  <c r="K130" i="19" s="1"/>
  <c r="J129" i="19"/>
  <c r="J128" i="19"/>
  <c r="J127" i="19"/>
  <c r="J126" i="19"/>
  <c r="J125" i="19"/>
  <c r="J124" i="19"/>
  <c r="J123" i="19"/>
  <c r="J122" i="19"/>
  <c r="K122" i="19" s="1"/>
  <c r="J121" i="19"/>
  <c r="J120" i="19"/>
  <c r="J119" i="19"/>
  <c r="J118" i="19"/>
  <c r="J117" i="19"/>
  <c r="J116" i="19"/>
  <c r="J115" i="19"/>
  <c r="K115" i="19" s="1"/>
  <c r="J114" i="19"/>
  <c r="K114" i="19" s="1"/>
  <c r="J113" i="19"/>
  <c r="J112" i="19"/>
  <c r="J111" i="19"/>
  <c r="J110" i="19"/>
  <c r="J109" i="19"/>
  <c r="J108" i="19"/>
  <c r="J107" i="19"/>
  <c r="K107" i="19" s="1"/>
  <c r="J106" i="19"/>
  <c r="K106" i="19" s="1"/>
  <c r="J105" i="19"/>
  <c r="J104" i="19"/>
  <c r="J103" i="19"/>
  <c r="J102" i="19"/>
  <c r="J101" i="19"/>
  <c r="J100" i="19"/>
  <c r="J99" i="19"/>
  <c r="J98" i="19"/>
  <c r="K98" i="19" s="1"/>
  <c r="J97" i="19"/>
  <c r="J96" i="19"/>
  <c r="J95" i="19"/>
  <c r="J94" i="19"/>
  <c r="J93" i="19"/>
  <c r="K93" i="19" s="1"/>
  <c r="J92" i="19"/>
  <c r="J91" i="19"/>
  <c r="K91" i="19" s="1"/>
  <c r="J90" i="19"/>
  <c r="K90" i="19" s="1"/>
  <c r="J89" i="19"/>
  <c r="J88" i="19"/>
  <c r="J87" i="19"/>
  <c r="J86" i="19"/>
  <c r="J85" i="19"/>
  <c r="J84" i="19"/>
  <c r="J83" i="19"/>
  <c r="K83" i="19" s="1"/>
  <c r="J82" i="19"/>
  <c r="K82" i="19" s="1"/>
  <c r="J81" i="19"/>
  <c r="J80" i="19"/>
  <c r="J79" i="19"/>
  <c r="J78" i="19"/>
  <c r="J77" i="19"/>
  <c r="K77" i="19" s="1"/>
  <c r="J76" i="19"/>
  <c r="J75" i="19"/>
  <c r="K75" i="19" s="1"/>
  <c r="J74" i="19"/>
  <c r="K74" i="19" s="1"/>
  <c r="J73" i="19"/>
  <c r="J72" i="19"/>
  <c r="J71" i="19"/>
  <c r="J70" i="19"/>
  <c r="J69" i="19"/>
  <c r="J68" i="19"/>
  <c r="J67" i="19"/>
  <c r="K67" i="19" s="1"/>
  <c r="J66" i="19"/>
  <c r="K66" i="19" s="1"/>
  <c r="J65" i="19"/>
  <c r="J64" i="19"/>
  <c r="J63" i="19"/>
  <c r="J62" i="19"/>
  <c r="J61" i="19"/>
  <c r="J60" i="19"/>
  <c r="J59" i="19"/>
  <c r="K59" i="19" s="1"/>
  <c r="J58" i="19"/>
  <c r="K58" i="19" s="1"/>
  <c r="J57" i="19"/>
  <c r="J56" i="19"/>
  <c r="J55" i="19"/>
  <c r="J54" i="19"/>
  <c r="J53" i="19"/>
  <c r="K53" i="19" s="1"/>
  <c r="J52" i="19"/>
  <c r="J51" i="19"/>
  <c r="K51" i="19" s="1"/>
  <c r="J50" i="19"/>
  <c r="K50" i="19" s="1"/>
  <c r="J49" i="19"/>
  <c r="J48" i="19"/>
  <c r="J47" i="19"/>
  <c r="J46" i="19"/>
  <c r="J45" i="19"/>
  <c r="K45" i="19" s="1"/>
  <c r="J44" i="19"/>
  <c r="J43" i="19"/>
  <c r="K43" i="19" s="1"/>
  <c r="J42" i="19"/>
  <c r="K42" i="19" s="1"/>
  <c r="J41" i="19"/>
  <c r="J40" i="19"/>
  <c r="J39" i="19"/>
  <c r="J38" i="19"/>
  <c r="J37" i="19"/>
  <c r="J36" i="19"/>
  <c r="J35" i="19"/>
  <c r="K35" i="19" s="1"/>
  <c r="J34" i="19"/>
  <c r="K34" i="19" s="1"/>
  <c r="J33" i="19"/>
  <c r="J32" i="19"/>
  <c r="J31" i="19"/>
  <c r="J30" i="19"/>
  <c r="J29" i="19"/>
  <c r="K29" i="19" s="1"/>
  <c r="J28" i="19"/>
  <c r="J27" i="19"/>
  <c r="J26" i="19"/>
  <c r="K26" i="19" s="1"/>
  <c r="J25" i="19"/>
  <c r="J24" i="19"/>
  <c r="J23" i="19"/>
  <c r="J22" i="19"/>
  <c r="J21" i="19"/>
  <c r="J20" i="19"/>
  <c r="K20" i="19" s="1"/>
  <c r="J19" i="19"/>
  <c r="K19" i="19" s="1"/>
  <c r="J18" i="19"/>
  <c r="K18" i="19" s="1"/>
  <c r="J17" i="19"/>
  <c r="J16" i="19"/>
  <c r="J15" i="19"/>
  <c r="J14" i="19"/>
  <c r="J13" i="19"/>
  <c r="J12" i="19"/>
  <c r="J11" i="19"/>
  <c r="K11" i="19" s="1"/>
  <c r="J10" i="19"/>
  <c r="J9" i="19"/>
  <c r="J8" i="19"/>
  <c r="J7" i="19"/>
  <c r="K28" i="19"/>
  <c r="K36" i="19"/>
  <c r="K44" i="19"/>
  <c r="K52" i="19"/>
  <c r="K60" i="19"/>
  <c r="K61" i="19"/>
  <c r="K68" i="19"/>
  <c r="K69" i="19"/>
  <c r="K76" i="19"/>
  <c r="K85" i="19"/>
  <c r="K100" i="19"/>
  <c r="K108" i="19"/>
  <c r="K116" i="19"/>
  <c r="K117" i="19"/>
  <c r="K124" i="19"/>
  <c r="K125" i="19"/>
  <c r="K132" i="19"/>
  <c r="K133" i="19"/>
  <c r="K140" i="19"/>
  <c r="K149" i="19"/>
  <c r="K156" i="19"/>
  <c r="K157" i="19"/>
  <c r="K164" i="19"/>
  <c r="K172" i="19"/>
  <c r="K173" i="19"/>
  <c r="K180" i="19"/>
  <c r="K181" i="19"/>
  <c r="K188" i="19"/>
  <c r="K189" i="19"/>
  <c r="K196" i="19"/>
  <c r="K197" i="19"/>
  <c r="K204" i="19"/>
  <c r="K205" i="19"/>
  <c r="K212" i="19"/>
  <c r="K213" i="19"/>
  <c r="K220" i="19"/>
  <c r="K221" i="19"/>
  <c r="K228" i="19"/>
  <c r="K229" i="19"/>
  <c r="K236" i="19"/>
  <c r="K237" i="19"/>
  <c r="K244" i="19"/>
  <c r="K245" i="19"/>
  <c r="K252" i="19"/>
  <c r="K253" i="19"/>
  <c r="K260" i="19"/>
  <c r="K261" i="19"/>
  <c r="K268" i="19"/>
  <c r="K269" i="19"/>
  <c r="K276" i="19"/>
  <c r="K277" i="19"/>
  <c r="K284" i="19"/>
  <c r="K285" i="19"/>
  <c r="K292" i="19"/>
  <c r="K293" i="19"/>
  <c r="K300" i="19"/>
  <c r="K301" i="19"/>
  <c r="K10" i="19"/>
  <c r="J305" i="18"/>
  <c r="J304" i="18"/>
  <c r="J303" i="18"/>
  <c r="J302" i="18"/>
  <c r="J301" i="18"/>
  <c r="J300" i="18"/>
  <c r="J299" i="18"/>
  <c r="J298" i="18"/>
  <c r="K298" i="18" s="1"/>
  <c r="J297" i="18"/>
  <c r="J296" i="18"/>
  <c r="J295" i="18"/>
  <c r="J294" i="18"/>
  <c r="J293" i="18"/>
  <c r="J292" i="18"/>
  <c r="J291" i="18"/>
  <c r="J290" i="18"/>
  <c r="K290" i="18" s="1"/>
  <c r="J289" i="18"/>
  <c r="J288" i="18"/>
  <c r="J287" i="18"/>
  <c r="J286" i="18"/>
  <c r="J285" i="18"/>
  <c r="J284" i="18"/>
  <c r="J283" i="18"/>
  <c r="J282" i="18"/>
  <c r="K282" i="18" s="1"/>
  <c r="J281" i="18"/>
  <c r="J280" i="18"/>
  <c r="J279" i="18"/>
  <c r="J278" i="18"/>
  <c r="J277" i="18"/>
  <c r="J276" i="18"/>
  <c r="J275" i="18"/>
  <c r="J274" i="18"/>
  <c r="K274" i="18" s="1"/>
  <c r="J273" i="18"/>
  <c r="J272" i="18"/>
  <c r="J271" i="18"/>
  <c r="J270" i="18"/>
  <c r="J269" i="18"/>
  <c r="J268" i="18"/>
  <c r="J267" i="18"/>
  <c r="J266" i="18"/>
  <c r="J265" i="18"/>
  <c r="J264" i="18"/>
  <c r="J263" i="18"/>
  <c r="J262" i="18"/>
  <c r="J261" i="18"/>
  <c r="J260" i="18"/>
  <c r="J259" i="18"/>
  <c r="J258" i="18"/>
  <c r="K258" i="18" s="1"/>
  <c r="J257" i="18"/>
  <c r="J256" i="18"/>
  <c r="J255" i="18"/>
  <c r="J254" i="18"/>
  <c r="J253" i="18"/>
  <c r="J252" i="18"/>
  <c r="J251" i="18"/>
  <c r="J250" i="18"/>
  <c r="K250" i="18" s="1"/>
  <c r="J249" i="18"/>
  <c r="J248" i="18"/>
  <c r="J247" i="18"/>
  <c r="J246" i="18"/>
  <c r="J245" i="18"/>
  <c r="J244" i="18"/>
  <c r="J243" i="18"/>
  <c r="J242" i="18"/>
  <c r="J241" i="18"/>
  <c r="J240" i="18"/>
  <c r="J239" i="18"/>
  <c r="J238" i="18"/>
  <c r="J237" i="18"/>
  <c r="J236" i="18"/>
  <c r="J235" i="18"/>
  <c r="J234" i="18"/>
  <c r="K234" i="18" s="1"/>
  <c r="J233" i="18"/>
  <c r="J232" i="18"/>
  <c r="J231" i="18"/>
  <c r="J230" i="18"/>
  <c r="J229" i="18"/>
  <c r="J228" i="18"/>
  <c r="J227" i="18"/>
  <c r="J226" i="18"/>
  <c r="K226" i="18" s="1"/>
  <c r="J225" i="18"/>
  <c r="J224" i="18"/>
  <c r="J223" i="18"/>
  <c r="J222" i="18"/>
  <c r="J221" i="18"/>
  <c r="J220" i="18"/>
  <c r="J219" i="18"/>
  <c r="J218" i="18"/>
  <c r="K218" i="18" s="1"/>
  <c r="J217" i="18"/>
  <c r="J216" i="18"/>
  <c r="J215" i="18"/>
  <c r="J214" i="18"/>
  <c r="J213" i="18"/>
  <c r="J212" i="18"/>
  <c r="J211" i="18"/>
  <c r="J210" i="18"/>
  <c r="K210" i="18" s="1"/>
  <c r="J209" i="18"/>
  <c r="J208" i="18"/>
  <c r="J207" i="18"/>
  <c r="J206" i="18"/>
  <c r="J205" i="18"/>
  <c r="J204" i="18"/>
  <c r="J203" i="18"/>
  <c r="J202" i="18"/>
  <c r="K202" i="18" s="1"/>
  <c r="J201" i="18"/>
  <c r="J200" i="18"/>
  <c r="J199" i="18"/>
  <c r="J198" i="18"/>
  <c r="J197" i="18"/>
  <c r="J196" i="18"/>
  <c r="J195" i="18"/>
  <c r="J194" i="18"/>
  <c r="K194" i="18" s="1"/>
  <c r="J193" i="18"/>
  <c r="J192" i="18"/>
  <c r="J191" i="18"/>
  <c r="J190" i="18"/>
  <c r="J189" i="18"/>
  <c r="J188" i="18"/>
  <c r="J187" i="18"/>
  <c r="J186" i="18"/>
  <c r="K186" i="18" s="1"/>
  <c r="J185" i="18"/>
  <c r="J184" i="18"/>
  <c r="J183" i="18"/>
  <c r="J182" i="18"/>
  <c r="J181" i="18"/>
  <c r="J180" i="18"/>
  <c r="J179" i="18"/>
  <c r="J178" i="18"/>
  <c r="J177" i="18"/>
  <c r="J176" i="18"/>
  <c r="J175" i="18"/>
  <c r="J174" i="18"/>
  <c r="J173" i="18"/>
  <c r="J172" i="18"/>
  <c r="J171" i="18"/>
  <c r="J170" i="18"/>
  <c r="K170" i="18" s="1"/>
  <c r="J169" i="18"/>
  <c r="J168" i="18"/>
  <c r="J167" i="18"/>
  <c r="J166" i="18"/>
  <c r="J165" i="18"/>
  <c r="J164" i="18"/>
  <c r="J163" i="18"/>
  <c r="J162" i="18"/>
  <c r="K162" i="18" s="1"/>
  <c r="J161" i="18"/>
  <c r="J160" i="18"/>
  <c r="J159" i="18"/>
  <c r="J158" i="18"/>
  <c r="J157" i="18"/>
  <c r="J156" i="18"/>
  <c r="J155" i="18"/>
  <c r="J154" i="18"/>
  <c r="K154" i="18" s="1"/>
  <c r="J153" i="18"/>
  <c r="J152" i="18"/>
  <c r="J151" i="18"/>
  <c r="J150" i="18"/>
  <c r="J149" i="18"/>
  <c r="J148" i="18"/>
  <c r="J147" i="18"/>
  <c r="J146" i="18"/>
  <c r="K146" i="18" s="1"/>
  <c r="J145" i="18"/>
  <c r="J144" i="18"/>
  <c r="J143" i="18"/>
  <c r="J142" i="18"/>
  <c r="J141" i="18"/>
  <c r="J140" i="18"/>
  <c r="J139" i="18"/>
  <c r="J138" i="18"/>
  <c r="K138" i="18" s="1"/>
  <c r="J137" i="18"/>
  <c r="J136" i="18"/>
  <c r="J135" i="18"/>
  <c r="J134" i="18"/>
  <c r="J133" i="18"/>
  <c r="J132" i="18"/>
  <c r="J131" i="18"/>
  <c r="J130" i="18"/>
  <c r="K130" i="18" s="1"/>
  <c r="J129" i="18"/>
  <c r="J128" i="18"/>
  <c r="J127" i="18"/>
  <c r="J126" i="18"/>
  <c r="J125" i="18"/>
  <c r="J124" i="18"/>
  <c r="J123" i="18"/>
  <c r="J122" i="18"/>
  <c r="K122" i="18" s="1"/>
  <c r="J121" i="18"/>
  <c r="J120" i="18"/>
  <c r="J119" i="18"/>
  <c r="J118" i="18"/>
  <c r="J117" i="18"/>
  <c r="J116" i="18"/>
  <c r="J115" i="18"/>
  <c r="J114" i="18"/>
  <c r="J113" i="18"/>
  <c r="J112" i="18"/>
  <c r="J111" i="18"/>
  <c r="J110" i="18"/>
  <c r="J109" i="18"/>
  <c r="J108" i="18"/>
  <c r="J107" i="18"/>
  <c r="J106" i="18"/>
  <c r="K106" i="18" s="1"/>
  <c r="J105" i="18"/>
  <c r="J104" i="18"/>
  <c r="J103" i="18"/>
  <c r="J102" i="18"/>
  <c r="J101" i="18"/>
  <c r="J100" i="18"/>
  <c r="J99" i="18"/>
  <c r="J98" i="18"/>
  <c r="K98" i="18" s="1"/>
  <c r="J97" i="18"/>
  <c r="J96" i="18"/>
  <c r="J95" i="18"/>
  <c r="J94" i="18"/>
  <c r="J93" i="18"/>
  <c r="J92" i="18"/>
  <c r="J91" i="18"/>
  <c r="J90" i="18"/>
  <c r="K90" i="18" s="1"/>
  <c r="J89" i="18"/>
  <c r="J88" i="18"/>
  <c r="J87" i="18"/>
  <c r="J86" i="18"/>
  <c r="J85" i="18"/>
  <c r="J84" i="18"/>
  <c r="J83" i="18"/>
  <c r="J82" i="18"/>
  <c r="K82" i="18" s="1"/>
  <c r="J81" i="18"/>
  <c r="J80" i="18"/>
  <c r="J79" i="18"/>
  <c r="J78" i="18"/>
  <c r="J77" i="18"/>
  <c r="J76" i="18"/>
  <c r="J75" i="18"/>
  <c r="J74" i="18"/>
  <c r="K74" i="18" s="1"/>
  <c r="J73" i="18"/>
  <c r="J72" i="18"/>
  <c r="J71" i="18"/>
  <c r="J70" i="18"/>
  <c r="J69" i="18"/>
  <c r="J68" i="18"/>
  <c r="J67" i="18"/>
  <c r="J66" i="18"/>
  <c r="K66" i="18" s="1"/>
  <c r="J65" i="18"/>
  <c r="J64" i="18"/>
  <c r="J63" i="18"/>
  <c r="J62" i="18"/>
  <c r="J61" i="18"/>
  <c r="J60" i="18"/>
  <c r="J59" i="18"/>
  <c r="J58" i="18"/>
  <c r="K58" i="18" s="1"/>
  <c r="J57" i="18"/>
  <c r="J56" i="18"/>
  <c r="J55" i="18"/>
  <c r="J54" i="18"/>
  <c r="J53" i="18"/>
  <c r="J52" i="18"/>
  <c r="J51" i="18"/>
  <c r="J50" i="18"/>
  <c r="K50" i="18" s="1"/>
  <c r="J49" i="18"/>
  <c r="J48" i="18"/>
  <c r="J47" i="18"/>
  <c r="J46" i="18"/>
  <c r="J45" i="18"/>
  <c r="J44" i="18"/>
  <c r="J43" i="18"/>
  <c r="J42" i="18"/>
  <c r="K42" i="18" s="1"/>
  <c r="J41" i="18"/>
  <c r="J40" i="18"/>
  <c r="J39" i="18"/>
  <c r="J38" i="18"/>
  <c r="J37" i="18"/>
  <c r="J36" i="18"/>
  <c r="J35" i="18"/>
  <c r="J34" i="18"/>
  <c r="K34" i="18" s="1"/>
  <c r="J33" i="18"/>
  <c r="J32" i="18"/>
  <c r="J31" i="18"/>
  <c r="J30" i="18"/>
  <c r="J29" i="18"/>
  <c r="J28" i="18"/>
  <c r="J27" i="18"/>
  <c r="J26" i="18"/>
  <c r="K26" i="18" s="1"/>
  <c r="J25" i="18"/>
  <c r="J24" i="18"/>
  <c r="J23" i="18"/>
  <c r="J22" i="18"/>
  <c r="J21" i="18"/>
  <c r="J20" i="18"/>
  <c r="J19" i="18"/>
  <c r="J18" i="18"/>
  <c r="K18" i="18" s="1"/>
  <c r="J17" i="18"/>
  <c r="J16" i="18"/>
  <c r="J15" i="18"/>
  <c r="J14" i="18"/>
  <c r="J13" i="18"/>
  <c r="K13" i="18" s="1"/>
  <c r="J12" i="18"/>
  <c r="J11" i="18"/>
  <c r="J10" i="18"/>
  <c r="K10" i="18" s="1"/>
  <c r="J9" i="18"/>
  <c r="J8" i="18"/>
  <c r="J7" i="18"/>
  <c r="K21" i="18"/>
  <c r="K29" i="18"/>
  <c r="K37" i="18"/>
  <c r="K45" i="18"/>
  <c r="K53" i="18"/>
  <c r="K61" i="18"/>
  <c r="K69" i="18"/>
  <c r="K77" i="18"/>
  <c r="K85" i="18"/>
  <c r="K93" i="18"/>
  <c r="K101" i="18"/>
  <c r="K109" i="18"/>
  <c r="K117" i="18"/>
  <c r="K125" i="18"/>
  <c r="K133" i="18"/>
  <c r="K141" i="18"/>
  <c r="K149" i="18"/>
  <c r="K157" i="18"/>
  <c r="K165" i="18"/>
  <c r="K173" i="18"/>
  <c r="K181" i="18"/>
  <c r="K189" i="18"/>
  <c r="K197" i="18"/>
  <c r="K205" i="18"/>
  <c r="K213" i="18"/>
  <c r="K221" i="18"/>
  <c r="K229" i="18"/>
  <c r="K237" i="18"/>
  <c r="K245" i="18"/>
  <c r="K253" i="18"/>
  <c r="K269" i="18"/>
  <c r="K277" i="18"/>
  <c r="K285" i="18"/>
  <c r="K293" i="18"/>
  <c r="K301" i="18"/>
  <c r="J305" i="17"/>
  <c r="J304" i="17"/>
  <c r="K304" i="17" s="1"/>
  <c r="J303" i="17"/>
  <c r="J302" i="17"/>
  <c r="J301" i="17"/>
  <c r="J300" i="17"/>
  <c r="J299" i="17"/>
  <c r="J298" i="17"/>
  <c r="K298" i="17" s="1"/>
  <c r="J297" i="17"/>
  <c r="K297" i="17" s="1"/>
  <c r="J296" i="17"/>
  <c r="K296" i="17" s="1"/>
  <c r="J295" i="17"/>
  <c r="J294" i="17"/>
  <c r="J293" i="17"/>
  <c r="J292" i="17"/>
  <c r="J291" i="17"/>
  <c r="K291" i="17" s="1"/>
  <c r="J290" i="17"/>
  <c r="K290" i="17" s="1"/>
  <c r="J289" i="17"/>
  <c r="K289" i="17" s="1"/>
  <c r="J288" i="17"/>
  <c r="K288" i="17" s="1"/>
  <c r="J287" i="17"/>
  <c r="J286" i="17"/>
  <c r="J285" i="17"/>
  <c r="J284" i="17"/>
  <c r="J283" i="17"/>
  <c r="K283" i="17" s="1"/>
  <c r="J282" i="17"/>
  <c r="K282" i="17" s="1"/>
  <c r="J281" i="17"/>
  <c r="J280" i="17"/>
  <c r="K280" i="17" s="1"/>
  <c r="J279" i="17"/>
  <c r="J278" i="17"/>
  <c r="J277" i="17"/>
  <c r="J276" i="17"/>
  <c r="J275" i="17"/>
  <c r="K275" i="17" s="1"/>
  <c r="J274" i="17"/>
  <c r="K274" i="17" s="1"/>
  <c r="J273" i="17"/>
  <c r="K273" i="17" s="1"/>
  <c r="J272" i="17"/>
  <c r="K272" i="17" s="1"/>
  <c r="J271" i="17"/>
  <c r="J270" i="17"/>
  <c r="J269" i="17"/>
  <c r="J268" i="17"/>
  <c r="J267" i="17"/>
  <c r="J266" i="17"/>
  <c r="K266" i="17" s="1"/>
  <c r="J265" i="17"/>
  <c r="K265" i="17" s="1"/>
  <c r="J264" i="17"/>
  <c r="K264" i="17" s="1"/>
  <c r="J263" i="17"/>
  <c r="J262" i="17"/>
  <c r="J261" i="17"/>
  <c r="J260" i="17"/>
  <c r="J259" i="17"/>
  <c r="J258" i="17"/>
  <c r="J257" i="17"/>
  <c r="K257" i="17" s="1"/>
  <c r="J256" i="17"/>
  <c r="K256" i="17" s="1"/>
  <c r="J255" i="17"/>
  <c r="J254" i="17"/>
  <c r="J253" i="17"/>
  <c r="J252" i="17"/>
  <c r="J251" i="17"/>
  <c r="K251" i="17" s="1"/>
  <c r="J250" i="17"/>
  <c r="K250" i="17" s="1"/>
  <c r="J249" i="17"/>
  <c r="K249" i="17" s="1"/>
  <c r="J248" i="17"/>
  <c r="K248" i="17" s="1"/>
  <c r="J247" i="17"/>
  <c r="J246" i="17"/>
  <c r="J245" i="17"/>
  <c r="J244" i="17"/>
  <c r="J243" i="17"/>
  <c r="J242" i="17"/>
  <c r="K242" i="17" s="1"/>
  <c r="J241" i="17"/>
  <c r="J240" i="17"/>
  <c r="K240" i="17" s="1"/>
  <c r="J239" i="17"/>
  <c r="J238" i="17"/>
  <c r="J237" i="17"/>
  <c r="J236" i="17"/>
  <c r="J235" i="17"/>
  <c r="K235" i="17" s="1"/>
  <c r="J234" i="17"/>
  <c r="K234" i="17" s="1"/>
  <c r="J233" i="17"/>
  <c r="K233" i="17" s="1"/>
  <c r="J232" i="17"/>
  <c r="J231" i="17"/>
  <c r="J230" i="17"/>
  <c r="J229" i="17"/>
  <c r="J228" i="17"/>
  <c r="J227" i="17"/>
  <c r="K227" i="17" s="1"/>
  <c r="J226" i="17"/>
  <c r="K226" i="17" s="1"/>
  <c r="J225" i="17"/>
  <c r="K225" i="17" s="1"/>
  <c r="J224" i="17"/>
  <c r="K224" i="17" s="1"/>
  <c r="J223" i="17"/>
  <c r="J222" i="17"/>
  <c r="J221" i="17"/>
  <c r="J220" i="17"/>
  <c r="J219" i="17"/>
  <c r="J218" i="17"/>
  <c r="J217" i="17"/>
  <c r="K217" i="17" s="1"/>
  <c r="J216" i="17"/>
  <c r="K216" i="17" s="1"/>
  <c r="J215" i="17"/>
  <c r="J214" i="17"/>
  <c r="J213" i="17"/>
  <c r="J212" i="17"/>
  <c r="J211" i="17"/>
  <c r="J210" i="17"/>
  <c r="K210" i="17" s="1"/>
  <c r="J209" i="17"/>
  <c r="K209" i="17" s="1"/>
  <c r="J208" i="17"/>
  <c r="K208" i="17" s="1"/>
  <c r="J207" i="17"/>
  <c r="J206" i="17"/>
  <c r="J205" i="17"/>
  <c r="J204" i="17"/>
  <c r="J203" i="17"/>
  <c r="K203" i="17" s="1"/>
  <c r="J202" i="17"/>
  <c r="K202" i="17" s="1"/>
  <c r="J201" i="17"/>
  <c r="K201" i="17" s="1"/>
  <c r="J200" i="17"/>
  <c r="K200" i="17" s="1"/>
  <c r="J199" i="17"/>
  <c r="J198" i="17"/>
  <c r="J197" i="17"/>
  <c r="J196" i="17"/>
  <c r="J195" i="17"/>
  <c r="K195" i="17" s="1"/>
  <c r="J194" i="17"/>
  <c r="K194" i="17" s="1"/>
  <c r="J193" i="17"/>
  <c r="J192" i="17"/>
  <c r="K192" i="17" s="1"/>
  <c r="J191" i="17"/>
  <c r="J190" i="17"/>
  <c r="J189" i="17"/>
  <c r="J188" i="17"/>
  <c r="J187" i="17"/>
  <c r="K187" i="17" s="1"/>
  <c r="J186" i="17"/>
  <c r="J185" i="17"/>
  <c r="K185" i="17" s="1"/>
  <c r="J184" i="17"/>
  <c r="K184" i="17" s="1"/>
  <c r="J183" i="17"/>
  <c r="J182" i="17"/>
  <c r="J181" i="17"/>
  <c r="J180" i="17"/>
  <c r="J179" i="17"/>
  <c r="J178" i="17"/>
  <c r="K178" i="17" s="1"/>
  <c r="J177" i="17"/>
  <c r="K177" i="17" s="1"/>
  <c r="J176" i="17"/>
  <c r="K176" i="17" s="1"/>
  <c r="J175" i="17"/>
  <c r="J174" i="17"/>
  <c r="J173" i="17"/>
  <c r="J172" i="17"/>
  <c r="J171" i="17"/>
  <c r="K171" i="17" s="1"/>
  <c r="J170" i="17"/>
  <c r="K170" i="17" s="1"/>
  <c r="J169" i="17"/>
  <c r="K169" i="17" s="1"/>
  <c r="J168" i="17"/>
  <c r="K168" i="17" s="1"/>
  <c r="J167" i="17"/>
  <c r="J166" i="17"/>
  <c r="J165" i="17"/>
  <c r="J164" i="17"/>
  <c r="J163" i="17"/>
  <c r="K163" i="17" s="1"/>
  <c r="J162" i="17"/>
  <c r="K162" i="17" s="1"/>
  <c r="J161" i="17"/>
  <c r="J160" i="17"/>
  <c r="K160" i="17" s="1"/>
  <c r="J159" i="17"/>
  <c r="J158" i="17"/>
  <c r="J157" i="17"/>
  <c r="J156" i="17"/>
  <c r="J155" i="17"/>
  <c r="K155" i="17" s="1"/>
  <c r="J154" i="17"/>
  <c r="K154" i="17" s="1"/>
  <c r="J153" i="17"/>
  <c r="K153" i="17" s="1"/>
  <c r="J152" i="17"/>
  <c r="K152" i="17" s="1"/>
  <c r="J151" i="17"/>
  <c r="J150" i="17"/>
  <c r="J149" i="17"/>
  <c r="J148" i="17"/>
  <c r="J147" i="17"/>
  <c r="J146" i="17"/>
  <c r="J145" i="17"/>
  <c r="K145" i="17" s="1"/>
  <c r="J144" i="17"/>
  <c r="K144" i="17" s="1"/>
  <c r="J143" i="17"/>
  <c r="J142" i="17"/>
  <c r="J141" i="17"/>
  <c r="J140" i="17"/>
  <c r="J139" i="17"/>
  <c r="J138" i="17"/>
  <c r="K138" i="17" s="1"/>
  <c r="J137" i="17"/>
  <c r="K137" i="17" s="1"/>
  <c r="J136" i="17"/>
  <c r="K136" i="17" s="1"/>
  <c r="J135" i="17"/>
  <c r="J134" i="17"/>
  <c r="J133" i="17"/>
  <c r="J132" i="17"/>
  <c r="J131" i="17"/>
  <c r="J130" i="17"/>
  <c r="K130" i="17" s="1"/>
  <c r="J129" i="17"/>
  <c r="J128" i="17"/>
  <c r="K128" i="17" s="1"/>
  <c r="J127" i="17"/>
  <c r="J126" i="17"/>
  <c r="J125" i="17"/>
  <c r="J124" i="17"/>
  <c r="J123" i="17"/>
  <c r="K123" i="17" s="1"/>
  <c r="J122" i="17"/>
  <c r="K122" i="17" s="1"/>
  <c r="J121" i="17"/>
  <c r="K121" i="17" s="1"/>
  <c r="J120" i="17"/>
  <c r="J119" i="17"/>
  <c r="J118" i="17"/>
  <c r="J117" i="17"/>
  <c r="J116" i="17"/>
  <c r="J115" i="17"/>
  <c r="K115" i="17" s="1"/>
  <c r="J114" i="17"/>
  <c r="J113" i="17"/>
  <c r="K113" i="17" s="1"/>
  <c r="J112" i="17"/>
  <c r="K112" i="17" s="1"/>
  <c r="J111" i="17"/>
  <c r="J110" i="17"/>
  <c r="J109" i="17"/>
  <c r="J108" i="17"/>
  <c r="J107" i="17"/>
  <c r="J106" i="17"/>
  <c r="K106" i="17" s="1"/>
  <c r="J105" i="17"/>
  <c r="K105" i="17" s="1"/>
  <c r="J104" i="17"/>
  <c r="K104" i="17" s="1"/>
  <c r="J103" i="17"/>
  <c r="J102" i="17"/>
  <c r="J101" i="17"/>
  <c r="J100" i="17"/>
  <c r="J99" i="17"/>
  <c r="J98" i="17"/>
  <c r="K98" i="17" s="1"/>
  <c r="J97" i="17"/>
  <c r="J96" i="17"/>
  <c r="K96" i="17" s="1"/>
  <c r="J95" i="17"/>
  <c r="J94" i="17"/>
  <c r="J93" i="17"/>
  <c r="J92" i="17"/>
  <c r="J91" i="17"/>
  <c r="K91" i="17" s="1"/>
  <c r="J90" i="17"/>
  <c r="K90" i="17" s="1"/>
  <c r="J89" i="17"/>
  <c r="K89" i="17" s="1"/>
  <c r="J88" i="17"/>
  <c r="J87" i="17"/>
  <c r="J86" i="17"/>
  <c r="J85" i="17"/>
  <c r="J84" i="17"/>
  <c r="J83" i="17"/>
  <c r="K83" i="17" s="1"/>
  <c r="J82" i="17"/>
  <c r="K82" i="17" s="1"/>
  <c r="J81" i="17"/>
  <c r="K81" i="17" s="1"/>
  <c r="J80" i="17"/>
  <c r="K80" i="17" s="1"/>
  <c r="J79" i="17"/>
  <c r="J78" i="17"/>
  <c r="J77" i="17"/>
  <c r="J76" i="17"/>
  <c r="J75" i="17"/>
  <c r="J74" i="17"/>
  <c r="K74" i="17" s="1"/>
  <c r="J73" i="17"/>
  <c r="K73" i="17" s="1"/>
  <c r="J72" i="17"/>
  <c r="K72" i="17" s="1"/>
  <c r="J71" i="17"/>
  <c r="J70" i="17"/>
  <c r="J69" i="17"/>
  <c r="J68" i="17"/>
  <c r="J67" i="17"/>
  <c r="J66" i="17"/>
  <c r="K66" i="17" s="1"/>
  <c r="J65" i="17"/>
  <c r="J64" i="17"/>
  <c r="K64" i="17" s="1"/>
  <c r="J63" i="17"/>
  <c r="J62" i="17"/>
  <c r="J61" i="17"/>
  <c r="J60" i="17"/>
  <c r="J59" i="17"/>
  <c r="K59" i="17" s="1"/>
  <c r="J58" i="17"/>
  <c r="K58" i="17" s="1"/>
  <c r="J57" i="17"/>
  <c r="K57" i="17" s="1"/>
  <c r="J56" i="17"/>
  <c r="K56" i="17" s="1"/>
  <c r="J55" i="17"/>
  <c r="J54" i="17"/>
  <c r="J53" i="17"/>
  <c r="J52" i="17"/>
  <c r="J51" i="17"/>
  <c r="J50" i="17"/>
  <c r="K50" i="17" s="1"/>
  <c r="J49" i="17"/>
  <c r="K49" i="17" s="1"/>
  <c r="J48" i="17"/>
  <c r="J47" i="17"/>
  <c r="J46" i="17"/>
  <c r="J45" i="17"/>
  <c r="J44" i="17"/>
  <c r="J43" i="17"/>
  <c r="J42" i="17"/>
  <c r="K42" i="17" s="1"/>
  <c r="J41" i="17"/>
  <c r="K41" i="17" s="1"/>
  <c r="J40" i="17"/>
  <c r="J39" i="17"/>
  <c r="J38" i="17"/>
  <c r="J37" i="17"/>
  <c r="J36" i="17"/>
  <c r="J35" i="17"/>
  <c r="K35" i="17" s="1"/>
  <c r="J34" i="17"/>
  <c r="K34" i="17" s="1"/>
  <c r="J33" i="17"/>
  <c r="K33" i="17" s="1"/>
  <c r="J32" i="17"/>
  <c r="K32" i="17" s="1"/>
  <c r="J31" i="17"/>
  <c r="J30" i="17"/>
  <c r="J29" i="17"/>
  <c r="J28" i="17"/>
  <c r="J27" i="17"/>
  <c r="K27" i="17" s="1"/>
  <c r="J26" i="17"/>
  <c r="K26" i="17" s="1"/>
  <c r="J25" i="17"/>
  <c r="K25" i="17" s="1"/>
  <c r="J24" i="17"/>
  <c r="K24" i="17" s="1"/>
  <c r="J23" i="17"/>
  <c r="J22" i="17"/>
  <c r="J21" i="17"/>
  <c r="J20" i="17"/>
  <c r="J19" i="17"/>
  <c r="K19" i="17" s="1"/>
  <c r="J18" i="17"/>
  <c r="K18" i="17" s="1"/>
  <c r="J17" i="17"/>
  <c r="J16" i="17"/>
  <c r="K16" i="17" s="1"/>
  <c r="J15" i="17"/>
  <c r="J14" i="17"/>
  <c r="J13" i="17"/>
  <c r="J12" i="17"/>
  <c r="J11" i="17"/>
  <c r="K11" i="17" s="1"/>
  <c r="J10" i="17"/>
  <c r="K10" i="17" s="1"/>
  <c r="J9" i="17"/>
  <c r="J8" i="17"/>
  <c r="K8" i="17" s="1"/>
  <c r="J7" i="17"/>
  <c r="K14" i="17"/>
  <c r="K22" i="17"/>
  <c r="K30" i="17"/>
  <c r="K38" i="17"/>
  <c r="K46" i="17"/>
  <c r="K62" i="17"/>
  <c r="K70" i="17"/>
  <c r="K78" i="17"/>
  <c r="K86" i="17"/>
  <c r="K94" i="17"/>
  <c r="K102" i="17"/>
  <c r="K110" i="17"/>
  <c r="K118" i="17"/>
  <c r="K126" i="17"/>
  <c r="K134" i="17"/>
  <c r="K142" i="17"/>
  <c r="K150" i="17"/>
  <c r="K158" i="17"/>
  <c r="K166" i="17"/>
  <c r="K174" i="17"/>
  <c r="K182" i="17"/>
  <c r="K190" i="17"/>
  <c r="K198" i="17"/>
  <c r="K206" i="17"/>
  <c r="K222" i="17"/>
  <c r="K238" i="17"/>
  <c r="K270" i="17"/>
  <c r="K278" i="17"/>
  <c r="K286" i="17"/>
  <c r="K294" i="17"/>
  <c r="K302" i="17"/>
  <c r="K258" i="17"/>
  <c r="K186" i="17"/>
  <c r="K114" i="17"/>
  <c r="J305" i="16"/>
  <c r="K305" i="16" s="1"/>
  <c r="J304" i="16"/>
  <c r="K304" i="16" s="1"/>
  <c r="J303" i="16"/>
  <c r="J302" i="16"/>
  <c r="J301" i="16"/>
  <c r="J300" i="16"/>
  <c r="J299" i="16"/>
  <c r="J298" i="16"/>
  <c r="K298" i="16" s="1"/>
  <c r="J297" i="16"/>
  <c r="K297" i="16" s="1"/>
  <c r="J296" i="16"/>
  <c r="K296" i="16" s="1"/>
  <c r="J295" i="16"/>
  <c r="J294" i="16"/>
  <c r="J293" i="16"/>
  <c r="J292" i="16"/>
  <c r="J291" i="16"/>
  <c r="J290" i="16"/>
  <c r="J289" i="16"/>
  <c r="K289" i="16" s="1"/>
  <c r="J288" i="16"/>
  <c r="K288" i="16" s="1"/>
  <c r="J287" i="16"/>
  <c r="J286" i="16"/>
  <c r="J285" i="16"/>
  <c r="J284" i="16"/>
  <c r="J283" i="16"/>
  <c r="J282" i="16"/>
  <c r="K282" i="16" s="1"/>
  <c r="J281" i="16"/>
  <c r="K281" i="16" s="1"/>
  <c r="J280" i="16"/>
  <c r="K280" i="16" s="1"/>
  <c r="J279" i="16"/>
  <c r="J278" i="16"/>
  <c r="J277" i="16"/>
  <c r="J276" i="16"/>
  <c r="J275" i="16"/>
  <c r="J274" i="16"/>
  <c r="K274" i="16" s="1"/>
  <c r="J273" i="16"/>
  <c r="K273" i="16" s="1"/>
  <c r="J272" i="16"/>
  <c r="K272" i="16" s="1"/>
  <c r="J271" i="16"/>
  <c r="J270" i="16"/>
  <c r="J269" i="16"/>
  <c r="J268" i="16"/>
  <c r="J267" i="16"/>
  <c r="J266" i="16"/>
  <c r="K266" i="16" s="1"/>
  <c r="J265" i="16"/>
  <c r="K265" i="16" s="1"/>
  <c r="J264" i="16"/>
  <c r="K264" i="16" s="1"/>
  <c r="J263" i="16"/>
  <c r="J262" i="16"/>
  <c r="J261" i="16"/>
  <c r="J260" i="16"/>
  <c r="J259" i="16"/>
  <c r="J258" i="16"/>
  <c r="K258" i="16" s="1"/>
  <c r="J257" i="16"/>
  <c r="K257" i="16" s="1"/>
  <c r="J256" i="16"/>
  <c r="K256" i="16" s="1"/>
  <c r="J255" i="16"/>
  <c r="J254" i="16"/>
  <c r="J253" i="16"/>
  <c r="J252" i="16"/>
  <c r="J251" i="16"/>
  <c r="J250" i="16"/>
  <c r="K250" i="16" s="1"/>
  <c r="J249" i="16"/>
  <c r="K249" i="16" s="1"/>
  <c r="J248" i="16"/>
  <c r="K248" i="16" s="1"/>
  <c r="J247" i="16"/>
  <c r="J246" i="16"/>
  <c r="J245" i="16"/>
  <c r="J244" i="16"/>
  <c r="J243" i="16"/>
  <c r="J242" i="16"/>
  <c r="K242" i="16" s="1"/>
  <c r="J241" i="16"/>
  <c r="J240" i="16"/>
  <c r="K240" i="16" s="1"/>
  <c r="J239" i="16"/>
  <c r="J238" i="16"/>
  <c r="J237" i="16"/>
  <c r="J236" i="16"/>
  <c r="J235" i="16"/>
  <c r="J234" i="16"/>
  <c r="K234" i="16" s="1"/>
  <c r="J233" i="16"/>
  <c r="K233" i="16" s="1"/>
  <c r="J232" i="16"/>
  <c r="K232" i="16" s="1"/>
  <c r="J231" i="16"/>
  <c r="J230" i="16"/>
  <c r="J229" i="16"/>
  <c r="J228" i="16"/>
  <c r="J227" i="16"/>
  <c r="J226" i="16"/>
  <c r="K226" i="16" s="1"/>
  <c r="J225" i="16"/>
  <c r="K225" i="16" s="1"/>
  <c r="J224" i="16"/>
  <c r="K224" i="16" s="1"/>
  <c r="J223" i="16"/>
  <c r="J222" i="16"/>
  <c r="J221" i="16"/>
  <c r="J220" i="16"/>
  <c r="J219" i="16"/>
  <c r="J218" i="16"/>
  <c r="K218" i="16" s="1"/>
  <c r="J217" i="16"/>
  <c r="K217" i="16" s="1"/>
  <c r="J216" i="16"/>
  <c r="K216" i="16" s="1"/>
  <c r="J215" i="16"/>
  <c r="J214" i="16"/>
  <c r="J213" i="16"/>
  <c r="J212" i="16"/>
  <c r="J211" i="16"/>
  <c r="J210" i="16"/>
  <c r="K210" i="16" s="1"/>
  <c r="J209" i="16"/>
  <c r="K209" i="16" s="1"/>
  <c r="J208" i="16"/>
  <c r="K208" i="16" s="1"/>
  <c r="J207" i="16"/>
  <c r="J206" i="16"/>
  <c r="J205" i="16"/>
  <c r="J204" i="16"/>
  <c r="J203" i="16"/>
  <c r="J202" i="16"/>
  <c r="K202" i="16" s="1"/>
  <c r="J201" i="16"/>
  <c r="K201" i="16" s="1"/>
  <c r="J200" i="16"/>
  <c r="K200" i="16" s="1"/>
  <c r="J199" i="16"/>
  <c r="J198" i="16"/>
  <c r="J197" i="16"/>
  <c r="J196" i="16"/>
  <c r="J195" i="16"/>
  <c r="J194" i="16"/>
  <c r="K194" i="16" s="1"/>
  <c r="J193" i="16"/>
  <c r="K193" i="16" s="1"/>
  <c r="J192" i="16"/>
  <c r="K192" i="16" s="1"/>
  <c r="J191" i="16"/>
  <c r="J190" i="16"/>
  <c r="J189" i="16"/>
  <c r="J188" i="16"/>
  <c r="J187" i="16"/>
  <c r="J186" i="16"/>
  <c r="K186" i="16" s="1"/>
  <c r="J185" i="16"/>
  <c r="K185" i="16" s="1"/>
  <c r="J184" i="16"/>
  <c r="K184" i="16" s="1"/>
  <c r="J183" i="16"/>
  <c r="J182" i="16"/>
  <c r="J181" i="16"/>
  <c r="J180" i="16"/>
  <c r="J179" i="16"/>
  <c r="J178" i="16"/>
  <c r="K178" i="16" s="1"/>
  <c r="J177" i="16"/>
  <c r="K177" i="16" s="1"/>
  <c r="J176" i="16"/>
  <c r="K176" i="16" s="1"/>
  <c r="J175" i="16"/>
  <c r="J174" i="16"/>
  <c r="J173" i="16"/>
  <c r="J172" i="16"/>
  <c r="J171" i="16"/>
  <c r="J170" i="16"/>
  <c r="K170" i="16" s="1"/>
  <c r="J169" i="16"/>
  <c r="J168" i="16"/>
  <c r="K168" i="16" s="1"/>
  <c r="J167" i="16"/>
  <c r="J166" i="16"/>
  <c r="J165" i="16"/>
  <c r="J164" i="16"/>
  <c r="J163" i="16"/>
  <c r="J162" i="16"/>
  <c r="K162" i="16" s="1"/>
  <c r="J161" i="16"/>
  <c r="K161" i="16" s="1"/>
  <c r="J160" i="16"/>
  <c r="K160" i="16" s="1"/>
  <c r="J159" i="16"/>
  <c r="J158" i="16"/>
  <c r="J157" i="16"/>
  <c r="J156" i="16"/>
  <c r="J155" i="16"/>
  <c r="J154" i="16"/>
  <c r="K154" i="16" s="1"/>
  <c r="J153" i="16"/>
  <c r="K153" i="16" s="1"/>
  <c r="J152" i="16"/>
  <c r="K152" i="16" s="1"/>
  <c r="J151" i="16"/>
  <c r="J150" i="16"/>
  <c r="J149" i="16"/>
  <c r="J148" i="16"/>
  <c r="J147" i="16"/>
  <c r="J146" i="16"/>
  <c r="K146" i="16" s="1"/>
  <c r="J145" i="16"/>
  <c r="K145" i="16" s="1"/>
  <c r="J144" i="16"/>
  <c r="K144" i="16" s="1"/>
  <c r="J143" i="16"/>
  <c r="J142" i="16"/>
  <c r="J141" i="16"/>
  <c r="J140" i="16"/>
  <c r="J139" i="16"/>
  <c r="J138" i="16"/>
  <c r="K138" i="16" s="1"/>
  <c r="J137" i="16"/>
  <c r="K137" i="16" s="1"/>
  <c r="J136" i="16"/>
  <c r="K136" i="16" s="1"/>
  <c r="J135" i="16"/>
  <c r="J134" i="16"/>
  <c r="J133" i="16"/>
  <c r="J132" i="16"/>
  <c r="J131" i="16"/>
  <c r="J130" i="16"/>
  <c r="K130" i="16" s="1"/>
  <c r="J129" i="16"/>
  <c r="K129" i="16" s="1"/>
  <c r="J128" i="16"/>
  <c r="K128" i="16" s="1"/>
  <c r="J127" i="16"/>
  <c r="J126" i="16"/>
  <c r="J125" i="16"/>
  <c r="J124" i="16"/>
  <c r="J123" i="16"/>
  <c r="J122" i="16"/>
  <c r="K122" i="16" s="1"/>
  <c r="J121" i="16"/>
  <c r="K121" i="16" s="1"/>
  <c r="J120" i="16"/>
  <c r="K120" i="16" s="1"/>
  <c r="J119" i="16"/>
  <c r="J118" i="16"/>
  <c r="J117" i="16"/>
  <c r="J116" i="16"/>
  <c r="J115" i="16"/>
  <c r="J114" i="16"/>
  <c r="K114" i="16" s="1"/>
  <c r="J113" i="16"/>
  <c r="K113" i="16" s="1"/>
  <c r="J112" i="16"/>
  <c r="K112" i="16" s="1"/>
  <c r="J111" i="16"/>
  <c r="J110" i="16"/>
  <c r="J109" i="16"/>
  <c r="J108" i="16"/>
  <c r="J107" i="16"/>
  <c r="J106" i="16"/>
  <c r="K106" i="16" s="1"/>
  <c r="J105" i="16"/>
  <c r="K105" i="16" s="1"/>
  <c r="J104" i="16"/>
  <c r="K104" i="16" s="1"/>
  <c r="J103" i="16"/>
  <c r="J102" i="16"/>
  <c r="J101" i="16"/>
  <c r="J100" i="16"/>
  <c r="J99" i="16"/>
  <c r="J98" i="16"/>
  <c r="K98" i="16" s="1"/>
  <c r="J97" i="16"/>
  <c r="J96" i="16"/>
  <c r="J95" i="16"/>
  <c r="J94" i="16"/>
  <c r="J93" i="16"/>
  <c r="J92" i="16"/>
  <c r="J91" i="16"/>
  <c r="J90" i="16"/>
  <c r="K90" i="16" s="1"/>
  <c r="J89" i="16"/>
  <c r="K89" i="16" s="1"/>
  <c r="J88" i="16"/>
  <c r="K88" i="16" s="1"/>
  <c r="J87" i="16"/>
  <c r="J86" i="16"/>
  <c r="J85" i="16"/>
  <c r="J84" i="16"/>
  <c r="J83" i="16"/>
  <c r="J82" i="16"/>
  <c r="K82" i="16" s="1"/>
  <c r="J81" i="16"/>
  <c r="K81" i="16" s="1"/>
  <c r="J80" i="16"/>
  <c r="K80" i="16" s="1"/>
  <c r="J79" i="16"/>
  <c r="J78" i="16"/>
  <c r="J77" i="16"/>
  <c r="J76" i="16"/>
  <c r="J75" i="16"/>
  <c r="J74" i="16"/>
  <c r="K74" i="16" s="1"/>
  <c r="J73" i="16"/>
  <c r="K73" i="16" s="1"/>
  <c r="J72" i="16"/>
  <c r="K72" i="16" s="1"/>
  <c r="J71" i="16"/>
  <c r="J70" i="16"/>
  <c r="J69" i="16"/>
  <c r="J68" i="16"/>
  <c r="J67" i="16"/>
  <c r="J66" i="16"/>
  <c r="K66" i="16" s="1"/>
  <c r="J65" i="16"/>
  <c r="K65" i="16" s="1"/>
  <c r="J64" i="16"/>
  <c r="K64" i="16" s="1"/>
  <c r="J63" i="16"/>
  <c r="J62" i="16"/>
  <c r="J61" i="16"/>
  <c r="J60" i="16"/>
  <c r="J59" i="16"/>
  <c r="J58" i="16"/>
  <c r="K58" i="16" s="1"/>
  <c r="J57" i="16"/>
  <c r="J56" i="16"/>
  <c r="K56" i="16" s="1"/>
  <c r="J55" i="16"/>
  <c r="J54" i="16"/>
  <c r="J53" i="16"/>
  <c r="J52" i="16"/>
  <c r="J51" i="16"/>
  <c r="J50" i="16"/>
  <c r="K50" i="16" s="1"/>
  <c r="J49" i="16"/>
  <c r="K49" i="16" s="1"/>
  <c r="J48" i="16"/>
  <c r="K48" i="16" s="1"/>
  <c r="J47" i="16"/>
  <c r="J46" i="16"/>
  <c r="J45" i="16"/>
  <c r="J44" i="16"/>
  <c r="J43" i="16"/>
  <c r="J42" i="16"/>
  <c r="K42" i="16" s="1"/>
  <c r="J41" i="16"/>
  <c r="K41" i="16" s="1"/>
  <c r="J40" i="16"/>
  <c r="K40" i="16" s="1"/>
  <c r="J39" i="16"/>
  <c r="J38" i="16"/>
  <c r="J37" i="16"/>
  <c r="J36" i="16"/>
  <c r="J35" i="16"/>
  <c r="J34" i="16"/>
  <c r="K34" i="16" s="1"/>
  <c r="J33" i="16"/>
  <c r="K33" i="16" s="1"/>
  <c r="J32" i="16"/>
  <c r="K32" i="16" s="1"/>
  <c r="J31" i="16"/>
  <c r="J30" i="16"/>
  <c r="J29" i="16"/>
  <c r="J28" i="16"/>
  <c r="J27" i="16"/>
  <c r="J26" i="16"/>
  <c r="K26" i="16" s="1"/>
  <c r="J25" i="16"/>
  <c r="K25" i="16" s="1"/>
  <c r="J24" i="16"/>
  <c r="K24" i="16" s="1"/>
  <c r="J23" i="16"/>
  <c r="J22" i="16"/>
  <c r="J21" i="16"/>
  <c r="J20" i="16"/>
  <c r="J19" i="16"/>
  <c r="J18" i="16"/>
  <c r="K18" i="16" s="1"/>
  <c r="J17" i="16"/>
  <c r="K17" i="16" s="1"/>
  <c r="J16" i="16"/>
  <c r="K16" i="16" s="1"/>
  <c r="J15" i="16"/>
  <c r="J14" i="16"/>
  <c r="J13" i="16"/>
  <c r="J12" i="16"/>
  <c r="J11" i="16"/>
  <c r="J10" i="16"/>
  <c r="K10" i="16" s="1"/>
  <c r="J9" i="16"/>
  <c r="K9" i="16" s="1"/>
  <c r="J8" i="16"/>
  <c r="K8" i="16" s="1"/>
  <c r="J7" i="16"/>
  <c r="K14" i="16"/>
  <c r="K30" i="16"/>
  <c r="K38" i="16"/>
  <c r="K46" i="16"/>
  <c r="K54" i="16"/>
  <c r="K62" i="16"/>
  <c r="K70" i="16"/>
  <c r="K78" i="16"/>
  <c r="K86" i="16"/>
  <c r="K102" i="16"/>
  <c r="K110" i="16"/>
  <c r="K118" i="16"/>
  <c r="K134" i="16"/>
  <c r="K142" i="16"/>
  <c r="K150" i="16"/>
  <c r="K166" i="16"/>
  <c r="K174" i="16"/>
  <c r="K182" i="16"/>
  <c r="K198" i="16"/>
  <c r="K206" i="16"/>
  <c r="K214" i="16"/>
  <c r="K230" i="16"/>
  <c r="K238" i="16"/>
  <c r="K246" i="16"/>
  <c r="K262" i="16"/>
  <c r="K270" i="16"/>
  <c r="K278" i="16"/>
  <c r="K290" i="16"/>
  <c r="K294" i="16"/>
  <c r="K302" i="16"/>
  <c r="J6" i="19"/>
  <c r="J6" i="18"/>
  <c r="J6" i="17"/>
  <c r="K6" i="17" s="1"/>
  <c r="J6" i="16"/>
  <c r="K6" i="16" s="1"/>
  <c r="M292" i="15"/>
  <c r="M284" i="15"/>
  <c r="M252" i="15"/>
  <c r="M220" i="15"/>
  <c r="M212" i="15"/>
  <c r="M164" i="15"/>
  <c r="M140" i="15"/>
  <c r="M132" i="15"/>
  <c r="M84" i="15"/>
  <c r="M60" i="15"/>
  <c r="M20" i="15"/>
  <c r="J305" i="15"/>
  <c r="J304" i="15"/>
  <c r="K304" i="15" s="1"/>
  <c r="J303" i="15"/>
  <c r="J302" i="15"/>
  <c r="J301" i="15"/>
  <c r="J300" i="15"/>
  <c r="K300" i="15" s="1"/>
  <c r="J299" i="15"/>
  <c r="J298" i="15"/>
  <c r="K298" i="15" s="1"/>
  <c r="J297" i="15"/>
  <c r="K297" i="15" s="1"/>
  <c r="J296" i="15"/>
  <c r="K296" i="15" s="1"/>
  <c r="J295" i="15"/>
  <c r="J294" i="15"/>
  <c r="J293" i="15"/>
  <c r="J292" i="15"/>
  <c r="K292" i="15" s="1"/>
  <c r="J291" i="15"/>
  <c r="K291" i="15" s="1"/>
  <c r="J290" i="15"/>
  <c r="K290" i="15" s="1"/>
  <c r="J289" i="15"/>
  <c r="J288" i="15"/>
  <c r="K288" i="15" s="1"/>
  <c r="J287" i="15"/>
  <c r="J286" i="15"/>
  <c r="J285" i="15"/>
  <c r="J284" i="15"/>
  <c r="J283" i="15"/>
  <c r="J282" i="15"/>
  <c r="K282" i="15" s="1"/>
  <c r="J281" i="15"/>
  <c r="K281" i="15" s="1"/>
  <c r="J280" i="15"/>
  <c r="K280" i="15" s="1"/>
  <c r="J279" i="15"/>
  <c r="J278" i="15"/>
  <c r="J277" i="15"/>
  <c r="J276" i="15"/>
  <c r="J275" i="15"/>
  <c r="J274" i="15"/>
  <c r="K274" i="15" s="1"/>
  <c r="J273" i="15"/>
  <c r="J272" i="15"/>
  <c r="K272" i="15" s="1"/>
  <c r="J271" i="15"/>
  <c r="J270" i="15"/>
  <c r="J269" i="15"/>
  <c r="J268" i="15"/>
  <c r="J267" i="15"/>
  <c r="K267" i="15" s="1"/>
  <c r="J266" i="15"/>
  <c r="K266" i="15" s="1"/>
  <c r="J265" i="15"/>
  <c r="J264" i="15"/>
  <c r="K264" i="15" s="1"/>
  <c r="J263" i="15"/>
  <c r="J262" i="15"/>
  <c r="J261" i="15"/>
  <c r="J260" i="15"/>
  <c r="J259" i="15"/>
  <c r="J258" i="15"/>
  <c r="K258" i="15" s="1"/>
  <c r="J257" i="15"/>
  <c r="K257" i="15" s="1"/>
  <c r="J256" i="15"/>
  <c r="K256" i="15" s="1"/>
  <c r="J255" i="15"/>
  <c r="J254" i="15"/>
  <c r="J253" i="15"/>
  <c r="J252" i="15"/>
  <c r="K252" i="15" s="1"/>
  <c r="J251" i="15"/>
  <c r="K251" i="15" s="1"/>
  <c r="J250" i="15"/>
  <c r="K250" i="15" s="1"/>
  <c r="J249" i="15"/>
  <c r="J248" i="15"/>
  <c r="K248" i="15" s="1"/>
  <c r="J247" i="15"/>
  <c r="J246" i="15"/>
  <c r="J245" i="15"/>
  <c r="J244" i="15"/>
  <c r="K244" i="15" s="1"/>
  <c r="J243" i="15"/>
  <c r="J242" i="15"/>
  <c r="K242" i="15" s="1"/>
  <c r="J241" i="15"/>
  <c r="K241" i="15" s="1"/>
  <c r="J240" i="15"/>
  <c r="K240" i="15" s="1"/>
  <c r="J239" i="15"/>
  <c r="J238" i="15"/>
  <c r="J237" i="15"/>
  <c r="J236" i="15"/>
  <c r="J235" i="15"/>
  <c r="K235" i="15" s="1"/>
  <c r="J234" i="15"/>
  <c r="K234" i="15" s="1"/>
  <c r="J233" i="15"/>
  <c r="J232" i="15"/>
  <c r="K232" i="15" s="1"/>
  <c r="J231" i="15"/>
  <c r="J230" i="15"/>
  <c r="J229" i="15"/>
  <c r="J228" i="15"/>
  <c r="K228" i="15" s="1"/>
  <c r="J227" i="15"/>
  <c r="J226" i="15"/>
  <c r="K226" i="15" s="1"/>
  <c r="J225" i="15"/>
  <c r="K225" i="15" s="1"/>
  <c r="J224" i="15"/>
  <c r="K224" i="15" s="1"/>
  <c r="J223" i="15"/>
  <c r="J222" i="15"/>
  <c r="J221" i="15"/>
  <c r="J220" i="15"/>
  <c r="J219" i="15"/>
  <c r="K219" i="15" s="1"/>
  <c r="J218" i="15"/>
  <c r="J217" i="15"/>
  <c r="J216" i="15"/>
  <c r="K216" i="15" s="1"/>
  <c r="J215" i="15"/>
  <c r="J214" i="15"/>
  <c r="J213" i="15"/>
  <c r="J212" i="15"/>
  <c r="J211" i="15"/>
  <c r="J210" i="15"/>
  <c r="K210" i="15" s="1"/>
  <c r="J209" i="15"/>
  <c r="K209" i="15" s="1"/>
  <c r="J208" i="15"/>
  <c r="K208" i="15" s="1"/>
  <c r="J207" i="15"/>
  <c r="J206" i="15"/>
  <c r="J205" i="15"/>
  <c r="J204" i="15"/>
  <c r="K204" i="15" s="1"/>
  <c r="J203" i="15"/>
  <c r="J202" i="15"/>
  <c r="K202" i="15" s="1"/>
  <c r="J201" i="15"/>
  <c r="J200" i="15"/>
  <c r="K200" i="15" s="1"/>
  <c r="J199" i="15"/>
  <c r="J198" i="15"/>
  <c r="J197" i="15"/>
  <c r="J196" i="15"/>
  <c r="K196" i="15" s="1"/>
  <c r="J195" i="15"/>
  <c r="K195" i="15" s="1"/>
  <c r="J194" i="15"/>
  <c r="K194" i="15" s="1"/>
  <c r="J193" i="15"/>
  <c r="J192" i="15"/>
  <c r="K192" i="15" s="1"/>
  <c r="J191" i="15"/>
  <c r="J190" i="15"/>
  <c r="J189" i="15"/>
  <c r="J188" i="15"/>
  <c r="J187" i="15"/>
  <c r="K187" i="15" s="1"/>
  <c r="J186" i="15"/>
  <c r="K186" i="15" s="1"/>
  <c r="J185" i="15"/>
  <c r="K185" i="15" s="1"/>
  <c r="J184" i="15"/>
  <c r="K184" i="15" s="1"/>
  <c r="J183" i="15"/>
  <c r="J182" i="15"/>
  <c r="J181" i="15"/>
  <c r="J180" i="15"/>
  <c r="K180" i="15" s="1"/>
  <c r="J179" i="15"/>
  <c r="K179" i="15" s="1"/>
  <c r="J178" i="15"/>
  <c r="K178" i="15" s="1"/>
  <c r="J177" i="15"/>
  <c r="J176" i="15"/>
  <c r="K176" i="15" s="1"/>
  <c r="J175" i="15"/>
  <c r="J174" i="15"/>
  <c r="J173" i="15"/>
  <c r="J172" i="15"/>
  <c r="J171" i="15"/>
  <c r="J170" i="15"/>
  <c r="K170" i="15" s="1"/>
  <c r="J169" i="15"/>
  <c r="K169" i="15" s="1"/>
  <c r="J168" i="15"/>
  <c r="K168" i="15" s="1"/>
  <c r="J167" i="15"/>
  <c r="J166" i="15"/>
  <c r="J165" i="15"/>
  <c r="J164" i="15"/>
  <c r="K164" i="15" s="1"/>
  <c r="J163" i="15"/>
  <c r="K163" i="15" s="1"/>
  <c r="J162" i="15"/>
  <c r="J161" i="15"/>
  <c r="J160" i="15"/>
  <c r="K160" i="15" s="1"/>
  <c r="J159" i="15"/>
  <c r="J158" i="15"/>
  <c r="J157" i="15"/>
  <c r="J156" i="15"/>
  <c r="J155" i="15"/>
  <c r="K155" i="15" s="1"/>
  <c r="J154" i="15"/>
  <c r="K154" i="15" s="1"/>
  <c r="J153" i="15"/>
  <c r="J152" i="15"/>
  <c r="K152" i="15" s="1"/>
  <c r="J151" i="15"/>
  <c r="J150" i="15"/>
  <c r="J149" i="15"/>
  <c r="J148" i="15"/>
  <c r="K148" i="15" s="1"/>
  <c r="J147" i="15"/>
  <c r="K147" i="15" s="1"/>
  <c r="J146" i="15"/>
  <c r="K146" i="15" s="1"/>
  <c r="J145" i="15"/>
  <c r="K145" i="15" s="1"/>
  <c r="J144" i="15"/>
  <c r="K144" i="15" s="1"/>
  <c r="J143" i="15"/>
  <c r="J142" i="15"/>
  <c r="J141" i="15"/>
  <c r="J140" i="15"/>
  <c r="J139" i="15"/>
  <c r="K139" i="15" s="1"/>
  <c r="J138" i="15"/>
  <c r="K138" i="15" s="1"/>
  <c r="J137" i="15"/>
  <c r="K137" i="15" s="1"/>
  <c r="J136" i="15"/>
  <c r="K136" i="15" s="1"/>
  <c r="J135" i="15"/>
  <c r="J134" i="15"/>
  <c r="J133" i="15"/>
  <c r="J132" i="15"/>
  <c r="J131" i="15"/>
  <c r="K131" i="15" s="1"/>
  <c r="J130" i="15"/>
  <c r="K130" i="15" s="1"/>
  <c r="J129" i="15"/>
  <c r="J128" i="15"/>
  <c r="K128" i="15" s="1"/>
  <c r="J127" i="15"/>
  <c r="J126" i="15"/>
  <c r="J125" i="15"/>
  <c r="J124" i="15"/>
  <c r="K124" i="15" s="1"/>
  <c r="J123" i="15"/>
  <c r="J122" i="15"/>
  <c r="K122" i="15" s="1"/>
  <c r="J121" i="15"/>
  <c r="K121" i="15" s="1"/>
  <c r="J120" i="15"/>
  <c r="K120" i="15" s="1"/>
  <c r="J119" i="15"/>
  <c r="J118" i="15"/>
  <c r="J117" i="15"/>
  <c r="J116" i="15"/>
  <c r="J115" i="15"/>
  <c r="K115" i="15" s="1"/>
  <c r="J114" i="15"/>
  <c r="K114" i="15" s="1"/>
  <c r="J113" i="15"/>
  <c r="J112" i="15"/>
  <c r="K112" i="15" s="1"/>
  <c r="J111" i="15"/>
  <c r="J110" i="15"/>
  <c r="J109" i="15"/>
  <c r="J108" i="15"/>
  <c r="J107" i="15"/>
  <c r="K107" i="15" s="1"/>
  <c r="J106" i="15"/>
  <c r="K106" i="15" s="1"/>
  <c r="J105" i="15"/>
  <c r="K105" i="15" s="1"/>
  <c r="J104" i="15"/>
  <c r="K104" i="15" s="1"/>
  <c r="J103" i="15"/>
  <c r="J102" i="15"/>
  <c r="J101" i="15"/>
  <c r="J100" i="15"/>
  <c r="J99" i="15"/>
  <c r="K99" i="15" s="1"/>
  <c r="J98" i="15"/>
  <c r="K98" i="15" s="1"/>
  <c r="J97" i="15"/>
  <c r="J96" i="15"/>
  <c r="K96" i="15" s="1"/>
  <c r="J95" i="15"/>
  <c r="J94" i="15"/>
  <c r="J93" i="15"/>
  <c r="J92" i="15"/>
  <c r="K92" i="15" s="1"/>
  <c r="J91" i="15"/>
  <c r="K91" i="15" s="1"/>
  <c r="J90" i="15"/>
  <c r="K90" i="15" s="1"/>
  <c r="J89" i="15"/>
  <c r="K89" i="15" s="1"/>
  <c r="J88" i="15"/>
  <c r="K88" i="15" s="1"/>
  <c r="J87" i="15"/>
  <c r="J86" i="15"/>
  <c r="J85" i="15"/>
  <c r="J84" i="15"/>
  <c r="K84" i="15" s="1"/>
  <c r="J83" i="15"/>
  <c r="K83" i="15" s="1"/>
  <c r="J82" i="15"/>
  <c r="K82" i="15" s="1"/>
  <c r="J81" i="15"/>
  <c r="J80" i="15"/>
  <c r="K80" i="15" s="1"/>
  <c r="J79" i="15"/>
  <c r="J78" i="15"/>
  <c r="J77" i="15"/>
  <c r="J76" i="15"/>
  <c r="J75" i="15"/>
  <c r="K75" i="15" s="1"/>
  <c r="J74" i="15"/>
  <c r="K74" i="15" s="1"/>
  <c r="J73" i="15"/>
  <c r="K73" i="15" s="1"/>
  <c r="J72" i="15"/>
  <c r="K72" i="15" s="1"/>
  <c r="J71" i="15"/>
  <c r="J70" i="15"/>
  <c r="K70" i="15" s="1"/>
  <c r="J69" i="15"/>
  <c r="J68" i="15"/>
  <c r="K68" i="15" s="1"/>
  <c r="J67" i="15"/>
  <c r="J66" i="15"/>
  <c r="K66" i="15" s="1"/>
  <c r="J65" i="15"/>
  <c r="J64" i="15"/>
  <c r="K64" i="15" s="1"/>
  <c r="J63" i="15"/>
  <c r="J62" i="15"/>
  <c r="J61" i="15"/>
  <c r="J60" i="15"/>
  <c r="K60" i="15" s="1"/>
  <c r="J59" i="15"/>
  <c r="K59" i="15" s="1"/>
  <c r="J58" i="15"/>
  <c r="J57" i="15"/>
  <c r="K57" i="15" s="1"/>
  <c r="J56" i="15"/>
  <c r="K56" i="15" s="1"/>
  <c r="J55" i="15"/>
  <c r="J54" i="15"/>
  <c r="J53" i="15"/>
  <c r="J52" i="15"/>
  <c r="J51" i="15"/>
  <c r="K51" i="15" s="1"/>
  <c r="J50" i="15"/>
  <c r="K50" i="15" s="1"/>
  <c r="J49" i="15"/>
  <c r="J48" i="15"/>
  <c r="K48" i="15" s="1"/>
  <c r="J47" i="15"/>
  <c r="J46" i="15"/>
  <c r="J45" i="15"/>
  <c r="J44" i="15"/>
  <c r="K44" i="15" s="1"/>
  <c r="J43" i="15"/>
  <c r="J42" i="15"/>
  <c r="K42" i="15" s="1"/>
  <c r="J41" i="15"/>
  <c r="J40" i="15"/>
  <c r="K40" i="15" s="1"/>
  <c r="J39" i="15"/>
  <c r="J38" i="15"/>
  <c r="J37" i="15"/>
  <c r="J36" i="15"/>
  <c r="K36" i="15" s="1"/>
  <c r="J35" i="15"/>
  <c r="K35" i="15" s="1"/>
  <c r="J34" i="15"/>
  <c r="K34" i="15" s="1"/>
  <c r="J33" i="15"/>
  <c r="K33" i="15" s="1"/>
  <c r="J32" i="15"/>
  <c r="K32" i="15" s="1"/>
  <c r="J31" i="15"/>
  <c r="J30" i="15"/>
  <c r="J29" i="15"/>
  <c r="J28" i="15"/>
  <c r="J27" i="15"/>
  <c r="K27" i="15" s="1"/>
  <c r="J26" i="15"/>
  <c r="K26" i="15" s="1"/>
  <c r="J25" i="15"/>
  <c r="K25" i="15" s="1"/>
  <c r="J24" i="15"/>
  <c r="K24" i="15" s="1"/>
  <c r="J23" i="15"/>
  <c r="J22" i="15"/>
  <c r="K22" i="15" s="1"/>
  <c r="J21" i="15"/>
  <c r="J20" i="15"/>
  <c r="K20" i="15" s="1"/>
  <c r="J19" i="15"/>
  <c r="J18" i="15"/>
  <c r="K18" i="15" s="1"/>
  <c r="J17" i="15"/>
  <c r="K17" i="15" s="1"/>
  <c r="J16" i="15"/>
  <c r="K16" i="15" s="1"/>
  <c r="J15" i="15"/>
  <c r="J14" i="15"/>
  <c r="J13" i="15"/>
  <c r="J12" i="15"/>
  <c r="K12" i="15" s="1"/>
  <c r="J11" i="15"/>
  <c r="K11" i="15" s="1"/>
  <c r="J10" i="15"/>
  <c r="K10" i="15" s="1"/>
  <c r="J9" i="15"/>
  <c r="K9" i="15" s="1"/>
  <c r="J8" i="15"/>
  <c r="K8" i="15" s="1"/>
  <c r="J7" i="15"/>
  <c r="K14" i="15"/>
  <c r="K30" i="15"/>
  <c r="K38" i="15"/>
  <c r="K46" i="15"/>
  <c r="K54" i="15"/>
  <c r="K62" i="15"/>
  <c r="K78" i="15"/>
  <c r="K86" i="15"/>
  <c r="K94" i="15"/>
  <c r="K100" i="15"/>
  <c r="K102" i="15"/>
  <c r="K118" i="15"/>
  <c r="K126" i="15"/>
  <c r="K132" i="15"/>
  <c r="K134" i="15"/>
  <c r="K140" i="15"/>
  <c r="K142" i="15"/>
  <c r="K150" i="15"/>
  <c r="K158" i="15"/>
  <c r="K166" i="15"/>
  <c r="K172" i="15"/>
  <c r="K174" i="15"/>
  <c r="K182" i="15"/>
  <c r="K190" i="15"/>
  <c r="K198" i="15"/>
  <c r="K206" i="15"/>
  <c r="K212" i="15"/>
  <c r="K214" i="15"/>
  <c r="K222" i="15"/>
  <c r="K230" i="15"/>
  <c r="K236" i="15"/>
  <c r="K238" i="15"/>
  <c r="K246" i="15"/>
  <c r="K254" i="15"/>
  <c r="K262" i="15"/>
  <c r="K270" i="15"/>
  <c r="K276" i="15"/>
  <c r="K278" i="15"/>
  <c r="K286" i="15"/>
  <c r="K294" i="15"/>
  <c r="K302" i="15"/>
  <c r="K284" i="15"/>
  <c r="K220" i="15"/>
  <c r="K218" i="15"/>
  <c r="K162" i="15"/>
  <c r="K108" i="15"/>
  <c r="K76" i="15"/>
  <c r="K58" i="15"/>
  <c r="K28" i="15"/>
  <c r="J6" i="15"/>
  <c r="G7" i="13"/>
  <c r="A23" i="13"/>
  <c r="A22" i="13"/>
  <c r="A21" i="13"/>
  <c r="A20" i="13"/>
  <c r="A19" i="13"/>
  <c r="A18" i="13"/>
  <c r="A17" i="13"/>
  <c r="A16" i="13"/>
  <c r="A15" i="13"/>
  <c r="A14" i="13"/>
  <c r="A13" i="13"/>
  <c r="A12" i="13"/>
  <c r="A11" i="13"/>
  <c r="A10" i="13"/>
  <c r="A9" i="13"/>
  <c r="A8" i="13"/>
  <c r="A6" i="13"/>
  <c r="A7" i="13"/>
  <c r="J374" i="14"/>
  <c r="J373" i="14"/>
  <c r="J372" i="14"/>
  <c r="J371" i="14"/>
  <c r="J370" i="14"/>
  <c r="J369" i="14"/>
  <c r="J368" i="14"/>
  <c r="J367" i="14"/>
  <c r="J366" i="14"/>
  <c r="J365" i="14"/>
  <c r="J364" i="14"/>
  <c r="J363" i="14"/>
  <c r="J362" i="14"/>
  <c r="J361" i="14"/>
  <c r="J360" i="14"/>
  <c r="J359" i="14"/>
  <c r="J358" i="14"/>
  <c r="J357" i="14"/>
  <c r="J356" i="14"/>
  <c r="J355" i="14"/>
  <c r="J354" i="14"/>
  <c r="J353" i="14"/>
  <c r="J352" i="14"/>
  <c r="J351" i="14"/>
  <c r="J350" i="14"/>
  <c r="J349" i="14"/>
  <c r="J348" i="14"/>
  <c r="J347" i="14"/>
  <c r="J346" i="14"/>
  <c r="J345" i="14"/>
  <c r="J344" i="14"/>
  <c r="J343" i="14"/>
  <c r="J342" i="14"/>
  <c r="J341" i="14"/>
  <c r="J340" i="14"/>
  <c r="J339" i="14"/>
  <c r="J338" i="14"/>
  <c r="J337" i="14"/>
  <c r="J336" i="14"/>
  <c r="J335" i="14"/>
  <c r="J334" i="14"/>
  <c r="J333" i="14"/>
  <c r="J332" i="14"/>
  <c r="J331" i="14"/>
  <c r="J330" i="14"/>
  <c r="J329" i="14"/>
  <c r="J328" i="14"/>
  <c r="J327" i="14"/>
  <c r="J326" i="14"/>
  <c r="J325" i="14"/>
  <c r="J324" i="14"/>
  <c r="J323" i="14"/>
  <c r="J322" i="14"/>
  <c r="J321" i="14"/>
  <c r="J320" i="14"/>
  <c r="J319" i="14"/>
  <c r="J318" i="14"/>
  <c r="J317" i="14"/>
  <c r="J316" i="14"/>
  <c r="J315" i="14"/>
  <c r="J314" i="14"/>
  <c r="J313" i="14"/>
  <c r="J312" i="14"/>
  <c r="J311" i="14"/>
  <c r="J310" i="14"/>
  <c r="J309" i="14"/>
  <c r="J308" i="14"/>
  <c r="J307" i="14"/>
  <c r="J306" i="14"/>
  <c r="J305" i="14"/>
  <c r="J304" i="14"/>
  <c r="K304" i="14" s="1"/>
  <c r="J303" i="14"/>
  <c r="J302" i="14"/>
  <c r="J301" i="14"/>
  <c r="J300" i="14"/>
  <c r="J299" i="14"/>
  <c r="J298" i="14"/>
  <c r="J297" i="14"/>
  <c r="J296" i="14"/>
  <c r="K296" i="14" s="1"/>
  <c r="J295" i="14"/>
  <c r="J294" i="14"/>
  <c r="J293" i="14"/>
  <c r="J292" i="14"/>
  <c r="K292" i="14" s="1"/>
  <c r="J291" i="14"/>
  <c r="J290" i="14"/>
  <c r="J289" i="14"/>
  <c r="J288" i="14"/>
  <c r="K288" i="14" s="1"/>
  <c r="J287" i="14"/>
  <c r="J286" i="14"/>
  <c r="J285" i="14"/>
  <c r="J284" i="14"/>
  <c r="J283" i="14"/>
  <c r="J282" i="14"/>
  <c r="J281" i="14"/>
  <c r="J280" i="14"/>
  <c r="K280" i="14" s="1"/>
  <c r="J279" i="14"/>
  <c r="J278" i="14"/>
  <c r="J277" i="14"/>
  <c r="J276" i="14"/>
  <c r="J275" i="14"/>
  <c r="J274" i="14"/>
  <c r="J273" i="14"/>
  <c r="J272" i="14"/>
  <c r="K272" i="14" s="1"/>
  <c r="J271" i="14"/>
  <c r="J270" i="14"/>
  <c r="J269" i="14"/>
  <c r="J268" i="14"/>
  <c r="K268" i="14" s="1"/>
  <c r="J267" i="14"/>
  <c r="J266" i="14"/>
  <c r="J265" i="14"/>
  <c r="J264" i="14"/>
  <c r="J263" i="14"/>
  <c r="J262" i="14"/>
  <c r="J261" i="14"/>
  <c r="J260" i="14"/>
  <c r="J259" i="14"/>
  <c r="J258" i="14"/>
  <c r="J257" i="14"/>
  <c r="J256" i="14"/>
  <c r="K256" i="14" s="1"/>
  <c r="J255" i="14"/>
  <c r="J254" i="14"/>
  <c r="J253" i="14"/>
  <c r="J252" i="14"/>
  <c r="J251" i="14"/>
  <c r="J250" i="14"/>
  <c r="J249" i="14"/>
  <c r="J248" i="14"/>
  <c r="K248" i="14" s="1"/>
  <c r="J247" i="14"/>
  <c r="J246" i="14"/>
  <c r="J245" i="14"/>
  <c r="J244" i="14"/>
  <c r="K244" i="14" s="1"/>
  <c r="J243" i="14"/>
  <c r="J242" i="14"/>
  <c r="J241" i="14"/>
  <c r="J240" i="14"/>
  <c r="K240" i="14" s="1"/>
  <c r="J239" i="14"/>
  <c r="J238" i="14"/>
  <c r="J237" i="14"/>
  <c r="J236" i="14"/>
  <c r="J235" i="14"/>
  <c r="J234" i="14"/>
  <c r="J233" i="14"/>
  <c r="J232" i="14"/>
  <c r="K232" i="14" s="1"/>
  <c r="J231" i="14"/>
  <c r="J230" i="14"/>
  <c r="J229" i="14"/>
  <c r="J228" i="14"/>
  <c r="J227" i="14"/>
  <c r="J226" i="14"/>
  <c r="J225" i="14"/>
  <c r="J224" i="14"/>
  <c r="K224" i="14" s="1"/>
  <c r="J223" i="14"/>
  <c r="J222" i="14"/>
  <c r="J221" i="14"/>
  <c r="J220" i="14"/>
  <c r="K220" i="14" s="1"/>
  <c r="J219" i="14"/>
  <c r="J218" i="14"/>
  <c r="J217" i="14"/>
  <c r="J216" i="14"/>
  <c r="K216" i="14" s="1"/>
  <c r="J215" i="14"/>
  <c r="J214" i="14"/>
  <c r="J213" i="14"/>
  <c r="J212" i="14"/>
  <c r="J211" i="14"/>
  <c r="J210" i="14"/>
  <c r="J209" i="14"/>
  <c r="J208" i="14"/>
  <c r="K208" i="14" s="1"/>
  <c r="J207" i="14"/>
  <c r="J206" i="14"/>
  <c r="J205" i="14"/>
  <c r="J204" i="14"/>
  <c r="J203" i="14"/>
  <c r="J202" i="14"/>
  <c r="J201" i="14"/>
  <c r="J200" i="14"/>
  <c r="K200" i="14" s="1"/>
  <c r="J199" i="14"/>
  <c r="J198" i="14"/>
  <c r="J197" i="14"/>
  <c r="J196" i="14"/>
  <c r="J195" i="14"/>
  <c r="J194" i="14"/>
  <c r="J193" i="14"/>
  <c r="J192" i="14"/>
  <c r="K192" i="14" s="1"/>
  <c r="J191" i="14"/>
  <c r="J190" i="14"/>
  <c r="J189" i="14"/>
  <c r="J188" i="14"/>
  <c r="J187" i="14"/>
  <c r="J186" i="14"/>
  <c r="J185" i="14"/>
  <c r="J184" i="14"/>
  <c r="K184" i="14" s="1"/>
  <c r="J183" i="14"/>
  <c r="J182" i="14"/>
  <c r="J181" i="14"/>
  <c r="J180" i="14"/>
  <c r="J179" i="14"/>
  <c r="J178" i="14"/>
  <c r="J177" i="14"/>
  <c r="J176" i="14"/>
  <c r="K176" i="14" s="1"/>
  <c r="J175" i="14"/>
  <c r="J174" i="14"/>
  <c r="J173" i="14"/>
  <c r="J172" i="14"/>
  <c r="K172" i="14" s="1"/>
  <c r="J171" i="14"/>
  <c r="J170" i="14"/>
  <c r="J169" i="14"/>
  <c r="J168" i="14"/>
  <c r="K168" i="14" s="1"/>
  <c r="J167" i="14"/>
  <c r="J166" i="14"/>
  <c r="J165" i="14"/>
  <c r="J164" i="14"/>
  <c r="J163" i="14"/>
  <c r="K163" i="14" s="1"/>
  <c r="J162" i="14"/>
  <c r="J161" i="14"/>
  <c r="J160" i="14"/>
  <c r="K160" i="14" s="1"/>
  <c r="J159" i="14"/>
  <c r="J158" i="14"/>
  <c r="J157" i="14"/>
  <c r="J156" i="14"/>
  <c r="J155" i="14"/>
  <c r="J154" i="14"/>
  <c r="J153" i="14"/>
  <c r="J152" i="14"/>
  <c r="K152" i="14" s="1"/>
  <c r="J151" i="14"/>
  <c r="J150" i="14"/>
  <c r="J149" i="14"/>
  <c r="J148" i="14"/>
  <c r="K148" i="14" s="1"/>
  <c r="J147" i="14"/>
  <c r="J146" i="14"/>
  <c r="J145" i="14"/>
  <c r="J144" i="14"/>
  <c r="K144" i="14" s="1"/>
  <c r="J143" i="14"/>
  <c r="J142" i="14"/>
  <c r="J141" i="14"/>
  <c r="J140" i="14"/>
  <c r="J139" i="14"/>
  <c r="K139" i="14" s="1"/>
  <c r="J138" i="14"/>
  <c r="J137" i="14"/>
  <c r="J136" i="14"/>
  <c r="K136" i="14" s="1"/>
  <c r="J135" i="14"/>
  <c r="J134" i="14"/>
  <c r="J133" i="14"/>
  <c r="J132" i="14"/>
  <c r="J131" i="14"/>
  <c r="J130" i="14"/>
  <c r="J129" i="14"/>
  <c r="J128" i="14"/>
  <c r="K128" i="14" s="1"/>
  <c r="J127" i="14"/>
  <c r="J126" i="14"/>
  <c r="J125" i="14"/>
  <c r="J124" i="14"/>
  <c r="K124" i="14" s="1"/>
  <c r="J123" i="14"/>
  <c r="J122" i="14"/>
  <c r="J121" i="14"/>
  <c r="J120" i="14"/>
  <c r="K120" i="14" s="1"/>
  <c r="J119" i="14"/>
  <c r="J118" i="14"/>
  <c r="J117" i="14"/>
  <c r="J116" i="14"/>
  <c r="J115" i="14"/>
  <c r="K115" i="14" s="1"/>
  <c r="J114" i="14"/>
  <c r="J113" i="14"/>
  <c r="J112" i="14"/>
  <c r="K112" i="14" s="1"/>
  <c r="J111" i="14"/>
  <c r="J110" i="14"/>
  <c r="J109" i="14"/>
  <c r="J108" i="14"/>
  <c r="J107" i="14"/>
  <c r="J106" i="14"/>
  <c r="J105" i="14"/>
  <c r="J104" i="14"/>
  <c r="K104" i="14" s="1"/>
  <c r="J103" i="14"/>
  <c r="J102" i="14"/>
  <c r="J101" i="14"/>
  <c r="J100" i="14"/>
  <c r="K100" i="14" s="1"/>
  <c r="J99" i="14"/>
  <c r="J98" i="14"/>
  <c r="J97" i="14"/>
  <c r="J96" i="14"/>
  <c r="K96" i="14" s="1"/>
  <c r="J95" i="14"/>
  <c r="J94" i="14"/>
  <c r="J93" i="14"/>
  <c r="J92" i="14"/>
  <c r="J91" i="14"/>
  <c r="K91" i="14" s="1"/>
  <c r="J90" i="14"/>
  <c r="J89" i="14"/>
  <c r="J88" i="14"/>
  <c r="K88" i="14" s="1"/>
  <c r="J87" i="14"/>
  <c r="J86" i="14"/>
  <c r="J85" i="14"/>
  <c r="J84" i="14"/>
  <c r="J83" i="14"/>
  <c r="J82" i="14"/>
  <c r="J81" i="14"/>
  <c r="J80" i="14"/>
  <c r="K80" i="14" s="1"/>
  <c r="J79" i="14"/>
  <c r="J78" i="14"/>
  <c r="J77" i="14"/>
  <c r="J76" i="14"/>
  <c r="K76" i="14" s="1"/>
  <c r="J75" i="14"/>
  <c r="J74" i="14"/>
  <c r="J73" i="14"/>
  <c r="J72" i="14"/>
  <c r="K72" i="14" s="1"/>
  <c r="J71" i="14"/>
  <c r="J70" i="14"/>
  <c r="J69" i="14"/>
  <c r="J68" i="14"/>
  <c r="J67" i="14"/>
  <c r="J66" i="14"/>
  <c r="J65" i="14"/>
  <c r="J64" i="14"/>
  <c r="K64" i="14" s="1"/>
  <c r="J63" i="14"/>
  <c r="J62" i="14"/>
  <c r="J61" i="14"/>
  <c r="J60" i="14"/>
  <c r="J59" i="14"/>
  <c r="J58" i="14"/>
  <c r="J57" i="14"/>
  <c r="J56" i="14"/>
  <c r="K56" i="14" s="1"/>
  <c r="J55" i="14"/>
  <c r="J54" i="14"/>
  <c r="J53" i="14"/>
  <c r="J52" i="14"/>
  <c r="K52" i="14" s="1"/>
  <c r="J51" i="14"/>
  <c r="J50" i="14"/>
  <c r="J49" i="14"/>
  <c r="J48" i="14"/>
  <c r="K48" i="14" s="1"/>
  <c r="J47" i="14"/>
  <c r="J46" i="14"/>
  <c r="J45" i="14"/>
  <c r="J44" i="14"/>
  <c r="J43" i="14"/>
  <c r="K43" i="14" s="1"/>
  <c r="J42" i="14"/>
  <c r="J41" i="14"/>
  <c r="J40" i="14"/>
  <c r="K40" i="14" s="1"/>
  <c r="J39" i="14"/>
  <c r="J38" i="14"/>
  <c r="J37" i="14"/>
  <c r="J36" i="14"/>
  <c r="J35" i="14"/>
  <c r="J34" i="14"/>
  <c r="J33" i="14"/>
  <c r="J32" i="14"/>
  <c r="K32" i="14" s="1"/>
  <c r="J31" i="14"/>
  <c r="K31" i="14" s="1"/>
  <c r="J30" i="14"/>
  <c r="J29" i="14"/>
  <c r="J28" i="14"/>
  <c r="K28" i="14" s="1"/>
  <c r="J27" i="14"/>
  <c r="J26" i="14"/>
  <c r="J25" i="14"/>
  <c r="J24" i="14"/>
  <c r="K24" i="14" s="1"/>
  <c r="J23" i="14"/>
  <c r="J22" i="14"/>
  <c r="J21" i="14"/>
  <c r="J20" i="14"/>
  <c r="J19" i="14"/>
  <c r="K19" i="14" s="1"/>
  <c r="J18" i="14"/>
  <c r="J17" i="14"/>
  <c r="J16" i="14"/>
  <c r="K16" i="14" s="1"/>
  <c r="J15" i="14"/>
  <c r="J14" i="14"/>
  <c r="J13" i="14"/>
  <c r="J12" i="14"/>
  <c r="J11" i="14"/>
  <c r="J10" i="14"/>
  <c r="J9" i="14"/>
  <c r="J8" i="14"/>
  <c r="K8" i="14" s="1"/>
  <c r="J7" i="14"/>
  <c r="K7" i="14" s="1"/>
  <c r="J6" i="14"/>
  <c r="K305" i="19"/>
  <c r="I305" i="19"/>
  <c r="K304" i="19"/>
  <c r="I304" i="19"/>
  <c r="K303" i="19"/>
  <c r="I303" i="19"/>
  <c r="K302" i="19"/>
  <c r="I302" i="19"/>
  <c r="I301" i="19"/>
  <c r="I300" i="19"/>
  <c r="I299" i="19"/>
  <c r="I298" i="19"/>
  <c r="K297" i="19"/>
  <c r="I297" i="19"/>
  <c r="K296" i="19"/>
  <c r="I296" i="19"/>
  <c r="K295" i="19"/>
  <c r="I295" i="19"/>
  <c r="K294" i="19"/>
  <c r="I294" i="19"/>
  <c r="I293" i="19"/>
  <c r="I292" i="19"/>
  <c r="K291" i="19"/>
  <c r="I291" i="19"/>
  <c r="I290" i="19"/>
  <c r="K289" i="19"/>
  <c r="I289" i="19"/>
  <c r="K288" i="19"/>
  <c r="I288" i="19"/>
  <c r="K287" i="19"/>
  <c r="I287" i="19"/>
  <c r="K286" i="19"/>
  <c r="I286" i="19"/>
  <c r="I285" i="19"/>
  <c r="I284" i="19"/>
  <c r="I283" i="19"/>
  <c r="I282" i="19"/>
  <c r="K281" i="19"/>
  <c r="I281" i="19"/>
  <c r="K280" i="19"/>
  <c r="I280" i="19"/>
  <c r="K279" i="19"/>
  <c r="I279" i="19"/>
  <c r="K278" i="19"/>
  <c r="I278" i="19"/>
  <c r="I277" i="19"/>
  <c r="I276" i="19"/>
  <c r="I275" i="19"/>
  <c r="I274" i="19"/>
  <c r="K273" i="19"/>
  <c r="I273" i="19"/>
  <c r="K272" i="19"/>
  <c r="I272" i="19"/>
  <c r="K271" i="19"/>
  <c r="I271" i="19"/>
  <c r="K270" i="19"/>
  <c r="I270" i="19"/>
  <c r="I269" i="19"/>
  <c r="I268" i="19"/>
  <c r="I267" i="19"/>
  <c r="I266" i="19"/>
  <c r="K265" i="19"/>
  <c r="I265" i="19"/>
  <c r="K264" i="19"/>
  <c r="I264" i="19"/>
  <c r="K263" i="19"/>
  <c r="I263" i="19"/>
  <c r="K262" i="19"/>
  <c r="I262" i="19"/>
  <c r="I261" i="19"/>
  <c r="I260" i="19"/>
  <c r="I259" i="19"/>
  <c r="I258" i="19"/>
  <c r="K257" i="19"/>
  <c r="I257" i="19"/>
  <c r="K256" i="19"/>
  <c r="I256" i="19"/>
  <c r="K255" i="19"/>
  <c r="I255" i="19"/>
  <c r="K254" i="19"/>
  <c r="I254" i="19"/>
  <c r="I253" i="19"/>
  <c r="I252" i="19"/>
  <c r="I251" i="19"/>
  <c r="I250" i="19"/>
  <c r="K249" i="19"/>
  <c r="I249" i="19"/>
  <c r="K248" i="19"/>
  <c r="I248" i="19"/>
  <c r="K247" i="19"/>
  <c r="I247" i="19"/>
  <c r="K246" i="19"/>
  <c r="I246" i="19"/>
  <c r="I245" i="19"/>
  <c r="I244" i="19"/>
  <c r="I243" i="19"/>
  <c r="I242" i="19"/>
  <c r="K241" i="19"/>
  <c r="I241" i="19"/>
  <c r="K240" i="19"/>
  <c r="I240" i="19"/>
  <c r="K239" i="19"/>
  <c r="I239" i="19"/>
  <c r="K238" i="19"/>
  <c r="I238" i="19"/>
  <c r="I237" i="19"/>
  <c r="I236" i="19"/>
  <c r="I235" i="19"/>
  <c r="I234" i="19"/>
  <c r="K233" i="19"/>
  <c r="I233" i="19"/>
  <c r="K232" i="19"/>
  <c r="I232" i="19"/>
  <c r="K231" i="19"/>
  <c r="I231" i="19"/>
  <c r="K230" i="19"/>
  <c r="I230" i="19"/>
  <c r="I229" i="19"/>
  <c r="I228" i="19"/>
  <c r="K227" i="19"/>
  <c r="I227" i="19"/>
  <c r="I226" i="19"/>
  <c r="K225" i="19"/>
  <c r="I225" i="19"/>
  <c r="K224" i="19"/>
  <c r="I224" i="19"/>
  <c r="K223" i="19"/>
  <c r="I223" i="19"/>
  <c r="K222" i="19"/>
  <c r="I222" i="19"/>
  <c r="I221" i="19"/>
  <c r="I220" i="19"/>
  <c r="I219" i="19"/>
  <c r="I218" i="19"/>
  <c r="K217" i="19"/>
  <c r="I217" i="19"/>
  <c r="K216" i="19"/>
  <c r="I216" i="19"/>
  <c r="K215" i="19"/>
  <c r="I215" i="19"/>
  <c r="K214" i="19"/>
  <c r="I214" i="19"/>
  <c r="I213" i="19"/>
  <c r="I212" i="19"/>
  <c r="I211" i="19"/>
  <c r="I210" i="19"/>
  <c r="K209" i="19"/>
  <c r="I209" i="19"/>
  <c r="K208" i="19"/>
  <c r="I208" i="19"/>
  <c r="K207" i="19"/>
  <c r="I207" i="19"/>
  <c r="K206" i="19"/>
  <c r="I206" i="19"/>
  <c r="I205" i="19"/>
  <c r="I204" i="19"/>
  <c r="I203" i="19"/>
  <c r="I202" i="19"/>
  <c r="K201" i="19"/>
  <c r="I201" i="19"/>
  <c r="K200" i="19"/>
  <c r="I200" i="19"/>
  <c r="K199" i="19"/>
  <c r="I199" i="19"/>
  <c r="K198" i="19"/>
  <c r="I198" i="19"/>
  <c r="I197" i="19"/>
  <c r="I196" i="19"/>
  <c r="K195" i="19"/>
  <c r="I195" i="19"/>
  <c r="I194" i="19"/>
  <c r="K193" i="19"/>
  <c r="I193" i="19"/>
  <c r="K192" i="19"/>
  <c r="I192" i="19"/>
  <c r="K191" i="19"/>
  <c r="I191" i="19"/>
  <c r="K190" i="19"/>
  <c r="I190" i="19"/>
  <c r="I189" i="19"/>
  <c r="I188" i="19"/>
  <c r="I187" i="19"/>
  <c r="I186" i="19"/>
  <c r="K185" i="19"/>
  <c r="I185" i="19"/>
  <c r="K184" i="19"/>
  <c r="I184" i="19"/>
  <c r="K183" i="19"/>
  <c r="I183" i="19"/>
  <c r="K182" i="19"/>
  <c r="I182" i="19"/>
  <c r="I181" i="19"/>
  <c r="I180" i="19"/>
  <c r="I179" i="19"/>
  <c r="I178" i="19"/>
  <c r="K177" i="19"/>
  <c r="I177" i="19"/>
  <c r="K176" i="19"/>
  <c r="I176" i="19"/>
  <c r="K175" i="19"/>
  <c r="I175" i="19"/>
  <c r="K174" i="19"/>
  <c r="I174" i="19"/>
  <c r="I173" i="19"/>
  <c r="I172" i="19"/>
  <c r="I171" i="19"/>
  <c r="I170" i="19"/>
  <c r="K169" i="19"/>
  <c r="I169" i="19"/>
  <c r="K168" i="19"/>
  <c r="I168" i="19"/>
  <c r="K167" i="19"/>
  <c r="I167" i="19"/>
  <c r="K166" i="19"/>
  <c r="I166" i="19"/>
  <c r="K165" i="19"/>
  <c r="I165" i="19"/>
  <c r="I164" i="19"/>
  <c r="I163" i="19"/>
  <c r="I162" i="19"/>
  <c r="K161" i="19"/>
  <c r="I161" i="19"/>
  <c r="K160" i="19"/>
  <c r="I160" i="19"/>
  <c r="K159" i="19"/>
  <c r="I159" i="19"/>
  <c r="K158" i="19"/>
  <c r="I158" i="19"/>
  <c r="I157" i="19"/>
  <c r="I156" i="19"/>
  <c r="I155" i="19"/>
  <c r="I154" i="19"/>
  <c r="K153" i="19"/>
  <c r="I153" i="19"/>
  <c r="K152" i="19"/>
  <c r="I152" i="19"/>
  <c r="K151" i="19"/>
  <c r="I151" i="19"/>
  <c r="K150" i="19"/>
  <c r="I150" i="19"/>
  <c r="I149" i="19"/>
  <c r="K148" i="19"/>
  <c r="I148" i="19"/>
  <c r="K147" i="19"/>
  <c r="I147" i="19"/>
  <c r="I146" i="19"/>
  <c r="K145" i="19"/>
  <c r="I145" i="19"/>
  <c r="K144" i="19"/>
  <c r="I144" i="19"/>
  <c r="K143" i="19"/>
  <c r="I143" i="19"/>
  <c r="K142" i="19"/>
  <c r="I142" i="19"/>
  <c r="K141" i="19"/>
  <c r="I141" i="19"/>
  <c r="I140" i="19"/>
  <c r="I139" i="19"/>
  <c r="I138" i="19"/>
  <c r="K137" i="19"/>
  <c r="I137" i="19"/>
  <c r="K136" i="19"/>
  <c r="I136" i="19"/>
  <c r="K135" i="19"/>
  <c r="I135" i="19"/>
  <c r="K134" i="19"/>
  <c r="I134" i="19"/>
  <c r="I133" i="19"/>
  <c r="I132" i="19"/>
  <c r="I131" i="19"/>
  <c r="I130" i="19"/>
  <c r="K129" i="19"/>
  <c r="I129" i="19"/>
  <c r="K128" i="19"/>
  <c r="I128" i="19"/>
  <c r="K127" i="19"/>
  <c r="I127" i="19"/>
  <c r="K126" i="19"/>
  <c r="I126" i="19"/>
  <c r="I125" i="19"/>
  <c r="I124" i="19"/>
  <c r="K123" i="19"/>
  <c r="I123" i="19"/>
  <c r="I122" i="19"/>
  <c r="K121" i="19"/>
  <c r="I121" i="19"/>
  <c r="K120" i="19"/>
  <c r="I120" i="19"/>
  <c r="K119" i="19"/>
  <c r="I119" i="19"/>
  <c r="K118" i="19"/>
  <c r="I118" i="19"/>
  <c r="I117" i="19"/>
  <c r="I116" i="19"/>
  <c r="I115" i="19"/>
  <c r="I114" i="19"/>
  <c r="K113" i="19"/>
  <c r="I113" i="19"/>
  <c r="K112" i="19"/>
  <c r="I112" i="19"/>
  <c r="K111" i="19"/>
  <c r="I111" i="19"/>
  <c r="K110" i="19"/>
  <c r="I110" i="19"/>
  <c r="K109" i="19"/>
  <c r="I109" i="19"/>
  <c r="I108" i="19"/>
  <c r="I107" i="19"/>
  <c r="I106" i="19"/>
  <c r="K105" i="19"/>
  <c r="I105" i="19"/>
  <c r="K104" i="19"/>
  <c r="I104" i="19"/>
  <c r="K103" i="19"/>
  <c r="I103" i="19"/>
  <c r="K102" i="19"/>
  <c r="I102" i="19"/>
  <c r="K101" i="19"/>
  <c r="I101" i="19"/>
  <c r="I100" i="19"/>
  <c r="K99" i="19"/>
  <c r="I99" i="19"/>
  <c r="I98" i="19"/>
  <c r="K97" i="19"/>
  <c r="I97" i="19"/>
  <c r="K96" i="19"/>
  <c r="I96" i="19"/>
  <c r="K95" i="19"/>
  <c r="I95" i="19"/>
  <c r="K94" i="19"/>
  <c r="I94" i="19"/>
  <c r="I93" i="19"/>
  <c r="K92" i="19"/>
  <c r="I92" i="19"/>
  <c r="I91" i="19"/>
  <c r="I90" i="19"/>
  <c r="K89" i="19"/>
  <c r="I89" i="19"/>
  <c r="K88" i="19"/>
  <c r="I88" i="19"/>
  <c r="K87" i="19"/>
  <c r="I87" i="19"/>
  <c r="K86" i="19"/>
  <c r="I86" i="19"/>
  <c r="I85" i="19"/>
  <c r="K84" i="19"/>
  <c r="I84" i="19"/>
  <c r="I83" i="19"/>
  <c r="I82" i="19"/>
  <c r="K81" i="19"/>
  <c r="I81" i="19"/>
  <c r="K80" i="19"/>
  <c r="I80" i="19"/>
  <c r="K79" i="19"/>
  <c r="I79" i="19"/>
  <c r="K78" i="19"/>
  <c r="I78" i="19"/>
  <c r="I77" i="19"/>
  <c r="I76" i="19"/>
  <c r="I75" i="19"/>
  <c r="I74" i="19"/>
  <c r="K73" i="19"/>
  <c r="I73" i="19"/>
  <c r="K72" i="19"/>
  <c r="I72" i="19"/>
  <c r="K71" i="19"/>
  <c r="I71" i="19"/>
  <c r="K70" i="19"/>
  <c r="I70" i="19"/>
  <c r="I69" i="19"/>
  <c r="I68" i="19"/>
  <c r="I67" i="19"/>
  <c r="I66" i="19"/>
  <c r="K65" i="19"/>
  <c r="I65" i="19"/>
  <c r="B65" i="19"/>
  <c r="K64" i="19"/>
  <c r="I64" i="19"/>
  <c r="B64" i="19"/>
  <c r="K63" i="19"/>
  <c r="I63" i="19"/>
  <c r="B63" i="19"/>
  <c r="K62" i="19"/>
  <c r="I62" i="19"/>
  <c r="B62" i="19"/>
  <c r="I61" i="19"/>
  <c r="B61" i="19"/>
  <c r="I60" i="19"/>
  <c r="B60" i="19"/>
  <c r="I59" i="19"/>
  <c r="B59" i="19"/>
  <c r="I58" i="19"/>
  <c r="B58" i="19"/>
  <c r="K57" i="19"/>
  <c r="I57" i="19"/>
  <c r="B57" i="19"/>
  <c r="K56" i="19"/>
  <c r="I56" i="19"/>
  <c r="B56" i="19"/>
  <c r="K55" i="19"/>
  <c r="I55" i="19"/>
  <c r="B55" i="19"/>
  <c r="K54" i="19"/>
  <c r="I54" i="19"/>
  <c r="B54" i="19"/>
  <c r="I53" i="19"/>
  <c r="B53" i="19"/>
  <c r="I52" i="19"/>
  <c r="B52" i="19"/>
  <c r="I51" i="19"/>
  <c r="B51" i="19"/>
  <c r="I50" i="19"/>
  <c r="B50" i="19"/>
  <c r="K49" i="19"/>
  <c r="I49" i="19"/>
  <c r="B49" i="19"/>
  <c r="K48" i="19"/>
  <c r="I48" i="19"/>
  <c r="B48" i="19"/>
  <c r="K47" i="19"/>
  <c r="I47" i="19"/>
  <c r="B47" i="19"/>
  <c r="U46" i="19"/>
  <c r="S46" i="19"/>
  <c r="V46" i="19" s="1"/>
  <c r="K46" i="19"/>
  <c r="I46" i="19"/>
  <c r="B46" i="19"/>
  <c r="I45" i="19"/>
  <c r="B45" i="19"/>
  <c r="I44" i="19"/>
  <c r="B44" i="19"/>
  <c r="I43" i="19"/>
  <c r="B43" i="19"/>
  <c r="I42" i="19"/>
  <c r="B42" i="19"/>
  <c r="K41" i="19"/>
  <c r="I41" i="19"/>
  <c r="B41" i="19"/>
  <c r="K40" i="19"/>
  <c r="I40" i="19"/>
  <c r="B40" i="19"/>
  <c r="K39" i="19"/>
  <c r="I39" i="19"/>
  <c r="B39" i="19"/>
  <c r="K38" i="19"/>
  <c r="I38" i="19"/>
  <c r="B38" i="19"/>
  <c r="K37" i="19"/>
  <c r="I37" i="19"/>
  <c r="B37" i="19"/>
  <c r="I36" i="19"/>
  <c r="B36" i="19"/>
  <c r="I35" i="19"/>
  <c r="B35" i="19"/>
  <c r="I34" i="19"/>
  <c r="B34" i="19"/>
  <c r="K33" i="19"/>
  <c r="I33" i="19"/>
  <c r="B33" i="19"/>
  <c r="K32" i="19"/>
  <c r="I32" i="19"/>
  <c r="B32" i="19"/>
  <c r="K31" i="19"/>
  <c r="I31" i="19"/>
  <c r="B31" i="19"/>
  <c r="K30" i="19"/>
  <c r="I30" i="19"/>
  <c r="B30" i="19"/>
  <c r="I29" i="19"/>
  <c r="B29" i="19"/>
  <c r="I28" i="19"/>
  <c r="B28" i="19"/>
  <c r="K27" i="19"/>
  <c r="I27" i="19"/>
  <c r="B27" i="19"/>
  <c r="I26" i="19"/>
  <c r="B26" i="19"/>
  <c r="K25" i="19"/>
  <c r="I25" i="19"/>
  <c r="B25" i="19"/>
  <c r="K24" i="19"/>
  <c r="I24" i="19"/>
  <c r="B24" i="19"/>
  <c r="K23" i="19"/>
  <c r="I23" i="19"/>
  <c r="B23" i="19"/>
  <c r="K22" i="19"/>
  <c r="I22" i="19"/>
  <c r="B22" i="19"/>
  <c r="K21" i="19"/>
  <c r="I21" i="19"/>
  <c r="B21" i="19"/>
  <c r="I20" i="19"/>
  <c r="B20" i="19"/>
  <c r="I19" i="19"/>
  <c r="B19" i="19"/>
  <c r="I18" i="19"/>
  <c r="B18" i="19"/>
  <c r="K17" i="19"/>
  <c r="I17" i="19"/>
  <c r="B17" i="19"/>
  <c r="K16" i="19"/>
  <c r="I16" i="19"/>
  <c r="B16" i="19"/>
  <c r="K15" i="19"/>
  <c r="I15" i="19"/>
  <c r="B15" i="19"/>
  <c r="AJ14" i="19"/>
  <c r="K14" i="19"/>
  <c r="I14" i="19"/>
  <c r="B14" i="19"/>
  <c r="AJ13" i="19"/>
  <c r="AJ16" i="19" s="1"/>
  <c r="K13" i="19"/>
  <c r="I13" i="19"/>
  <c r="B13" i="19"/>
  <c r="AJ12" i="19"/>
  <c r="K12" i="19"/>
  <c r="I12" i="19"/>
  <c r="B12" i="19"/>
  <c r="I11" i="19"/>
  <c r="B11" i="19"/>
  <c r="I10" i="19"/>
  <c r="B10" i="19"/>
  <c r="K9" i="19"/>
  <c r="I9" i="19"/>
  <c r="B9" i="19"/>
  <c r="K8" i="19"/>
  <c r="I8" i="19"/>
  <c r="M8" i="19" s="1"/>
  <c r="N8" i="19" s="1"/>
  <c r="B8" i="19"/>
  <c r="K7" i="19"/>
  <c r="I7" i="19"/>
  <c r="B7" i="19"/>
  <c r="K6" i="19"/>
  <c r="B6" i="19"/>
  <c r="L2" i="19"/>
  <c r="K2" i="19"/>
  <c r="K305" i="18"/>
  <c r="I305" i="18"/>
  <c r="M305" i="18" s="1"/>
  <c r="K304" i="18"/>
  <c r="I304" i="18"/>
  <c r="M304" i="18" s="1"/>
  <c r="K303" i="18"/>
  <c r="I303" i="18"/>
  <c r="M303" i="18" s="1"/>
  <c r="K302" i="18"/>
  <c r="I302" i="18"/>
  <c r="M302" i="18" s="1"/>
  <c r="I301" i="18"/>
  <c r="M301" i="18" s="1"/>
  <c r="K300" i="18"/>
  <c r="I300" i="18"/>
  <c r="M300" i="18" s="1"/>
  <c r="K299" i="18"/>
  <c r="I299" i="18"/>
  <c r="M299" i="18" s="1"/>
  <c r="I298" i="18"/>
  <c r="M298" i="18" s="1"/>
  <c r="K297" i="18"/>
  <c r="I297" i="18"/>
  <c r="M297" i="18" s="1"/>
  <c r="K296" i="18"/>
  <c r="I296" i="18"/>
  <c r="M296" i="18" s="1"/>
  <c r="K295" i="18"/>
  <c r="I295" i="18"/>
  <c r="M295" i="18" s="1"/>
  <c r="K294" i="18"/>
  <c r="I294" i="18"/>
  <c r="M294" i="18" s="1"/>
  <c r="I293" i="18"/>
  <c r="M293" i="18" s="1"/>
  <c r="K292" i="18"/>
  <c r="I292" i="18"/>
  <c r="M292" i="18" s="1"/>
  <c r="K291" i="18"/>
  <c r="I291" i="18"/>
  <c r="M291" i="18" s="1"/>
  <c r="I290" i="18"/>
  <c r="M290" i="18" s="1"/>
  <c r="K289" i="18"/>
  <c r="I289" i="18"/>
  <c r="M289" i="18" s="1"/>
  <c r="K288" i="18"/>
  <c r="I288" i="18"/>
  <c r="M288" i="18" s="1"/>
  <c r="K287" i="18"/>
  <c r="I287" i="18"/>
  <c r="M287" i="18" s="1"/>
  <c r="K286" i="18"/>
  <c r="I286" i="18"/>
  <c r="M286" i="18" s="1"/>
  <c r="I285" i="18"/>
  <c r="M285" i="18" s="1"/>
  <c r="K284" i="18"/>
  <c r="I284" i="18"/>
  <c r="M284" i="18" s="1"/>
  <c r="K283" i="18"/>
  <c r="I283" i="18"/>
  <c r="M283" i="18" s="1"/>
  <c r="I282" i="18"/>
  <c r="M282" i="18" s="1"/>
  <c r="K281" i="18"/>
  <c r="I281" i="18"/>
  <c r="M281" i="18" s="1"/>
  <c r="K280" i="18"/>
  <c r="I280" i="18"/>
  <c r="M280" i="18" s="1"/>
  <c r="K279" i="18"/>
  <c r="I279" i="18"/>
  <c r="M279" i="18" s="1"/>
  <c r="K278" i="18"/>
  <c r="I278" i="18"/>
  <c r="M278" i="18" s="1"/>
  <c r="I277" i="18"/>
  <c r="M277" i="18" s="1"/>
  <c r="K276" i="18"/>
  <c r="I276" i="18"/>
  <c r="M276" i="18" s="1"/>
  <c r="K275" i="18"/>
  <c r="I275" i="18"/>
  <c r="M275" i="18" s="1"/>
  <c r="I274" i="18"/>
  <c r="M274" i="18" s="1"/>
  <c r="K273" i="18"/>
  <c r="I273" i="18"/>
  <c r="M273" i="18" s="1"/>
  <c r="K272" i="18"/>
  <c r="I272" i="18"/>
  <c r="M272" i="18" s="1"/>
  <c r="K271" i="18"/>
  <c r="I271" i="18"/>
  <c r="M271" i="18" s="1"/>
  <c r="K270" i="18"/>
  <c r="I270" i="18"/>
  <c r="M270" i="18" s="1"/>
  <c r="I269" i="18"/>
  <c r="M269" i="18" s="1"/>
  <c r="K268" i="18"/>
  <c r="I268" i="18"/>
  <c r="M268" i="18" s="1"/>
  <c r="K267" i="18"/>
  <c r="I267" i="18"/>
  <c r="M267" i="18" s="1"/>
  <c r="K266" i="18"/>
  <c r="I266" i="18"/>
  <c r="M266" i="18" s="1"/>
  <c r="K265" i="18"/>
  <c r="I265" i="18"/>
  <c r="M265" i="18" s="1"/>
  <c r="K264" i="18"/>
  <c r="I264" i="18"/>
  <c r="M264" i="18" s="1"/>
  <c r="K263" i="18"/>
  <c r="I263" i="18"/>
  <c r="M263" i="18" s="1"/>
  <c r="K262" i="18"/>
  <c r="I262" i="18"/>
  <c r="M262" i="18" s="1"/>
  <c r="K261" i="18"/>
  <c r="I261" i="18"/>
  <c r="M261" i="18" s="1"/>
  <c r="K260" i="18"/>
  <c r="I260" i="18"/>
  <c r="M260" i="18" s="1"/>
  <c r="K259" i="18"/>
  <c r="I259" i="18"/>
  <c r="M259" i="18" s="1"/>
  <c r="I258" i="18"/>
  <c r="M258" i="18" s="1"/>
  <c r="K257" i="18"/>
  <c r="I257" i="18"/>
  <c r="M257" i="18" s="1"/>
  <c r="K256" i="18"/>
  <c r="I256" i="18"/>
  <c r="M256" i="18" s="1"/>
  <c r="K255" i="18"/>
  <c r="I255" i="18"/>
  <c r="M255" i="18" s="1"/>
  <c r="K254" i="18"/>
  <c r="I254" i="18"/>
  <c r="M254" i="18" s="1"/>
  <c r="I253" i="18"/>
  <c r="M253" i="18" s="1"/>
  <c r="K252" i="18"/>
  <c r="I252" i="18"/>
  <c r="M252" i="18" s="1"/>
  <c r="K251" i="18"/>
  <c r="I251" i="18"/>
  <c r="M251" i="18" s="1"/>
  <c r="I250" i="18"/>
  <c r="M250" i="18" s="1"/>
  <c r="K249" i="18"/>
  <c r="I249" i="18"/>
  <c r="M249" i="18" s="1"/>
  <c r="K248" i="18"/>
  <c r="I248" i="18"/>
  <c r="M248" i="18" s="1"/>
  <c r="K247" i="18"/>
  <c r="I247" i="18"/>
  <c r="M247" i="18" s="1"/>
  <c r="K246" i="18"/>
  <c r="I246" i="18"/>
  <c r="M246" i="18" s="1"/>
  <c r="I245" i="18"/>
  <c r="M245" i="18" s="1"/>
  <c r="K244" i="18"/>
  <c r="I244" i="18"/>
  <c r="M244" i="18" s="1"/>
  <c r="K243" i="18"/>
  <c r="I243" i="18"/>
  <c r="M243" i="18" s="1"/>
  <c r="K242" i="18"/>
  <c r="I242" i="18"/>
  <c r="M242" i="18" s="1"/>
  <c r="K241" i="18"/>
  <c r="I241" i="18"/>
  <c r="M241" i="18" s="1"/>
  <c r="K240" i="18"/>
  <c r="I240" i="18"/>
  <c r="M240" i="18" s="1"/>
  <c r="K239" i="18"/>
  <c r="I239" i="18"/>
  <c r="M239" i="18" s="1"/>
  <c r="K238" i="18"/>
  <c r="I238" i="18"/>
  <c r="M238" i="18" s="1"/>
  <c r="I237" i="18"/>
  <c r="M237" i="18" s="1"/>
  <c r="K236" i="18"/>
  <c r="I236" i="18"/>
  <c r="M236" i="18" s="1"/>
  <c r="K235" i="18"/>
  <c r="I235" i="18"/>
  <c r="M235" i="18" s="1"/>
  <c r="I234" i="18"/>
  <c r="M234" i="18" s="1"/>
  <c r="K233" i="18"/>
  <c r="I233" i="18"/>
  <c r="M233" i="18" s="1"/>
  <c r="K232" i="18"/>
  <c r="I232" i="18"/>
  <c r="M232" i="18" s="1"/>
  <c r="K231" i="18"/>
  <c r="I231" i="18"/>
  <c r="M231" i="18" s="1"/>
  <c r="K230" i="18"/>
  <c r="I230" i="18"/>
  <c r="M230" i="18" s="1"/>
  <c r="I229" i="18"/>
  <c r="M229" i="18" s="1"/>
  <c r="K228" i="18"/>
  <c r="I228" i="18"/>
  <c r="M228" i="18" s="1"/>
  <c r="K227" i="18"/>
  <c r="I227" i="18"/>
  <c r="M227" i="18" s="1"/>
  <c r="I226" i="18"/>
  <c r="M226" i="18" s="1"/>
  <c r="K225" i="18"/>
  <c r="I225" i="18"/>
  <c r="M225" i="18" s="1"/>
  <c r="K224" i="18"/>
  <c r="I224" i="18"/>
  <c r="M224" i="18" s="1"/>
  <c r="K223" i="18"/>
  <c r="I223" i="18"/>
  <c r="M223" i="18" s="1"/>
  <c r="K222" i="18"/>
  <c r="I222" i="18"/>
  <c r="M222" i="18" s="1"/>
  <c r="I221" i="18"/>
  <c r="M221" i="18" s="1"/>
  <c r="K220" i="18"/>
  <c r="I220" i="18"/>
  <c r="M220" i="18" s="1"/>
  <c r="K219" i="18"/>
  <c r="I219" i="18"/>
  <c r="M219" i="18" s="1"/>
  <c r="I218" i="18"/>
  <c r="M218" i="18" s="1"/>
  <c r="K217" i="18"/>
  <c r="I217" i="18"/>
  <c r="M217" i="18" s="1"/>
  <c r="K216" i="18"/>
  <c r="I216" i="18"/>
  <c r="M216" i="18" s="1"/>
  <c r="K215" i="18"/>
  <c r="I215" i="18"/>
  <c r="M215" i="18" s="1"/>
  <c r="K214" i="18"/>
  <c r="I214" i="18"/>
  <c r="M214" i="18" s="1"/>
  <c r="I213" i="18"/>
  <c r="M213" i="18" s="1"/>
  <c r="K212" i="18"/>
  <c r="I212" i="18"/>
  <c r="M212" i="18" s="1"/>
  <c r="K211" i="18"/>
  <c r="I211" i="18"/>
  <c r="M211" i="18" s="1"/>
  <c r="I210" i="18"/>
  <c r="M210" i="18" s="1"/>
  <c r="K209" i="18"/>
  <c r="I209" i="18"/>
  <c r="M209" i="18" s="1"/>
  <c r="K208" i="18"/>
  <c r="I208" i="18"/>
  <c r="M208" i="18" s="1"/>
  <c r="K207" i="18"/>
  <c r="I207" i="18"/>
  <c r="M207" i="18" s="1"/>
  <c r="K206" i="18"/>
  <c r="I206" i="18"/>
  <c r="M206" i="18" s="1"/>
  <c r="I205" i="18"/>
  <c r="M205" i="18" s="1"/>
  <c r="K204" i="18"/>
  <c r="I204" i="18"/>
  <c r="M204" i="18" s="1"/>
  <c r="K203" i="18"/>
  <c r="I203" i="18"/>
  <c r="M203" i="18" s="1"/>
  <c r="I202" i="18"/>
  <c r="M202" i="18" s="1"/>
  <c r="K201" i="18"/>
  <c r="I201" i="18"/>
  <c r="M201" i="18" s="1"/>
  <c r="K200" i="18"/>
  <c r="I200" i="18"/>
  <c r="M200" i="18" s="1"/>
  <c r="K199" i="18"/>
  <c r="I199" i="18"/>
  <c r="M199" i="18" s="1"/>
  <c r="K198" i="18"/>
  <c r="I198" i="18"/>
  <c r="M198" i="18" s="1"/>
  <c r="I197" i="18"/>
  <c r="M197" i="18" s="1"/>
  <c r="K196" i="18"/>
  <c r="I196" i="18"/>
  <c r="M196" i="18" s="1"/>
  <c r="K195" i="18"/>
  <c r="I195" i="18"/>
  <c r="M195" i="18" s="1"/>
  <c r="I194" i="18"/>
  <c r="M194" i="18" s="1"/>
  <c r="K193" i="18"/>
  <c r="I193" i="18"/>
  <c r="M193" i="18" s="1"/>
  <c r="K192" i="18"/>
  <c r="I192" i="18"/>
  <c r="M192" i="18" s="1"/>
  <c r="K191" i="18"/>
  <c r="I191" i="18"/>
  <c r="M191" i="18" s="1"/>
  <c r="K190" i="18"/>
  <c r="I190" i="18"/>
  <c r="M190" i="18" s="1"/>
  <c r="I189" i="18"/>
  <c r="M189" i="18" s="1"/>
  <c r="K188" i="18"/>
  <c r="I188" i="18"/>
  <c r="M188" i="18" s="1"/>
  <c r="K187" i="18"/>
  <c r="I187" i="18"/>
  <c r="M187" i="18" s="1"/>
  <c r="I186" i="18"/>
  <c r="M186" i="18" s="1"/>
  <c r="K185" i="18"/>
  <c r="I185" i="18"/>
  <c r="M185" i="18" s="1"/>
  <c r="K184" i="18"/>
  <c r="I184" i="18"/>
  <c r="M184" i="18" s="1"/>
  <c r="K183" i="18"/>
  <c r="I183" i="18"/>
  <c r="M183" i="18" s="1"/>
  <c r="K182" i="18"/>
  <c r="I182" i="18"/>
  <c r="M182" i="18" s="1"/>
  <c r="I181" i="18"/>
  <c r="M181" i="18" s="1"/>
  <c r="K180" i="18"/>
  <c r="I180" i="18"/>
  <c r="M180" i="18" s="1"/>
  <c r="K179" i="18"/>
  <c r="I179" i="18"/>
  <c r="M179" i="18" s="1"/>
  <c r="K178" i="18"/>
  <c r="I178" i="18"/>
  <c r="M178" i="18" s="1"/>
  <c r="K177" i="18"/>
  <c r="I177" i="18"/>
  <c r="M177" i="18" s="1"/>
  <c r="K176" i="18"/>
  <c r="I176" i="18"/>
  <c r="M176" i="18" s="1"/>
  <c r="K175" i="18"/>
  <c r="I175" i="18"/>
  <c r="M175" i="18" s="1"/>
  <c r="K174" i="18"/>
  <c r="I174" i="18"/>
  <c r="M174" i="18" s="1"/>
  <c r="I173" i="18"/>
  <c r="M173" i="18" s="1"/>
  <c r="K172" i="18"/>
  <c r="I172" i="18"/>
  <c r="M172" i="18" s="1"/>
  <c r="K171" i="18"/>
  <c r="I171" i="18"/>
  <c r="M171" i="18" s="1"/>
  <c r="I170" i="18"/>
  <c r="M170" i="18" s="1"/>
  <c r="K169" i="18"/>
  <c r="I169" i="18"/>
  <c r="M169" i="18" s="1"/>
  <c r="K168" i="18"/>
  <c r="I168" i="18"/>
  <c r="M168" i="18" s="1"/>
  <c r="K167" i="18"/>
  <c r="I167" i="18"/>
  <c r="M167" i="18" s="1"/>
  <c r="K166" i="18"/>
  <c r="I166" i="18"/>
  <c r="M166" i="18" s="1"/>
  <c r="I165" i="18"/>
  <c r="M165" i="18" s="1"/>
  <c r="K164" i="18"/>
  <c r="I164" i="18"/>
  <c r="M164" i="18" s="1"/>
  <c r="K163" i="18"/>
  <c r="I163" i="18"/>
  <c r="M163" i="18" s="1"/>
  <c r="I162" i="18"/>
  <c r="M162" i="18" s="1"/>
  <c r="K161" i="18"/>
  <c r="I161" i="18"/>
  <c r="M161" i="18" s="1"/>
  <c r="K160" i="18"/>
  <c r="I160" i="18"/>
  <c r="M160" i="18" s="1"/>
  <c r="K159" i="18"/>
  <c r="I159" i="18"/>
  <c r="M159" i="18" s="1"/>
  <c r="K158" i="18"/>
  <c r="I158" i="18"/>
  <c r="M158" i="18" s="1"/>
  <c r="I157" i="18"/>
  <c r="M157" i="18" s="1"/>
  <c r="K156" i="18"/>
  <c r="I156" i="18"/>
  <c r="M156" i="18" s="1"/>
  <c r="K155" i="18"/>
  <c r="I155" i="18"/>
  <c r="M155" i="18" s="1"/>
  <c r="I154" i="18"/>
  <c r="M154" i="18" s="1"/>
  <c r="K153" i="18"/>
  <c r="I153" i="18"/>
  <c r="M153" i="18" s="1"/>
  <c r="K152" i="18"/>
  <c r="I152" i="18"/>
  <c r="M152" i="18" s="1"/>
  <c r="K151" i="18"/>
  <c r="I151" i="18"/>
  <c r="M151" i="18" s="1"/>
  <c r="K150" i="18"/>
  <c r="I150" i="18"/>
  <c r="M150" i="18" s="1"/>
  <c r="I149" i="18"/>
  <c r="M149" i="18" s="1"/>
  <c r="K148" i="18"/>
  <c r="I148" i="18"/>
  <c r="M148" i="18" s="1"/>
  <c r="K147" i="18"/>
  <c r="I147" i="18"/>
  <c r="M147" i="18" s="1"/>
  <c r="I146" i="18"/>
  <c r="M146" i="18" s="1"/>
  <c r="K145" i="18"/>
  <c r="I145" i="18"/>
  <c r="M145" i="18" s="1"/>
  <c r="K144" i="18"/>
  <c r="I144" i="18"/>
  <c r="M144" i="18" s="1"/>
  <c r="K143" i="18"/>
  <c r="I143" i="18"/>
  <c r="M143" i="18" s="1"/>
  <c r="K142" i="18"/>
  <c r="I142" i="18"/>
  <c r="M142" i="18" s="1"/>
  <c r="I141" i="18"/>
  <c r="M141" i="18" s="1"/>
  <c r="K140" i="18"/>
  <c r="I140" i="18"/>
  <c r="M140" i="18" s="1"/>
  <c r="K139" i="18"/>
  <c r="I139" i="18"/>
  <c r="M139" i="18" s="1"/>
  <c r="I138" i="18"/>
  <c r="M138" i="18" s="1"/>
  <c r="K137" i="18"/>
  <c r="I137" i="18"/>
  <c r="M137" i="18" s="1"/>
  <c r="K136" i="18"/>
  <c r="I136" i="18"/>
  <c r="M136" i="18" s="1"/>
  <c r="K135" i="18"/>
  <c r="I135" i="18"/>
  <c r="M135" i="18" s="1"/>
  <c r="K134" i="18"/>
  <c r="I134" i="18"/>
  <c r="M134" i="18" s="1"/>
  <c r="I133" i="18"/>
  <c r="M133" i="18" s="1"/>
  <c r="K132" i="18"/>
  <c r="I132" i="18"/>
  <c r="M132" i="18" s="1"/>
  <c r="K131" i="18"/>
  <c r="I131" i="18"/>
  <c r="M131" i="18" s="1"/>
  <c r="I130" i="18"/>
  <c r="M130" i="18" s="1"/>
  <c r="K129" i="18"/>
  <c r="I129" i="18"/>
  <c r="M129" i="18" s="1"/>
  <c r="K128" i="18"/>
  <c r="I128" i="18"/>
  <c r="M128" i="18" s="1"/>
  <c r="K127" i="18"/>
  <c r="I127" i="18"/>
  <c r="M127" i="18" s="1"/>
  <c r="K126" i="18"/>
  <c r="I126" i="18"/>
  <c r="M126" i="18" s="1"/>
  <c r="I125" i="18"/>
  <c r="M125" i="18" s="1"/>
  <c r="K124" i="18"/>
  <c r="I124" i="18"/>
  <c r="M124" i="18" s="1"/>
  <c r="K123" i="18"/>
  <c r="I123" i="18"/>
  <c r="M123" i="18" s="1"/>
  <c r="I122" i="18"/>
  <c r="M122" i="18" s="1"/>
  <c r="K121" i="18"/>
  <c r="I121" i="18"/>
  <c r="M121" i="18" s="1"/>
  <c r="K120" i="18"/>
  <c r="I120" i="18"/>
  <c r="M120" i="18" s="1"/>
  <c r="K119" i="18"/>
  <c r="I119" i="18"/>
  <c r="M119" i="18" s="1"/>
  <c r="K118" i="18"/>
  <c r="I118" i="18"/>
  <c r="M118" i="18" s="1"/>
  <c r="I117" i="18"/>
  <c r="M117" i="18" s="1"/>
  <c r="K116" i="18"/>
  <c r="I116" i="18"/>
  <c r="M116" i="18" s="1"/>
  <c r="K115" i="18"/>
  <c r="I115" i="18"/>
  <c r="M115" i="18" s="1"/>
  <c r="K114" i="18"/>
  <c r="I114" i="18"/>
  <c r="M114" i="18" s="1"/>
  <c r="K113" i="18"/>
  <c r="I113" i="18"/>
  <c r="M113" i="18" s="1"/>
  <c r="K112" i="18"/>
  <c r="I112" i="18"/>
  <c r="M112" i="18" s="1"/>
  <c r="K111" i="18"/>
  <c r="I111" i="18"/>
  <c r="M111" i="18" s="1"/>
  <c r="K110" i="18"/>
  <c r="I110" i="18"/>
  <c r="M110" i="18" s="1"/>
  <c r="I109" i="18"/>
  <c r="M109" i="18" s="1"/>
  <c r="K108" i="18"/>
  <c r="I108" i="18"/>
  <c r="M108" i="18" s="1"/>
  <c r="K107" i="18"/>
  <c r="I107" i="18"/>
  <c r="M107" i="18" s="1"/>
  <c r="I106" i="18"/>
  <c r="M106" i="18" s="1"/>
  <c r="K105" i="18"/>
  <c r="I105" i="18"/>
  <c r="M105" i="18" s="1"/>
  <c r="K104" i="18"/>
  <c r="I104" i="18"/>
  <c r="M104" i="18" s="1"/>
  <c r="K103" i="18"/>
  <c r="I103" i="18"/>
  <c r="M103" i="18" s="1"/>
  <c r="K102" i="18"/>
  <c r="I102" i="18"/>
  <c r="M102" i="18" s="1"/>
  <c r="I101" i="18"/>
  <c r="M101" i="18" s="1"/>
  <c r="K100" i="18"/>
  <c r="I100" i="18"/>
  <c r="M100" i="18" s="1"/>
  <c r="K99" i="18"/>
  <c r="I99" i="18"/>
  <c r="M99" i="18" s="1"/>
  <c r="I98" i="18"/>
  <c r="M98" i="18" s="1"/>
  <c r="K97" i="18"/>
  <c r="I97" i="18"/>
  <c r="M97" i="18" s="1"/>
  <c r="K96" i="18"/>
  <c r="I96" i="18"/>
  <c r="M96" i="18" s="1"/>
  <c r="K95" i="18"/>
  <c r="I95" i="18"/>
  <c r="M95" i="18" s="1"/>
  <c r="K94" i="18"/>
  <c r="I94" i="18"/>
  <c r="M94" i="18" s="1"/>
  <c r="I93" i="18"/>
  <c r="M93" i="18" s="1"/>
  <c r="K92" i="18"/>
  <c r="I92" i="18"/>
  <c r="M92" i="18" s="1"/>
  <c r="K91" i="18"/>
  <c r="I91" i="18"/>
  <c r="M91" i="18" s="1"/>
  <c r="I90" i="18"/>
  <c r="M90" i="18" s="1"/>
  <c r="K89" i="18"/>
  <c r="I89" i="18"/>
  <c r="M89" i="18" s="1"/>
  <c r="K88" i="18"/>
  <c r="I88" i="18"/>
  <c r="M88" i="18" s="1"/>
  <c r="K87" i="18"/>
  <c r="I87" i="18"/>
  <c r="M87" i="18" s="1"/>
  <c r="K86" i="18"/>
  <c r="I86" i="18"/>
  <c r="M86" i="18" s="1"/>
  <c r="I85" i="18"/>
  <c r="M85" i="18" s="1"/>
  <c r="K84" i="18"/>
  <c r="I84" i="18"/>
  <c r="M84" i="18" s="1"/>
  <c r="K83" i="18"/>
  <c r="I83" i="18"/>
  <c r="M83" i="18" s="1"/>
  <c r="I82" i="18"/>
  <c r="M82" i="18" s="1"/>
  <c r="K81" i="18"/>
  <c r="I81" i="18"/>
  <c r="M81" i="18" s="1"/>
  <c r="K80" i="18"/>
  <c r="I80" i="18"/>
  <c r="M80" i="18" s="1"/>
  <c r="K79" i="18"/>
  <c r="I79" i="18"/>
  <c r="M79" i="18" s="1"/>
  <c r="K78" i="18"/>
  <c r="I78" i="18"/>
  <c r="M78" i="18" s="1"/>
  <c r="I77" i="18"/>
  <c r="M77" i="18" s="1"/>
  <c r="K76" i="18"/>
  <c r="I76" i="18"/>
  <c r="M76" i="18" s="1"/>
  <c r="K75" i="18"/>
  <c r="I75" i="18"/>
  <c r="M75" i="18" s="1"/>
  <c r="I74" i="18"/>
  <c r="M74" i="18" s="1"/>
  <c r="K73" i="18"/>
  <c r="I73" i="18"/>
  <c r="M73" i="18" s="1"/>
  <c r="K72" i="18"/>
  <c r="I72" i="18"/>
  <c r="M72" i="18" s="1"/>
  <c r="K71" i="18"/>
  <c r="I71" i="18"/>
  <c r="M71" i="18" s="1"/>
  <c r="K70" i="18"/>
  <c r="I70" i="18"/>
  <c r="M70" i="18" s="1"/>
  <c r="I69" i="18"/>
  <c r="M69" i="18" s="1"/>
  <c r="K68" i="18"/>
  <c r="I68" i="18"/>
  <c r="M68" i="18" s="1"/>
  <c r="K67" i="18"/>
  <c r="I67" i="18"/>
  <c r="M67" i="18" s="1"/>
  <c r="I66" i="18"/>
  <c r="M66" i="18" s="1"/>
  <c r="K65" i="18"/>
  <c r="I65" i="18"/>
  <c r="M65" i="18" s="1"/>
  <c r="B65" i="18"/>
  <c r="K64" i="18"/>
  <c r="I64" i="18"/>
  <c r="M64" i="18" s="1"/>
  <c r="B64" i="18"/>
  <c r="K63" i="18"/>
  <c r="I63" i="18"/>
  <c r="M63" i="18" s="1"/>
  <c r="B63" i="18"/>
  <c r="K62" i="18"/>
  <c r="I62" i="18"/>
  <c r="M62" i="18" s="1"/>
  <c r="B62" i="18"/>
  <c r="I61" i="18"/>
  <c r="M61" i="18" s="1"/>
  <c r="B61" i="18"/>
  <c r="K60" i="18"/>
  <c r="I60" i="18"/>
  <c r="M60" i="18" s="1"/>
  <c r="B60" i="18"/>
  <c r="K59" i="18"/>
  <c r="I59" i="18"/>
  <c r="M59" i="18" s="1"/>
  <c r="B59" i="18"/>
  <c r="I58" i="18"/>
  <c r="M58" i="18" s="1"/>
  <c r="B58" i="18"/>
  <c r="K57" i="18"/>
  <c r="I57" i="18"/>
  <c r="M57" i="18" s="1"/>
  <c r="B57" i="18"/>
  <c r="K56" i="18"/>
  <c r="I56" i="18"/>
  <c r="M56" i="18" s="1"/>
  <c r="B56" i="18"/>
  <c r="K55" i="18"/>
  <c r="I55" i="18"/>
  <c r="M55" i="18" s="1"/>
  <c r="B55" i="18"/>
  <c r="K54" i="18"/>
  <c r="I54" i="18"/>
  <c r="M54" i="18" s="1"/>
  <c r="B54" i="18"/>
  <c r="I53" i="18"/>
  <c r="M53" i="18" s="1"/>
  <c r="B53" i="18"/>
  <c r="K52" i="18"/>
  <c r="I52" i="18"/>
  <c r="M52" i="18" s="1"/>
  <c r="B52" i="18"/>
  <c r="K51" i="18"/>
  <c r="I51" i="18"/>
  <c r="M51" i="18" s="1"/>
  <c r="B51" i="18"/>
  <c r="I50" i="18"/>
  <c r="M50" i="18" s="1"/>
  <c r="B50" i="18"/>
  <c r="K49" i="18"/>
  <c r="I49" i="18"/>
  <c r="M49" i="18" s="1"/>
  <c r="B49" i="18"/>
  <c r="K48" i="18"/>
  <c r="I48" i="18"/>
  <c r="M48" i="18" s="1"/>
  <c r="B48" i="18"/>
  <c r="K47" i="18"/>
  <c r="I47" i="18"/>
  <c r="M47" i="18" s="1"/>
  <c r="B47" i="18"/>
  <c r="T46" i="18"/>
  <c r="R46" i="18"/>
  <c r="K46" i="18"/>
  <c r="I46" i="18"/>
  <c r="M46" i="18" s="1"/>
  <c r="B46" i="18"/>
  <c r="I45" i="18"/>
  <c r="M45" i="18" s="1"/>
  <c r="B45" i="18"/>
  <c r="K44" i="18"/>
  <c r="I44" i="18"/>
  <c r="M44" i="18" s="1"/>
  <c r="B44" i="18"/>
  <c r="K43" i="18"/>
  <c r="I43" i="18"/>
  <c r="M43" i="18" s="1"/>
  <c r="B43" i="18"/>
  <c r="I42" i="18"/>
  <c r="M42" i="18" s="1"/>
  <c r="B42" i="18"/>
  <c r="K41" i="18"/>
  <c r="I41" i="18"/>
  <c r="M41" i="18" s="1"/>
  <c r="B41" i="18"/>
  <c r="K40" i="18"/>
  <c r="I40" i="18"/>
  <c r="M40" i="18" s="1"/>
  <c r="B40" i="18"/>
  <c r="K39" i="18"/>
  <c r="I39" i="18"/>
  <c r="M39" i="18" s="1"/>
  <c r="B39" i="18"/>
  <c r="K38" i="18"/>
  <c r="I38" i="18"/>
  <c r="M38" i="18" s="1"/>
  <c r="B38" i="18"/>
  <c r="I37" i="18"/>
  <c r="B37" i="18"/>
  <c r="K36" i="18"/>
  <c r="I36" i="18"/>
  <c r="B36" i="18"/>
  <c r="K35" i="18"/>
  <c r="I35" i="18"/>
  <c r="B35" i="18"/>
  <c r="I34" i="18"/>
  <c r="B34" i="18"/>
  <c r="K33" i="18"/>
  <c r="I33" i="18"/>
  <c r="B33" i="18"/>
  <c r="K32" i="18"/>
  <c r="I32" i="18"/>
  <c r="B32" i="18"/>
  <c r="K31" i="18"/>
  <c r="I31" i="18"/>
  <c r="B31" i="18"/>
  <c r="K30" i="18"/>
  <c r="I30" i="18"/>
  <c r="B30" i="18"/>
  <c r="I29" i="18"/>
  <c r="B29" i="18"/>
  <c r="K28" i="18"/>
  <c r="I28" i="18"/>
  <c r="B28" i="18"/>
  <c r="K27" i="18"/>
  <c r="I27" i="18"/>
  <c r="B27" i="18"/>
  <c r="I26" i="18"/>
  <c r="M26" i="18" s="1"/>
  <c r="B26" i="18"/>
  <c r="A26" i="18"/>
  <c r="K25" i="18"/>
  <c r="I25" i="18"/>
  <c r="B25" i="18"/>
  <c r="K24" i="18"/>
  <c r="I24" i="18"/>
  <c r="B24" i="18"/>
  <c r="K23" i="18"/>
  <c r="I23" i="18"/>
  <c r="B23" i="18"/>
  <c r="K22" i="18"/>
  <c r="I22" i="18"/>
  <c r="B22" i="18"/>
  <c r="I21" i="18"/>
  <c r="B21" i="18"/>
  <c r="K20" i="18"/>
  <c r="I20" i="18"/>
  <c r="B20" i="18"/>
  <c r="K19" i="18"/>
  <c r="I19" i="18"/>
  <c r="B19" i="18"/>
  <c r="I18" i="18"/>
  <c r="B18" i="18"/>
  <c r="K17" i="18"/>
  <c r="I17" i="18"/>
  <c r="B17" i="18"/>
  <c r="K16" i="18"/>
  <c r="I16" i="18"/>
  <c r="M16" i="18" s="1"/>
  <c r="A16" i="18" s="1"/>
  <c r="B16" i="18"/>
  <c r="K15" i="18"/>
  <c r="I15" i="18"/>
  <c r="M15" i="18" s="1"/>
  <c r="A15" i="18" s="1"/>
  <c r="B15" i="18"/>
  <c r="AI14" i="18"/>
  <c r="K14" i="18"/>
  <c r="I14" i="18"/>
  <c r="B14" i="18"/>
  <c r="AI13" i="18"/>
  <c r="I13" i="18"/>
  <c r="M13" i="18" s="1"/>
  <c r="A13" i="18" s="1"/>
  <c r="B13" i="18"/>
  <c r="AI12" i="18"/>
  <c r="AI16" i="18" s="1"/>
  <c r="K12" i="18"/>
  <c r="I12" i="18"/>
  <c r="B12" i="18"/>
  <c r="K11" i="18"/>
  <c r="I11" i="18"/>
  <c r="B11" i="18"/>
  <c r="I10" i="18"/>
  <c r="B10" i="18"/>
  <c r="K9" i="18"/>
  <c r="I9" i="18"/>
  <c r="B9" i="18"/>
  <c r="K8" i="18"/>
  <c r="I8" i="18"/>
  <c r="M8" i="18" s="1"/>
  <c r="B8" i="18"/>
  <c r="K7" i="18"/>
  <c r="I7" i="18"/>
  <c r="M7" i="18" s="1"/>
  <c r="B7" i="18"/>
  <c r="K6" i="18"/>
  <c r="M6" i="18"/>
  <c r="B6" i="18"/>
  <c r="K2" i="18"/>
  <c r="K305" i="17"/>
  <c r="I305" i="17"/>
  <c r="M305" i="17" s="1"/>
  <c r="I304" i="17"/>
  <c r="M304" i="17" s="1"/>
  <c r="K303" i="17"/>
  <c r="I303" i="17"/>
  <c r="M303" i="17" s="1"/>
  <c r="I302" i="17"/>
  <c r="M302" i="17" s="1"/>
  <c r="K301" i="17"/>
  <c r="I301" i="17"/>
  <c r="M301" i="17" s="1"/>
  <c r="K300" i="17"/>
  <c r="I300" i="17"/>
  <c r="M300" i="17" s="1"/>
  <c r="K299" i="17"/>
  <c r="I299" i="17"/>
  <c r="M299" i="17" s="1"/>
  <c r="I298" i="17"/>
  <c r="M298" i="17" s="1"/>
  <c r="I297" i="17"/>
  <c r="M297" i="17" s="1"/>
  <c r="I296" i="17"/>
  <c r="M296" i="17" s="1"/>
  <c r="K295" i="17"/>
  <c r="I295" i="17"/>
  <c r="M295" i="17" s="1"/>
  <c r="I294" i="17"/>
  <c r="M294" i="17" s="1"/>
  <c r="K293" i="17"/>
  <c r="I293" i="17"/>
  <c r="M293" i="17" s="1"/>
  <c r="K292" i="17"/>
  <c r="I292" i="17"/>
  <c r="M292" i="17" s="1"/>
  <c r="I291" i="17"/>
  <c r="M291" i="17" s="1"/>
  <c r="I290" i="17"/>
  <c r="M290" i="17" s="1"/>
  <c r="I289" i="17"/>
  <c r="M289" i="17" s="1"/>
  <c r="I288" i="17"/>
  <c r="M288" i="17" s="1"/>
  <c r="K287" i="17"/>
  <c r="I287" i="17"/>
  <c r="M287" i="17" s="1"/>
  <c r="I286" i="17"/>
  <c r="M286" i="17" s="1"/>
  <c r="K285" i="17"/>
  <c r="I285" i="17"/>
  <c r="M285" i="17" s="1"/>
  <c r="K284" i="17"/>
  <c r="I284" i="17"/>
  <c r="M284" i="17" s="1"/>
  <c r="I283" i="17"/>
  <c r="M283" i="17" s="1"/>
  <c r="I282" i="17"/>
  <c r="M282" i="17" s="1"/>
  <c r="K281" i="17"/>
  <c r="I281" i="17"/>
  <c r="M281" i="17" s="1"/>
  <c r="I280" i="17"/>
  <c r="M280" i="17" s="1"/>
  <c r="K279" i="17"/>
  <c r="I279" i="17"/>
  <c r="M279" i="17" s="1"/>
  <c r="I278" i="17"/>
  <c r="M278" i="17" s="1"/>
  <c r="K277" i="17"/>
  <c r="I277" i="17"/>
  <c r="M277" i="17" s="1"/>
  <c r="K276" i="17"/>
  <c r="I276" i="17"/>
  <c r="M276" i="17" s="1"/>
  <c r="I275" i="17"/>
  <c r="M275" i="17" s="1"/>
  <c r="I274" i="17"/>
  <c r="M274" i="17" s="1"/>
  <c r="I273" i="17"/>
  <c r="M273" i="17" s="1"/>
  <c r="I272" i="17"/>
  <c r="M272" i="17" s="1"/>
  <c r="K271" i="17"/>
  <c r="I271" i="17"/>
  <c r="M271" i="17" s="1"/>
  <c r="I270" i="17"/>
  <c r="M270" i="17" s="1"/>
  <c r="K269" i="17"/>
  <c r="I269" i="17"/>
  <c r="M269" i="17" s="1"/>
  <c r="K268" i="17"/>
  <c r="I268" i="17"/>
  <c r="M268" i="17" s="1"/>
  <c r="K267" i="17"/>
  <c r="I267" i="17"/>
  <c r="M267" i="17" s="1"/>
  <c r="I266" i="17"/>
  <c r="M266" i="17" s="1"/>
  <c r="I265" i="17"/>
  <c r="M265" i="17" s="1"/>
  <c r="I264" i="17"/>
  <c r="M264" i="17" s="1"/>
  <c r="K263" i="17"/>
  <c r="I263" i="17"/>
  <c r="M263" i="17" s="1"/>
  <c r="K262" i="17"/>
  <c r="I262" i="17"/>
  <c r="M262" i="17" s="1"/>
  <c r="K261" i="17"/>
  <c r="I261" i="17"/>
  <c r="M261" i="17" s="1"/>
  <c r="K260" i="17"/>
  <c r="I260" i="17"/>
  <c r="M260" i="17" s="1"/>
  <c r="K259" i="17"/>
  <c r="I259" i="17"/>
  <c r="M259" i="17" s="1"/>
  <c r="I258" i="17"/>
  <c r="M258" i="17" s="1"/>
  <c r="I257" i="17"/>
  <c r="M257" i="17" s="1"/>
  <c r="I256" i="17"/>
  <c r="M256" i="17" s="1"/>
  <c r="K255" i="17"/>
  <c r="I255" i="17"/>
  <c r="M255" i="17" s="1"/>
  <c r="K254" i="17"/>
  <c r="I254" i="17"/>
  <c r="M254" i="17" s="1"/>
  <c r="K253" i="17"/>
  <c r="I253" i="17"/>
  <c r="M253" i="17" s="1"/>
  <c r="K252" i="17"/>
  <c r="I252" i="17"/>
  <c r="M252" i="17" s="1"/>
  <c r="I251" i="17"/>
  <c r="M251" i="17" s="1"/>
  <c r="I250" i="17"/>
  <c r="M250" i="17" s="1"/>
  <c r="I249" i="17"/>
  <c r="M249" i="17" s="1"/>
  <c r="I248" i="17"/>
  <c r="M248" i="17" s="1"/>
  <c r="K247" i="17"/>
  <c r="I247" i="17"/>
  <c r="M247" i="17" s="1"/>
  <c r="K246" i="17"/>
  <c r="I246" i="17"/>
  <c r="M246" i="17" s="1"/>
  <c r="K245" i="17"/>
  <c r="I245" i="17"/>
  <c r="M245" i="17" s="1"/>
  <c r="K244" i="17"/>
  <c r="I244" i="17"/>
  <c r="M244" i="17" s="1"/>
  <c r="K243" i="17"/>
  <c r="I243" i="17"/>
  <c r="M243" i="17" s="1"/>
  <c r="I242" i="17"/>
  <c r="M242" i="17" s="1"/>
  <c r="K241" i="17"/>
  <c r="I241" i="17"/>
  <c r="M241" i="17" s="1"/>
  <c r="I240" i="17"/>
  <c r="M240" i="17" s="1"/>
  <c r="K239" i="17"/>
  <c r="I239" i="17"/>
  <c r="M239" i="17" s="1"/>
  <c r="I238" i="17"/>
  <c r="M238" i="17" s="1"/>
  <c r="K237" i="17"/>
  <c r="I237" i="17"/>
  <c r="M237" i="17" s="1"/>
  <c r="K236" i="17"/>
  <c r="I236" i="17"/>
  <c r="M236" i="17" s="1"/>
  <c r="I235" i="17"/>
  <c r="M235" i="17" s="1"/>
  <c r="I234" i="17"/>
  <c r="M234" i="17" s="1"/>
  <c r="I233" i="17"/>
  <c r="M233" i="17" s="1"/>
  <c r="K232" i="17"/>
  <c r="I232" i="17"/>
  <c r="M232" i="17" s="1"/>
  <c r="K231" i="17"/>
  <c r="I231" i="17"/>
  <c r="M231" i="17" s="1"/>
  <c r="K230" i="17"/>
  <c r="I230" i="17"/>
  <c r="M230" i="17" s="1"/>
  <c r="K229" i="17"/>
  <c r="I229" i="17"/>
  <c r="M229" i="17" s="1"/>
  <c r="K228" i="17"/>
  <c r="I228" i="17"/>
  <c r="M228" i="17" s="1"/>
  <c r="I227" i="17"/>
  <c r="M227" i="17" s="1"/>
  <c r="I226" i="17"/>
  <c r="M226" i="17" s="1"/>
  <c r="I225" i="17"/>
  <c r="M225" i="17" s="1"/>
  <c r="I224" i="17"/>
  <c r="M224" i="17" s="1"/>
  <c r="K223" i="17"/>
  <c r="I223" i="17"/>
  <c r="M223" i="17" s="1"/>
  <c r="I222" i="17"/>
  <c r="M222" i="17" s="1"/>
  <c r="K221" i="17"/>
  <c r="I221" i="17"/>
  <c r="M221" i="17" s="1"/>
  <c r="K220" i="17"/>
  <c r="I220" i="17"/>
  <c r="M220" i="17" s="1"/>
  <c r="K219" i="17"/>
  <c r="I219" i="17"/>
  <c r="M219" i="17" s="1"/>
  <c r="K218" i="17"/>
  <c r="I218" i="17"/>
  <c r="M218" i="17" s="1"/>
  <c r="I217" i="17"/>
  <c r="M217" i="17" s="1"/>
  <c r="I216" i="17"/>
  <c r="M216" i="17" s="1"/>
  <c r="K215" i="17"/>
  <c r="I215" i="17"/>
  <c r="M215" i="17" s="1"/>
  <c r="K214" i="17"/>
  <c r="I214" i="17"/>
  <c r="M214" i="17" s="1"/>
  <c r="K213" i="17"/>
  <c r="I213" i="17"/>
  <c r="M213" i="17" s="1"/>
  <c r="K212" i="17"/>
  <c r="I212" i="17"/>
  <c r="M212" i="17" s="1"/>
  <c r="K211" i="17"/>
  <c r="I211" i="17"/>
  <c r="M211" i="17" s="1"/>
  <c r="I210" i="17"/>
  <c r="M210" i="17" s="1"/>
  <c r="I209" i="17"/>
  <c r="M209" i="17" s="1"/>
  <c r="I208" i="17"/>
  <c r="M208" i="17" s="1"/>
  <c r="K207" i="17"/>
  <c r="I207" i="17"/>
  <c r="M207" i="17" s="1"/>
  <c r="I206" i="17"/>
  <c r="M206" i="17" s="1"/>
  <c r="K205" i="17"/>
  <c r="I205" i="17"/>
  <c r="M205" i="17" s="1"/>
  <c r="K204" i="17"/>
  <c r="I204" i="17"/>
  <c r="M204" i="17" s="1"/>
  <c r="I203" i="17"/>
  <c r="M203" i="17" s="1"/>
  <c r="I202" i="17"/>
  <c r="M202" i="17" s="1"/>
  <c r="I201" i="17"/>
  <c r="M201" i="17" s="1"/>
  <c r="I200" i="17"/>
  <c r="M200" i="17" s="1"/>
  <c r="K199" i="17"/>
  <c r="I199" i="17"/>
  <c r="M199" i="17" s="1"/>
  <c r="I198" i="17"/>
  <c r="M198" i="17" s="1"/>
  <c r="K197" i="17"/>
  <c r="I197" i="17"/>
  <c r="M197" i="17" s="1"/>
  <c r="K196" i="17"/>
  <c r="I196" i="17"/>
  <c r="M196" i="17" s="1"/>
  <c r="I195" i="17"/>
  <c r="M195" i="17" s="1"/>
  <c r="I194" i="17"/>
  <c r="M194" i="17" s="1"/>
  <c r="K193" i="17"/>
  <c r="I193" i="17"/>
  <c r="M193" i="17" s="1"/>
  <c r="I192" i="17"/>
  <c r="M192" i="17" s="1"/>
  <c r="K191" i="17"/>
  <c r="I191" i="17"/>
  <c r="M191" i="17" s="1"/>
  <c r="I190" i="17"/>
  <c r="M190" i="17" s="1"/>
  <c r="K189" i="17"/>
  <c r="I189" i="17"/>
  <c r="M189" i="17" s="1"/>
  <c r="K188" i="17"/>
  <c r="I188" i="17"/>
  <c r="M188" i="17" s="1"/>
  <c r="I187" i="17"/>
  <c r="M187" i="17" s="1"/>
  <c r="I186" i="17"/>
  <c r="M186" i="17" s="1"/>
  <c r="I185" i="17"/>
  <c r="M185" i="17" s="1"/>
  <c r="I184" i="17"/>
  <c r="M184" i="17" s="1"/>
  <c r="K183" i="17"/>
  <c r="I183" i="17"/>
  <c r="M183" i="17" s="1"/>
  <c r="I182" i="17"/>
  <c r="M182" i="17" s="1"/>
  <c r="K181" i="17"/>
  <c r="I181" i="17"/>
  <c r="M181" i="17" s="1"/>
  <c r="K180" i="17"/>
  <c r="I180" i="17"/>
  <c r="M180" i="17" s="1"/>
  <c r="K179" i="17"/>
  <c r="I179" i="17"/>
  <c r="M179" i="17" s="1"/>
  <c r="I178" i="17"/>
  <c r="M178" i="17" s="1"/>
  <c r="I177" i="17"/>
  <c r="M177" i="17" s="1"/>
  <c r="I176" i="17"/>
  <c r="M176" i="17" s="1"/>
  <c r="K175" i="17"/>
  <c r="I175" i="17"/>
  <c r="M175" i="17" s="1"/>
  <c r="I174" i="17"/>
  <c r="M174" i="17" s="1"/>
  <c r="K173" i="17"/>
  <c r="I173" i="17"/>
  <c r="M173" i="17" s="1"/>
  <c r="K172" i="17"/>
  <c r="I172" i="17"/>
  <c r="M172" i="17" s="1"/>
  <c r="I171" i="17"/>
  <c r="M171" i="17" s="1"/>
  <c r="I170" i="17"/>
  <c r="M170" i="17" s="1"/>
  <c r="I169" i="17"/>
  <c r="M169" i="17" s="1"/>
  <c r="I168" i="17"/>
  <c r="M168" i="17" s="1"/>
  <c r="K167" i="17"/>
  <c r="I167" i="17"/>
  <c r="M167" i="17" s="1"/>
  <c r="I166" i="17"/>
  <c r="M166" i="17" s="1"/>
  <c r="K165" i="17"/>
  <c r="I165" i="17"/>
  <c r="M165" i="17" s="1"/>
  <c r="K164" i="17"/>
  <c r="I164" i="17"/>
  <c r="M164" i="17" s="1"/>
  <c r="I163" i="17"/>
  <c r="M163" i="17" s="1"/>
  <c r="I162" i="17"/>
  <c r="M162" i="17" s="1"/>
  <c r="K161" i="17"/>
  <c r="I161" i="17"/>
  <c r="M161" i="17" s="1"/>
  <c r="I160" i="17"/>
  <c r="M160" i="17" s="1"/>
  <c r="K159" i="17"/>
  <c r="I159" i="17"/>
  <c r="M159" i="17" s="1"/>
  <c r="I158" i="17"/>
  <c r="M158" i="17" s="1"/>
  <c r="K157" i="17"/>
  <c r="I157" i="17"/>
  <c r="M157" i="17" s="1"/>
  <c r="K156" i="17"/>
  <c r="I156" i="17"/>
  <c r="M156" i="17" s="1"/>
  <c r="I155" i="17"/>
  <c r="M155" i="17" s="1"/>
  <c r="I154" i="17"/>
  <c r="M154" i="17" s="1"/>
  <c r="I153" i="17"/>
  <c r="M153" i="17" s="1"/>
  <c r="I152" i="17"/>
  <c r="M152" i="17" s="1"/>
  <c r="K151" i="17"/>
  <c r="I151" i="17"/>
  <c r="M151" i="17" s="1"/>
  <c r="I150" i="17"/>
  <c r="M150" i="17" s="1"/>
  <c r="K149" i="17"/>
  <c r="I149" i="17"/>
  <c r="M149" i="17" s="1"/>
  <c r="K148" i="17"/>
  <c r="I148" i="17"/>
  <c r="M148" i="17" s="1"/>
  <c r="K147" i="17"/>
  <c r="I147" i="17"/>
  <c r="M147" i="17" s="1"/>
  <c r="K146" i="17"/>
  <c r="I146" i="17"/>
  <c r="M146" i="17" s="1"/>
  <c r="I145" i="17"/>
  <c r="M145" i="17" s="1"/>
  <c r="I144" i="17"/>
  <c r="M144" i="17" s="1"/>
  <c r="K143" i="17"/>
  <c r="I143" i="17"/>
  <c r="M143" i="17" s="1"/>
  <c r="I142" i="17"/>
  <c r="M142" i="17" s="1"/>
  <c r="K141" i="17"/>
  <c r="I141" i="17"/>
  <c r="M141" i="17" s="1"/>
  <c r="K140" i="17"/>
  <c r="I140" i="17"/>
  <c r="M140" i="17" s="1"/>
  <c r="K139" i="17"/>
  <c r="I139" i="17"/>
  <c r="M139" i="17" s="1"/>
  <c r="I138" i="17"/>
  <c r="M138" i="17" s="1"/>
  <c r="I137" i="17"/>
  <c r="M137" i="17" s="1"/>
  <c r="I136" i="17"/>
  <c r="M136" i="17" s="1"/>
  <c r="K135" i="17"/>
  <c r="I135" i="17"/>
  <c r="M135" i="17" s="1"/>
  <c r="I134" i="17"/>
  <c r="M134" i="17" s="1"/>
  <c r="K133" i="17"/>
  <c r="I133" i="17"/>
  <c r="M133" i="17" s="1"/>
  <c r="K132" i="17"/>
  <c r="I132" i="17"/>
  <c r="M132" i="17" s="1"/>
  <c r="K131" i="17"/>
  <c r="I131" i="17"/>
  <c r="M131" i="17" s="1"/>
  <c r="I130" i="17"/>
  <c r="M130" i="17" s="1"/>
  <c r="K129" i="17"/>
  <c r="I129" i="17"/>
  <c r="M129" i="17" s="1"/>
  <c r="I128" i="17"/>
  <c r="M128" i="17" s="1"/>
  <c r="K127" i="17"/>
  <c r="I127" i="17"/>
  <c r="M127" i="17" s="1"/>
  <c r="I126" i="17"/>
  <c r="M126" i="17" s="1"/>
  <c r="K125" i="17"/>
  <c r="I125" i="17"/>
  <c r="M125" i="17" s="1"/>
  <c r="K124" i="17"/>
  <c r="I124" i="17"/>
  <c r="M124" i="17" s="1"/>
  <c r="I123" i="17"/>
  <c r="M123" i="17" s="1"/>
  <c r="I122" i="17"/>
  <c r="M122" i="17" s="1"/>
  <c r="I121" i="17"/>
  <c r="M121" i="17" s="1"/>
  <c r="K120" i="17"/>
  <c r="I120" i="17"/>
  <c r="M120" i="17" s="1"/>
  <c r="K119" i="17"/>
  <c r="I119" i="17"/>
  <c r="M119" i="17" s="1"/>
  <c r="I118" i="17"/>
  <c r="M118" i="17" s="1"/>
  <c r="K117" i="17"/>
  <c r="I117" i="17"/>
  <c r="M117" i="17" s="1"/>
  <c r="K116" i="17"/>
  <c r="I116" i="17"/>
  <c r="M116" i="17" s="1"/>
  <c r="I115" i="17"/>
  <c r="M115" i="17" s="1"/>
  <c r="I114" i="17"/>
  <c r="M114" i="17" s="1"/>
  <c r="I113" i="17"/>
  <c r="M113" i="17" s="1"/>
  <c r="I112" i="17"/>
  <c r="M112" i="17" s="1"/>
  <c r="K111" i="17"/>
  <c r="I111" i="17"/>
  <c r="M111" i="17" s="1"/>
  <c r="I110" i="17"/>
  <c r="M110" i="17" s="1"/>
  <c r="K109" i="17"/>
  <c r="I109" i="17"/>
  <c r="M109" i="17" s="1"/>
  <c r="K108" i="17"/>
  <c r="I108" i="17"/>
  <c r="M108" i="17" s="1"/>
  <c r="K107" i="17"/>
  <c r="I107" i="17"/>
  <c r="M107" i="17" s="1"/>
  <c r="I106" i="17"/>
  <c r="M106" i="17" s="1"/>
  <c r="I105" i="17"/>
  <c r="M105" i="17" s="1"/>
  <c r="I104" i="17"/>
  <c r="M104" i="17" s="1"/>
  <c r="K103" i="17"/>
  <c r="I103" i="17"/>
  <c r="M103" i="17" s="1"/>
  <c r="I102" i="17"/>
  <c r="M102" i="17" s="1"/>
  <c r="K101" i="17"/>
  <c r="I101" i="17"/>
  <c r="M101" i="17" s="1"/>
  <c r="K100" i="17"/>
  <c r="I100" i="17"/>
  <c r="M100" i="17" s="1"/>
  <c r="K99" i="17"/>
  <c r="I99" i="17"/>
  <c r="M99" i="17" s="1"/>
  <c r="I98" i="17"/>
  <c r="M98" i="17" s="1"/>
  <c r="K97" i="17"/>
  <c r="I97" i="17"/>
  <c r="M97" i="17" s="1"/>
  <c r="I96" i="17"/>
  <c r="M96" i="17" s="1"/>
  <c r="K95" i="17"/>
  <c r="I95" i="17"/>
  <c r="M95" i="17" s="1"/>
  <c r="I94" i="17"/>
  <c r="M94" i="17" s="1"/>
  <c r="K93" i="17"/>
  <c r="I93" i="17"/>
  <c r="M93" i="17" s="1"/>
  <c r="K92" i="17"/>
  <c r="I92" i="17"/>
  <c r="M92" i="17" s="1"/>
  <c r="I91" i="17"/>
  <c r="M91" i="17" s="1"/>
  <c r="I90" i="17"/>
  <c r="M90" i="17" s="1"/>
  <c r="I89" i="17"/>
  <c r="M89" i="17" s="1"/>
  <c r="K88" i="17"/>
  <c r="I88" i="17"/>
  <c r="M88" i="17" s="1"/>
  <c r="K87" i="17"/>
  <c r="I87" i="17"/>
  <c r="M87" i="17" s="1"/>
  <c r="I86" i="17"/>
  <c r="M86" i="17" s="1"/>
  <c r="K85" i="17"/>
  <c r="I85" i="17"/>
  <c r="M85" i="17" s="1"/>
  <c r="K84" i="17"/>
  <c r="I84" i="17"/>
  <c r="M84" i="17" s="1"/>
  <c r="I83" i="17"/>
  <c r="M83" i="17" s="1"/>
  <c r="I82" i="17"/>
  <c r="M82" i="17" s="1"/>
  <c r="I81" i="17"/>
  <c r="M81" i="17" s="1"/>
  <c r="I80" i="17"/>
  <c r="M80" i="17" s="1"/>
  <c r="K79" i="17"/>
  <c r="I79" i="17"/>
  <c r="M79" i="17" s="1"/>
  <c r="I78" i="17"/>
  <c r="M78" i="17" s="1"/>
  <c r="K77" i="17"/>
  <c r="I77" i="17"/>
  <c r="M77" i="17" s="1"/>
  <c r="K76" i="17"/>
  <c r="I76" i="17"/>
  <c r="M76" i="17" s="1"/>
  <c r="K75" i="17"/>
  <c r="I75" i="17"/>
  <c r="M75" i="17" s="1"/>
  <c r="I74" i="17"/>
  <c r="M74" i="17" s="1"/>
  <c r="I73" i="17"/>
  <c r="M73" i="17" s="1"/>
  <c r="I72" i="17"/>
  <c r="M72" i="17" s="1"/>
  <c r="K71" i="17"/>
  <c r="I71" i="17"/>
  <c r="M71" i="17" s="1"/>
  <c r="I70" i="17"/>
  <c r="M70" i="17" s="1"/>
  <c r="K69" i="17"/>
  <c r="I69" i="17"/>
  <c r="M69" i="17" s="1"/>
  <c r="K68" i="17"/>
  <c r="I68" i="17"/>
  <c r="M68" i="17" s="1"/>
  <c r="K67" i="17"/>
  <c r="I67" i="17"/>
  <c r="M67" i="17" s="1"/>
  <c r="I66" i="17"/>
  <c r="M66" i="17" s="1"/>
  <c r="K65" i="17"/>
  <c r="I65" i="17"/>
  <c r="M65" i="17" s="1"/>
  <c r="B65" i="17"/>
  <c r="I64" i="17"/>
  <c r="M64" i="17" s="1"/>
  <c r="B64" i="17"/>
  <c r="K63" i="17"/>
  <c r="I63" i="17"/>
  <c r="M63" i="17" s="1"/>
  <c r="B63" i="17"/>
  <c r="I62" i="17"/>
  <c r="M62" i="17" s="1"/>
  <c r="B62" i="17"/>
  <c r="K61" i="17"/>
  <c r="I61" i="17"/>
  <c r="M61" i="17" s="1"/>
  <c r="B61" i="17"/>
  <c r="K60" i="17"/>
  <c r="I60" i="17"/>
  <c r="M60" i="17" s="1"/>
  <c r="B60" i="17"/>
  <c r="I59" i="17"/>
  <c r="M59" i="17" s="1"/>
  <c r="B59" i="17"/>
  <c r="I58" i="17"/>
  <c r="M58" i="17" s="1"/>
  <c r="B58" i="17"/>
  <c r="I57" i="17"/>
  <c r="M57" i="17" s="1"/>
  <c r="B57" i="17"/>
  <c r="I56" i="17"/>
  <c r="M56" i="17" s="1"/>
  <c r="B56" i="17"/>
  <c r="K55" i="17"/>
  <c r="I55" i="17"/>
  <c r="M55" i="17" s="1"/>
  <c r="B55" i="17"/>
  <c r="K54" i="17"/>
  <c r="I54" i="17"/>
  <c r="M54" i="17" s="1"/>
  <c r="B54" i="17"/>
  <c r="K53" i="17"/>
  <c r="I53" i="17"/>
  <c r="M53" i="17" s="1"/>
  <c r="B53" i="17"/>
  <c r="K52" i="17"/>
  <c r="I52" i="17"/>
  <c r="M52" i="17" s="1"/>
  <c r="B52" i="17"/>
  <c r="K51" i="17"/>
  <c r="I51" i="17"/>
  <c r="M51" i="17" s="1"/>
  <c r="B51" i="17"/>
  <c r="I50" i="17"/>
  <c r="M50" i="17" s="1"/>
  <c r="B50" i="17"/>
  <c r="I49" i="17"/>
  <c r="M49" i="17" s="1"/>
  <c r="B49" i="17"/>
  <c r="K48" i="17"/>
  <c r="I48" i="17"/>
  <c r="M48" i="17" s="1"/>
  <c r="B48" i="17"/>
  <c r="K47" i="17"/>
  <c r="I47" i="17"/>
  <c r="M47" i="17" s="1"/>
  <c r="B47" i="17"/>
  <c r="T46" i="17"/>
  <c r="R46" i="17"/>
  <c r="U46" i="17" s="1"/>
  <c r="I46" i="17"/>
  <c r="M46" i="17" s="1"/>
  <c r="B46" i="17"/>
  <c r="K45" i="17"/>
  <c r="I45" i="17"/>
  <c r="M45" i="17" s="1"/>
  <c r="B45" i="17"/>
  <c r="K44" i="17"/>
  <c r="I44" i="17"/>
  <c r="M44" i="17" s="1"/>
  <c r="B44" i="17"/>
  <c r="K43" i="17"/>
  <c r="I43" i="17"/>
  <c r="M43" i="17" s="1"/>
  <c r="B43" i="17"/>
  <c r="I42" i="17"/>
  <c r="M42" i="17" s="1"/>
  <c r="B42" i="17"/>
  <c r="I41" i="17"/>
  <c r="M41" i="17" s="1"/>
  <c r="B41" i="17"/>
  <c r="K40" i="17"/>
  <c r="I40" i="17"/>
  <c r="M40" i="17" s="1"/>
  <c r="B40" i="17"/>
  <c r="K39" i="17"/>
  <c r="I39" i="17"/>
  <c r="M39" i="17" s="1"/>
  <c r="B39" i="17"/>
  <c r="I38" i="17"/>
  <c r="M38" i="17" s="1"/>
  <c r="B38" i="17"/>
  <c r="K37" i="17"/>
  <c r="I37" i="17"/>
  <c r="B37" i="17"/>
  <c r="K36" i="17"/>
  <c r="I36" i="17"/>
  <c r="M36" i="17" s="1"/>
  <c r="B36" i="17"/>
  <c r="I35" i="17"/>
  <c r="B35" i="17"/>
  <c r="I34" i="17"/>
  <c r="B34" i="17"/>
  <c r="I33" i="17"/>
  <c r="B33" i="17"/>
  <c r="I32" i="17"/>
  <c r="B32" i="17"/>
  <c r="K31" i="17"/>
  <c r="I31" i="17"/>
  <c r="B31" i="17"/>
  <c r="I30" i="17"/>
  <c r="B30" i="17"/>
  <c r="K29" i="17"/>
  <c r="I29" i="17"/>
  <c r="B29" i="17"/>
  <c r="K28" i="17"/>
  <c r="I28" i="17"/>
  <c r="M28" i="17" s="1"/>
  <c r="B28" i="17"/>
  <c r="I27" i="17"/>
  <c r="B27" i="17"/>
  <c r="I26" i="17"/>
  <c r="B26" i="17"/>
  <c r="I25" i="17"/>
  <c r="B25" i="17"/>
  <c r="I24" i="17"/>
  <c r="B24" i="17"/>
  <c r="K23" i="17"/>
  <c r="I23" i="17"/>
  <c r="B23" i="17"/>
  <c r="I22" i="17"/>
  <c r="B22" i="17"/>
  <c r="K21" i="17"/>
  <c r="I21" i="17"/>
  <c r="B21" i="17"/>
  <c r="K20" i="17"/>
  <c r="I20" i="17"/>
  <c r="M20" i="17" s="1"/>
  <c r="B20" i="17"/>
  <c r="I19" i="17"/>
  <c r="B19" i="17"/>
  <c r="I18" i="17"/>
  <c r="B18" i="17"/>
  <c r="K17" i="17"/>
  <c r="I17" i="17"/>
  <c r="B17" i="17"/>
  <c r="I16" i="17"/>
  <c r="B16" i="17"/>
  <c r="K15" i="17"/>
  <c r="I15" i="17"/>
  <c r="B15" i="17"/>
  <c r="AI14" i="17"/>
  <c r="I14" i="17"/>
  <c r="M14" i="17" s="1"/>
  <c r="A14" i="17" s="1"/>
  <c r="B14" i="17"/>
  <c r="AI13" i="17"/>
  <c r="K13" i="17"/>
  <c r="I13" i="17"/>
  <c r="M13" i="17" s="1"/>
  <c r="A13" i="17" s="1"/>
  <c r="B13" i="17"/>
  <c r="AI12" i="17"/>
  <c r="K12" i="17"/>
  <c r="I12" i="17"/>
  <c r="M12" i="17" s="1"/>
  <c r="A12" i="17" s="1"/>
  <c r="B12" i="17"/>
  <c r="I11" i="17"/>
  <c r="B11" i="17"/>
  <c r="I10" i="17"/>
  <c r="M10" i="17" s="1"/>
  <c r="A10" i="17" s="1"/>
  <c r="B10" i="17"/>
  <c r="K9" i="17"/>
  <c r="I9" i="17"/>
  <c r="B9" i="17"/>
  <c r="I8" i="17"/>
  <c r="M8" i="17" s="1"/>
  <c r="B8" i="17"/>
  <c r="K7" i="17"/>
  <c r="I7" i="17"/>
  <c r="M7" i="17" s="1"/>
  <c r="B7" i="17"/>
  <c r="M6" i="17"/>
  <c r="A6" i="17" s="1"/>
  <c r="L18" i="13" s="1"/>
  <c r="K2" i="17"/>
  <c r="I305" i="16"/>
  <c r="M305" i="16" s="1"/>
  <c r="I304" i="16"/>
  <c r="M304" i="16" s="1"/>
  <c r="K303" i="16"/>
  <c r="I303" i="16"/>
  <c r="M303" i="16" s="1"/>
  <c r="I302" i="16"/>
  <c r="M302" i="16" s="1"/>
  <c r="K301" i="16"/>
  <c r="I301" i="16"/>
  <c r="M301" i="16" s="1"/>
  <c r="K300" i="16"/>
  <c r="I300" i="16"/>
  <c r="M300" i="16" s="1"/>
  <c r="K299" i="16"/>
  <c r="I299" i="16"/>
  <c r="M299" i="16" s="1"/>
  <c r="I298" i="16"/>
  <c r="M298" i="16" s="1"/>
  <c r="I297" i="16"/>
  <c r="M297" i="16" s="1"/>
  <c r="I296" i="16"/>
  <c r="M296" i="16" s="1"/>
  <c r="K295" i="16"/>
  <c r="I295" i="16"/>
  <c r="M295" i="16" s="1"/>
  <c r="I294" i="16"/>
  <c r="M294" i="16" s="1"/>
  <c r="K293" i="16"/>
  <c r="I293" i="16"/>
  <c r="M293" i="16" s="1"/>
  <c r="K292" i="16"/>
  <c r="I292" i="16"/>
  <c r="M292" i="16" s="1"/>
  <c r="K291" i="16"/>
  <c r="I291" i="16"/>
  <c r="M291" i="16" s="1"/>
  <c r="I290" i="16"/>
  <c r="M290" i="16" s="1"/>
  <c r="I289" i="16"/>
  <c r="M289" i="16" s="1"/>
  <c r="I288" i="16"/>
  <c r="M288" i="16" s="1"/>
  <c r="K287" i="16"/>
  <c r="I287" i="16"/>
  <c r="M287" i="16" s="1"/>
  <c r="K286" i="16"/>
  <c r="I286" i="16"/>
  <c r="M286" i="16" s="1"/>
  <c r="K285" i="16"/>
  <c r="I285" i="16"/>
  <c r="M285" i="16" s="1"/>
  <c r="K284" i="16"/>
  <c r="I284" i="16"/>
  <c r="M284" i="16" s="1"/>
  <c r="K283" i="16"/>
  <c r="I283" i="16"/>
  <c r="M283" i="16" s="1"/>
  <c r="I282" i="16"/>
  <c r="M282" i="16" s="1"/>
  <c r="I281" i="16"/>
  <c r="M281" i="16" s="1"/>
  <c r="I280" i="16"/>
  <c r="M280" i="16" s="1"/>
  <c r="K279" i="16"/>
  <c r="I279" i="16"/>
  <c r="M279" i="16" s="1"/>
  <c r="I278" i="16"/>
  <c r="M278" i="16" s="1"/>
  <c r="K277" i="16"/>
  <c r="I277" i="16"/>
  <c r="M277" i="16" s="1"/>
  <c r="K276" i="16"/>
  <c r="I276" i="16"/>
  <c r="M276" i="16" s="1"/>
  <c r="K275" i="16"/>
  <c r="I275" i="16"/>
  <c r="M275" i="16" s="1"/>
  <c r="I274" i="16"/>
  <c r="M274" i="16" s="1"/>
  <c r="I273" i="16"/>
  <c r="M273" i="16" s="1"/>
  <c r="I272" i="16"/>
  <c r="M272" i="16" s="1"/>
  <c r="K271" i="16"/>
  <c r="I271" i="16"/>
  <c r="M271" i="16" s="1"/>
  <c r="I270" i="16"/>
  <c r="M270" i="16" s="1"/>
  <c r="K269" i="16"/>
  <c r="I269" i="16"/>
  <c r="M269" i="16" s="1"/>
  <c r="K268" i="16"/>
  <c r="I268" i="16"/>
  <c r="M268" i="16" s="1"/>
  <c r="K267" i="16"/>
  <c r="I267" i="16"/>
  <c r="M267" i="16" s="1"/>
  <c r="I266" i="16"/>
  <c r="M266" i="16" s="1"/>
  <c r="I265" i="16"/>
  <c r="M265" i="16" s="1"/>
  <c r="I264" i="16"/>
  <c r="M264" i="16" s="1"/>
  <c r="K263" i="16"/>
  <c r="I263" i="16"/>
  <c r="M263" i="16" s="1"/>
  <c r="I262" i="16"/>
  <c r="M262" i="16" s="1"/>
  <c r="K261" i="16"/>
  <c r="I261" i="16"/>
  <c r="M261" i="16" s="1"/>
  <c r="K260" i="16"/>
  <c r="I260" i="16"/>
  <c r="M260" i="16" s="1"/>
  <c r="K259" i="16"/>
  <c r="I259" i="16"/>
  <c r="M259" i="16" s="1"/>
  <c r="I258" i="16"/>
  <c r="M258" i="16" s="1"/>
  <c r="I257" i="16"/>
  <c r="M257" i="16" s="1"/>
  <c r="I256" i="16"/>
  <c r="M256" i="16" s="1"/>
  <c r="K255" i="16"/>
  <c r="I255" i="16"/>
  <c r="M255" i="16" s="1"/>
  <c r="K254" i="16"/>
  <c r="I254" i="16"/>
  <c r="M254" i="16" s="1"/>
  <c r="K253" i="16"/>
  <c r="I253" i="16"/>
  <c r="M253" i="16" s="1"/>
  <c r="K252" i="16"/>
  <c r="I252" i="16"/>
  <c r="M252" i="16" s="1"/>
  <c r="K251" i="16"/>
  <c r="I251" i="16"/>
  <c r="M251" i="16" s="1"/>
  <c r="I250" i="16"/>
  <c r="M250" i="16" s="1"/>
  <c r="I249" i="16"/>
  <c r="M249" i="16" s="1"/>
  <c r="I248" i="16"/>
  <c r="M248" i="16" s="1"/>
  <c r="K247" i="16"/>
  <c r="I247" i="16"/>
  <c r="M247" i="16" s="1"/>
  <c r="I246" i="16"/>
  <c r="M246" i="16" s="1"/>
  <c r="K245" i="16"/>
  <c r="I245" i="16"/>
  <c r="M245" i="16" s="1"/>
  <c r="K244" i="16"/>
  <c r="I244" i="16"/>
  <c r="M244" i="16" s="1"/>
  <c r="K243" i="16"/>
  <c r="I243" i="16"/>
  <c r="M243" i="16" s="1"/>
  <c r="I242" i="16"/>
  <c r="M242" i="16" s="1"/>
  <c r="K241" i="16"/>
  <c r="I241" i="16"/>
  <c r="M241" i="16" s="1"/>
  <c r="I240" i="16"/>
  <c r="M240" i="16" s="1"/>
  <c r="K239" i="16"/>
  <c r="I239" i="16"/>
  <c r="M239" i="16" s="1"/>
  <c r="I238" i="16"/>
  <c r="M238" i="16" s="1"/>
  <c r="K237" i="16"/>
  <c r="I237" i="16"/>
  <c r="M237" i="16" s="1"/>
  <c r="K236" i="16"/>
  <c r="I236" i="16"/>
  <c r="M236" i="16" s="1"/>
  <c r="K235" i="16"/>
  <c r="I235" i="16"/>
  <c r="M235" i="16" s="1"/>
  <c r="I234" i="16"/>
  <c r="M234" i="16" s="1"/>
  <c r="I233" i="16"/>
  <c r="M233" i="16" s="1"/>
  <c r="I232" i="16"/>
  <c r="M232" i="16" s="1"/>
  <c r="K231" i="16"/>
  <c r="I231" i="16"/>
  <c r="M231" i="16" s="1"/>
  <c r="I230" i="16"/>
  <c r="M230" i="16" s="1"/>
  <c r="K229" i="16"/>
  <c r="I229" i="16"/>
  <c r="M229" i="16" s="1"/>
  <c r="K228" i="16"/>
  <c r="I228" i="16"/>
  <c r="M228" i="16" s="1"/>
  <c r="K227" i="16"/>
  <c r="I227" i="16"/>
  <c r="M227" i="16" s="1"/>
  <c r="I226" i="16"/>
  <c r="M226" i="16" s="1"/>
  <c r="I225" i="16"/>
  <c r="M225" i="16" s="1"/>
  <c r="I224" i="16"/>
  <c r="M224" i="16" s="1"/>
  <c r="K223" i="16"/>
  <c r="I223" i="16"/>
  <c r="M223" i="16" s="1"/>
  <c r="K222" i="16"/>
  <c r="I222" i="16"/>
  <c r="M222" i="16" s="1"/>
  <c r="K221" i="16"/>
  <c r="I221" i="16"/>
  <c r="M221" i="16" s="1"/>
  <c r="K220" i="16"/>
  <c r="I220" i="16"/>
  <c r="M220" i="16" s="1"/>
  <c r="K219" i="16"/>
  <c r="I219" i="16"/>
  <c r="M219" i="16" s="1"/>
  <c r="I218" i="16"/>
  <c r="M218" i="16" s="1"/>
  <c r="I217" i="16"/>
  <c r="M217" i="16" s="1"/>
  <c r="I216" i="16"/>
  <c r="M216" i="16" s="1"/>
  <c r="K215" i="16"/>
  <c r="I215" i="16"/>
  <c r="M215" i="16" s="1"/>
  <c r="I214" i="16"/>
  <c r="M214" i="16" s="1"/>
  <c r="K213" i="16"/>
  <c r="I213" i="16"/>
  <c r="M213" i="16" s="1"/>
  <c r="K212" i="16"/>
  <c r="I212" i="16"/>
  <c r="M212" i="16" s="1"/>
  <c r="K211" i="16"/>
  <c r="I211" i="16"/>
  <c r="M211" i="16" s="1"/>
  <c r="I210" i="16"/>
  <c r="M210" i="16" s="1"/>
  <c r="I209" i="16"/>
  <c r="M209" i="16" s="1"/>
  <c r="I208" i="16"/>
  <c r="M208" i="16" s="1"/>
  <c r="K207" i="16"/>
  <c r="I207" i="16"/>
  <c r="M207" i="16" s="1"/>
  <c r="I206" i="16"/>
  <c r="M206" i="16" s="1"/>
  <c r="K205" i="16"/>
  <c r="I205" i="16"/>
  <c r="M205" i="16" s="1"/>
  <c r="K204" i="16"/>
  <c r="I204" i="16"/>
  <c r="M204" i="16" s="1"/>
  <c r="K203" i="16"/>
  <c r="I203" i="16"/>
  <c r="M203" i="16" s="1"/>
  <c r="I202" i="16"/>
  <c r="M202" i="16" s="1"/>
  <c r="I201" i="16"/>
  <c r="M201" i="16" s="1"/>
  <c r="I200" i="16"/>
  <c r="M200" i="16" s="1"/>
  <c r="K199" i="16"/>
  <c r="I199" i="16"/>
  <c r="M199" i="16" s="1"/>
  <c r="I198" i="16"/>
  <c r="M198" i="16" s="1"/>
  <c r="K197" i="16"/>
  <c r="I197" i="16"/>
  <c r="M197" i="16" s="1"/>
  <c r="K196" i="16"/>
  <c r="I196" i="16"/>
  <c r="M196" i="16" s="1"/>
  <c r="K195" i="16"/>
  <c r="I195" i="16"/>
  <c r="M195" i="16" s="1"/>
  <c r="I194" i="16"/>
  <c r="M194" i="16" s="1"/>
  <c r="I193" i="16"/>
  <c r="M193" i="16" s="1"/>
  <c r="I192" i="16"/>
  <c r="M192" i="16" s="1"/>
  <c r="K191" i="16"/>
  <c r="I191" i="16"/>
  <c r="M191" i="16" s="1"/>
  <c r="K190" i="16"/>
  <c r="I190" i="16"/>
  <c r="M190" i="16" s="1"/>
  <c r="K189" i="16"/>
  <c r="I189" i="16"/>
  <c r="M189" i="16" s="1"/>
  <c r="K188" i="16"/>
  <c r="I188" i="16"/>
  <c r="M188" i="16" s="1"/>
  <c r="K187" i="16"/>
  <c r="I187" i="16"/>
  <c r="M187" i="16" s="1"/>
  <c r="I186" i="16"/>
  <c r="M186" i="16" s="1"/>
  <c r="I185" i="16"/>
  <c r="M185" i="16" s="1"/>
  <c r="I184" i="16"/>
  <c r="M184" i="16" s="1"/>
  <c r="K183" i="16"/>
  <c r="I183" i="16"/>
  <c r="M183" i="16" s="1"/>
  <c r="I182" i="16"/>
  <c r="M182" i="16" s="1"/>
  <c r="K181" i="16"/>
  <c r="I181" i="16"/>
  <c r="M181" i="16" s="1"/>
  <c r="K180" i="16"/>
  <c r="I180" i="16"/>
  <c r="M180" i="16" s="1"/>
  <c r="K179" i="16"/>
  <c r="I179" i="16"/>
  <c r="M179" i="16" s="1"/>
  <c r="I178" i="16"/>
  <c r="M178" i="16" s="1"/>
  <c r="I177" i="16"/>
  <c r="M177" i="16" s="1"/>
  <c r="I176" i="16"/>
  <c r="M176" i="16" s="1"/>
  <c r="K175" i="16"/>
  <c r="I175" i="16"/>
  <c r="M175" i="16" s="1"/>
  <c r="I174" i="16"/>
  <c r="M174" i="16" s="1"/>
  <c r="K173" i="16"/>
  <c r="I173" i="16"/>
  <c r="M173" i="16" s="1"/>
  <c r="K172" i="16"/>
  <c r="I172" i="16"/>
  <c r="M172" i="16" s="1"/>
  <c r="K171" i="16"/>
  <c r="I171" i="16"/>
  <c r="M171" i="16" s="1"/>
  <c r="I170" i="16"/>
  <c r="M170" i="16" s="1"/>
  <c r="K169" i="16"/>
  <c r="I169" i="16"/>
  <c r="M169" i="16" s="1"/>
  <c r="I168" i="16"/>
  <c r="M168" i="16" s="1"/>
  <c r="K167" i="16"/>
  <c r="I167" i="16"/>
  <c r="M167" i="16" s="1"/>
  <c r="I166" i="16"/>
  <c r="M166" i="16" s="1"/>
  <c r="K165" i="16"/>
  <c r="I165" i="16"/>
  <c r="M165" i="16" s="1"/>
  <c r="K164" i="16"/>
  <c r="I164" i="16"/>
  <c r="M164" i="16" s="1"/>
  <c r="K163" i="16"/>
  <c r="I163" i="16"/>
  <c r="M163" i="16" s="1"/>
  <c r="I162" i="16"/>
  <c r="M162" i="16" s="1"/>
  <c r="I161" i="16"/>
  <c r="M161" i="16" s="1"/>
  <c r="I160" i="16"/>
  <c r="M160" i="16" s="1"/>
  <c r="K159" i="16"/>
  <c r="I159" i="16"/>
  <c r="M159" i="16" s="1"/>
  <c r="K158" i="16"/>
  <c r="I158" i="16"/>
  <c r="M158" i="16" s="1"/>
  <c r="K157" i="16"/>
  <c r="I157" i="16"/>
  <c r="M157" i="16" s="1"/>
  <c r="K156" i="16"/>
  <c r="I156" i="16"/>
  <c r="M156" i="16" s="1"/>
  <c r="K155" i="16"/>
  <c r="I155" i="16"/>
  <c r="M155" i="16" s="1"/>
  <c r="I154" i="16"/>
  <c r="M154" i="16" s="1"/>
  <c r="I153" i="16"/>
  <c r="M153" i="16" s="1"/>
  <c r="I152" i="16"/>
  <c r="M152" i="16" s="1"/>
  <c r="K151" i="16"/>
  <c r="I151" i="16"/>
  <c r="M151" i="16" s="1"/>
  <c r="I150" i="16"/>
  <c r="M150" i="16" s="1"/>
  <c r="K149" i="16"/>
  <c r="I149" i="16"/>
  <c r="M149" i="16" s="1"/>
  <c r="K148" i="16"/>
  <c r="I148" i="16"/>
  <c r="M148" i="16" s="1"/>
  <c r="K147" i="16"/>
  <c r="I147" i="16"/>
  <c r="M147" i="16" s="1"/>
  <c r="I146" i="16"/>
  <c r="M146" i="16" s="1"/>
  <c r="I145" i="16"/>
  <c r="M145" i="16" s="1"/>
  <c r="I144" i="16"/>
  <c r="M144" i="16" s="1"/>
  <c r="K143" i="16"/>
  <c r="I143" i="16"/>
  <c r="M143" i="16" s="1"/>
  <c r="I142" i="16"/>
  <c r="M142" i="16" s="1"/>
  <c r="K141" i="16"/>
  <c r="I141" i="16"/>
  <c r="M141" i="16" s="1"/>
  <c r="K140" i="16"/>
  <c r="I140" i="16"/>
  <c r="M140" i="16" s="1"/>
  <c r="K139" i="16"/>
  <c r="I139" i="16"/>
  <c r="M139" i="16" s="1"/>
  <c r="I138" i="16"/>
  <c r="M138" i="16" s="1"/>
  <c r="I137" i="16"/>
  <c r="M137" i="16" s="1"/>
  <c r="I136" i="16"/>
  <c r="M136" i="16" s="1"/>
  <c r="K135" i="16"/>
  <c r="I135" i="16"/>
  <c r="M135" i="16" s="1"/>
  <c r="I134" i="16"/>
  <c r="M134" i="16" s="1"/>
  <c r="K133" i="16"/>
  <c r="I133" i="16"/>
  <c r="M133" i="16" s="1"/>
  <c r="K132" i="16"/>
  <c r="I132" i="16"/>
  <c r="M132" i="16" s="1"/>
  <c r="K131" i="16"/>
  <c r="I131" i="16"/>
  <c r="M131" i="16" s="1"/>
  <c r="I130" i="16"/>
  <c r="M130" i="16" s="1"/>
  <c r="I129" i="16"/>
  <c r="M129" i="16" s="1"/>
  <c r="I128" i="16"/>
  <c r="M128" i="16" s="1"/>
  <c r="K127" i="16"/>
  <c r="I127" i="16"/>
  <c r="M127" i="16" s="1"/>
  <c r="K126" i="16"/>
  <c r="I126" i="16"/>
  <c r="M126" i="16" s="1"/>
  <c r="K125" i="16"/>
  <c r="I125" i="16"/>
  <c r="M125" i="16" s="1"/>
  <c r="K124" i="16"/>
  <c r="I124" i="16"/>
  <c r="M124" i="16" s="1"/>
  <c r="K123" i="16"/>
  <c r="I123" i="16"/>
  <c r="M123" i="16" s="1"/>
  <c r="I122" i="16"/>
  <c r="M122" i="16" s="1"/>
  <c r="I121" i="16"/>
  <c r="M121" i="16" s="1"/>
  <c r="I120" i="16"/>
  <c r="M120" i="16" s="1"/>
  <c r="K119" i="16"/>
  <c r="I119" i="16"/>
  <c r="M119" i="16" s="1"/>
  <c r="I118" i="16"/>
  <c r="M118" i="16" s="1"/>
  <c r="K117" i="16"/>
  <c r="I117" i="16"/>
  <c r="M117" i="16" s="1"/>
  <c r="K116" i="16"/>
  <c r="I116" i="16"/>
  <c r="M116" i="16" s="1"/>
  <c r="K115" i="16"/>
  <c r="I115" i="16"/>
  <c r="M115" i="16" s="1"/>
  <c r="I114" i="16"/>
  <c r="M114" i="16" s="1"/>
  <c r="I113" i="16"/>
  <c r="M113" i="16" s="1"/>
  <c r="I112" i="16"/>
  <c r="M112" i="16" s="1"/>
  <c r="K111" i="16"/>
  <c r="I111" i="16"/>
  <c r="M111" i="16" s="1"/>
  <c r="I110" i="16"/>
  <c r="M110" i="16" s="1"/>
  <c r="K109" i="16"/>
  <c r="I109" i="16"/>
  <c r="M109" i="16" s="1"/>
  <c r="K108" i="16"/>
  <c r="I108" i="16"/>
  <c r="M108" i="16" s="1"/>
  <c r="K107" i="16"/>
  <c r="I107" i="16"/>
  <c r="M107" i="16" s="1"/>
  <c r="I106" i="16"/>
  <c r="M106" i="16" s="1"/>
  <c r="I105" i="16"/>
  <c r="M105" i="16" s="1"/>
  <c r="I104" i="16"/>
  <c r="M104" i="16" s="1"/>
  <c r="K103" i="16"/>
  <c r="I103" i="16"/>
  <c r="M103" i="16" s="1"/>
  <c r="I102" i="16"/>
  <c r="M102" i="16" s="1"/>
  <c r="K101" i="16"/>
  <c r="I101" i="16"/>
  <c r="M101" i="16" s="1"/>
  <c r="K100" i="16"/>
  <c r="I100" i="16"/>
  <c r="M100" i="16" s="1"/>
  <c r="K99" i="16"/>
  <c r="I99" i="16"/>
  <c r="M99" i="16" s="1"/>
  <c r="I98" i="16"/>
  <c r="M98" i="16" s="1"/>
  <c r="K97" i="16"/>
  <c r="I97" i="16"/>
  <c r="M97" i="16" s="1"/>
  <c r="K96" i="16"/>
  <c r="I96" i="16"/>
  <c r="M96" i="16" s="1"/>
  <c r="K95" i="16"/>
  <c r="I95" i="16"/>
  <c r="M95" i="16" s="1"/>
  <c r="K94" i="16"/>
  <c r="I94" i="16"/>
  <c r="M94" i="16" s="1"/>
  <c r="K93" i="16"/>
  <c r="I93" i="16"/>
  <c r="M93" i="16" s="1"/>
  <c r="K92" i="16"/>
  <c r="I92" i="16"/>
  <c r="M92" i="16" s="1"/>
  <c r="K91" i="16"/>
  <c r="I91" i="16"/>
  <c r="M91" i="16" s="1"/>
  <c r="I90" i="16"/>
  <c r="M90" i="16" s="1"/>
  <c r="I89" i="16"/>
  <c r="M89" i="16" s="1"/>
  <c r="I88" i="16"/>
  <c r="M88" i="16" s="1"/>
  <c r="K87" i="16"/>
  <c r="I87" i="16"/>
  <c r="M87" i="16" s="1"/>
  <c r="I86" i="16"/>
  <c r="M86" i="16" s="1"/>
  <c r="K85" i="16"/>
  <c r="I85" i="16"/>
  <c r="M85" i="16" s="1"/>
  <c r="K84" i="16"/>
  <c r="I84" i="16"/>
  <c r="M84" i="16" s="1"/>
  <c r="K83" i="16"/>
  <c r="I83" i="16"/>
  <c r="M83" i="16" s="1"/>
  <c r="I82" i="16"/>
  <c r="M82" i="16" s="1"/>
  <c r="I81" i="16"/>
  <c r="M81" i="16" s="1"/>
  <c r="I80" i="16"/>
  <c r="M80" i="16" s="1"/>
  <c r="K79" i="16"/>
  <c r="I79" i="16"/>
  <c r="M79" i="16" s="1"/>
  <c r="I78" i="16"/>
  <c r="M78" i="16" s="1"/>
  <c r="K77" i="16"/>
  <c r="I77" i="16"/>
  <c r="M77" i="16" s="1"/>
  <c r="K76" i="16"/>
  <c r="I76" i="16"/>
  <c r="M76" i="16" s="1"/>
  <c r="K75" i="16"/>
  <c r="I75" i="16"/>
  <c r="M75" i="16" s="1"/>
  <c r="I74" i="16"/>
  <c r="M74" i="16" s="1"/>
  <c r="I73" i="16"/>
  <c r="M73" i="16" s="1"/>
  <c r="I72" i="16"/>
  <c r="M72" i="16" s="1"/>
  <c r="K71" i="16"/>
  <c r="I71" i="16"/>
  <c r="M71" i="16" s="1"/>
  <c r="I70" i="16"/>
  <c r="M70" i="16" s="1"/>
  <c r="K69" i="16"/>
  <c r="I69" i="16"/>
  <c r="M69" i="16" s="1"/>
  <c r="K68" i="16"/>
  <c r="I68" i="16"/>
  <c r="M68" i="16" s="1"/>
  <c r="K67" i="16"/>
  <c r="I67" i="16"/>
  <c r="M67" i="16" s="1"/>
  <c r="I66" i="16"/>
  <c r="M66" i="16" s="1"/>
  <c r="I65" i="16"/>
  <c r="M65" i="16" s="1"/>
  <c r="B65" i="16"/>
  <c r="I64" i="16"/>
  <c r="M64" i="16" s="1"/>
  <c r="B64" i="16"/>
  <c r="K63" i="16"/>
  <c r="I63" i="16"/>
  <c r="M63" i="16" s="1"/>
  <c r="B63" i="16"/>
  <c r="I62" i="16"/>
  <c r="M62" i="16" s="1"/>
  <c r="B62" i="16"/>
  <c r="K61" i="16"/>
  <c r="I61" i="16"/>
  <c r="M61" i="16" s="1"/>
  <c r="B61" i="16"/>
  <c r="K60" i="16"/>
  <c r="I60" i="16"/>
  <c r="M60" i="16" s="1"/>
  <c r="B60" i="16"/>
  <c r="K59" i="16"/>
  <c r="I59" i="16"/>
  <c r="M59" i="16" s="1"/>
  <c r="B59" i="16"/>
  <c r="I58" i="16"/>
  <c r="M58" i="16" s="1"/>
  <c r="B58" i="16"/>
  <c r="K57" i="16"/>
  <c r="I57" i="16"/>
  <c r="M57" i="16" s="1"/>
  <c r="B57" i="16"/>
  <c r="I56" i="16"/>
  <c r="M56" i="16" s="1"/>
  <c r="B56" i="16"/>
  <c r="K55" i="16"/>
  <c r="I55" i="16"/>
  <c r="M55" i="16" s="1"/>
  <c r="B55" i="16"/>
  <c r="I54" i="16"/>
  <c r="M54" i="16" s="1"/>
  <c r="B54" i="16"/>
  <c r="K53" i="16"/>
  <c r="I53" i="16"/>
  <c r="M53" i="16" s="1"/>
  <c r="B53" i="16"/>
  <c r="K52" i="16"/>
  <c r="I52" i="16"/>
  <c r="M52" i="16" s="1"/>
  <c r="B52" i="16"/>
  <c r="K51" i="16"/>
  <c r="I51" i="16"/>
  <c r="M51" i="16" s="1"/>
  <c r="B51" i="16"/>
  <c r="I50" i="16"/>
  <c r="M50" i="16" s="1"/>
  <c r="B50" i="16"/>
  <c r="I49" i="16"/>
  <c r="M49" i="16" s="1"/>
  <c r="B49" i="16"/>
  <c r="I48" i="16"/>
  <c r="M48" i="16" s="1"/>
  <c r="B48" i="16"/>
  <c r="K47" i="16"/>
  <c r="I47" i="16"/>
  <c r="M47" i="16" s="1"/>
  <c r="B47" i="16"/>
  <c r="T46" i="16"/>
  <c r="R46" i="16"/>
  <c r="U46" i="16" s="1"/>
  <c r="I46" i="16"/>
  <c r="M46" i="16" s="1"/>
  <c r="B46" i="16"/>
  <c r="K45" i="16"/>
  <c r="I45" i="16"/>
  <c r="M45" i="16" s="1"/>
  <c r="B45" i="16"/>
  <c r="K44" i="16"/>
  <c r="I44" i="16"/>
  <c r="M44" i="16" s="1"/>
  <c r="B44" i="16"/>
  <c r="K43" i="16"/>
  <c r="I43" i="16"/>
  <c r="M43" i="16" s="1"/>
  <c r="B43" i="16"/>
  <c r="I42" i="16"/>
  <c r="M42" i="16" s="1"/>
  <c r="B42" i="16"/>
  <c r="I41" i="16"/>
  <c r="M41" i="16" s="1"/>
  <c r="B41" i="16"/>
  <c r="I40" i="16"/>
  <c r="M40" i="16" s="1"/>
  <c r="B40" i="16"/>
  <c r="K39" i="16"/>
  <c r="I39" i="16"/>
  <c r="M39" i="16" s="1"/>
  <c r="B39" i="16"/>
  <c r="I38" i="16"/>
  <c r="M38" i="16" s="1"/>
  <c r="B38" i="16"/>
  <c r="K37" i="16"/>
  <c r="I37" i="16"/>
  <c r="M37" i="16" s="1"/>
  <c r="B37" i="16"/>
  <c r="K36" i="16"/>
  <c r="I36" i="16"/>
  <c r="M36" i="16" s="1"/>
  <c r="A36" i="16" s="1"/>
  <c r="B36" i="16"/>
  <c r="K35" i="16"/>
  <c r="I35" i="16"/>
  <c r="M35" i="16" s="1"/>
  <c r="A35" i="16" s="1"/>
  <c r="B35" i="16"/>
  <c r="I34" i="16"/>
  <c r="M34" i="16" s="1"/>
  <c r="A34" i="16" s="1"/>
  <c r="B34" i="16"/>
  <c r="I33" i="16"/>
  <c r="B33" i="16"/>
  <c r="I32" i="16"/>
  <c r="M32" i="16" s="1"/>
  <c r="B32" i="16"/>
  <c r="K31" i="16"/>
  <c r="I31" i="16"/>
  <c r="B31" i="16"/>
  <c r="I30" i="16"/>
  <c r="B30" i="16"/>
  <c r="K29" i="16"/>
  <c r="I29" i="16"/>
  <c r="M29" i="16" s="1"/>
  <c r="A29" i="16" s="1"/>
  <c r="B29" i="16"/>
  <c r="K28" i="16"/>
  <c r="I28" i="16"/>
  <c r="M28" i="16" s="1"/>
  <c r="B28" i="16"/>
  <c r="K27" i="16"/>
  <c r="I27" i="16"/>
  <c r="M27" i="16" s="1"/>
  <c r="A27" i="16" s="1"/>
  <c r="B27" i="16"/>
  <c r="I26" i="16"/>
  <c r="M26" i="16" s="1"/>
  <c r="A26" i="16" s="1"/>
  <c r="B26" i="16"/>
  <c r="I25" i="16"/>
  <c r="M25" i="16" s="1"/>
  <c r="A25" i="16" s="1"/>
  <c r="B25" i="16"/>
  <c r="I24" i="16"/>
  <c r="M24" i="16" s="1"/>
  <c r="A24" i="16" s="1"/>
  <c r="B24" i="16"/>
  <c r="K23" i="16"/>
  <c r="I23" i="16"/>
  <c r="M23" i="16" s="1"/>
  <c r="A23" i="16" s="1"/>
  <c r="B23" i="16"/>
  <c r="K22" i="16"/>
  <c r="I22" i="16"/>
  <c r="M22" i="16" s="1"/>
  <c r="B22" i="16"/>
  <c r="K21" i="16"/>
  <c r="I21" i="16"/>
  <c r="M21" i="16" s="1"/>
  <c r="A21" i="16" s="1"/>
  <c r="B21" i="16"/>
  <c r="K20" i="16"/>
  <c r="I20" i="16"/>
  <c r="M20" i="16" s="1"/>
  <c r="B20" i="16"/>
  <c r="K19" i="16"/>
  <c r="I19" i="16"/>
  <c r="M19" i="16" s="1"/>
  <c r="A19" i="16" s="1"/>
  <c r="B19" i="16"/>
  <c r="I18" i="16"/>
  <c r="M18" i="16" s="1"/>
  <c r="B18" i="16"/>
  <c r="I17" i="16"/>
  <c r="M17" i="16" s="1"/>
  <c r="A17" i="16" s="1"/>
  <c r="B17" i="16"/>
  <c r="I16" i="16"/>
  <c r="M16" i="16" s="1"/>
  <c r="A16" i="16" s="1"/>
  <c r="B16" i="16"/>
  <c r="K15" i="16"/>
  <c r="I15" i="16"/>
  <c r="B15" i="16"/>
  <c r="AI14" i="16"/>
  <c r="I14" i="16"/>
  <c r="M14" i="16" s="1"/>
  <c r="A14" i="16" s="1"/>
  <c r="B14" i="16"/>
  <c r="AI13" i="16"/>
  <c r="K13" i="16"/>
  <c r="I13" i="16"/>
  <c r="M13" i="16" s="1"/>
  <c r="B13" i="16"/>
  <c r="AI12" i="16"/>
  <c r="AI16" i="16" s="1"/>
  <c r="K12" i="16"/>
  <c r="I12" i="16"/>
  <c r="M12" i="16" s="1"/>
  <c r="A12" i="16" s="1"/>
  <c r="B12" i="16"/>
  <c r="K11" i="16"/>
  <c r="I11" i="16"/>
  <c r="B11" i="16"/>
  <c r="I10" i="16"/>
  <c r="M10" i="16" s="1"/>
  <c r="A10" i="16" s="1"/>
  <c r="B10" i="16"/>
  <c r="I9" i="16"/>
  <c r="B9" i="16"/>
  <c r="I8" i="16"/>
  <c r="B8" i="16"/>
  <c r="K7" i="16"/>
  <c r="I7" i="16"/>
  <c r="B7" i="16"/>
  <c r="B6" i="16"/>
  <c r="K2" i="16"/>
  <c r="L7" i="16" s="1"/>
  <c r="K305" i="15"/>
  <c r="I305" i="15"/>
  <c r="M305" i="15" s="1"/>
  <c r="I304" i="15"/>
  <c r="M304" i="15" s="1"/>
  <c r="K303" i="15"/>
  <c r="I303" i="15"/>
  <c r="M303" i="15" s="1"/>
  <c r="I302" i="15"/>
  <c r="M302" i="15" s="1"/>
  <c r="K301" i="15"/>
  <c r="I301" i="15"/>
  <c r="M301" i="15" s="1"/>
  <c r="I300" i="15"/>
  <c r="M300" i="15" s="1"/>
  <c r="K299" i="15"/>
  <c r="I299" i="15"/>
  <c r="M299" i="15" s="1"/>
  <c r="I298" i="15"/>
  <c r="M298" i="15" s="1"/>
  <c r="I297" i="15"/>
  <c r="M297" i="15" s="1"/>
  <c r="I296" i="15"/>
  <c r="M296" i="15" s="1"/>
  <c r="K295" i="15"/>
  <c r="I295" i="15"/>
  <c r="M295" i="15" s="1"/>
  <c r="I294" i="15"/>
  <c r="M294" i="15" s="1"/>
  <c r="K293" i="15"/>
  <c r="I293" i="15"/>
  <c r="M293" i="15" s="1"/>
  <c r="I292" i="15"/>
  <c r="I291" i="15"/>
  <c r="M291" i="15" s="1"/>
  <c r="I290" i="15"/>
  <c r="M290" i="15" s="1"/>
  <c r="K289" i="15"/>
  <c r="I289" i="15"/>
  <c r="M289" i="15" s="1"/>
  <c r="I288" i="15"/>
  <c r="M288" i="15" s="1"/>
  <c r="K287" i="15"/>
  <c r="I287" i="15"/>
  <c r="M287" i="15" s="1"/>
  <c r="I286" i="15"/>
  <c r="M286" i="15" s="1"/>
  <c r="K285" i="15"/>
  <c r="I285" i="15"/>
  <c r="M285" i="15" s="1"/>
  <c r="I284" i="15"/>
  <c r="K283" i="15"/>
  <c r="I283" i="15"/>
  <c r="M283" i="15" s="1"/>
  <c r="I282" i="15"/>
  <c r="M282" i="15" s="1"/>
  <c r="I281" i="15"/>
  <c r="M281" i="15" s="1"/>
  <c r="I280" i="15"/>
  <c r="M280" i="15" s="1"/>
  <c r="K279" i="15"/>
  <c r="I279" i="15"/>
  <c r="M279" i="15" s="1"/>
  <c r="I278" i="15"/>
  <c r="M278" i="15" s="1"/>
  <c r="K277" i="15"/>
  <c r="I277" i="15"/>
  <c r="M277" i="15" s="1"/>
  <c r="I276" i="15"/>
  <c r="M276" i="15" s="1"/>
  <c r="K275" i="15"/>
  <c r="I275" i="15"/>
  <c r="M275" i="15" s="1"/>
  <c r="I274" i="15"/>
  <c r="M274" i="15" s="1"/>
  <c r="K273" i="15"/>
  <c r="I273" i="15"/>
  <c r="M273" i="15" s="1"/>
  <c r="I272" i="15"/>
  <c r="M272" i="15" s="1"/>
  <c r="K271" i="15"/>
  <c r="I271" i="15"/>
  <c r="M271" i="15" s="1"/>
  <c r="I270" i="15"/>
  <c r="M270" i="15" s="1"/>
  <c r="K269" i="15"/>
  <c r="I269" i="15"/>
  <c r="M269" i="15" s="1"/>
  <c r="K268" i="15"/>
  <c r="I268" i="15"/>
  <c r="M268" i="15" s="1"/>
  <c r="I267" i="15"/>
  <c r="M267" i="15" s="1"/>
  <c r="I266" i="15"/>
  <c r="M266" i="15" s="1"/>
  <c r="K265" i="15"/>
  <c r="I265" i="15"/>
  <c r="M265" i="15" s="1"/>
  <c r="I264" i="15"/>
  <c r="M264" i="15" s="1"/>
  <c r="K263" i="15"/>
  <c r="I263" i="15"/>
  <c r="M263" i="15" s="1"/>
  <c r="I262" i="15"/>
  <c r="M262" i="15" s="1"/>
  <c r="K261" i="15"/>
  <c r="I261" i="15"/>
  <c r="M261" i="15" s="1"/>
  <c r="K260" i="15"/>
  <c r="I260" i="15"/>
  <c r="M260" i="15" s="1"/>
  <c r="K259" i="15"/>
  <c r="I259" i="15"/>
  <c r="M259" i="15" s="1"/>
  <c r="I258" i="15"/>
  <c r="M258" i="15" s="1"/>
  <c r="I257" i="15"/>
  <c r="M257" i="15" s="1"/>
  <c r="I256" i="15"/>
  <c r="M256" i="15" s="1"/>
  <c r="K255" i="15"/>
  <c r="I255" i="15"/>
  <c r="M255" i="15" s="1"/>
  <c r="I254" i="15"/>
  <c r="M254" i="15" s="1"/>
  <c r="K253" i="15"/>
  <c r="I253" i="15"/>
  <c r="M253" i="15" s="1"/>
  <c r="I252" i="15"/>
  <c r="I251" i="15"/>
  <c r="M251" i="15" s="1"/>
  <c r="I250" i="15"/>
  <c r="M250" i="15" s="1"/>
  <c r="K249" i="15"/>
  <c r="I249" i="15"/>
  <c r="M249" i="15" s="1"/>
  <c r="I248" i="15"/>
  <c r="M248" i="15" s="1"/>
  <c r="K247" i="15"/>
  <c r="I247" i="15"/>
  <c r="M247" i="15" s="1"/>
  <c r="I246" i="15"/>
  <c r="M246" i="15" s="1"/>
  <c r="K245" i="15"/>
  <c r="I245" i="15"/>
  <c r="M245" i="15" s="1"/>
  <c r="I244" i="15"/>
  <c r="M244" i="15" s="1"/>
  <c r="K243" i="15"/>
  <c r="I243" i="15"/>
  <c r="M243" i="15" s="1"/>
  <c r="I242" i="15"/>
  <c r="M242" i="15" s="1"/>
  <c r="I241" i="15"/>
  <c r="M241" i="15" s="1"/>
  <c r="I240" i="15"/>
  <c r="M240" i="15" s="1"/>
  <c r="K239" i="15"/>
  <c r="I239" i="15"/>
  <c r="M239" i="15" s="1"/>
  <c r="I238" i="15"/>
  <c r="M238" i="15" s="1"/>
  <c r="K237" i="15"/>
  <c r="I237" i="15"/>
  <c r="M237" i="15" s="1"/>
  <c r="I236" i="15"/>
  <c r="M236" i="15" s="1"/>
  <c r="I235" i="15"/>
  <c r="M235" i="15" s="1"/>
  <c r="I234" i="15"/>
  <c r="M234" i="15" s="1"/>
  <c r="K233" i="15"/>
  <c r="I233" i="15"/>
  <c r="M233" i="15" s="1"/>
  <c r="I232" i="15"/>
  <c r="M232" i="15" s="1"/>
  <c r="K231" i="15"/>
  <c r="I231" i="15"/>
  <c r="M231" i="15" s="1"/>
  <c r="I230" i="15"/>
  <c r="M230" i="15" s="1"/>
  <c r="K229" i="15"/>
  <c r="I229" i="15"/>
  <c r="M229" i="15" s="1"/>
  <c r="I228" i="15"/>
  <c r="M228" i="15" s="1"/>
  <c r="K227" i="15"/>
  <c r="I227" i="15"/>
  <c r="M227" i="15" s="1"/>
  <c r="I226" i="15"/>
  <c r="M226" i="15" s="1"/>
  <c r="I225" i="15"/>
  <c r="M225" i="15" s="1"/>
  <c r="I224" i="15"/>
  <c r="M224" i="15" s="1"/>
  <c r="K223" i="15"/>
  <c r="I223" i="15"/>
  <c r="M223" i="15" s="1"/>
  <c r="I222" i="15"/>
  <c r="M222" i="15" s="1"/>
  <c r="K221" i="15"/>
  <c r="I221" i="15"/>
  <c r="M221" i="15" s="1"/>
  <c r="I220" i="15"/>
  <c r="I219" i="15"/>
  <c r="M219" i="15" s="1"/>
  <c r="I218" i="15"/>
  <c r="M218" i="15" s="1"/>
  <c r="K217" i="15"/>
  <c r="I217" i="15"/>
  <c r="M217" i="15" s="1"/>
  <c r="I216" i="15"/>
  <c r="M216" i="15" s="1"/>
  <c r="K215" i="15"/>
  <c r="I215" i="15"/>
  <c r="M215" i="15" s="1"/>
  <c r="I214" i="15"/>
  <c r="M214" i="15" s="1"/>
  <c r="K213" i="15"/>
  <c r="I213" i="15"/>
  <c r="M213" i="15" s="1"/>
  <c r="I212" i="15"/>
  <c r="K211" i="15"/>
  <c r="I211" i="15"/>
  <c r="M211" i="15" s="1"/>
  <c r="I210" i="15"/>
  <c r="M210" i="15" s="1"/>
  <c r="I209" i="15"/>
  <c r="M209" i="15" s="1"/>
  <c r="I208" i="15"/>
  <c r="M208" i="15" s="1"/>
  <c r="K207" i="15"/>
  <c r="I207" i="15"/>
  <c r="M207" i="15" s="1"/>
  <c r="I206" i="15"/>
  <c r="M206" i="15" s="1"/>
  <c r="K205" i="15"/>
  <c r="I205" i="15"/>
  <c r="M205" i="15" s="1"/>
  <c r="I204" i="15"/>
  <c r="M204" i="15" s="1"/>
  <c r="K203" i="15"/>
  <c r="I203" i="15"/>
  <c r="M203" i="15" s="1"/>
  <c r="I202" i="15"/>
  <c r="M202" i="15" s="1"/>
  <c r="K201" i="15"/>
  <c r="I201" i="15"/>
  <c r="M201" i="15" s="1"/>
  <c r="I200" i="15"/>
  <c r="M200" i="15" s="1"/>
  <c r="K199" i="15"/>
  <c r="I199" i="15"/>
  <c r="M199" i="15" s="1"/>
  <c r="I198" i="15"/>
  <c r="M198" i="15" s="1"/>
  <c r="K197" i="15"/>
  <c r="I197" i="15"/>
  <c r="M197" i="15" s="1"/>
  <c r="I196" i="15"/>
  <c r="M196" i="15" s="1"/>
  <c r="I195" i="15"/>
  <c r="M195" i="15" s="1"/>
  <c r="I194" i="15"/>
  <c r="M194" i="15" s="1"/>
  <c r="K193" i="15"/>
  <c r="I193" i="15"/>
  <c r="M193" i="15" s="1"/>
  <c r="I192" i="15"/>
  <c r="M192" i="15" s="1"/>
  <c r="K191" i="15"/>
  <c r="I191" i="15"/>
  <c r="M191" i="15" s="1"/>
  <c r="I190" i="15"/>
  <c r="M190" i="15" s="1"/>
  <c r="K189" i="15"/>
  <c r="I189" i="15"/>
  <c r="M189" i="15" s="1"/>
  <c r="K188" i="15"/>
  <c r="I188" i="15"/>
  <c r="M188" i="15" s="1"/>
  <c r="I187" i="15"/>
  <c r="M187" i="15" s="1"/>
  <c r="I186" i="15"/>
  <c r="M186" i="15" s="1"/>
  <c r="I185" i="15"/>
  <c r="M185" i="15" s="1"/>
  <c r="I184" i="15"/>
  <c r="M184" i="15" s="1"/>
  <c r="K183" i="15"/>
  <c r="I183" i="15"/>
  <c r="M183" i="15" s="1"/>
  <c r="I182" i="15"/>
  <c r="M182" i="15" s="1"/>
  <c r="K181" i="15"/>
  <c r="I181" i="15"/>
  <c r="M181" i="15" s="1"/>
  <c r="I180" i="15"/>
  <c r="M180" i="15" s="1"/>
  <c r="I179" i="15"/>
  <c r="M179" i="15" s="1"/>
  <c r="I178" i="15"/>
  <c r="M178" i="15" s="1"/>
  <c r="K177" i="15"/>
  <c r="I177" i="15"/>
  <c r="M177" i="15" s="1"/>
  <c r="I176" i="15"/>
  <c r="M176" i="15" s="1"/>
  <c r="K175" i="15"/>
  <c r="I175" i="15"/>
  <c r="M175" i="15" s="1"/>
  <c r="I174" i="15"/>
  <c r="M174" i="15" s="1"/>
  <c r="K173" i="15"/>
  <c r="I173" i="15"/>
  <c r="M173" i="15" s="1"/>
  <c r="I172" i="15"/>
  <c r="M172" i="15" s="1"/>
  <c r="K171" i="15"/>
  <c r="I171" i="15"/>
  <c r="M171" i="15" s="1"/>
  <c r="I170" i="15"/>
  <c r="M170" i="15" s="1"/>
  <c r="I169" i="15"/>
  <c r="M169" i="15" s="1"/>
  <c r="I168" i="15"/>
  <c r="M168" i="15" s="1"/>
  <c r="K167" i="15"/>
  <c r="I167" i="15"/>
  <c r="M167" i="15" s="1"/>
  <c r="I166" i="15"/>
  <c r="M166" i="15" s="1"/>
  <c r="K165" i="15"/>
  <c r="I165" i="15"/>
  <c r="M165" i="15" s="1"/>
  <c r="I164" i="15"/>
  <c r="I163" i="15"/>
  <c r="M163" i="15" s="1"/>
  <c r="I162" i="15"/>
  <c r="M162" i="15" s="1"/>
  <c r="K161" i="15"/>
  <c r="I161" i="15"/>
  <c r="M161" i="15" s="1"/>
  <c r="I160" i="15"/>
  <c r="M160" i="15" s="1"/>
  <c r="K159" i="15"/>
  <c r="I159" i="15"/>
  <c r="M159" i="15" s="1"/>
  <c r="I158" i="15"/>
  <c r="M158" i="15" s="1"/>
  <c r="K157" i="15"/>
  <c r="I157" i="15"/>
  <c r="M157" i="15" s="1"/>
  <c r="K156" i="15"/>
  <c r="I156" i="15"/>
  <c r="M156" i="15" s="1"/>
  <c r="I155" i="15"/>
  <c r="M155" i="15" s="1"/>
  <c r="I154" i="15"/>
  <c r="M154" i="15" s="1"/>
  <c r="K153" i="15"/>
  <c r="I153" i="15"/>
  <c r="M153" i="15" s="1"/>
  <c r="I152" i="15"/>
  <c r="M152" i="15" s="1"/>
  <c r="K151" i="15"/>
  <c r="I151" i="15"/>
  <c r="M151" i="15" s="1"/>
  <c r="I150" i="15"/>
  <c r="M150" i="15" s="1"/>
  <c r="K149" i="15"/>
  <c r="I149" i="15"/>
  <c r="M149" i="15" s="1"/>
  <c r="I148" i="15"/>
  <c r="M148" i="15" s="1"/>
  <c r="I147" i="15"/>
  <c r="M147" i="15" s="1"/>
  <c r="I146" i="15"/>
  <c r="M146" i="15" s="1"/>
  <c r="I145" i="15"/>
  <c r="M145" i="15" s="1"/>
  <c r="I144" i="15"/>
  <c r="M144" i="15" s="1"/>
  <c r="K143" i="15"/>
  <c r="I143" i="15"/>
  <c r="M143" i="15" s="1"/>
  <c r="I142" i="15"/>
  <c r="M142" i="15" s="1"/>
  <c r="K141" i="15"/>
  <c r="I141" i="15"/>
  <c r="M141" i="15" s="1"/>
  <c r="I140" i="15"/>
  <c r="I139" i="15"/>
  <c r="M139" i="15" s="1"/>
  <c r="I138" i="15"/>
  <c r="M138" i="15" s="1"/>
  <c r="I137" i="15"/>
  <c r="M137" i="15" s="1"/>
  <c r="I136" i="15"/>
  <c r="M136" i="15" s="1"/>
  <c r="K135" i="15"/>
  <c r="I135" i="15"/>
  <c r="M135" i="15" s="1"/>
  <c r="I134" i="15"/>
  <c r="M134" i="15" s="1"/>
  <c r="K133" i="15"/>
  <c r="I133" i="15"/>
  <c r="M133" i="15" s="1"/>
  <c r="I132" i="15"/>
  <c r="I131" i="15"/>
  <c r="M131" i="15" s="1"/>
  <c r="I130" i="15"/>
  <c r="M130" i="15" s="1"/>
  <c r="K129" i="15"/>
  <c r="I129" i="15"/>
  <c r="M129" i="15" s="1"/>
  <c r="I128" i="15"/>
  <c r="M128" i="15" s="1"/>
  <c r="K127" i="15"/>
  <c r="I127" i="15"/>
  <c r="M127" i="15" s="1"/>
  <c r="I126" i="15"/>
  <c r="M126" i="15" s="1"/>
  <c r="K125" i="15"/>
  <c r="I125" i="15"/>
  <c r="M125" i="15" s="1"/>
  <c r="I124" i="15"/>
  <c r="M124" i="15" s="1"/>
  <c r="K123" i="15"/>
  <c r="I123" i="15"/>
  <c r="M123" i="15" s="1"/>
  <c r="I122" i="15"/>
  <c r="M122" i="15" s="1"/>
  <c r="I121" i="15"/>
  <c r="M121" i="15" s="1"/>
  <c r="I120" i="15"/>
  <c r="M120" i="15" s="1"/>
  <c r="K119" i="15"/>
  <c r="I119" i="15"/>
  <c r="M119" i="15" s="1"/>
  <c r="I118" i="15"/>
  <c r="M118" i="15" s="1"/>
  <c r="K117" i="15"/>
  <c r="I117" i="15"/>
  <c r="M117" i="15" s="1"/>
  <c r="K116" i="15"/>
  <c r="I116" i="15"/>
  <c r="M116" i="15" s="1"/>
  <c r="I115" i="15"/>
  <c r="M115" i="15" s="1"/>
  <c r="I114" i="15"/>
  <c r="M114" i="15" s="1"/>
  <c r="K113" i="15"/>
  <c r="I113" i="15"/>
  <c r="M113" i="15" s="1"/>
  <c r="I112" i="15"/>
  <c r="M112" i="15" s="1"/>
  <c r="K111" i="15"/>
  <c r="I111" i="15"/>
  <c r="M111" i="15" s="1"/>
  <c r="K110" i="15"/>
  <c r="I110" i="15"/>
  <c r="M110" i="15" s="1"/>
  <c r="K109" i="15"/>
  <c r="I109" i="15"/>
  <c r="M109" i="15" s="1"/>
  <c r="I108" i="15"/>
  <c r="M108" i="15" s="1"/>
  <c r="I107" i="15"/>
  <c r="M107" i="15" s="1"/>
  <c r="I106" i="15"/>
  <c r="M106" i="15" s="1"/>
  <c r="I105" i="15"/>
  <c r="M105" i="15" s="1"/>
  <c r="I104" i="15"/>
  <c r="M104" i="15" s="1"/>
  <c r="K103" i="15"/>
  <c r="I103" i="15"/>
  <c r="M103" i="15" s="1"/>
  <c r="I102" i="15"/>
  <c r="M102" i="15" s="1"/>
  <c r="K101" i="15"/>
  <c r="I101" i="15"/>
  <c r="M101" i="15" s="1"/>
  <c r="I100" i="15"/>
  <c r="M100" i="15" s="1"/>
  <c r="I99" i="15"/>
  <c r="M99" i="15" s="1"/>
  <c r="I98" i="15"/>
  <c r="M98" i="15" s="1"/>
  <c r="K97" i="15"/>
  <c r="I97" i="15"/>
  <c r="M97" i="15" s="1"/>
  <c r="I96" i="15"/>
  <c r="M96" i="15" s="1"/>
  <c r="K95" i="15"/>
  <c r="I95" i="15"/>
  <c r="M95" i="15" s="1"/>
  <c r="I94" i="15"/>
  <c r="M94" i="15" s="1"/>
  <c r="K93" i="15"/>
  <c r="I93" i="15"/>
  <c r="M93" i="15" s="1"/>
  <c r="I92" i="15"/>
  <c r="M92" i="15" s="1"/>
  <c r="I91" i="15"/>
  <c r="M91" i="15" s="1"/>
  <c r="I90" i="15"/>
  <c r="M90" i="15" s="1"/>
  <c r="I89" i="15"/>
  <c r="M89" i="15" s="1"/>
  <c r="I88" i="15"/>
  <c r="M88" i="15" s="1"/>
  <c r="K87" i="15"/>
  <c r="I87" i="15"/>
  <c r="M87" i="15" s="1"/>
  <c r="I86" i="15"/>
  <c r="M86" i="15" s="1"/>
  <c r="K85" i="15"/>
  <c r="I85" i="15"/>
  <c r="M85" i="15" s="1"/>
  <c r="I84" i="15"/>
  <c r="I83" i="15"/>
  <c r="M83" i="15" s="1"/>
  <c r="I82" i="15"/>
  <c r="M82" i="15" s="1"/>
  <c r="K81" i="15"/>
  <c r="I81" i="15"/>
  <c r="M81" i="15" s="1"/>
  <c r="I80" i="15"/>
  <c r="M80" i="15" s="1"/>
  <c r="K79" i="15"/>
  <c r="I79" i="15"/>
  <c r="M79" i="15" s="1"/>
  <c r="I78" i="15"/>
  <c r="M78" i="15" s="1"/>
  <c r="K77" i="15"/>
  <c r="I77" i="15"/>
  <c r="M77" i="15" s="1"/>
  <c r="I76" i="15"/>
  <c r="M76" i="15" s="1"/>
  <c r="I75" i="15"/>
  <c r="M75" i="15" s="1"/>
  <c r="I74" i="15"/>
  <c r="M74" i="15" s="1"/>
  <c r="I73" i="15"/>
  <c r="M73" i="15" s="1"/>
  <c r="I72" i="15"/>
  <c r="M72" i="15" s="1"/>
  <c r="K71" i="15"/>
  <c r="I71" i="15"/>
  <c r="M71" i="15" s="1"/>
  <c r="I70" i="15"/>
  <c r="M70" i="15" s="1"/>
  <c r="K69" i="15"/>
  <c r="I69" i="15"/>
  <c r="M69" i="15" s="1"/>
  <c r="I68" i="15"/>
  <c r="M68" i="15" s="1"/>
  <c r="K67" i="15"/>
  <c r="I67" i="15"/>
  <c r="M67" i="15" s="1"/>
  <c r="I66" i="15"/>
  <c r="M66" i="15" s="1"/>
  <c r="K65" i="15"/>
  <c r="I65" i="15"/>
  <c r="M65" i="15" s="1"/>
  <c r="B65" i="15"/>
  <c r="I64" i="15"/>
  <c r="M64" i="15" s="1"/>
  <c r="B64" i="15"/>
  <c r="K63" i="15"/>
  <c r="I63" i="15"/>
  <c r="M63" i="15" s="1"/>
  <c r="B63" i="15"/>
  <c r="I62" i="15"/>
  <c r="M62" i="15" s="1"/>
  <c r="B62" i="15"/>
  <c r="K61" i="15"/>
  <c r="I61" i="15"/>
  <c r="M61" i="15" s="1"/>
  <c r="B61" i="15"/>
  <c r="I60" i="15"/>
  <c r="B60" i="15"/>
  <c r="I59" i="15"/>
  <c r="M59" i="15" s="1"/>
  <c r="B59" i="15"/>
  <c r="I58" i="15"/>
  <c r="M58" i="15" s="1"/>
  <c r="B58" i="15"/>
  <c r="I57" i="15"/>
  <c r="M57" i="15" s="1"/>
  <c r="B57" i="15"/>
  <c r="I56" i="15"/>
  <c r="M56" i="15" s="1"/>
  <c r="B56" i="15"/>
  <c r="K55" i="15"/>
  <c r="I55" i="15"/>
  <c r="M55" i="15" s="1"/>
  <c r="B55" i="15"/>
  <c r="I54" i="15"/>
  <c r="M54" i="15" s="1"/>
  <c r="B54" i="15"/>
  <c r="K53" i="15"/>
  <c r="I53" i="15"/>
  <c r="M53" i="15" s="1"/>
  <c r="B53" i="15"/>
  <c r="K52" i="15"/>
  <c r="I52" i="15"/>
  <c r="M52" i="15" s="1"/>
  <c r="B52" i="15"/>
  <c r="I51" i="15"/>
  <c r="M51" i="15" s="1"/>
  <c r="B51" i="15"/>
  <c r="I50" i="15"/>
  <c r="M50" i="15" s="1"/>
  <c r="B50" i="15"/>
  <c r="K49" i="15"/>
  <c r="I49" i="15"/>
  <c r="M49" i="15" s="1"/>
  <c r="B49" i="15"/>
  <c r="I48" i="15"/>
  <c r="M48" i="15" s="1"/>
  <c r="B48" i="15"/>
  <c r="K47" i="15"/>
  <c r="I47" i="15"/>
  <c r="M47" i="15" s="1"/>
  <c r="B47" i="15"/>
  <c r="I46" i="15"/>
  <c r="M46" i="15" s="1"/>
  <c r="B46" i="15"/>
  <c r="K45" i="15"/>
  <c r="I45" i="15"/>
  <c r="M45" i="15" s="1"/>
  <c r="B45" i="15"/>
  <c r="I44" i="15"/>
  <c r="M44" i="15" s="1"/>
  <c r="B44" i="15"/>
  <c r="K43" i="15"/>
  <c r="I43" i="15"/>
  <c r="M43" i="15" s="1"/>
  <c r="B43" i="15"/>
  <c r="I42" i="15"/>
  <c r="M42" i="15" s="1"/>
  <c r="B42" i="15"/>
  <c r="K41" i="15"/>
  <c r="I41" i="15"/>
  <c r="M41" i="15" s="1"/>
  <c r="B41" i="15"/>
  <c r="I40" i="15"/>
  <c r="M40" i="15" s="1"/>
  <c r="B40" i="15"/>
  <c r="K39" i="15"/>
  <c r="I39" i="15"/>
  <c r="M39" i="15" s="1"/>
  <c r="B39" i="15"/>
  <c r="I38" i="15"/>
  <c r="M38" i="15" s="1"/>
  <c r="B38" i="15"/>
  <c r="K37" i="15"/>
  <c r="I37" i="15"/>
  <c r="M37" i="15" s="1"/>
  <c r="B37" i="15"/>
  <c r="I36" i="15"/>
  <c r="M36" i="15" s="1"/>
  <c r="B36" i="15"/>
  <c r="I35" i="15"/>
  <c r="B35" i="15"/>
  <c r="I34" i="15"/>
  <c r="M34" i="15" s="1"/>
  <c r="B34" i="15"/>
  <c r="I33" i="15"/>
  <c r="B33" i="15"/>
  <c r="I32" i="15"/>
  <c r="M32" i="15" s="1"/>
  <c r="B32" i="15"/>
  <c r="K31" i="15"/>
  <c r="I31" i="15"/>
  <c r="M31" i="15" s="1"/>
  <c r="B31" i="15"/>
  <c r="I30" i="15"/>
  <c r="M30" i="15" s="1"/>
  <c r="A30" i="15" s="1"/>
  <c r="B30" i="15"/>
  <c r="K29" i="15"/>
  <c r="I29" i="15"/>
  <c r="M29" i="15" s="1"/>
  <c r="B29" i="15"/>
  <c r="I28" i="15"/>
  <c r="M28" i="15" s="1"/>
  <c r="B28" i="15"/>
  <c r="I27" i="15"/>
  <c r="B27" i="15"/>
  <c r="I26" i="15"/>
  <c r="M26" i="15" s="1"/>
  <c r="A26" i="15" s="1"/>
  <c r="B26" i="15"/>
  <c r="I25" i="15"/>
  <c r="B25" i="15"/>
  <c r="I24" i="15"/>
  <c r="M24" i="15" s="1"/>
  <c r="B24" i="15"/>
  <c r="K23" i="15"/>
  <c r="I23" i="15"/>
  <c r="M23" i="15" s="1"/>
  <c r="B23" i="15"/>
  <c r="I22" i="15"/>
  <c r="M22" i="15" s="1"/>
  <c r="B22" i="15"/>
  <c r="K21" i="15"/>
  <c r="I21" i="15"/>
  <c r="M21" i="15" s="1"/>
  <c r="B21" i="15"/>
  <c r="I20" i="15"/>
  <c r="B20" i="15"/>
  <c r="K19" i="15"/>
  <c r="I19" i="15"/>
  <c r="B19" i="15"/>
  <c r="I18" i="15"/>
  <c r="B18" i="15"/>
  <c r="I17" i="15"/>
  <c r="M17" i="15" s="1"/>
  <c r="B17" i="15"/>
  <c r="I16" i="15"/>
  <c r="B16" i="15"/>
  <c r="K15" i="15"/>
  <c r="I15" i="15"/>
  <c r="B15" i="15"/>
  <c r="AI14" i="15"/>
  <c r="I14" i="15"/>
  <c r="M14" i="15" s="1"/>
  <c r="B14" i="15"/>
  <c r="AI13" i="15"/>
  <c r="K13" i="15"/>
  <c r="I13" i="15"/>
  <c r="M13" i="15" s="1"/>
  <c r="A13" i="15" s="1"/>
  <c r="B13" i="15"/>
  <c r="AI12" i="15"/>
  <c r="AI16" i="15" s="1"/>
  <c r="I12" i="15"/>
  <c r="M12" i="15" s="1"/>
  <c r="B12" i="15"/>
  <c r="I11" i="15"/>
  <c r="M11" i="15" s="1"/>
  <c r="A11" i="15" s="1"/>
  <c r="B11" i="15"/>
  <c r="I10" i="15"/>
  <c r="M10" i="15" s="1"/>
  <c r="B10" i="15"/>
  <c r="I9" i="15"/>
  <c r="B9" i="15"/>
  <c r="I8" i="15"/>
  <c r="M8" i="15" s="1"/>
  <c r="B8" i="15"/>
  <c r="K7" i="15"/>
  <c r="I7" i="15"/>
  <c r="M7" i="15" s="1"/>
  <c r="B7" i="15"/>
  <c r="K6" i="15"/>
  <c r="K2" i="15"/>
  <c r="L7" i="15" s="1"/>
  <c r="K305" i="14"/>
  <c r="I305" i="14"/>
  <c r="M305" i="14" s="1"/>
  <c r="I304" i="14"/>
  <c r="M304" i="14" s="1"/>
  <c r="K303" i="14"/>
  <c r="I303" i="14"/>
  <c r="M303" i="14" s="1"/>
  <c r="K302" i="14"/>
  <c r="I302" i="14"/>
  <c r="M302" i="14" s="1"/>
  <c r="K301" i="14"/>
  <c r="I301" i="14"/>
  <c r="M301" i="14" s="1"/>
  <c r="K300" i="14"/>
  <c r="I300" i="14"/>
  <c r="M300" i="14" s="1"/>
  <c r="K299" i="14"/>
  <c r="I299" i="14"/>
  <c r="M299" i="14" s="1"/>
  <c r="K298" i="14"/>
  <c r="I298" i="14"/>
  <c r="M298" i="14" s="1"/>
  <c r="K297" i="14"/>
  <c r="I297" i="14"/>
  <c r="M297" i="14" s="1"/>
  <c r="I296" i="14"/>
  <c r="M296" i="14" s="1"/>
  <c r="K295" i="14"/>
  <c r="I295" i="14"/>
  <c r="M295" i="14" s="1"/>
  <c r="K294" i="14"/>
  <c r="I294" i="14"/>
  <c r="M294" i="14" s="1"/>
  <c r="K293" i="14"/>
  <c r="I293" i="14"/>
  <c r="M293" i="14" s="1"/>
  <c r="I292" i="14"/>
  <c r="M292" i="14" s="1"/>
  <c r="K291" i="14"/>
  <c r="I291" i="14"/>
  <c r="M291" i="14" s="1"/>
  <c r="K290" i="14"/>
  <c r="I290" i="14"/>
  <c r="M290" i="14" s="1"/>
  <c r="K289" i="14"/>
  <c r="I289" i="14"/>
  <c r="M289" i="14" s="1"/>
  <c r="I288" i="14"/>
  <c r="M288" i="14" s="1"/>
  <c r="K287" i="14"/>
  <c r="I287" i="14"/>
  <c r="M287" i="14" s="1"/>
  <c r="K286" i="14"/>
  <c r="I286" i="14"/>
  <c r="M286" i="14" s="1"/>
  <c r="K285" i="14"/>
  <c r="I285" i="14"/>
  <c r="M285" i="14" s="1"/>
  <c r="K284" i="14"/>
  <c r="I284" i="14"/>
  <c r="M284" i="14" s="1"/>
  <c r="K283" i="14"/>
  <c r="I283" i="14"/>
  <c r="M283" i="14" s="1"/>
  <c r="K282" i="14"/>
  <c r="I282" i="14"/>
  <c r="M282" i="14" s="1"/>
  <c r="K281" i="14"/>
  <c r="I281" i="14"/>
  <c r="M281" i="14" s="1"/>
  <c r="I280" i="14"/>
  <c r="M280" i="14" s="1"/>
  <c r="K279" i="14"/>
  <c r="I279" i="14"/>
  <c r="M279" i="14" s="1"/>
  <c r="K278" i="14"/>
  <c r="I278" i="14"/>
  <c r="M278" i="14" s="1"/>
  <c r="K277" i="14"/>
  <c r="I277" i="14"/>
  <c r="M277" i="14" s="1"/>
  <c r="K276" i="14"/>
  <c r="I276" i="14"/>
  <c r="M276" i="14" s="1"/>
  <c r="K275" i="14"/>
  <c r="I275" i="14"/>
  <c r="M275" i="14" s="1"/>
  <c r="K274" i="14"/>
  <c r="I274" i="14"/>
  <c r="M274" i="14" s="1"/>
  <c r="K273" i="14"/>
  <c r="I273" i="14"/>
  <c r="M273" i="14" s="1"/>
  <c r="I272" i="14"/>
  <c r="M272" i="14" s="1"/>
  <c r="K271" i="14"/>
  <c r="I271" i="14"/>
  <c r="M271" i="14" s="1"/>
  <c r="K270" i="14"/>
  <c r="I270" i="14"/>
  <c r="M270" i="14" s="1"/>
  <c r="K269" i="14"/>
  <c r="I269" i="14"/>
  <c r="M269" i="14" s="1"/>
  <c r="I268" i="14"/>
  <c r="M268" i="14" s="1"/>
  <c r="K267" i="14"/>
  <c r="I267" i="14"/>
  <c r="M267" i="14" s="1"/>
  <c r="K266" i="14"/>
  <c r="I266" i="14"/>
  <c r="M266" i="14" s="1"/>
  <c r="K265" i="14"/>
  <c r="I265" i="14"/>
  <c r="M265" i="14" s="1"/>
  <c r="K264" i="14"/>
  <c r="I264" i="14"/>
  <c r="M264" i="14" s="1"/>
  <c r="K263" i="14"/>
  <c r="I263" i="14"/>
  <c r="M263" i="14" s="1"/>
  <c r="K262" i="14"/>
  <c r="I262" i="14"/>
  <c r="M262" i="14" s="1"/>
  <c r="K261" i="14"/>
  <c r="I261" i="14"/>
  <c r="M261" i="14" s="1"/>
  <c r="K260" i="14"/>
  <c r="I260" i="14"/>
  <c r="M260" i="14" s="1"/>
  <c r="K259" i="14"/>
  <c r="I259" i="14"/>
  <c r="M259" i="14" s="1"/>
  <c r="K258" i="14"/>
  <c r="I258" i="14"/>
  <c r="M258" i="14" s="1"/>
  <c r="K257" i="14"/>
  <c r="I257" i="14"/>
  <c r="M257" i="14" s="1"/>
  <c r="I256" i="14"/>
  <c r="M256" i="14" s="1"/>
  <c r="K255" i="14"/>
  <c r="I255" i="14"/>
  <c r="M255" i="14" s="1"/>
  <c r="K254" i="14"/>
  <c r="I254" i="14"/>
  <c r="M254" i="14" s="1"/>
  <c r="K253" i="14"/>
  <c r="I253" i="14"/>
  <c r="M253" i="14" s="1"/>
  <c r="K252" i="14"/>
  <c r="I252" i="14"/>
  <c r="M252" i="14" s="1"/>
  <c r="K251" i="14"/>
  <c r="I251" i="14"/>
  <c r="M251" i="14" s="1"/>
  <c r="K250" i="14"/>
  <c r="I250" i="14"/>
  <c r="M250" i="14" s="1"/>
  <c r="K249" i="14"/>
  <c r="I249" i="14"/>
  <c r="M249" i="14" s="1"/>
  <c r="I248" i="14"/>
  <c r="M248" i="14" s="1"/>
  <c r="K247" i="14"/>
  <c r="I247" i="14"/>
  <c r="M247" i="14" s="1"/>
  <c r="K246" i="14"/>
  <c r="I246" i="14"/>
  <c r="M246" i="14" s="1"/>
  <c r="K245" i="14"/>
  <c r="I245" i="14"/>
  <c r="M245" i="14" s="1"/>
  <c r="I244" i="14"/>
  <c r="M244" i="14" s="1"/>
  <c r="K243" i="14"/>
  <c r="I243" i="14"/>
  <c r="M243" i="14" s="1"/>
  <c r="K242" i="14"/>
  <c r="I242" i="14"/>
  <c r="M242" i="14" s="1"/>
  <c r="K241" i="14"/>
  <c r="I241" i="14"/>
  <c r="M241" i="14" s="1"/>
  <c r="I240" i="14"/>
  <c r="M240" i="14" s="1"/>
  <c r="K239" i="14"/>
  <c r="I239" i="14"/>
  <c r="M239" i="14" s="1"/>
  <c r="K238" i="14"/>
  <c r="I238" i="14"/>
  <c r="M238" i="14" s="1"/>
  <c r="K237" i="14"/>
  <c r="I237" i="14"/>
  <c r="M237" i="14" s="1"/>
  <c r="K236" i="14"/>
  <c r="I236" i="14"/>
  <c r="M236" i="14" s="1"/>
  <c r="K235" i="14"/>
  <c r="I235" i="14"/>
  <c r="M235" i="14" s="1"/>
  <c r="K234" i="14"/>
  <c r="I234" i="14"/>
  <c r="M234" i="14" s="1"/>
  <c r="K233" i="14"/>
  <c r="I233" i="14"/>
  <c r="M233" i="14" s="1"/>
  <c r="I232" i="14"/>
  <c r="M232" i="14" s="1"/>
  <c r="K231" i="14"/>
  <c r="I231" i="14"/>
  <c r="M231" i="14" s="1"/>
  <c r="K230" i="14"/>
  <c r="I230" i="14"/>
  <c r="M230" i="14" s="1"/>
  <c r="K229" i="14"/>
  <c r="I229" i="14"/>
  <c r="M229" i="14" s="1"/>
  <c r="K228" i="14"/>
  <c r="I228" i="14"/>
  <c r="M228" i="14" s="1"/>
  <c r="K227" i="14"/>
  <c r="I227" i="14"/>
  <c r="M227" i="14" s="1"/>
  <c r="K226" i="14"/>
  <c r="I226" i="14"/>
  <c r="M226" i="14" s="1"/>
  <c r="K225" i="14"/>
  <c r="I225" i="14"/>
  <c r="M225" i="14" s="1"/>
  <c r="I224" i="14"/>
  <c r="M224" i="14" s="1"/>
  <c r="K223" i="14"/>
  <c r="I223" i="14"/>
  <c r="M223" i="14" s="1"/>
  <c r="K222" i="14"/>
  <c r="I222" i="14"/>
  <c r="M222" i="14" s="1"/>
  <c r="K221" i="14"/>
  <c r="I221" i="14"/>
  <c r="M221" i="14" s="1"/>
  <c r="I220" i="14"/>
  <c r="M220" i="14" s="1"/>
  <c r="K219" i="14"/>
  <c r="I219" i="14"/>
  <c r="M219" i="14" s="1"/>
  <c r="K218" i="14"/>
  <c r="I218" i="14"/>
  <c r="M218" i="14" s="1"/>
  <c r="K217" i="14"/>
  <c r="I217" i="14"/>
  <c r="M217" i="14" s="1"/>
  <c r="I216" i="14"/>
  <c r="M216" i="14" s="1"/>
  <c r="K215" i="14"/>
  <c r="I215" i="14"/>
  <c r="M215" i="14" s="1"/>
  <c r="K214" i="14"/>
  <c r="I214" i="14"/>
  <c r="M214" i="14" s="1"/>
  <c r="K213" i="14"/>
  <c r="I213" i="14"/>
  <c r="M213" i="14" s="1"/>
  <c r="K212" i="14"/>
  <c r="I212" i="14"/>
  <c r="M212" i="14" s="1"/>
  <c r="K211" i="14"/>
  <c r="I211" i="14"/>
  <c r="M211" i="14" s="1"/>
  <c r="K210" i="14"/>
  <c r="I210" i="14"/>
  <c r="M210" i="14" s="1"/>
  <c r="K209" i="14"/>
  <c r="I209" i="14"/>
  <c r="M209" i="14" s="1"/>
  <c r="I208" i="14"/>
  <c r="M208" i="14" s="1"/>
  <c r="K207" i="14"/>
  <c r="I207" i="14"/>
  <c r="M207" i="14" s="1"/>
  <c r="K206" i="14"/>
  <c r="I206" i="14"/>
  <c r="M206" i="14" s="1"/>
  <c r="K205" i="14"/>
  <c r="I205" i="14"/>
  <c r="M205" i="14" s="1"/>
  <c r="K204" i="14"/>
  <c r="I204" i="14"/>
  <c r="M204" i="14" s="1"/>
  <c r="K203" i="14"/>
  <c r="I203" i="14"/>
  <c r="M203" i="14" s="1"/>
  <c r="K202" i="14"/>
  <c r="I202" i="14"/>
  <c r="M202" i="14" s="1"/>
  <c r="K201" i="14"/>
  <c r="I201" i="14"/>
  <c r="M201" i="14" s="1"/>
  <c r="I200" i="14"/>
  <c r="M200" i="14" s="1"/>
  <c r="K199" i="14"/>
  <c r="I199" i="14"/>
  <c r="M199" i="14" s="1"/>
  <c r="K198" i="14"/>
  <c r="I198" i="14"/>
  <c r="M198" i="14" s="1"/>
  <c r="K197" i="14"/>
  <c r="I197" i="14"/>
  <c r="M197" i="14" s="1"/>
  <c r="K196" i="14"/>
  <c r="I196" i="14"/>
  <c r="M196" i="14" s="1"/>
  <c r="K195" i="14"/>
  <c r="I195" i="14"/>
  <c r="M195" i="14" s="1"/>
  <c r="K194" i="14"/>
  <c r="I194" i="14"/>
  <c r="M194" i="14" s="1"/>
  <c r="K193" i="14"/>
  <c r="I193" i="14"/>
  <c r="M193" i="14" s="1"/>
  <c r="I192" i="14"/>
  <c r="M192" i="14" s="1"/>
  <c r="K191" i="14"/>
  <c r="I191" i="14"/>
  <c r="M191" i="14" s="1"/>
  <c r="K190" i="14"/>
  <c r="I190" i="14"/>
  <c r="M190" i="14" s="1"/>
  <c r="K189" i="14"/>
  <c r="I189" i="14"/>
  <c r="M189" i="14" s="1"/>
  <c r="K188" i="14"/>
  <c r="I188" i="14"/>
  <c r="M188" i="14" s="1"/>
  <c r="K187" i="14"/>
  <c r="I187" i="14"/>
  <c r="M187" i="14" s="1"/>
  <c r="K186" i="14"/>
  <c r="I186" i="14"/>
  <c r="M186" i="14" s="1"/>
  <c r="K185" i="14"/>
  <c r="I185" i="14"/>
  <c r="M185" i="14" s="1"/>
  <c r="I184" i="14"/>
  <c r="M184" i="14" s="1"/>
  <c r="K183" i="14"/>
  <c r="I183" i="14"/>
  <c r="M183" i="14" s="1"/>
  <c r="K182" i="14"/>
  <c r="I182" i="14"/>
  <c r="M182" i="14" s="1"/>
  <c r="K181" i="14"/>
  <c r="I181" i="14"/>
  <c r="M181" i="14" s="1"/>
  <c r="K180" i="14"/>
  <c r="I180" i="14"/>
  <c r="M180" i="14" s="1"/>
  <c r="K179" i="14"/>
  <c r="I179" i="14"/>
  <c r="M179" i="14" s="1"/>
  <c r="K178" i="14"/>
  <c r="I178" i="14"/>
  <c r="M178" i="14" s="1"/>
  <c r="K177" i="14"/>
  <c r="I177" i="14"/>
  <c r="M177" i="14" s="1"/>
  <c r="I176" i="14"/>
  <c r="M176" i="14" s="1"/>
  <c r="K175" i="14"/>
  <c r="I175" i="14"/>
  <c r="M175" i="14" s="1"/>
  <c r="K174" i="14"/>
  <c r="I174" i="14"/>
  <c r="M174" i="14" s="1"/>
  <c r="K173" i="14"/>
  <c r="I173" i="14"/>
  <c r="M173" i="14" s="1"/>
  <c r="I172" i="14"/>
  <c r="M172" i="14" s="1"/>
  <c r="K171" i="14"/>
  <c r="I171" i="14"/>
  <c r="M171" i="14" s="1"/>
  <c r="K170" i="14"/>
  <c r="I170" i="14"/>
  <c r="M170" i="14" s="1"/>
  <c r="K169" i="14"/>
  <c r="I169" i="14"/>
  <c r="M169" i="14" s="1"/>
  <c r="I168" i="14"/>
  <c r="M168" i="14" s="1"/>
  <c r="K167" i="14"/>
  <c r="I167" i="14"/>
  <c r="M167" i="14" s="1"/>
  <c r="K166" i="14"/>
  <c r="I166" i="14"/>
  <c r="M166" i="14" s="1"/>
  <c r="K165" i="14"/>
  <c r="I165" i="14"/>
  <c r="M165" i="14" s="1"/>
  <c r="K164" i="14"/>
  <c r="I164" i="14"/>
  <c r="M164" i="14" s="1"/>
  <c r="I163" i="14"/>
  <c r="M163" i="14" s="1"/>
  <c r="K162" i="14"/>
  <c r="I162" i="14"/>
  <c r="M162" i="14" s="1"/>
  <c r="K161" i="14"/>
  <c r="I161" i="14"/>
  <c r="M161" i="14" s="1"/>
  <c r="I160" i="14"/>
  <c r="M160" i="14" s="1"/>
  <c r="K159" i="14"/>
  <c r="I159" i="14"/>
  <c r="M159" i="14" s="1"/>
  <c r="K158" i="14"/>
  <c r="I158" i="14"/>
  <c r="M158" i="14" s="1"/>
  <c r="K157" i="14"/>
  <c r="I157" i="14"/>
  <c r="M157" i="14" s="1"/>
  <c r="K156" i="14"/>
  <c r="I156" i="14"/>
  <c r="M156" i="14" s="1"/>
  <c r="K155" i="14"/>
  <c r="I155" i="14"/>
  <c r="M155" i="14" s="1"/>
  <c r="K154" i="14"/>
  <c r="I154" i="14"/>
  <c r="M154" i="14" s="1"/>
  <c r="K153" i="14"/>
  <c r="I153" i="14"/>
  <c r="M153" i="14" s="1"/>
  <c r="I152" i="14"/>
  <c r="M152" i="14" s="1"/>
  <c r="K151" i="14"/>
  <c r="I151" i="14"/>
  <c r="M151" i="14" s="1"/>
  <c r="K150" i="14"/>
  <c r="I150" i="14"/>
  <c r="M150" i="14" s="1"/>
  <c r="K149" i="14"/>
  <c r="I149" i="14"/>
  <c r="M149" i="14" s="1"/>
  <c r="I148" i="14"/>
  <c r="M148" i="14" s="1"/>
  <c r="K147" i="14"/>
  <c r="I147" i="14"/>
  <c r="M147" i="14" s="1"/>
  <c r="K146" i="14"/>
  <c r="I146" i="14"/>
  <c r="M146" i="14" s="1"/>
  <c r="K145" i="14"/>
  <c r="I145" i="14"/>
  <c r="M145" i="14" s="1"/>
  <c r="I144" i="14"/>
  <c r="M144" i="14" s="1"/>
  <c r="K143" i="14"/>
  <c r="I143" i="14"/>
  <c r="M143" i="14" s="1"/>
  <c r="K142" i="14"/>
  <c r="I142" i="14"/>
  <c r="M142" i="14" s="1"/>
  <c r="K141" i="14"/>
  <c r="I141" i="14"/>
  <c r="M141" i="14" s="1"/>
  <c r="K140" i="14"/>
  <c r="I140" i="14"/>
  <c r="M140" i="14" s="1"/>
  <c r="I139" i="14"/>
  <c r="M139" i="14" s="1"/>
  <c r="K138" i="14"/>
  <c r="I138" i="14"/>
  <c r="M138" i="14" s="1"/>
  <c r="K137" i="14"/>
  <c r="I137" i="14"/>
  <c r="M137" i="14" s="1"/>
  <c r="I136" i="14"/>
  <c r="M136" i="14" s="1"/>
  <c r="K135" i="14"/>
  <c r="I135" i="14"/>
  <c r="M135" i="14" s="1"/>
  <c r="K134" i="14"/>
  <c r="I134" i="14"/>
  <c r="M134" i="14" s="1"/>
  <c r="K133" i="14"/>
  <c r="I133" i="14"/>
  <c r="M133" i="14" s="1"/>
  <c r="K132" i="14"/>
  <c r="I132" i="14"/>
  <c r="M132" i="14" s="1"/>
  <c r="K131" i="14"/>
  <c r="I131" i="14"/>
  <c r="M131" i="14" s="1"/>
  <c r="K130" i="14"/>
  <c r="I130" i="14"/>
  <c r="M130" i="14" s="1"/>
  <c r="K129" i="14"/>
  <c r="I129" i="14"/>
  <c r="M129" i="14" s="1"/>
  <c r="I128" i="14"/>
  <c r="M128" i="14" s="1"/>
  <c r="K127" i="14"/>
  <c r="I127" i="14"/>
  <c r="M127" i="14" s="1"/>
  <c r="K126" i="14"/>
  <c r="I126" i="14"/>
  <c r="M126" i="14" s="1"/>
  <c r="K125" i="14"/>
  <c r="I125" i="14"/>
  <c r="M125" i="14" s="1"/>
  <c r="I124" i="14"/>
  <c r="M124" i="14" s="1"/>
  <c r="K123" i="14"/>
  <c r="I123" i="14"/>
  <c r="M123" i="14" s="1"/>
  <c r="K122" i="14"/>
  <c r="I122" i="14"/>
  <c r="M122" i="14" s="1"/>
  <c r="K121" i="14"/>
  <c r="I121" i="14"/>
  <c r="M121" i="14" s="1"/>
  <c r="I120" i="14"/>
  <c r="M120" i="14" s="1"/>
  <c r="K119" i="14"/>
  <c r="I119" i="14"/>
  <c r="M119" i="14" s="1"/>
  <c r="K118" i="14"/>
  <c r="I118" i="14"/>
  <c r="M118" i="14" s="1"/>
  <c r="K117" i="14"/>
  <c r="I117" i="14"/>
  <c r="M117" i="14" s="1"/>
  <c r="K116" i="14"/>
  <c r="I116" i="14"/>
  <c r="M116" i="14" s="1"/>
  <c r="I115" i="14"/>
  <c r="M115" i="14" s="1"/>
  <c r="K114" i="14"/>
  <c r="I114" i="14"/>
  <c r="M114" i="14" s="1"/>
  <c r="K113" i="14"/>
  <c r="I113" i="14"/>
  <c r="M113" i="14" s="1"/>
  <c r="I112" i="14"/>
  <c r="M112" i="14" s="1"/>
  <c r="K111" i="14"/>
  <c r="I111" i="14"/>
  <c r="M111" i="14" s="1"/>
  <c r="K110" i="14"/>
  <c r="I110" i="14"/>
  <c r="M110" i="14" s="1"/>
  <c r="K109" i="14"/>
  <c r="I109" i="14"/>
  <c r="M109" i="14" s="1"/>
  <c r="K108" i="14"/>
  <c r="I108" i="14"/>
  <c r="M108" i="14" s="1"/>
  <c r="K107" i="14"/>
  <c r="I107" i="14"/>
  <c r="M107" i="14" s="1"/>
  <c r="K106" i="14"/>
  <c r="I106" i="14"/>
  <c r="M106" i="14" s="1"/>
  <c r="K105" i="14"/>
  <c r="I105" i="14"/>
  <c r="M105" i="14" s="1"/>
  <c r="I104" i="14"/>
  <c r="M104" i="14" s="1"/>
  <c r="K103" i="14"/>
  <c r="I103" i="14"/>
  <c r="M103" i="14" s="1"/>
  <c r="K102" i="14"/>
  <c r="I102" i="14"/>
  <c r="M102" i="14" s="1"/>
  <c r="K101" i="14"/>
  <c r="I101" i="14"/>
  <c r="M101" i="14" s="1"/>
  <c r="I100" i="14"/>
  <c r="M100" i="14" s="1"/>
  <c r="K99" i="14"/>
  <c r="I99" i="14"/>
  <c r="M99" i="14" s="1"/>
  <c r="K98" i="14"/>
  <c r="I98" i="14"/>
  <c r="M98" i="14" s="1"/>
  <c r="K97" i="14"/>
  <c r="I97" i="14"/>
  <c r="M97" i="14" s="1"/>
  <c r="I96" i="14"/>
  <c r="M96" i="14" s="1"/>
  <c r="K95" i="14"/>
  <c r="I95" i="14"/>
  <c r="M95" i="14" s="1"/>
  <c r="K94" i="14"/>
  <c r="I94" i="14"/>
  <c r="M94" i="14" s="1"/>
  <c r="K93" i="14"/>
  <c r="I93" i="14"/>
  <c r="M93" i="14" s="1"/>
  <c r="K92" i="14"/>
  <c r="I92" i="14"/>
  <c r="M92" i="14" s="1"/>
  <c r="I91" i="14"/>
  <c r="M91" i="14" s="1"/>
  <c r="K90" i="14"/>
  <c r="I90" i="14"/>
  <c r="M90" i="14" s="1"/>
  <c r="K89" i="14"/>
  <c r="I89" i="14"/>
  <c r="M89" i="14" s="1"/>
  <c r="I88" i="14"/>
  <c r="M88" i="14" s="1"/>
  <c r="K87" i="14"/>
  <c r="I87" i="14"/>
  <c r="M87" i="14" s="1"/>
  <c r="K86" i="14"/>
  <c r="I86" i="14"/>
  <c r="M86" i="14" s="1"/>
  <c r="K85" i="14"/>
  <c r="I85" i="14"/>
  <c r="M85" i="14" s="1"/>
  <c r="K84" i="14"/>
  <c r="I84" i="14"/>
  <c r="M84" i="14" s="1"/>
  <c r="K83" i="14"/>
  <c r="I83" i="14"/>
  <c r="M83" i="14" s="1"/>
  <c r="K82" i="14"/>
  <c r="I82" i="14"/>
  <c r="M82" i="14" s="1"/>
  <c r="K81" i="14"/>
  <c r="I81" i="14"/>
  <c r="M81" i="14" s="1"/>
  <c r="I80" i="14"/>
  <c r="M80" i="14" s="1"/>
  <c r="K79" i="14"/>
  <c r="I79" i="14"/>
  <c r="M79" i="14" s="1"/>
  <c r="K78" i="14"/>
  <c r="I78" i="14"/>
  <c r="M78" i="14" s="1"/>
  <c r="K77" i="14"/>
  <c r="I77" i="14"/>
  <c r="M77" i="14" s="1"/>
  <c r="I76" i="14"/>
  <c r="M76" i="14" s="1"/>
  <c r="K75" i="14"/>
  <c r="I75" i="14"/>
  <c r="M75" i="14" s="1"/>
  <c r="K74" i="14"/>
  <c r="I74" i="14"/>
  <c r="M74" i="14" s="1"/>
  <c r="K73" i="14"/>
  <c r="I73" i="14"/>
  <c r="M73" i="14" s="1"/>
  <c r="I72" i="14"/>
  <c r="M72" i="14" s="1"/>
  <c r="K71" i="14"/>
  <c r="I71" i="14"/>
  <c r="M71" i="14" s="1"/>
  <c r="K70" i="14"/>
  <c r="I70" i="14"/>
  <c r="M70" i="14" s="1"/>
  <c r="K69" i="14"/>
  <c r="I69" i="14"/>
  <c r="M69" i="14" s="1"/>
  <c r="K68" i="14"/>
  <c r="I68" i="14"/>
  <c r="M68" i="14" s="1"/>
  <c r="K67" i="14"/>
  <c r="I67" i="14"/>
  <c r="M67" i="14" s="1"/>
  <c r="K66" i="14"/>
  <c r="I66" i="14"/>
  <c r="M66" i="14" s="1"/>
  <c r="K65" i="14"/>
  <c r="I65" i="14"/>
  <c r="M65" i="14" s="1"/>
  <c r="B65" i="14"/>
  <c r="I64" i="14"/>
  <c r="M64" i="14" s="1"/>
  <c r="B64" i="14"/>
  <c r="K63" i="14"/>
  <c r="I63" i="14"/>
  <c r="M63" i="14" s="1"/>
  <c r="B63" i="14"/>
  <c r="K62" i="14"/>
  <c r="I62" i="14"/>
  <c r="M62" i="14" s="1"/>
  <c r="B62" i="14"/>
  <c r="K61" i="14"/>
  <c r="I61" i="14"/>
  <c r="M61" i="14" s="1"/>
  <c r="B61" i="14"/>
  <c r="K60" i="14"/>
  <c r="I60" i="14"/>
  <c r="M60" i="14" s="1"/>
  <c r="B60" i="14"/>
  <c r="K59" i="14"/>
  <c r="I59" i="14"/>
  <c r="M59" i="14" s="1"/>
  <c r="B59" i="14"/>
  <c r="K58" i="14"/>
  <c r="I58" i="14"/>
  <c r="M58" i="14" s="1"/>
  <c r="B58" i="14"/>
  <c r="K57" i="14"/>
  <c r="I57" i="14"/>
  <c r="M57" i="14" s="1"/>
  <c r="B57" i="14"/>
  <c r="I56" i="14"/>
  <c r="M56" i="14" s="1"/>
  <c r="B56" i="14"/>
  <c r="K55" i="14"/>
  <c r="I55" i="14"/>
  <c r="M55" i="14" s="1"/>
  <c r="B55" i="14"/>
  <c r="K54" i="14"/>
  <c r="I54" i="14"/>
  <c r="M54" i="14" s="1"/>
  <c r="B54" i="14"/>
  <c r="K53" i="14"/>
  <c r="I53" i="14"/>
  <c r="M53" i="14" s="1"/>
  <c r="B53" i="14"/>
  <c r="I52" i="14"/>
  <c r="M52" i="14" s="1"/>
  <c r="B52" i="14"/>
  <c r="K51" i="14"/>
  <c r="I51" i="14"/>
  <c r="M51" i="14" s="1"/>
  <c r="B51" i="14"/>
  <c r="K50" i="14"/>
  <c r="I50" i="14"/>
  <c r="M50" i="14" s="1"/>
  <c r="B50" i="14"/>
  <c r="K49" i="14"/>
  <c r="I49" i="14"/>
  <c r="M49" i="14" s="1"/>
  <c r="B49" i="14"/>
  <c r="I48" i="14"/>
  <c r="M48" i="14" s="1"/>
  <c r="B48" i="14"/>
  <c r="K47" i="14"/>
  <c r="I47" i="14"/>
  <c r="M47" i="14" s="1"/>
  <c r="B47" i="14"/>
  <c r="T46" i="14"/>
  <c r="R46" i="14"/>
  <c r="U46" i="14" s="1"/>
  <c r="K46" i="14"/>
  <c r="I46" i="14"/>
  <c r="M46" i="14" s="1"/>
  <c r="B46" i="14"/>
  <c r="K45" i="14"/>
  <c r="I45" i="14"/>
  <c r="M45" i="14" s="1"/>
  <c r="B45" i="14"/>
  <c r="K44" i="14"/>
  <c r="I44" i="14"/>
  <c r="M44" i="14" s="1"/>
  <c r="B44" i="14"/>
  <c r="I43" i="14"/>
  <c r="M43" i="14" s="1"/>
  <c r="B43" i="14"/>
  <c r="K42" i="14"/>
  <c r="I42" i="14"/>
  <c r="M42" i="14" s="1"/>
  <c r="B42" i="14"/>
  <c r="K41" i="14"/>
  <c r="I41" i="14"/>
  <c r="M41" i="14" s="1"/>
  <c r="B41" i="14"/>
  <c r="I40" i="14"/>
  <c r="M40" i="14" s="1"/>
  <c r="B40" i="14"/>
  <c r="K39" i="14"/>
  <c r="I39" i="14"/>
  <c r="M39" i="14" s="1"/>
  <c r="B39" i="14"/>
  <c r="K38" i="14"/>
  <c r="I38" i="14"/>
  <c r="M38" i="14" s="1"/>
  <c r="B38" i="14"/>
  <c r="K37" i="14"/>
  <c r="I37" i="14"/>
  <c r="B37" i="14"/>
  <c r="K36" i="14"/>
  <c r="I36" i="14"/>
  <c r="M36" i="14" s="1"/>
  <c r="A36" i="14" s="1"/>
  <c r="B36" i="14"/>
  <c r="K35" i="14"/>
  <c r="I35" i="14"/>
  <c r="B35" i="14"/>
  <c r="K34" i="14"/>
  <c r="I34" i="14"/>
  <c r="M34" i="14" s="1"/>
  <c r="B34" i="14"/>
  <c r="K33" i="14"/>
  <c r="I33" i="14"/>
  <c r="B33" i="14"/>
  <c r="I32" i="14"/>
  <c r="B32" i="14"/>
  <c r="I31" i="14"/>
  <c r="M31" i="14" s="1"/>
  <c r="B31" i="14"/>
  <c r="K30" i="14"/>
  <c r="I30" i="14"/>
  <c r="M30" i="14" s="1"/>
  <c r="B30" i="14"/>
  <c r="K29" i="14"/>
  <c r="I29" i="14"/>
  <c r="B29" i="14"/>
  <c r="I28" i="14"/>
  <c r="M28" i="14" s="1"/>
  <c r="B28" i="14"/>
  <c r="K27" i="14"/>
  <c r="I27" i="14"/>
  <c r="B27" i="14"/>
  <c r="K26" i="14"/>
  <c r="I26" i="14"/>
  <c r="B26" i="14"/>
  <c r="K25" i="14"/>
  <c r="I25" i="14"/>
  <c r="M25" i="14" s="1"/>
  <c r="B25" i="14"/>
  <c r="I24" i="14"/>
  <c r="B24" i="14"/>
  <c r="K23" i="14"/>
  <c r="I23" i="14"/>
  <c r="B23" i="14"/>
  <c r="K22" i="14"/>
  <c r="I22" i="14"/>
  <c r="M22" i="14" s="1"/>
  <c r="B22" i="14"/>
  <c r="K21" i="14"/>
  <c r="I21" i="14"/>
  <c r="M21" i="14" s="1"/>
  <c r="B21" i="14"/>
  <c r="K20" i="14"/>
  <c r="I20" i="14"/>
  <c r="M20" i="14" s="1"/>
  <c r="B20" i="14"/>
  <c r="I19" i="14"/>
  <c r="B19" i="14"/>
  <c r="K18" i="14"/>
  <c r="I18" i="14"/>
  <c r="M18" i="14" s="1"/>
  <c r="B18" i="14"/>
  <c r="K17" i="14"/>
  <c r="I17" i="14"/>
  <c r="M17" i="14" s="1"/>
  <c r="B17" i="14"/>
  <c r="I16" i="14"/>
  <c r="M16" i="14" s="1"/>
  <c r="B16" i="14"/>
  <c r="K15" i="14"/>
  <c r="I15" i="14"/>
  <c r="B15" i="14"/>
  <c r="AI14" i="14"/>
  <c r="K14" i="14"/>
  <c r="I14" i="14"/>
  <c r="M14" i="14" s="1"/>
  <c r="B14" i="14"/>
  <c r="AI13" i="14"/>
  <c r="K13" i="14"/>
  <c r="I13" i="14"/>
  <c r="M13" i="14" s="1"/>
  <c r="A13" i="14" s="1"/>
  <c r="B13" i="14"/>
  <c r="AI12" i="14"/>
  <c r="AI16" i="14" s="1"/>
  <c r="K12" i="14"/>
  <c r="I12" i="14"/>
  <c r="M12" i="14" s="1"/>
  <c r="B12" i="14"/>
  <c r="K11" i="14"/>
  <c r="I11" i="14"/>
  <c r="M11" i="14" s="1"/>
  <c r="B11" i="14"/>
  <c r="K10" i="14"/>
  <c r="I10" i="14"/>
  <c r="M10" i="14" s="1"/>
  <c r="B10" i="14"/>
  <c r="K9" i="14"/>
  <c r="I9" i="14"/>
  <c r="M9" i="14" s="1"/>
  <c r="B9" i="14"/>
  <c r="I8" i="14"/>
  <c r="M8" i="14" s="1"/>
  <c r="B8" i="14"/>
  <c r="I7" i="14"/>
  <c r="M7" i="14" s="1"/>
  <c r="E7" i="13"/>
  <c r="K6" i="14"/>
  <c r="M6" i="14"/>
  <c r="K2" i="14"/>
  <c r="L8" i="14" s="1"/>
  <c r="AS7" i="20" l="1"/>
  <c r="AS16" i="20"/>
  <c r="AS22" i="20"/>
  <c r="AS28" i="20"/>
  <c r="AS26" i="20"/>
  <c r="AS8" i="20"/>
  <c r="AS14" i="20"/>
  <c r="AS20" i="20"/>
  <c r="AS18" i="20"/>
  <c r="AS12" i="20"/>
  <c r="AS10" i="20"/>
  <c r="AS23" i="20"/>
  <c r="AS29" i="20"/>
  <c r="AS15" i="20"/>
  <c r="AS21" i="20"/>
  <c r="AS27" i="20"/>
  <c r="AS25" i="20"/>
  <c r="BA7" i="20"/>
  <c r="U11" i="13"/>
  <c r="U19" i="13"/>
  <c r="U29" i="20"/>
  <c r="U15" i="20"/>
  <c r="U6" i="20"/>
  <c r="V6" i="20" s="1"/>
  <c r="U18" i="13"/>
  <c r="V18" i="13" s="1"/>
  <c r="U12" i="13"/>
  <c r="U20" i="13"/>
  <c r="U21" i="13"/>
  <c r="U21" i="20"/>
  <c r="U10" i="13"/>
  <c r="U13" i="13"/>
  <c r="U19" i="20"/>
  <c r="V19" i="20" s="1"/>
  <c r="U28" i="20"/>
  <c r="V28" i="20" s="1"/>
  <c r="U26" i="20"/>
  <c r="U24" i="20"/>
  <c r="U22" i="20"/>
  <c r="U20" i="20"/>
  <c r="U18" i="20"/>
  <c r="U16" i="20"/>
  <c r="U14" i="20"/>
  <c r="V14" i="20" s="1"/>
  <c r="U12" i="20"/>
  <c r="V12" i="20" s="1"/>
  <c r="U10" i="20"/>
  <c r="U8" i="20"/>
  <c r="U14" i="13"/>
  <c r="U22" i="13"/>
  <c r="U23" i="13"/>
  <c r="U27" i="20"/>
  <c r="U13" i="20"/>
  <c r="V13" i="20" s="1"/>
  <c r="U9" i="20"/>
  <c r="V9" i="20" s="1"/>
  <c r="U6" i="13"/>
  <c r="U15" i="13"/>
  <c r="U25" i="20"/>
  <c r="U8" i="13"/>
  <c r="U16" i="13"/>
  <c r="U17" i="20"/>
  <c r="U9" i="13"/>
  <c r="V9" i="13" s="1"/>
  <c r="U17" i="13"/>
  <c r="V17" i="13" s="1"/>
  <c r="U23" i="20"/>
  <c r="U11" i="20"/>
  <c r="L26" i="20"/>
  <c r="L10" i="20"/>
  <c r="L25" i="20"/>
  <c r="L9" i="20"/>
  <c r="L22" i="20"/>
  <c r="L7" i="20"/>
  <c r="L21" i="20"/>
  <c r="L21" i="13"/>
  <c r="L20" i="20"/>
  <c r="L9" i="13"/>
  <c r="L19" i="20"/>
  <c r="L14" i="13"/>
  <c r="L23" i="13"/>
  <c r="L10" i="13"/>
  <c r="L19" i="13"/>
  <c r="L12" i="13"/>
  <c r="L22" i="13"/>
  <c r="L7" i="13"/>
  <c r="L16" i="13"/>
  <c r="L15" i="13"/>
  <c r="L6" i="13"/>
  <c r="L8" i="13"/>
  <c r="L18" i="20"/>
  <c r="L17" i="13"/>
  <c r="L17" i="20"/>
  <c r="L11" i="13"/>
  <c r="L16" i="20"/>
  <c r="L13" i="13"/>
  <c r="L15" i="20"/>
  <c r="L20" i="13"/>
  <c r="I6" i="13"/>
  <c r="I7" i="20"/>
  <c r="J7" i="20" s="1"/>
  <c r="I7" i="13"/>
  <c r="I29" i="20"/>
  <c r="J29" i="20" s="1"/>
  <c r="I28" i="20"/>
  <c r="J28" i="20" s="1"/>
  <c r="I27" i="20"/>
  <c r="J27" i="20" s="1"/>
  <c r="I26" i="20"/>
  <c r="J26" i="20" s="1"/>
  <c r="I25" i="20"/>
  <c r="J25" i="20" s="1"/>
  <c r="I24" i="20"/>
  <c r="J24" i="20" s="1"/>
  <c r="I23" i="20"/>
  <c r="J23" i="20" s="1"/>
  <c r="I22" i="20"/>
  <c r="J22" i="20" s="1"/>
  <c r="I21" i="20"/>
  <c r="J21" i="20" s="1"/>
  <c r="I20" i="20"/>
  <c r="J20" i="20" s="1"/>
  <c r="I19" i="20"/>
  <c r="J19" i="20" s="1"/>
  <c r="I18" i="20"/>
  <c r="J18" i="20" s="1"/>
  <c r="I17" i="20"/>
  <c r="J17" i="20" s="1"/>
  <c r="I16" i="20"/>
  <c r="J16" i="20" s="1"/>
  <c r="I15" i="20"/>
  <c r="J15" i="20" s="1"/>
  <c r="I14" i="20"/>
  <c r="J14" i="20" s="1"/>
  <c r="I13" i="20"/>
  <c r="J13" i="20" s="1"/>
  <c r="I12" i="20"/>
  <c r="J12" i="20" s="1"/>
  <c r="I11" i="20"/>
  <c r="J11" i="20" s="1"/>
  <c r="I10" i="20"/>
  <c r="J10" i="20" s="1"/>
  <c r="I9" i="20"/>
  <c r="J9" i="20" s="1"/>
  <c r="I8" i="20"/>
  <c r="J8" i="20" s="1"/>
  <c r="I6" i="20"/>
  <c r="J6" i="20" s="1"/>
  <c r="M8" i="16"/>
  <c r="AY7" i="20"/>
  <c r="AY6" i="20"/>
  <c r="AY8" i="20"/>
  <c r="AY9" i="20"/>
  <c r="AY10" i="20"/>
  <c r="AY11" i="20"/>
  <c r="AY12" i="20"/>
  <c r="AY13" i="20"/>
  <c r="AY14" i="20"/>
  <c r="AY15" i="20"/>
  <c r="AY16" i="20"/>
  <c r="AY17" i="20"/>
  <c r="AY18" i="20"/>
  <c r="AY19" i="20"/>
  <c r="AY20" i="20"/>
  <c r="AY21" i="20"/>
  <c r="AY22" i="20"/>
  <c r="AY23" i="20"/>
  <c r="AY24" i="20"/>
  <c r="AY25" i="20"/>
  <c r="AY26" i="20"/>
  <c r="AY27" i="20"/>
  <c r="AY28" i="20"/>
  <c r="AY29" i="20"/>
  <c r="M6" i="15"/>
  <c r="H7" i="20" s="1"/>
  <c r="G27" i="20"/>
  <c r="H27" i="20" s="1"/>
  <c r="G22" i="20"/>
  <c r="G18" i="20"/>
  <c r="H18" i="20" s="1"/>
  <c r="G14" i="20"/>
  <c r="H14" i="20" s="1"/>
  <c r="G10" i="20"/>
  <c r="G23" i="20"/>
  <c r="H23" i="20" s="1"/>
  <c r="G19" i="20"/>
  <c r="H19" i="20" s="1"/>
  <c r="G15" i="20"/>
  <c r="H15" i="20" s="1"/>
  <c r="G11" i="20"/>
  <c r="H11" i="20" s="1"/>
  <c r="G6" i="20"/>
  <c r="G29" i="20"/>
  <c r="H29" i="20" s="1"/>
  <c r="G24" i="20"/>
  <c r="H24" i="20" s="1"/>
  <c r="G20" i="20"/>
  <c r="G16" i="20"/>
  <c r="H16" i="20" s="1"/>
  <c r="G12" i="20"/>
  <c r="H12" i="20" s="1"/>
  <c r="G8" i="20"/>
  <c r="H8" i="20" s="1"/>
  <c r="G21" i="20"/>
  <c r="H21" i="20" s="1"/>
  <c r="G9" i="20"/>
  <c r="G28" i="20"/>
  <c r="H28" i="20" s="1"/>
  <c r="G26" i="20"/>
  <c r="H26" i="20" s="1"/>
  <c r="G25" i="20"/>
  <c r="G17" i="20"/>
  <c r="H17" i="20" s="1"/>
  <c r="G13" i="20"/>
  <c r="H13" i="20" s="1"/>
  <c r="G9" i="13"/>
  <c r="G13" i="13"/>
  <c r="H13" i="13" s="1"/>
  <c r="G17" i="13"/>
  <c r="G21" i="13"/>
  <c r="H21" i="13" s="1"/>
  <c r="G10" i="13"/>
  <c r="H10" i="13" s="1"/>
  <c r="G18" i="13"/>
  <c r="H18" i="13" s="1"/>
  <c r="G6" i="13"/>
  <c r="H6" i="13" s="1"/>
  <c r="G11" i="13"/>
  <c r="H11" i="13" s="1"/>
  <c r="G15" i="13"/>
  <c r="H15" i="13" s="1"/>
  <c r="G19" i="13"/>
  <c r="H19" i="13" s="1"/>
  <c r="G23" i="13"/>
  <c r="H23" i="13" s="1"/>
  <c r="G14" i="13"/>
  <c r="H14" i="13" s="1"/>
  <c r="G22" i="13"/>
  <c r="H22" i="13" s="1"/>
  <c r="G8" i="13"/>
  <c r="H8" i="13" s="1"/>
  <c r="G12" i="13"/>
  <c r="H12" i="13" s="1"/>
  <c r="G16" i="13"/>
  <c r="H16" i="13" s="1"/>
  <c r="G20" i="13"/>
  <c r="H20" i="13" s="1"/>
  <c r="F6" i="20"/>
  <c r="F8" i="20"/>
  <c r="F9" i="20"/>
  <c r="F10" i="20"/>
  <c r="F11" i="20"/>
  <c r="F12" i="20"/>
  <c r="F13" i="20"/>
  <c r="F14" i="20"/>
  <c r="F15" i="20"/>
  <c r="F16" i="20"/>
  <c r="F17" i="20"/>
  <c r="F18" i="20"/>
  <c r="F19" i="20"/>
  <c r="F20" i="20"/>
  <c r="F21" i="20"/>
  <c r="F22" i="20"/>
  <c r="F23" i="20"/>
  <c r="F24" i="20"/>
  <c r="F25" i="20"/>
  <c r="F26" i="20"/>
  <c r="F27" i="20"/>
  <c r="F28" i="20"/>
  <c r="F29" i="20"/>
  <c r="AK7" i="20"/>
  <c r="BF6" i="20" s="1"/>
  <c r="AK6" i="20"/>
  <c r="AK8" i="20"/>
  <c r="BF8" i="20" s="1"/>
  <c r="AK9" i="20"/>
  <c r="BF9" i="20" s="1"/>
  <c r="AK10" i="20"/>
  <c r="BF10" i="20" s="1"/>
  <c r="AK11" i="20"/>
  <c r="BF11" i="20" s="1"/>
  <c r="AK12" i="20"/>
  <c r="BF12" i="20" s="1"/>
  <c r="AK13" i="20"/>
  <c r="BF13" i="20" s="1"/>
  <c r="AK14" i="20"/>
  <c r="BF14" i="20" s="1"/>
  <c r="AK15" i="20"/>
  <c r="BF15" i="20" s="1"/>
  <c r="AK16" i="20"/>
  <c r="BF16" i="20" s="1"/>
  <c r="AK17" i="20"/>
  <c r="BF17" i="20" s="1"/>
  <c r="AK18" i="20"/>
  <c r="BF18" i="20" s="1"/>
  <c r="AK19" i="20"/>
  <c r="BF19" i="20" s="1"/>
  <c r="AK20" i="20"/>
  <c r="BF20" i="20" s="1"/>
  <c r="AK21" i="20"/>
  <c r="BF21" i="20" s="1"/>
  <c r="AK22" i="20"/>
  <c r="BF22" i="20" s="1"/>
  <c r="AK23" i="20"/>
  <c r="BF23" i="20" s="1"/>
  <c r="AK24" i="20"/>
  <c r="BF24" i="20" s="1"/>
  <c r="AK25" i="20"/>
  <c r="BF25" i="20" s="1"/>
  <c r="AK26" i="20"/>
  <c r="BF26" i="20" s="1"/>
  <c r="AK27" i="20"/>
  <c r="BF27" i="20" s="1"/>
  <c r="AK28" i="20"/>
  <c r="BF28" i="20" s="1"/>
  <c r="AK29" i="20"/>
  <c r="BF29" i="20" s="1"/>
  <c r="L8" i="19"/>
  <c r="L7" i="19"/>
  <c r="M7" i="19" s="1"/>
  <c r="N7" i="19" s="1"/>
  <c r="A7" i="19" s="1"/>
  <c r="L6" i="19"/>
  <c r="M6" i="19" s="1"/>
  <c r="N6" i="19" s="1"/>
  <c r="N9" i="19"/>
  <c r="A9" i="19" s="1"/>
  <c r="M9" i="19"/>
  <c r="N10" i="19"/>
  <c r="M10" i="19"/>
  <c r="N11" i="19"/>
  <c r="A11" i="19" s="1"/>
  <c r="M11" i="19"/>
  <c r="N12" i="19"/>
  <c r="M12" i="19"/>
  <c r="N13" i="19"/>
  <c r="A13" i="19" s="1"/>
  <c r="M13" i="19"/>
  <c r="N14" i="19"/>
  <c r="M14" i="19"/>
  <c r="N15" i="19"/>
  <c r="A15" i="19" s="1"/>
  <c r="M15" i="19"/>
  <c r="N16" i="19"/>
  <c r="A16" i="19" s="1"/>
  <c r="M16" i="19"/>
  <c r="N17" i="19"/>
  <c r="A17" i="19" s="1"/>
  <c r="M17" i="19"/>
  <c r="N18" i="19"/>
  <c r="A18" i="19" s="1"/>
  <c r="M18" i="19"/>
  <c r="N19" i="19"/>
  <c r="A19" i="19" s="1"/>
  <c r="M19" i="19"/>
  <c r="N20" i="19"/>
  <c r="M20" i="19"/>
  <c r="N21" i="19"/>
  <c r="A21" i="19" s="1"/>
  <c r="M21" i="19"/>
  <c r="N22" i="19"/>
  <c r="M22" i="19"/>
  <c r="N23" i="19"/>
  <c r="A23" i="19" s="1"/>
  <c r="M23" i="19"/>
  <c r="N24" i="19"/>
  <c r="A24" i="19" s="1"/>
  <c r="M24" i="19"/>
  <c r="N25" i="19"/>
  <c r="A25" i="19" s="1"/>
  <c r="M25" i="19"/>
  <c r="N26" i="19"/>
  <c r="M26" i="19"/>
  <c r="N27" i="19"/>
  <c r="A27" i="19" s="1"/>
  <c r="M27" i="19"/>
  <c r="N28" i="19"/>
  <c r="A28" i="19" s="1"/>
  <c r="M28" i="19"/>
  <c r="N29" i="19"/>
  <c r="A29" i="19" s="1"/>
  <c r="M29" i="19"/>
  <c r="N30" i="19"/>
  <c r="A30" i="19" s="1"/>
  <c r="M30" i="19"/>
  <c r="N31" i="19"/>
  <c r="A31" i="19" s="1"/>
  <c r="M31" i="19"/>
  <c r="N32" i="19"/>
  <c r="M32" i="19"/>
  <c r="N33" i="19"/>
  <c r="A33" i="19" s="1"/>
  <c r="M33" i="19"/>
  <c r="N34" i="19"/>
  <c r="A34" i="19" s="1"/>
  <c r="M34" i="19"/>
  <c r="N35" i="19"/>
  <c r="A35" i="19" s="1"/>
  <c r="M35" i="19"/>
  <c r="N36" i="19"/>
  <c r="A36" i="19" s="1"/>
  <c r="M36" i="19"/>
  <c r="N37" i="19"/>
  <c r="A37" i="19" s="1"/>
  <c r="M37" i="19"/>
  <c r="N38" i="19"/>
  <c r="M38" i="19"/>
  <c r="N39" i="19"/>
  <c r="A39" i="19" s="1"/>
  <c r="M39" i="19"/>
  <c r="N40" i="19"/>
  <c r="A40" i="19" s="1"/>
  <c r="M40" i="19"/>
  <c r="N41" i="19"/>
  <c r="A41" i="19" s="1"/>
  <c r="M41" i="19"/>
  <c r="N42" i="19"/>
  <c r="A42" i="19" s="1"/>
  <c r="M42" i="19"/>
  <c r="N43" i="19"/>
  <c r="A43" i="19" s="1"/>
  <c r="M43" i="19"/>
  <c r="N44" i="19"/>
  <c r="A44" i="19" s="1"/>
  <c r="M44" i="19"/>
  <c r="N45" i="19"/>
  <c r="A45" i="19" s="1"/>
  <c r="M45" i="19"/>
  <c r="N46" i="19"/>
  <c r="M46" i="19"/>
  <c r="N47" i="19"/>
  <c r="A47" i="19" s="1"/>
  <c r="M47" i="19"/>
  <c r="N48" i="19"/>
  <c r="A48" i="19" s="1"/>
  <c r="M48" i="19"/>
  <c r="N49" i="19"/>
  <c r="A49" i="19" s="1"/>
  <c r="M49" i="19"/>
  <c r="N50" i="19"/>
  <c r="A50" i="19" s="1"/>
  <c r="M50" i="19"/>
  <c r="N51" i="19"/>
  <c r="A51" i="19" s="1"/>
  <c r="M51" i="19"/>
  <c r="N52" i="19"/>
  <c r="A52" i="19" s="1"/>
  <c r="M52" i="19"/>
  <c r="N53" i="19"/>
  <c r="A53" i="19" s="1"/>
  <c r="M53" i="19"/>
  <c r="N54" i="19"/>
  <c r="A54" i="19" s="1"/>
  <c r="M54" i="19"/>
  <c r="N55" i="19"/>
  <c r="A55" i="19" s="1"/>
  <c r="M55" i="19"/>
  <c r="N56" i="19"/>
  <c r="A56" i="19" s="1"/>
  <c r="M56" i="19"/>
  <c r="N57" i="19"/>
  <c r="A57" i="19" s="1"/>
  <c r="M57" i="19"/>
  <c r="N58" i="19"/>
  <c r="A58" i="19" s="1"/>
  <c r="M58" i="19"/>
  <c r="N59" i="19"/>
  <c r="M59" i="19"/>
  <c r="N60" i="19"/>
  <c r="M60" i="19"/>
  <c r="N61" i="19"/>
  <c r="A61" i="19" s="1"/>
  <c r="M61" i="19"/>
  <c r="N62" i="19"/>
  <c r="A62" i="19" s="1"/>
  <c r="M62" i="19"/>
  <c r="N63" i="19"/>
  <c r="A63" i="19" s="1"/>
  <c r="M63" i="19"/>
  <c r="N64" i="19"/>
  <c r="A64" i="19" s="1"/>
  <c r="M64" i="19"/>
  <c r="N65" i="19"/>
  <c r="A65" i="19" s="1"/>
  <c r="M65" i="19"/>
  <c r="N66" i="19"/>
  <c r="M66" i="19"/>
  <c r="N67" i="19"/>
  <c r="A67" i="19" s="1"/>
  <c r="M67" i="19"/>
  <c r="N68" i="19"/>
  <c r="A68" i="19" s="1"/>
  <c r="M68" i="19"/>
  <c r="N69" i="19"/>
  <c r="M69" i="19"/>
  <c r="N70" i="19"/>
  <c r="M70" i="19"/>
  <c r="N71" i="19"/>
  <c r="M71" i="19"/>
  <c r="N72" i="19"/>
  <c r="M72" i="19"/>
  <c r="N73" i="19"/>
  <c r="A73" i="19" s="1"/>
  <c r="M73" i="19"/>
  <c r="N74" i="19"/>
  <c r="M74" i="19"/>
  <c r="N75" i="19"/>
  <c r="A75" i="19" s="1"/>
  <c r="M75" i="19"/>
  <c r="N76" i="19"/>
  <c r="M76" i="19"/>
  <c r="N77" i="19"/>
  <c r="A77" i="19" s="1"/>
  <c r="M77" i="19"/>
  <c r="N78" i="19"/>
  <c r="M78" i="19"/>
  <c r="N79" i="19"/>
  <c r="M79" i="19"/>
  <c r="N80" i="19"/>
  <c r="M80" i="19"/>
  <c r="N81" i="19"/>
  <c r="A81" i="19" s="1"/>
  <c r="M81" i="19"/>
  <c r="N82" i="19"/>
  <c r="M82" i="19"/>
  <c r="N83" i="19"/>
  <c r="A83" i="19" s="1"/>
  <c r="M83" i="19"/>
  <c r="N84" i="19"/>
  <c r="M84" i="19"/>
  <c r="N85" i="19"/>
  <c r="M85" i="19"/>
  <c r="N86" i="19"/>
  <c r="M86" i="19"/>
  <c r="N87" i="19"/>
  <c r="A87" i="19" s="1"/>
  <c r="M87" i="19"/>
  <c r="N88" i="19"/>
  <c r="M88" i="19"/>
  <c r="N89" i="19"/>
  <c r="A89" i="19" s="1"/>
  <c r="M89" i="19"/>
  <c r="N90" i="19"/>
  <c r="M90" i="19"/>
  <c r="N91" i="19"/>
  <c r="A91" i="19" s="1"/>
  <c r="M91" i="19"/>
  <c r="N92" i="19"/>
  <c r="M92" i="19"/>
  <c r="N93" i="19"/>
  <c r="A93" i="19" s="1"/>
  <c r="M93" i="19"/>
  <c r="N94" i="19"/>
  <c r="M94" i="19"/>
  <c r="N95" i="19"/>
  <c r="A95" i="19" s="1"/>
  <c r="M95" i="19"/>
  <c r="N96" i="19"/>
  <c r="M96" i="19"/>
  <c r="N97" i="19"/>
  <c r="A97" i="19" s="1"/>
  <c r="M97" i="19"/>
  <c r="N98" i="19"/>
  <c r="M98" i="19"/>
  <c r="N99" i="19"/>
  <c r="M99" i="19"/>
  <c r="N100" i="19"/>
  <c r="M100" i="19"/>
  <c r="N101" i="19"/>
  <c r="M101" i="19"/>
  <c r="N102" i="19"/>
  <c r="M102" i="19"/>
  <c r="N103" i="19"/>
  <c r="M103" i="19"/>
  <c r="N104" i="19"/>
  <c r="A104" i="19" s="1"/>
  <c r="M104" i="19"/>
  <c r="N105" i="19"/>
  <c r="A105" i="19" s="1"/>
  <c r="M105" i="19"/>
  <c r="N106" i="19"/>
  <c r="M106" i="19"/>
  <c r="N107" i="19"/>
  <c r="M107" i="19"/>
  <c r="N108" i="19"/>
  <c r="A108" i="19" s="1"/>
  <c r="M108" i="19"/>
  <c r="N109" i="19"/>
  <c r="A109" i="19" s="1"/>
  <c r="M109" i="19"/>
  <c r="N110" i="19"/>
  <c r="M110" i="19"/>
  <c r="N111" i="19"/>
  <c r="M111" i="19"/>
  <c r="N112" i="19"/>
  <c r="A112" i="19" s="1"/>
  <c r="M112" i="19"/>
  <c r="N113" i="19"/>
  <c r="A113" i="19" s="1"/>
  <c r="M113" i="19"/>
  <c r="N114" i="19"/>
  <c r="M114" i="19"/>
  <c r="N115" i="19"/>
  <c r="M115" i="19"/>
  <c r="N116" i="19"/>
  <c r="M116" i="19"/>
  <c r="N117" i="19"/>
  <c r="A117" i="19" s="1"/>
  <c r="M117" i="19"/>
  <c r="N118" i="19"/>
  <c r="M118" i="19"/>
  <c r="N119" i="19"/>
  <c r="A119" i="19" s="1"/>
  <c r="M119" i="19"/>
  <c r="N120" i="19"/>
  <c r="M120" i="19"/>
  <c r="N121" i="19"/>
  <c r="A121" i="19" s="1"/>
  <c r="M121" i="19"/>
  <c r="N122" i="19"/>
  <c r="M122" i="19"/>
  <c r="N123" i="19"/>
  <c r="A123" i="19" s="1"/>
  <c r="M123" i="19"/>
  <c r="N124" i="19"/>
  <c r="M124" i="19"/>
  <c r="N125" i="19"/>
  <c r="A125" i="19" s="1"/>
  <c r="M125" i="19"/>
  <c r="N126" i="19"/>
  <c r="M126" i="19"/>
  <c r="N127" i="19"/>
  <c r="A127" i="19" s="1"/>
  <c r="M127" i="19"/>
  <c r="N128" i="19"/>
  <c r="M128" i="19"/>
  <c r="N129" i="19"/>
  <c r="A129" i="19" s="1"/>
  <c r="M129" i="19"/>
  <c r="N130" i="19"/>
  <c r="M130" i="19"/>
  <c r="N131" i="19"/>
  <c r="A131" i="19" s="1"/>
  <c r="M131" i="19"/>
  <c r="N132" i="19"/>
  <c r="A132" i="19" s="1"/>
  <c r="M132" i="19"/>
  <c r="N133" i="19"/>
  <c r="A133" i="19" s="1"/>
  <c r="M133" i="19"/>
  <c r="N134" i="19"/>
  <c r="M134" i="19"/>
  <c r="N135" i="19"/>
  <c r="A135" i="19" s="1"/>
  <c r="M135" i="19"/>
  <c r="N136" i="19"/>
  <c r="A136" i="19" s="1"/>
  <c r="M136" i="19"/>
  <c r="N137" i="19"/>
  <c r="A137" i="19" s="1"/>
  <c r="M137" i="19"/>
  <c r="N138" i="19"/>
  <c r="M138" i="19"/>
  <c r="N139" i="19"/>
  <c r="A139" i="19" s="1"/>
  <c r="M139" i="19"/>
  <c r="N140" i="19"/>
  <c r="A140" i="19" s="1"/>
  <c r="M140" i="19"/>
  <c r="N141" i="19"/>
  <c r="A141" i="19" s="1"/>
  <c r="M141" i="19"/>
  <c r="N142" i="19"/>
  <c r="M142" i="19"/>
  <c r="N143" i="19"/>
  <c r="A143" i="19" s="1"/>
  <c r="M143" i="19"/>
  <c r="N144" i="19"/>
  <c r="A144" i="19" s="1"/>
  <c r="M144" i="19"/>
  <c r="N145" i="19"/>
  <c r="A145" i="19" s="1"/>
  <c r="M145" i="19"/>
  <c r="N146" i="19"/>
  <c r="M146" i="19"/>
  <c r="N147" i="19"/>
  <c r="M147" i="19"/>
  <c r="N148" i="19"/>
  <c r="A148" i="19" s="1"/>
  <c r="M148" i="19"/>
  <c r="N149" i="19"/>
  <c r="A149" i="19" s="1"/>
  <c r="M149" i="19"/>
  <c r="N150" i="19"/>
  <c r="M150" i="19"/>
  <c r="N151" i="19"/>
  <c r="A151" i="19" s="1"/>
  <c r="M151" i="19"/>
  <c r="N152" i="19"/>
  <c r="A152" i="19" s="1"/>
  <c r="M152" i="19"/>
  <c r="N153" i="19"/>
  <c r="A153" i="19" s="1"/>
  <c r="M153" i="19"/>
  <c r="N154" i="19"/>
  <c r="M154" i="19"/>
  <c r="N155" i="19"/>
  <c r="A155" i="19" s="1"/>
  <c r="M155" i="19"/>
  <c r="N156" i="19"/>
  <c r="A156" i="19" s="1"/>
  <c r="M156" i="19"/>
  <c r="N157" i="19"/>
  <c r="A157" i="19" s="1"/>
  <c r="M157" i="19"/>
  <c r="N158" i="19"/>
  <c r="M158" i="19"/>
  <c r="N159" i="19"/>
  <c r="A159" i="19" s="1"/>
  <c r="M159" i="19"/>
  <c r="N160" i="19"/>
  <c r="A160" i="19" s="1"/>
  <c r="M160" i="19"/>
  <c r="N161" i="19"/>
  <c r="A161" i="19" s="1"/>
  <c r="M161" i="19"/>
  <c r="N162" i="19"/>
  <c r="A162" i="19" s="1"/>
  <c r="M162" i="19"/>
  <c r="N163" i="19"/>
  <c r="A163" i="19" s="1"/>
  <c r="M163" i="19"/>
  <c r="N164" i="19"/>
  <c r="A164" i="19" s="1"/>
  <c r="M164" i="19"/>
  <c r="N165" i="19"/>
  <c r="A165" i="19" s="1"/>
  <c r="M165" i="19"/>
  <c r="N166" i="19"/>
  <c r="A166" i="19" s="1"/>
  <c r="M166" i="19"/>
  <c r="N167" i="19"/>
  <c r="A167" i="19" s="1"/>
  <c r="M167" i="19"/>
  <c r="N168" i="19"/>
  <c r="A168" i="19" s="1"/>
  <c r="M168" i="19"/>
  <c r="N169" i="19"/>
  <c r="A169" i="19" s="1"/>
  <c r="M169" i="19"/>
  <c r="N170" i="19"/>
  <c r="A170" i="19" s="1"/>
  <c r="M170" i="19"/>
  <c r="N171" i="19"/>
  <c r="A171" i="19" s="1"/>
  <c r="M171" i="19"/>
  <c r="N172" i="19"/>
  <c r="A172" i="19" s="1"/>
  <c r="M172" i="19"/>
  <c r="N173" i="19"/>
  <c r="A173" i="19" s="1"/>
  <c r="M173" i="19"/>
  <c r="N174" i="19"/>
  <c r="A174" i="19" s="1"/>
  <c r="M174" i="19"/>
  <c r="N175" i="19"/>
  <c r="M175" i="19"/>
  <c r="N176" i="19"/>
  <c r="A176" i="19" s="1"/>
  <c r="M176" i="19"/>
  <c r="N177" i="19"/>
  <c r="A177" i="19" s="1"/>
  <c r="M177" i="19"/>
  <c r="N178" i="19"/>
  <c r="A178" i="19" s="1"/>
  <c r="M178" i="19"/>
  <c r="N179" i="19"/>
  <c r="M179" i="19"/>
  <c r="N180" i="19"/>
  <c r="M180" i="19"/>
  <c r="N181" i="19"/>
  <c r="A181" i="19" s="1"/>
  <c r="M181" i="19"/>
  <c r="N182" i="19"/>
  <c r="M182" i="19"/>
  <c r="N183" i="19"/>
  <c r="M183" i="19"/>
  <c r="N184" i="19"/>
  <c r="A184" i="19" s="1"/>
  <c r="M184" i="19"/>
  <c r="N185" i="19"/>
  <c r="A185" i="19" s="1"/>
  <c r="M185" i="19"/>
  <c r="N186" i="19"/>
  <c r="M186" i="19"/>
  <c r="N187" i="19"/>
  <c r="M187" i="19"/>
  <c r="N188" i="19"/>
  <c r="A188" i="19" s="1"/>
  <c r="M188" i="19"/>
  <c r="N189" i="19"/>
  <c r="A189" i="19" s="1"/>
  <c r="M189" i="19"/>
  <c r="N190" i="19"/>
  <c r="M190" i="19"/>
  <c r="N191" i="19"/>
  <c r="M191" i="19"/>
  <c r="N192" i="19"/>
  <c r="A192" i="19" s="1"/>
  <c r="M192" i="19"/>
  <c r="N193" i="19"/>
  <c r="A193" i="19" s="1"/>
  <c r="M193" i="19"/>
  <c r="N194" i="19"/>
  <c r="M194" i="19"/>
  <c r="N195" i="19"/>
  <c r="M195" i="19"/>
  <c r="N196" i="19"/>
  <c r="M196" i="19"/>
  <c r="N197" i="19"/>
  <c r="M197" i="19"/>
  <c r="N198" i="19"/>
  <c r="M198" i="19"/>
  <c r="N199" i="19"/>
  <c r="M199" i="19"/>
  <c r="N200" i="19"/>
  <c r="A200" i="19" s="1"/>
  <c r="M200" i="19"/>
  <c r="N201" i="19"/>
  <c r="M201" i="19"/>
  <c r="N202" i="19"/>
  <c r="M202" i="19"/>
  <c r="N203" i="19"/>
  <c r="A203" i="19" s="1"/>
  <c r="M203" i="19"/>
  <c r="N204" i="19"/>
  <c r="A204" i="19" s="1"/>
  <c r="M204" i="19"/>
  <c r="N205" i="19"/>
  <c r="A205" i="19" s="1"/>
  <c r="M205" i="19"/>
  <c r="N206" i="19"/>
  <c r="M206" i="19"/>
  <c r="N207" i="19"/>
  <c r="A207" i="19" s="1"/>
  <c r="M207" i="19"/>
  <c r="N208" i="19"/>
  <c r="M208" i="19"/>
  <c r="N209" i="19"/>
  <c r="A209" i="19" s="1"/>
  <c r="M209" i="19"/>
  <c r="N210" i="19"/>
  <c r="M210" i="19"/>
  <c r="N211" i="19"/>
  <c r="A211" i="19" s="1"/>
  <c r="M211" i="19"/>
  <c r="N212" i="19"/>
  <c r="M212" i="19"/>
  <c r="N213" i="19"/>
  <c r="A213" i="19" s="1"/>
  <c r="M213" i="19"/>
  <c r="N214" i="19"/>
  <c r="M214" i="19"/>
  <c r="N215" i="19"/>
  <c r="A215" i="19" s="1"/>
  <c r="M215" i="19"/>
  <c r="N216" i="19"/>
  <c r="M216" i="19"/>
  <c r="N217" i="19"/>
  <c r="A217" i="19" s="1"/>
  <c r="M217" i="19"/>
  <c r="N218" i="19"/>
  <c r="M218" i="19"/>
  <c r="N219" i="19"/>
  <c r="A219" i="19" s="1"/>
  <c r="M219" i="19"/>
  <c r="N220" i="19"/>
  <c r="A220" i="19" s="1"/>
  <c r="M220" i="19"/>
  <c r="N221" i="19"/>
  <c r="A221" i="19" s="1"/>
  <c r="M221" i="19"/>
  <c r="N222" i="19"/>
  <c r="M222" i="19"/>
  <c r="N223" i="19"/>
  <c r="M223" i="19"/>
  <c r="N224" i="19"/>
  <c r="M224" i="19"/>
  <c r="N225" i="19"/>
  <c r="A225" i="19" s="1"/>
  <c r="M225" i="19"/>
  <c r="N226" i="19"/>
  <c r="M226" i="19"/>
  <c r="N227" i="19"/>
  <c r="M227" i="19"/>
  <c r="N228" i="19"/>
  <c r="M228" i="19"/>
  <c r="N229" i="19"/>
  <c r="A229" i="19" s="1"/>
  <c r="M229" i="19"/>
  <c r="N230" i="19"/>
  <c r="M230" i="19"/>
  <c r="N231" i="19"/>
  <c r="M231" i="19"/>
  <c r="N232" i="19"/>
  <c r="A232" i="19" s="1"/>
  <c r="M232" i="19"/>
  <c r="N233" i="19"/>
  <c r="A233" i="19" s="1"/>
  <c r="M233" i="19"/>
  <c r="N234" i="19"/>
  <c r="M234" i="19"/>
  <c r="N235" i="19"/>
  <c r="M235" i="19"/>
  <c r="N236" i="19"/>
  <c r="A236" i="19" s="1"/>
  <c r="M236" i="19"/>
  <c r="N237" i="19"/>
  <c r="A237" i="19" s="1"/>
  <c r="M237" i="19"/>
  <c r="N238" i="19"/>
  <c r="M238" i="19"/>
  <c r="N239" i="19"/>
  <c r="M239" i="19"/>
  <c r="N240" i="19"/>
  <c r="A240" i="19" s="1"/>
  <c r="M240" i="19"/>
  <c r="N241" i="19"/>
  <c r="A241" i="19" s="1"/>
  <c r="M241" i="19"/>
  <c r="N242" i="19"/>
  <c r="M242" i="19"/>
  <c r="N243" i="19"/>
  <c r="M243" i="19"/>
  <c r="N244" i="19"/>
  <c r="M244" i="19"/>
  <c r="N245" i="19"/>
  <c r="M245" i="19"/>
  <c r="N246" i="19"/>
  <c r="M246" i="19"/>
  <c r="N247" i="19"/>
  <c r="M247" i="19"/>
  <c r="N248" i="19"/>
  <c r="A248" i="19" s="1"/>
  <c r="M248" i="19"/>
  <c r="N249" i="19"/>
  <c r="M249" i="19"/>
  <c r="N250" i="19"/>
  <c r="M250" i="19"/>
  <c r="N251" i="19"/>
  <c r="A251" i="19" s="1"/>
  <c r="M251" i="19"/>
  <c r="N252" i="19"/>
  <c r="A252" i="19" s="1"/>
  <c r="M252" i="19"/>
  <c r="N253" i="19"/>
  <c r="A253" i="19" s="1"/>
  <c r="M253" i="19"/>
  <c r="N254" i="19"/>
  <c r="M254" i="19"/>
  <c r="N255" i="19"/>
  <c r="A255" i="19" s="1"/>
  <c r="M255" i="19"/>
  <c r="N256" i="19"/>
  <c r="M256" i="19"/>
  <c r="N257" i="19"/>
  <c r="A257" i="19" s="1"/>
  <c r="M257" i="19"/>
  <c r="N258" i="19"/>
  <c r="M258" i="19"/>
  <c r="N259" i="19"/>
  <c r="A259" i="19" s="1"/>
  <c r="M259" i="19"/>
  <c r="N260" i="19"/>
  <c r="M260" i="19"/>
  <c r="N261" i="19"/>
  <c r="A261" i="19" s="1"/>
  <c r="M261" i="19"/>
  <c r="N262" i="19"/>
  <c r="M262" i="19"/>
  <c r="N263" i="19"/>
  <c r="A263" i="19" s="1"/>
  <c r="M263" i="19"/>
  <c r="N264" i="19"/>
  <c r="M264" i="19"/>
  <c r="N265" i="19"/>
  <c r="A265" i="19" s="1"/>
  <c r="M265" i="19"/>
  <c r="N266" i="19"/>
  <c r="M266" i="19"/>
  <c r="N267" i="19"/>
  <c r="A267" i="19" s="1"/>
  <c r="M267" i="19"/>
  <c r="N268" i="19"/>
  <c r="A268" i="19" s="1"/>
  <c r="M268" i="19"/>
  <c r="N269" i="19"/>
  <c r="A269" i="19" s="1"/>
  <c r="M269" i="19"/>
  <c r="N270" i="19"/>
  <c r="M270" i="19"/>
  <c r="N271" i="19"/>
  <c r="M271" i="19"/>
  <c r="N272" i="19"/>
  <c r="M272" i="19"/>
  <c r="N273" i="19"/>
  <c r="A273" i="19" s="1"/>
  <c r="M273" i="19"/>
  <c r="N274" i="19"/>
  <c r="M274" i="19"/>
  <c r="N275" i="19"/>
  <c r="A275" i="19" s="1"/>
  <c r="M275" i="19"/>
  <c r="N276" i="19"/>
  <c r="M276" i="19"/>
  <c r="N277" i="19"/>
  <c r="A277" i="19" s="1"/>
  <c r="M277" i="19"/>
  <c r="N278" i="19"/>
  <c r="M278" i="19"/>
  <c r="N279" i="19"/>
  <c r="M279" i="19"/>
  <c r="N280" i="19"/>
  <c r="A280" i="19" s="1"/>
  <c r="M280" i="19"/>
  <c r="N281" i="19"/>
  <c r="A281" i="19" s="1"/>
  <c r="M281" i="19"/>
  <c r="N282" i="19"/>
  <c r="M282" i="19"/>
  <c r="N283" i="19"/>
  <c r="M283" i="19"/>
  <c r="N284" i="19"/>
  <c r="A284" i="19" s="1"/>
  <c r="M284" i="19"/>
  <c r="N285" i="19"/>
  <c r="A285" i="19" s="1"/>
  <c r="M285" i="19"/>
  <c r="N286" i="19"/>
  <c r="M286" i="19"/>
  <c r="N287" i="19"/>
  <c r="M287" i="19"/>
  <c r="N288" i="19"/>
  <c r="A288" i="19" s="1"/>
  <c r="M288" i="19"/>
  <c r="N289" i="19"/>
  <c r="A289" i="19" s="1"/>
  <c r="M289" i="19"/>
  <c r="N290" i="19"/>
  <c r="M290" i="19"/>
  <c r="N291" i="19"/>
  <c r="M291" i="19"/>
  <c r="N292" i="19"/>
  <c r="M292" i="19"/>
  <c r="N293" i="19"/>
  <c r="M293" i="19"/>
  <c r="N294" i="19"/>
  <c r="M294" i="19"/>
  <c r="N295" i="19"/>
  <c r="M295" i="19"/>
  <c r="N296" i="19"/>
  <c r="A296" i="19" s="1"/>
  <c r="M296" i="19"/>
  <c r="N297" i="19"/>
  <c r="M297" i="19"/>
  <c r="N298" i="19"/>
  <c r="M298" i="19"/>
  <c r="N299" i="19"/>
  <c r="A299" i="19" s="1"/>
  <c r="M299" i="19"/>
  <c r="N300" i="19"/>
  <c r="A300" i="19" s="1"/>
  <c r="M300" i="19"/>
  <c r="N301" i="19"/>
  <c r="A301" i="19" s="1"/>
  <c r="M301" i="19"/>
  <c r="N302" i="19"/>
  <c r="M302" i="19"/>
  <c r="N303" i="19"/>
  <c r="A303" i="19" s="1"/>
  <c r="M303" i="19"/>
  <c r="N304" i="19"/>
  <c r="M304" i="19"/>
  <c r="N305" i="19"/>
  <c r="A305" i="19" s="1"/>
  <c r="M305" i="19"/>
  <c r="L7" i="18"/>
  <c r="L8" i="18"/>
  <c r="L6" i="18"/>
  <c r="M9" i="18"/>
  <c r="A9" i="18" s="1"/>
  <c r="M10" i="18"/>
  <c r="A10" i="18" s="1"/>
  <c r="M11" i="18"/>
  <c r="A11" i="18" s="1"/>
  <c r="M12" i="18"/>
  <c r="A12" i="18" s="1"/>
  <c r="M14" i="18"/>
  <c r="A14" i="18" s="1"/>
  <c r="M17" i="18"/>
  <c r="A17" i="18" s="1"/>
  <c r="M18" i="18"/>
  <c r="A18" i="18" s="1"/>
  <c r="M19" i="18"/>
  <c r="A19" i="18" s="1"/>
  <c r="M20" i="18"/>
  <c r="A20" i="18" s="1"/>
  <c r="M21" i="18"/>
  <c r="A21" i="18" s="1"/>
  <c r="M22" i="18"/>
  <c r="A22" i="18" s="1"/>
  <c r="M23" i="18"/>
  <c r="A23" i="18" s="1"/>
  <c r="M24" i="18"/>
  <c r="A24" i="18" s="1"/>
  <c r="M25" i="18"/>
  <c r="A25" i="18" s="1"/>
  <c r="M27" i="18"/>
  <c r="A27" i="18" s="1"/>
  <c r="M28" i="18"/>
  <c r="A28" i="18" s="1"/>
  <c r="M29" i="18"/>
  <c r="A29" i="18" s="1"/>
  <c r="M30" i="18"/>
  <c r="A30" i="18" s="1"/>
  <c r="M31" i="18"/>
  <c r="A31" i="18" s="1"/>
  <c r="M32" i="18"/>
  <c r="A32" i="18" s="1"/>
  <c r="M33" i="18"/>
  <c r="A33" i="18" s="1"/>
  <c r="M34" i="18"/>
  <c r="A34" i="18" s="1"/>
  <c r="M35" i="18"/>
  <c r="A35" i="18" s="1"/>
  <c r="M36" i="18"/>
  <c r="A36" i="18" s="1"/>
  <c r="M37" i="18"/>
  <c r="A37" i="18" s="1"/>
  <c r="U46" i="18"/>
  <c r="M9" i="17"/>
  <c r="A9" i="17" s="1"/>
  <c r="M11" i="17"/>
  <c r="A11" i="17" s="1"/>
  <c r="M15" i="17"/>
  <c r="A15" i="17" s="1"/>
  <c r="M16" i="17"/>
  <c r="A16" i="17" s="1"/>
  <c r="M17" i="17"/>
  <c r="A17" i="17" s="1"/>
  <c r="M18" i="17"/>
  <c r="A18" i="17" s="1"/>
  <c r="M19" i="17"/>
  <c r="A19" i="17" s="1"/>
  <c r="M21" i="17"/>
  <c r="A21" i="17" s="1"/>
  <c r="M22" i="17"/>
  <c r="A22" i="17" s="1"/>
  <c r="M23" i="17"/>
  <c r="A23" i="17" s="1"/>
  <c r="M24" i="17"/>
  <c r="A24" i="17" s="1"/>
  <c r="M25" i="17"/>
  <c r="A25" i="17" s="1"/>
  <c r="M26" i="17"/>
  <c r="A26" i="17" s="1"/>
  <c r="M27" i="17"/>
  <c r="A27" i="17" s="1"/>
  <c r="M29" i="17"/>
  <c r="A29" i="17" s="1"/>
  <c r="M30" i="17"/>
  <c r="A30" i="17" s="1"/>
  <c r="M31" i="17"/>
  <c r="A31" i="17" s="1"/>
  <c r="M32" i="17"/>
  <c r="A32" i="17" s="1"/>
  <c r="M33" i="17"/>
  <c r="A33" i="17" s="1"/>
  <c r="M34" i="17"/>
  <c r="A34" i="17" s="1"/>
  <c r="M35" i="17"/>
  <c r="A35" i="17" s="1"/>
  <c r="M37" i="17"/>
  <c r="A37" i="17" s="1"/>
  <c r="M6" i="16"/>
  <c r="M7" i="16"/>
  <c r="I21" i="13"/>
  <c r="I13" i="13"/>
  <c r="I20" i="13"/>
  <c r="I12" i="13"/>
  <c r="I19" i="13"/>
  <c r="I11" i="13"/>
  <c r="I18" i="13"/>
  <c r="I10" i="13"/>
  <c r="I22" i="13"/>
  <c r="I14" i="13"/>
  <c r="I17" i="13"/>
  <c r="I9" i="13"/>
  <c r="I16" i="13"/>
  <c r="I8" i="13"/>
  <c r="I23" i="13"/>
  <c r="I15" i="13"/>
  <c r="A20" i="16"/>
  <c r="M30" i="16"/>
  <c r="A30" i="16" s="1"/>
  <c r="M15" i="16"/>
  <c r="A15" i="16" s="1"/>
  <c r="M31" i="16"/>
  <c r="A31" i="16" s="1"/>
  <c r="M9" i="16"/>
  <c r="A9" i="16" s="1"/>
  <c r="M33" i="16"/>
  <c r="A33" i="16" s="1"/>
  <c r="A22" i="16"/>
  <c r="M11" i="16"/>
  <c r="A11" i="16" s="1"/>
  <c r="A36" i="15"/>
  <c r="A15" i="15"/>
  <c r="A21" i="15"/>
  <c r="A22" i="15"/>
  <c r="M15" i="15"/>
  <c r="A9" i="15"/>
  <c r="A31" i="15"/>
  <c r="A37" i="15"/>
  <c r="M16" i="15"/>
  <c r="A16" i="15" s="1"/>
  <c r="A14" i="15"/>
  <c r="A23" i="15"/>
  <c r="M9" i="15"/>
  <c r="M25" i="15"/>
  <c r="A25" i="15" s="1"/>
  <c r="M33" i="15"/>
  <c r="A33" i="15" s="1"/>
  <c r="A24" i="15"/>
  <c r="A17" i="15"/>
  <c r="A29" i="15"/>
  <c r="M18" i="15"/>
  <c r="A18" i="15" s="1"/>
  <c r="A10" i="15"/>
  <c r="A32" i="15"/>
  <c r="A35" i="15"/>
  <c r="M19" i="15"/>
  <c r="A19" i="15" s="1"/>
  <c r="M27" i="15"/>
  <c r="A27" i="15" s="1"/>
  <c r="M35" i="15"/>
  <c r="H9" i="13"/>
  <c r="A8" i="14"/>
  <c r="F12" i="13"/>
  <c r="M29" i="14"/>
  <c r="A29" i="14" s="1"/>
  <c r="M37" i="14"/>
  <c r="A37" i="14" s="1"/>
  <c r="F20" i="13"/>
  <c r="A21" i="14"/>
  <c r="F6" i="13"/>
  <c r="F11" i="13"/>
  <c r="F15" i="13"/>
  <c r="F19" i="13"/>
  <c r="F23" i="13"/>
  <c r="F8" i="13"/>
  <c r="A11" i="14"/>
  <c r="M15" i="14"/>
  <c r="A15" i="14" s="1"/>
  <c r="M23" i="14"/>
  <c r="A23" i="14" s="1"/>
  <c r="A30" i="14"/>
  <c r="M24" i="14"/>
  <c r="A24" i="14" s="1"/>
  <c r="M32" i="14"/>
  <c r="A32" i="14" s="1"/>
  <c r="F10" i="13"/>
  <c r="F14" i="13"/>
  <c r="F18" i="13"/>
  <c r="F22" i="13"/>
  <c r="F16" i="13"/>
  <c r="A9" i="14"/>
  <c r="A12" i="14"/>
  <c r="A16" i="14"/>
  <c r="A22" i="14"/>
  <c r="M33" i="14"/>
  <c r="A33" i="14" s="1"/>
  <c r="A14" i="14"/>
  <c r="M26" i="14"/>
  <c r="A26" i="14" s="1"/>
  <c r="F9" i="13"/>
  <c r="F13" i="13"/>
  <c r="F17" i="13"/>
  <c r="F21" i="13"/>
  <c r="A25" i="14"/>
  <c r="A17" i="14"/>
  <c r="A20" i="14"/>
  <c r="A28" i="14"/>
  <c r="A31" i="14"/>
  <c r="M19" i="14"/>
  <c r="A19" i="14" s="1"/>
  <c r="M27" i="14"/>
  <c r="A27" i="14" s="1"/>
  <c r="M35" i="14"/>
  <c r="A35" i="14" s="1"/>
  <c r="A14" i="19"/>
  <c r="A130" i="19"/>
  <c r="A10" i="19"/>
  <c r="A134" i="19"/>
  <c r="A7" i="18"/>
  <c r="A20" i="17"/>
  <c r="A36" i="17"/>
  <c r="A28" i="17"/>
  <c r="A32" i="16"/>
  <c r="A28" i="16"/>
  <c r="A37" i="16"/>
  <c r="A13" i="16"/>
  <c r="A18" i="16"/>
  <c r="A6" i="18"/>
  <c r="A12" i="15"/>
  <c r="A28" i="15"/>
  <c r="A34" i="15"/>
  <c r="A20" i="15"/>
  <c r="A18" i="14"/>
  <c r="A34" i="14"/>
  <c r="A10" i="14"/>
  <c r="L7" i="14"/>
  <c r="A7" i="14" s="1"/>
  <c r="L6" i="15"/>
  <c r="L8" i="15"/>
  <c r="L6" i="14"/>
  <c r="A8" i="16"/>
  <c r="A8" i="15"/>
  <c r="A7" i="15"/>
  <c r="A7" i="16"/>
  <c r="L6" i="16"/>
  <c r="L8" i="16"/>
  <c r="A99" i="19"/>
  <c r="A103" i="19"/>
  <c r="A107" i="19"/>
  <c r="A111" i="19"/>
  <c r="A115" i="19"/>
  <c r="L6" i="17"/>
  <c r="L7" i="17"/>
  <c r="A7" i="17" s="1"/>
  <c r="AI16" i="17"/>
  <c r="L8" i="17"/>
  <c r="A8" i="17" s="1"/>
  <c r="A8" i="19"/>
  <c r="V7" i="13" s="1"/>
  <c r="A32" i="19"/>
  <c r="A72" i="19"/>
  <c r="A8" i="18"/>
  <c r="A86" i="19"/>
  <c r="A147" i="19"/>
  <c r="A59" i="19"/>
  <c r="A82" i="19"/>
  <c r="A78" i="19"/>
  <c r="A92" i="19"/>
  <c r="A96" i="19"/>
  <c r="A100" i="19"/>
  <c r="A116" i="19"/>
  <c r="A120" i="19"/>
  <c r="A124" i="19"/>
  <c r="A128" i="19"/>
  <c r="A12" i="19"/>
  <c r="A26" i="19"/>
  <c r="A88" i="19"/>
  <c r="A46" i="19"/>
  <c r="A60" i="19"/>
  <c r="A69" i="19"/>
  <c r="A74" i="19"/>
  <c r="A79" i="19"/>
  <c r="A84" i="19"/>
  <c r="A101" i="19"/>
  <c r="A154" i="19"/>
  <c r="A22" i="19"/>
  <c r="A70" i="19"/>
  <c r="A80" i="19"/>
  <c r="A20" i="19"/>
  <c r="A38" i="19"/>
  <c r="A66" i="19"/>
  <c r="A85" i="19"/>
  <c r="A90" i="19"/>
  <c r="A94" i="19"/>
  <c r="A98" i="19"/>
  <c r="A102" i="19"/>
  <c r="A106" i="19"/>
  <c r="A110" i="19"/>
  <c r="A114" i="19"/>
  <c r="A118" i="19"/>
  <c r="A122" i="19"/>
  <c r="A126" i="19"/>
  <c r="A71" i="19"/>
  <c r="A76" i="19"/>
  <c r="A142" i="19"/>
  <c r="A180" i="19"/>
  <c r="A186" i="19"/>
  <c r="A198" i="19"/>
  <c r="A210" i="19"/>
  <c r="A216" i="19"/>
  <c r="A222" i="19"/>
  <c r="A228" i="19"/>
  <c r="A234" i="19"/>
  <c r="A246" i="19"/>
  <c r="A258" i="19"/>
  <c r="A264" i="19"/>
  <c r="A270" i="19"/>
  <c r="A276" i="19"/>
  <c r="A282" i="19"/>
  <c r="A294" i="19"/>
  <c r="A146" i="19"/>
  <c r="A187" i="19"/>
  <c r="A199" i="19"/>
  <c r="A223" i="19"/>
  <c r="A235" i="19"/>
  <c r="A247" i="19"/>
  <c r="A271" i="19"/>
  <c r="A283" i="19"/>
  <c r="A295" i="19"/>
  <c r="A150" i="19"/>
  <c r="A182" i="19"/>
  <c r="A194" i="19"/>
  <c r="A206" i="19"/>
  <c r="A212" i="19"/>
  <c r="A218" i="19"/>
  <c r="A224" i="19"/>
  <c r="A230" i="19"/>
  <c r="A242" i="19"/>
  <c r="A254" i="19"/>
  <c r="A260" i="19"/>
  <c r="A266" i="19"/>
  <c r="A272" i="19"/>
  <c r="A278" i="19"/>
  <c r="A290" i="19"/>
  <c r="A302" i="19"/>
  <c r="A183" i="19"/>
  <c r="A195" i="19"/>
  <c r="A201" i="19"/>
  <c r="A231" i="19"/>
  <c r="A243" i="19"/>
  <c r="A249" i="19"/>
  <c r="A279" i="19"/>
  <c r="A291" i="19"/>
  <c r="A297" i="19"/>
  <c r="A158" i="19"/>
  <c r="A190" i="19"/>
  <c r="A196" i="19"/>
  <c r="A202" i="19"/>
  <c r="A208" i="19"/>
  <c r="A214" i="19"/>
  <c r="A226" i="19"/>
  <c r="A238" i="19"/>
  <c r="A244" i="19"/>
  <c r="A250" i="19"/>
  <c r="A256" i="19"/>
  <c r="A262" i="19"/>
  <c r="A274" i="19"/>
  <c r="A286" i="19"/>
  <c r="A292" i="19"/>
  <c r="A298" i="19"/>
  <c r="A304" i="19"/>
  <c r="A138" i="19"/>
  <c r="A175" i="19"/>
  <c r="A179" i="19"/>
  <c r="A191" i="19"/>
  <c r="A197" i="19"/>
  <c r="A227" i="19"/>
  <c r="A239" i="19"/>
  <c r="A245" i="19"/>
  <c r="A287" i="19"/>
  <c r="A293" i="19"/>
  <c r="D28" i="20" l="1"/>
  <c r="D14" i="20"/>
  <c r="BF7" i="20"/>
  <c r="V17" i="20"/>
  <c r="V27" i="20"/>
  <c r="V16" i="20"/>
  <c r="V13" i="13"/>
  <c r="V15" i="20"/>
  <c r="V16" i="13"/>
  <c r="V23" i="13"/>
  <c r="V18" i="20"/>
  <c r="D18" i="20" s="1"/>
  <c r="V10" i="13"/>
  <c r="V29" i="20"/>
  <c r="V20" i="20"/>
  <c r="V7" i="20"/>
  <c r="D7" i="20" s="1"/>
  <c r="V25" i="20"/>
  <c r="D25" i="20" s="1"/>
  <c r="V14" i="13"/>
  <c r="V22" i="20"/>
  <c r="V21" i="13"/>
  <c r="V11" i="13"/>
  <c r="V8" i="13"/>
  <c r="D8" i="13" s="1"/>
  <c r="V21" i="20"/>
  <c r="V11" i="20"/>
  <c r="D11" i="20" s="1"/>
  <c r="V15" i="13"/>
  <c r="V8" i="20"/>
  <c r="V24" i="20"/>
  <c r="V20" i="13"/>
  <c r="V22" i="13"/>
  <c r="V19" i="13"/>
  <c r="D19" i="13" s="1"/>
  <c r="V23" i="20"/>
  <c r="D23" i="20" s="1"/>
  <c r="V6" i="13"/>
  <c r="V10" i="20"/>
  <c r="V26" i="20"/>
  <c r="V12" i="13"/>
  <c r="J6" i="13"/>
  <c r="H17" i="13"/>
  <c r="D17" i="13" s="1"/>
  <c r="H25" i="20"/>
  <c r="H20" i="20"/>
  <c r="H10" i="20"/>
  <c r="H9" i="20"/>
  <c r="D9" i="20" s="1"/>
  <c r="H6" i="20"/>
  <c r="H22" i="20"/>
  <c r="N29" i="20"/>
  <c r="N27" i="20"/>
  <c r="N25" i="20"/>
  <c r="N7" i="13"/>
  <c r="N6" i="13"/>
  <c r="N8" i="13"/>
  <c r="N9" i="13"/>
  <c r="N10" i="13"/>
  <c r="N11" i="13"/>
  <c r="N12" i="13"/>
  <c r="N13" i="13"/>
  <c r="N14" i="13"/>
  <c r="N15" i="13"/>
  <c r="N16" i="13"/>
  <c r="N17" i="13"/>
  <c r="N18" i="13"/>
  <c r="N19" i="13"/>
  <c r="N20" i="13"/>
  <c r="N21" i="13"/>
  <c r="N22" i="13"/>
  <c r="N23" i="13"/>
  <c r="N7" i="20"/>
  <c r="N6" i="20"/>
  <c r="N8" i="20"/>
  <c r="N9" i="20"/>
  <c r="N10" i="20"/>
  <c r="N11" i="20"/>
  <c r="N12" i="20"/>
  <c r="D12" i="20" s="1"/>
  <c r="N13" i="20"/>
  <c r="D13" i="20" s="1"/>
  <c r="N14" i="20"/>
  <c r="N15" i="20"/>
  <c r="N16" i="20"/>
  <c r="N17" i="20"/>
  <c r="N18" i="20"/>
  <c r="N19" i="20"/>
  <c r="D19" i="20" s="1"/>
  <c r="N20" i="20"/>
  <c r="N21" i="20"/>
  <c r="N22" i="20"/>
  <c r="N23" i="20"/>
  <c r="N24" i="20"/>
  <c r="N26" i="20"/>
  <c r="N28" i="20"/>
  <c r="J7" i="13"/>
  <c r="J22" i="13"/>
  <c r="J21" i="13"/>
  <c r="J17" i="13"/>
  <c r="J20" i="13"/>
  <c r="J14" i="13"/>
  <c r="J13" i="13"/>
  <c r="J15" i="13"/>
  <c r="J10" i="13"/>
  <c r="J23" i="13"/>
  <c r="J18" i="13"/>
  <c r="D18" i="13" s="1"/>
  <c r="J8" i="13"/>
  <c r="J16" i="13"/>
  <c r="J19" i="13"/>
  <c r="J11" i="13"/>
  <c r="J9" i="13"/>
  <c r="D9" i="13" s="1"/>
  <c r="J12" i="13"/>
  <c r="H7" i="13"/>
  <c r="F7" i="13"/>
  <c r="D7" i="13" s="1"/>
  <c r="D17" i="20" l="1"/>
  <c r="D24" i="20"/>
  <c r="D22" i="20"/>
  <c r="D6" i="20"/>
  <c r="D26" i="20"/>
  <c r="D8" i="20"/>
  <c r="D10" i="20"/>
  <c r="D15" i="20"/>
  <c r="D21" i="20"/>
  <c r="D20" i="20"/>
  <c r="D16" i="20"/>
  <c r="D29" i="20"/>
  <c r="D27" i="20"/>
  <c r="D13" i="13"/>
  <c r="D22" i="13"/>
  <c r="D11" i="13"/>
  <c r="D10" i="13"/>
  <c r="D20" i="13"/>
  <c r="D21" i="13"/>
  <c r="D12" i="13"/>
  <c r="D23" i="13"/>
  <c r="D14" i="13"/>
  <c r="D16" i="13"/>
  <c r="D15" i="13"/>
  <c r="D6" i="1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<sst xmlns="http://schemas.openxmlformats.org/spreadsheetml/2006/main" count="1132" uniqueCount="204">
  <si>
    <t>Dołączył/a do kategorii w tym roku</t>
  </si>
  <si>
    <r>
      <rPr>
        <b/>
        <sz val="10"/>
        <color rgb="FFFFFFFF"/>
        <rFont val="Arial"/>
        <family val="2"/>
      </rPr>
      <t xml:space="preserve">Ranking Grand Prix Pucharu Polski Weteranów (PPW) sezon </t>
    </r>
    <r>
      <rPr>
        <b/>
        <sz val="10"/>
        <color rgb="FFFF0000"/>
        <rFont val="Arial"/>
        <family val="2"/>
      </rPr>
      <t>2023 - 2024</t>
    </r>
  </si>
  <si>
    <t>Na sumę punktów w rankingu skłąda się 6 najlepszych wyników (z 8 możliwych) w turniejach GP PPW oraz wynik z Mistrzostw Polski Weteranów.</t>
  </si>
  <si>
    <t>KOBIETY Kat. 2</t>
  </si>
  <si>
    <t>L.P.</t>
  </si>
  <si>
    <t>NAZWISKO Imię</t>
  </si>
  <si>
    <t>KLUB</t>
  </si>
  <si>
    <t>PUNKTY</t>
  </si>
  <si>
    <t>I GP</t>
  </si>
  <si>
    <t>II GP</t>
  </si>
  <si>
    <t>III GP</t>
  </si>
  <si>
    <t>IV GP</t>
  </si>
  <si>
    <t>V GP</t>
  </si>
  <si>
    <t>VI GP</t>
  </si>
  <si>
    <t>VII GP</t>
  </si>
  <si>
    <t>VIII GP</t>
  </si>
  <si>
    <t>MPW</t>
  </si>
  <si>
    <t>M</t>
  </si>
  <si>
    <t>P</t>
  </si>
  <si>
    <t>MILCZAREK Renata</t>
  </si>
  <si>
    <t>Liczba uczestników:</t>
  </si>
  <si>
    <t>GP Punkty</t>
  </si>
  <si>
    <t>Bonus za rundę</t>
  </si>
  <si>
    <t>Mnożnik za podium</t>
  </si>
  <si>
    <t>miejsce:</t>
  </si>
  <si>
    <t>PABIANICE</t>
  </si>
  <si>
    <t xml:space="preserve"> data:</t>
  </si>
  <si>
    <t>15.01.2023</t>
  </si>
  <si>
    <t>Punkty</t>
  </si>
  <si>
    <t>Miejsce
Place</t>
  </si>
  <si>
    <t>Nazwisko Imię
Name</t>
  </si>
  <si>
    <t>Klub
Club(s)</t>
  </si>
  <si>
    <t>Okręg
Division</t>
  </si>
  <si>
    <t>Państwo
Country</t>
  </si>
  <si>
    <t>Miejsce</t>
  </si>
  <si>
    <t>Punkty za miejsce</t>
  </si>
  <si>
    <t>awans do kolejnej rundy pucharowej</t>
  </si>
  <si>
    <t>bonus za rundy pucharowe</t>
  </si>
  <si>
    <t>punkty za podium</t>
  </si>
  <si>
    <t>Suma</t>
  </si>
  <si>
    <t>x</t>
  </si>
  <si>
    <t>N</t>
  </si>
  <si>
    <t>MP</t>
  </si>
  <si>
    <t>MP-1</t>
  </si>
  <si>
    <t>log(x)</t>
  </si>
  <si>
    <t>Log(N)</t>
  </si>
  <si>
    <t>MP - (MP-1)*LOG(x)/LOG(N)</t>
  </si>
  <si>
    <t>points</t>
  </si>
  <si>
    <t>Liczba uczestników połączonych kategorii:</t>
  </si>
  <si>
    <t>TORUŃ</t>
  </si>
  <si>
    <t>05.03.2023</t>
  </si>
  <si>
    <t>WYNIKI ŁĄCZONYCH KATEGORII</t>
  </si>
  <si>
    <t>NAZWISKO</t>
  </si>
  <si>
    <t>SAJEWICZ Izabela</t>
  </si>
  <si>
    <t>GRACZYK Anna</t>
  </si>
  <si>
    <t>FUHRMANN Ulrike</t>
  </si>
  <si>
    <t>NIEPOŁOMICE</t>
  </si>
  <si>
    <t>18.06.2023</t>
  </si>
  <si>
    <t>OPOLE</t>
  </si>
  <si>
    <t>23-24.10.2023</t>
  </si>
  <si>
    <t>GDAŃSK</t>
  </si>
  <si>
    <t>28.10.2023</t>
  </si>
  <si>
    <t>KRAKÓW</t>
  </si>
  <si>
    <t>18-19.11.2023</t>
  </si>
  <si>
    <t>Podium</t>
  </si>
  <si>
    <t>Współczynnik MPW</t>
  </si>
  <si>
    <t>Punkty MPW</t>
  </si>
  <si>
    <t>Klasyfikacja będą podstawą do rekomendacji dla PZSZERM powołań do kadry na międzynarodowe zawody rangi mistrzowskiej.</t>
  </si>
  <si>
    <t>Na sumę punktów w rankingu składa się 6 najlepszych wyników (z 8 możliwych) w turniejach GP PPW, wynik z Mistrzostw Polski Weteranów, 3 najlepsze wyniki z PEW i VFC w ciągu roku (krocząco, w sezonie przejściowym 1,5 roku) oraz punkty zdobyte w IMEW.</t>
  </si>
  <si>
    <t>KOBIETY Kat.2</t>
  </si>
  <si>
    <t>I PEW</t>
  </si>
  <si>
    <t>II PEW</t>
  </si>
  <si>
    <t>III PEW</t>
  </si>
  <si>
    <t>VFC</t>
  </si>
  <si>
    <t>IV PEW</t>
  </si>
  <si>
    <t>V PEW</t>
  </si>
  <si>
    <t>VI PEW</t>
  </si>
  <si>
    <t>VII PEW</t>
  </si>
  <si>
    <t>VIII PEW</t>
  </si>
  <si>
    <t>IX PEW</t>
  </si>
  <si>
    <t>X PEW</t>
  </si>
  <si>
    <t>XI PEW</t>
  </si>
  <si>
    <t>XII PEW</t>
  </si>
  <si>
    <t>IMEW</t>
  </si>
  <si>
    <t>Bonus za podium</t>
  </si>
  <si>
    <t>Guildford</t>
  </si>
  <si>
    <t>08.01.2023</t>
  </si>
  <si>
    <t>POL</t>
  </si>
  <si>
    <t>Faches-Thumesnil</t>
  </si>
  <si>
    <t>21-22.01.2023</t>
  </si>
  <si>
    <t>Terni</t>
  </si>
  <si>
    <t>11-12.02.2023</t>
  </si>
  <si>
    <t>Paryż</t>
  </si>
  <si>
    <t>Liege</t>
  </si>
  <si>
    <t>01.04.2023</t>
  </si>
  <si>
    <t>Budapest</t>
  </si>
  <si>
    <t>16-17.09.2023</t>
  </si>
  <si>
    <t>Madrid</t>
  </si>
  <si>
    <t>11.11.2023</t>
  </si>
  <si>
    <t>Munich</t>
  </si>
  <si>
    <t>16.12.2023</t>
  </si>
  <si>
    <t>06.01.2024</t>
  </si>
  <si>
    <t>20.01.2024</t>
  </si>
  <si>
    <t>Graz</t>
  </si>
  <si>
    <t>23.03.2024</t>
  </si>
  <si>
    <t>Liège</t>
  </si>
  <si>
    <t>6-7.04.2024</t>
  </si>
  <si>
    <t>Thionville</t>
  </si>
  <si>
    <t xml:space="preserve"> THOME </t>
  </si>
  <si>
    <t xml:space="preserve"> NICOLE </t>
  </si>
  <si>
    <t xml:space="preserve">  GER  </t>
  </si>
  <si>
    <t xml:space="preserve"> GRAUDINS </t>
  </si>
  <si>
    <t xml:space="preserve"> GUNILLA </t>
  </si>
  <si>
    <t xml:space="preserve"> NAREY </t>
  </si>
  <si>
    <t xml:space="preserve"> MICHELE </t>
  </si>
  <si>
    <t xml:space="preserve">  GBR  </t>
  </si>
  <si>
    <t xml:space="preserve"> TANZMEISTER </t>
  </si>
  <si>
    <t xml:space="preserve"> DOROTHEA </t>
  </si>
  <si>
    <t xml:space="preserve">  AUT  </t>
  </si>
  <si>
    <t xml:space="preserve"> LO MUZIO </t>
  </si>
  <si>
    <t xml:space="preserve"> GABRIELLA </t>
  </si>
  <si>
    <t xml:space="preserve">  ITA  </t>
  </si>
  <si>
    <t xml:space="preserve"> DE RIOJA MEDIAVILLA </t>
  </si>
  <si>
    <t xml:space="preserve"> ANGELA </t>
  </si>
  <si>
    <t xml:space="preserve">  ESP  </t>
  </si>
  <si>
    <t xml:space="preserve"> KOLLMETZ </t>
  </si>
  <si>
    <t xml:space="preserve"> HILKE </t>
  </si>
  <si>
    <t xml:space="preserve"> PADURA MUGICA </t>
  </si>
  <si>
    <t xml:space="preserve"> MARIA JOSE </t>
  </si>
  <si>
    <t xml:space="preserve"> DRIGO </t>
  </si>
  <si>
    <t xml:space="preserve"> COSTANZA </t>
  </si>
  <si>
    <t xml:space="preserve"> LEVEQUE </t>
  </si>
  <si>
    <t xml:space="preserve"> ISABELLE </t>
  </si>
  <si>
    <t xml:space="preserve">  FRA  </t>
  </si>
  <si>
    <t xml:space="preserve"> WRIGHT </t>
  </si>
  <si>
    <t xml:space="preserve"> LUCY </t>
  </si>
  <si>
    <t xml:space="preserve"> ESIMAJE-HEATH </t>
  </si>
  <si>
    <t xml:space="preserve"> JACQUELINE </t>
  </si>
  <si>
    <t xml:space="preserve"> REIMERS </t>
  </si>
  <si>
    <t xml:space="preserve"> GESCHE </t>
  </si>
  <si>
    <t xml:space="preserve"> ROUSSELOT </t>
  </si>
  <si>
    <t xml:space="preserve"> BELLA </t>
  </si>
  <si>
    <t xml:space="preserve"> MARTIN </t>
  </si>
  <si>
    <t xml:space="preserve"> CAROLINE </t>
  </si>
  <si>
    <t xml:space="preserve"> HORI </t>
  </si>
  <si>
    <t xml:space="preserve"> CATHERINE </t>
  </si>
  <si>
    <t xml:space="preserve"> BARBIER </t>
  </si>
  <si>
    <t xml:space="preserve"> ANNE LAURE </t>
  </si>
  <si>
    <t xml:space="preserve"> KETS </t>
  </si>
  <si>
    <t xml:space="preserve"> KATHLEEN </t>
  </si>
  <si>
    <t xml:space="preserve">  BEL  </t>
  </si>
  <si>
    <t xml:space="preserve"> WALTER </t>
  </si>
  <si>
    <t xml:space="preserve"> PETRA </t>
  </si>
  <si>
    <t xml:space="preserve"> WEIJER </t>
  </si>
  <si>
    <t xml:space="preserve"> EVA </t>
  </si>
  <si>
    <t xml:space="preserve">  NED  </t>
  </si>
  <si>
    <t xml:space="preserve"> GANGNEUX </t>
  </si>
  <si>
    <t xml:space="preserve"> ZOPPKE </t>
  </si>
  <si>
    <t xml:space="preserve"> CHRISTINE </t>
  </si>
  <si>
    <t xml:space="preserve"> CHIARI </t>
  </si>
  <si>
    <t xml:space="preserve"> ASTRID </t>
  </si>
  <si>
    <t xml:space="preserve"> BAXTER </t>
  </si>
  <si>
    <t xml:space="preserve"> CLAUDIA </t>
  </si>
  <si>
    <t xml:space="preserve"> MAURY </t>
  </si>
  <si>
    <t xml:space="preserve"> PASCALE </t>
  </si>
  <si>
    <t xml:space="preserve"> BERNARDO DA SILVA </t>
  </si>
  <si>
    <t xml:space="preserve"> DENISE </t>
  </si>
  <si>
    <t xml:space="preserve"> WILLIAMS </t>
  </si>
  <si>
    <t xml:space="preserve"> LYNN </t>
  </si>
  <si>
    <t xml:space="preserve"> STOKKERMANS-STAM </t>
  </si>
  <si>
    <t xml:space="preserve"> JEAN-MARIE </t>
  </si>
  <si>
    <t xml:space="preserve"> WIENS </t>
  </si>
  <si>
    <t xml:space="preserve"> VARPU </t>
  </si>
  <si>
    <t xml:space="preserve">  FIN  </t>
  </si>
  <si>
    <t xml:space="preserve"> OLIER </t>
  </si>
  <si>
    <t xml:space="preserve"> THERESE </t>
  </si>
  <si>
    <t xml:space="preserve"> GARCIA LOJEK </t>
  </si>
  <si>
    <t xml:space="preserve"> KARINE </t>
  </si>
  <si>
    <t xml:space="preserve"> VAN VLIET </t>
  </si>
  <si>
    <t xml:space="preserve"> WILHELMINA ANNA </t>
  </si>
  <si>
    <t xml:space="preserve"> ASQUINI </t>
  </si>
  <si>
    <t xml:space="preserve"> ALESSANDRA </t>
  </si>
  <si>
    <t xml:space="preserve"> VILLARRUBIA PENEDO </t>
  </si>
  <si>
    <t xml:space="preserve"> ALICIA </t>
  </si>
  <si>
    <t xml:space="preserve"> MOLLA MARTINEZ </t>
  </si>
  <si>
    <t xml:space="preserve"> GEMA </t>
  </si>
  <si>
    <t>SPAŁA</t>
  </si>
  <si>
    <t>28.01.2024</t>
  </si>
  <si>
    <t>SAJEWICZ (0) Izabela</t>
  </si>
  <si>
    <t>HAJDAS (0) Martyna</t>
  </si>
  <si>
    <t>BUJKO (1) Paulina</t>
  </si>
  <si>
    <t>FUHRMANN (3) Ulrike</t>
  </si>
  <si>
    <t>SAMECKA -NACZYŃSKA (0) Martyna</t>
  </si>
  <si>
    <t>GAWLE (1) Katarzyna</t>
  </si>
  <si>
    <t>WASILCZUK (2) Beata</t>
  </si>
  <si>
    <t>MIKULICKA (1) Joanna</t>
  </si>
  <si>
    <t>MILCZAREK (2) Renata</t>
  </si>
  <si>
    <t>MIEJSCE</t>
  </si>
  <si>
    <t>RUNDA</t>
  </si>
  <si>
    <t>PKTY</t>
  </si>
  <si>
    <t>WASILCZUK Beata</t>
  </si>
  <si>
    <t>WARSZAWA</t>
  </si>
  <si>
    <t>2-3.03.2024</t>
  </si>
  <si>
    <t>23.06.2024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</si>
</sst>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4" x14ac:knownFonts="1">
    <font>
      <sz val="10"/>
      <name val="Arial"/>
      <family val="2"/>
      <charset val="238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Times New Roman"/>
      <family val="1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sz val="11"/>
      <color theme="0"/>
      <name val="Calibri"/>
      <family val="2"/>
      <charset val="238"/>
      <scheme val="minor"/>
    </font>
    <font>
      <u/>
      <sz val="10"/>
      <color theme="10"/>
      <name val="Arial"/>
      <family val="2"/>
      <charset val="238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b/>
      <sz val="10"/>
      <name val="Arial"/>
      <family val="2"/>
    </font>
    <font>
      <sz val="11"/>
      <color theme="4" tint="-0.499984740745262"/>
      <name val="Agency FB"/>
      <family val="2"/>
    </font>
    <font>
      <b/>
      <sz val="9"/>
      <color theme="2" tint="-0.499984740745262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FF0000"/>
      <name val="Arial"/>
      <family val="2"/>
      <charset val="238"/>
    </font>
    <font>
      <b/>
      <sz val="9"/>
      <color theme="0"/>
      <name val="Calibri"/>
      <family val="2"/>
      <scheme val="minor"/>
    </font>
    <font>
      <sz val="11"/>
      <color theme="1"/>
      <name val="Agency FB"/>
      <family val="2"/>
    </font>
    <font>
      <sz val="11"/>
      <color theme="0" tint="-0.499984740745262"/>
      <name val="Calibri"/>
      <family val="2"/>
      <scheme val="minor"/>
    </font>
    <font>
      <sz val="11"/>
      <color theme="1"/>
      <name val="Candara"/>
      <family val="2"/>
    </font>
    <font>
      <b/>
      <sz val="10"/>
      <color rgb="FFFFFFFF"/>
      <name val="Arial"/>
      <family val="2"/>
    </font>
    <font>
      <b/>
      <sz val="10"/>
      <color theme="0"/>
      <name val="Arial"/>
      <family val="2"/>
    </font>
    <font>
      <b/>
      <sz val="10"/>
      <color rgb="FFFF0000"/>
      <name val="Arial"/>
      <family val="2"/>
      <charset val="238"/>
    </font>
    <font>
      <b/>
      <sz val="10"/>
      <name val="Times New Roman"/>
      <family val="1"/>
    </font>
    <font>
      <b/>
      <sz val="9"/>
      <color theme="2" tint="-0.499984740745262"/>
      <name val="Arial"/>
      <family val="2"/>
      <charset val="238"/>
    </font>
    <font>
      <b/>
      <sz val="9"/>
      <color theme="2"/>
      <name val="Arial"/>
      <family val="2"/>
      <charset val="238"/>
    </font>
    <font>
      <sz val="10"/>
      <color theme="4"/>
      <name val="Arial"/>
      <family val="2"/>
      <charset val="238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theme="0"/>
      <name val="Calibri"/>
      <family val="2"/>
      <scheme val="minor"/>
    </font>
    <font>
      <i/>
      <sz val="11"/>
      <color theme="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theme="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D9D9D9"/>
        <bgColor rgb="FF000000"/>
      </patternFill>
    </fill>
    <fill>
      <patternFill patternType="solid">
        <fgColor theme="4" tint="0.79998168889431442"/>
        <bgColor indexed="65"/>
      </patternFill>
    </fill>
    <fill>
      <patternFill patternType="solid">
        <fgColor rgb="FFF2F2F2"/>
        <bgColor rgb="FF000000"/>
      </patternFill>
    </fill>
  </fills>
  <borders count="28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64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9">
    <xf numFmtId="0" fontId="0" fillId="0" borderId="0"/>
    <xf numFmtId="0" fontId="8" fillId="3" borderId="0" applyNumberFormat="0" applyBorder="0" applyAlignment="0" applyProtection="0"/>
    <xf numFmtId="0" fontId="4" fillId="0" borderId="0"/>
    <xf numFmtId="0" fontId="3" fillId="13" borderId="0" applyNumberFormat="0" applyBorder="0" applyAlignment="0" applyProtection="0"/>
    <xf numFmtId="0" fontId="3" fillId="0" borderId="0"/>
    <xf numFmtId="0" fontId="2" fillId="0" borderId="0"/>
    <xf numFmtId="0" fontId="2" fillId="0" borderId="0"/>
    <xf numFmtId="0" fontId="1" fillId="0" borderId="0"/>
    <xf numFmtId="0" fontId="9" fillId="0" borderId="0" applyNumberFormat="0" applyFill="0" applyBorder="0" applyAlignment="0" applyProtection="0"/>
  </cellStyleXfs>
  <cellXfs count="302">
    <xf numFmtId="0" fontId="0" fillId="0" borderId="0" xfId="0"/>
    <xf numFmtId="0" fontId="8" fillId="3" borderId="0" xfId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0" fillId="4" borderId="0" xfId="0" applyFill="1"/>
    <xf numFmtId="0" fontId="0" fillId="5" borderId="0" xfId="0" applyFill="1"/>
    <xf numFmtId="0" fontId="13" fillId="4" borderId="0" xfId="0" applyFont="1" applyFill="1"/>
    <xf numFmtId="0" fontId="12" fillId="4" borderId="0" xfId="0" applyFont="1" applyFill="1"/>
    <xf numFmtId="0" fontId="5" fillId="2" borderId="9" xfId="0" applyFont="1" applyFill="1" applyBorder="1" applyAlignment="1">
      <alignment horizontal="center" vertical="center" wrapText="1"/>
    </xf>
    <xf numFmtId="0" fontId="6" fillId="0" borderId="10" xfId="0" applyFont="1" applyBorder="1" applyAlignment="1">
      <alignment horizontal="center"/>
    </xf>
    <xf numFmtId="0" fontId="14" fillId="7" borderId="12" xfId="0" applyFont="1" applyFill="1" applyBorder="1" applyAlignment="1">
      <alignment horizontal="center" vertical="center"/>
    </xf>
    <xf numFmtId="0" fontId="7" fillId="7" borderId="14" xfId="0" applyFont="1" applyFill="1" applyBorder="1" applyAlignment="1">
      <alignment horizontal="left"/>
    </xf>
    <xf numFmtId="0" fontId="7" fillId="7" borderId="14" xfId="0" applyFont="1" applyFill="1" applyBorder="1" applyAlignment="1">
      <alignment horizontal="center"/>
    </xf>
    <xf numFmtId="0" fontId="0" fillId="7" borderId="0" xfId="0" applyFill="1"/>
    <xf numFmtId="0" fontId="4" fillId="8" borderId="0" xfId="2" applyFill="1"/>
    <xf numFmtId="0" fontId="16" fillId="8" borderId="0" xfId="2" applyFont="1" applyFill="1" applyAlignment="1">
      <alignment horizontal="right" vertical="center"/>
    </xf>
    <xf numFmtId="0" fontId="16" fillId="8" borderId="0" xfId="2" applyFont="1" applyFill="1" applyAlignment="1">
      <alignment horizontal="center" vertical="center"/>
    </xf>
    <xf numFmtId="1" fontId="17" fillId="8" borderId="0" xfId="2" applyNumberFormat="1" applyFont="1" applyFill="1" applyAlignment="1">
      <alignment horizontal="left" vertical="center"/>
    </xf>
    <xf numFmtId="0" fontId="4" fillId="8" borderId="0" xfId="2" applyFill="1" applyAlignment="1">
      <alignment horizontal="center" vertical="center"/>
    </xf>
    <xf numFmtId="0" fontId="4" fillId="7" borderId="0" xfId="2" applyFill="1"/>
    <xf numFmtId="0" fontId="6" fillId="8" borderId="0" xfId="0" applyFont="1" applyFill="1" applyAlignment="1">
      <alignment horizontal="right"/>
    </xf>
    <xf numFmtId="0" fontId="18" fillId="8" borderId="0" xfId="0" applyFont="1" applyFill="1" applyAlignment="1">
      <alignment horizontal="right"/>
    </xf>
    <xf numFmtId="0" fontId="10" fillId="9" borderId="0" xfId="2" applyFont="1" applyFill="1" applyAlignment="1">
      <alignment horizontal="center" vertical="center"/>
    </xf>
    <xf numFmtId="0" fontId="10" fillId="7" borderId="0" xfId="2" applyFont="1" applyFill="1" applyAlignment="1">
      <alignment horizontal="center" vertical="center"/>
    </xf>
    <xf numFmtId="1" fontId="4" fillId="7" borderId="0" xfId="2" applyNumberFormat="1" applyFill="1" applyAlignment="1">
      <alignment horizontal="center" vertical="center"/>
    </xf>
    <xf numFmtId="0" fontId="4" fillId="8" borderId="0" xfId="2" applyFill="1" applyAlignment="1">
      <alignment horizontal="right"/>
    </xf>
    <xf numFmtId="0" fontId="0" fillId="8" borderId="0" xfId="0" applyFill="1" applyAlignment="1">
      <alignment horizontal="center"/>
    </xf>
    <xf numFmtId="1" fontId="4" fillId="8" borderId="0" xfId="2" applyNumberFormat="1" applyFill="1" applyAlignment="1">
      <alignment horizontal="center" vertical="center"/>
    </xf>
    <xf numFmtId="0" fontId="0" fillId="8" borderId="0" xfId="0" applyFill="1"/>
    <xf numFmtId="0" fontId="8" fillId="3" borderId="15" xfId="1" applyBorder="1" applyAlignment="1">
      <alignment horizontal="center" vertical="center" wrapText="1"/>
    </xf>
    <xf numFmtId="0" fontId="19" fillId="10" borderId="0" xfId="2" applyFont="1" applyFill="1" applyAlignment="1">
      <alignment horizontal="center" vertical="center"/>
    </xf>
    <xf numFmtId="0" fontId="19" fillId="10" borderId="0" xfId="2" applyFont="1" applyFill="1" applyAlignment="1">
      <alignment horizontal="center" vertical="center" wrapText="1"/>
    </xf>
    <xf numFmtId="1" fontId="19" fillId="10" borderId="0" xfId="2" applyNumberFormat="1" applyFont="1" applyFill="1" applyAlignment="1">
      <alignment horizontal="center" vertical="center" wrapText="1"/>
    </xf>
    <xf numFmtId="1" fontId="7" fillId="7" borderId="0" xfId="0" applyNumberFormat="1" applyFont="1" applyFill="1" applyAlignment="1">
      <alignment horizontal="center" vertical="center"/>
    </xf>
    <xf numFmtId="0" fontId="20" fillId="7" borderId="16" xfId="0" applyFont="1" applyFill="1" applyBorder="1" applyAlignment="1">
      <alignment horizontal="center" vertical="center"/>
    </xf>
    <xf numFmtId="0" fontId="0" fillId="7" borderId="0" xfId="0" applyFill="1" applyAlignment="1">
      <alignment vertical="center" wrapText="1"/>
    </xf>
    <xf numFmtId="0" fontId="21" fillId="8" borderId="0" xfId="2" applyFont="1" applyFill="1" applyAlignment="1">
      <alignment horizontal="center" vertical="center"/>
    </xf>
    <xf numFmtId="2" fontId="21" fillId="8" borderId="0" xfId="2" applyNumberFormat="1" applyFont="1" applyFill="1" applyAlignment="1">
      <alignment horizontal="center" vertical="center"/>
    </xf>
    <xf numFmtId="164" fontId="21" fillId="8" borderId="0" xfId="2" applyNumberFormat="1" applyFont="1" applyFill="1" applyAlignment="1">
      <alignment horizontal="center" vertical="center"/>
    </xf>
    <xf numFmtId="1" fontId="7" fillId="6" borderId="0" xfId="0" applyNumberFormat="1" applyFont="1" applyFill="1" applyAlignment="1">
      <alignment horizontal="center" vertical="center"/>
    </xf>
    <xf numFmtId="0" fontId="20" fillId="6" borderId="16" xfId="0" applyFont="1" applyFill="1" applyBorder="1" applyAlignment="1">
      <alignment horizontal="center" vertical="center"/>
    </xf>
    <xf numFmtId="0" fontId="0" fillId="6" borderId="0" xfId="0" applyFill="1" applyAlignment="1">
      <alignment vertical="center" wrapText="1"/>
    </xf>
    <xf numFmtId="0" fontId="21" fillId="11" borderId="0" xfId="2" applyFont="1" applyFill="1" applyAlignment="1">
      <alignment horizontal="center" vertical="center"/>
    </xf>
    <xf numFmtId="2" fontId="21" fillId="11" borderId="0" xfId="2" applyNumberFormat="1" applyFont="1" applyFill="1" applyAlignment="1">
      <alignment horizontal="center" vertical="center"/>
    </xf>
    <xf numFmtId="164" fontId="21" fillId="11" borderId="0" xfId="2" applyNumberFormat="1" applyFont="1" applyFill="1" applyAlignment="1">
      <alignment horizontal="center" vertical="center"/>
    </xf>
    <xf numFmtId="0" fontId="11" fillId="7" borderId="0" xfId="2" applyFont="1" applyFill="1"/>
    <xf numFmtId="1" fontId="4" fillId="7" borderId="0" xfId="2" applyNumberFormat="1" applyFill="1"/>
    <xf numFmtId="0" fontId="4" fillId="7" borderId="0" xfId="2" applyFill="1" applyAlignment="1">
      <alignment horizontal="right"/>
    </xf>
    <xf numFmtId="0" fontId="10" fillId="7" borderId="0" xfId="2" applyFont="1" applyFill="1"/>
    <xf numFmtId="1" fontId="0" fillId="6" borderId="0" xfId="0" applyNumberFormat="1" applyFill="1" applyAlignment="1">
      <alignment horizontal="center" vertical="center"/>
    </xf>
    <xf numFmtId="1" fontId="0" fillId="7" borderId="0" xfId="0" applyNumberFormat="1" applyFill="1" applyAlignment="1">
      <alignment horizontal="center" vertical="center"/>
    </xf>
    <xf numFmtId="0" fontId="22" fillId="7" borderId="0" xfId="2" applyFont="1" applyFill="1"/>
    <xf numFmtId="164" fontId="4" fillId="8" borderId="0" xfId="2" applyNumberFormat="1" applyFill="1"/>
    <xf numFmtId="49" fontId="4" fillId="7" borderId="0" xfId="2" applyNumberFormat="1" applyFill="1"/>
    <xf numFmtId="0" fontId="10" fillId="8" borderId="0" xfId="2" applyFont="1" applyFill="1"/>
    <xf numFmtId="164" fontId="10" fillId="7" borderId="0" xfId="2" applyNumberFormat="1" applyFont="1" applyFill="1"/>
    <xf numFmtId="164" fontId="4" fillId="7" borderId="0" xfId="2" applyNumberFormat="1" applyFill="1"/>
    <xf numFmtId="1" fontId="4" fillId="0" borderId="0" xfId="2" applyNumberFormat="1" applyAlignment="1">
      <alignment horizontal="center"/>
    </xf>
    <xf numFmtId="0" fontId="4" fillId="0" borderId="0" xfId="2"/>
    <xf numFmtId="164" fontId="4" fillId="0" borderId="0" xfId="2" applyNumberFormat="1" applyAlignment="1">
      <alignment horizontal="center"/>
    </xf>
    <xf numFmtId="0" fontId="4" fillId="0" borderId="0" xfId="2" applyAlignment="1">
      <alignment horizontal="center" vertical="center"/>
    </xf>
    <xf numFmtId="1" fontId="4" fillId="0" borderId="0" xfId="2" applyNumberFormat="1" applyAlignment="1">
      <alignment horizontal="center" vertical="center"/>
    </xf>
    <xf numFmtId="164" fontId="4" fillId="0" borderId="0" xfId="2" applyNumberFormat="1" applyAlignment="1">
      <alignment horizontal="center" vertical="center"/>
    </xf>
    <xf numFmtId="0" fontId="11" fillId="8" borderId="0" xfId="2" applyFont="1" applyFill="1" applyAlignment="1">
      <alignment horizontal="left" vertical="center"/>
    </xf>
    <xf numFmtId="0" fontId="4" fillId="8" borderId="0" xfId="2" applyFill="1" applyAlignment="1">
      <alignment horizontal="left" vertical="center"/>
    </xf>
    <xf numFmtId="164" fontId="4" fillId="7" borderId="0" xfId="2" applyNumberFormat="1" applyFill="1" applyAlignment="1">
      <alignment horizontal="center" vertical="center"/>
    </xf>
    <xf numFmtId="2" fontId="4" fillId="7" borderId="0" xfId="2" applyNumberFormat="1" applyFill="1" applyAlignment="1">
      <alignment horizontal="center" vertical="center"/>
    </xf>
    <xf numFmtId="0" fontId="4" fillId="8" borderId="0" xfId="2" applyFill="1" applyAlignment="1">
      <alignment horizontal="center"/>
    </xf>
    <xf numFmtId="0" fontId="9" fillId="8" borderId="0" xfId="8" applyFill="1" applyAlignment="1">
      <alignment horizontal="left" vertical="center"/>
    </xf>
    <xf numFmtId="14" fontId="0" fillId="8" borderId="0" xfId="0" applyNumberFormat="1" applyFill="1" applyAlignment="1">
      <alignment horizontal="left"/>
    </xf>
    <xf numFmtId="0" fontId="24" fillId="4" borderId="0" xfId="0" applyFont="1" applyFill="1"/>
    <xf numFmtId="0" fontId="25" fillId="4" borderId="0" xfId="0" applyFont="1" applyFill="1"/>
    <xf numFmtId="0" fontId="26" fillId="2" borderId="1" xfId="0" applyFont="1" applyFill="1" applyBorder="1" applyAlignment="1">
      <alignment horizontal="center" vertical="center" wrapText="1"/>
    </xf>
    <xf numFmtId="0" fontId="26" fillId="2" borderId="9" xfId="0" applyFont="1" applyFill="1" applyBorder="1" applyAlignment="1">
      <alignment horizontal="center" vertical="center" wrapText="1"/>
    </xf>
    <xf numFmtId="0" fontId="11" fillId="13" borderId="1" xfId="3" applyFont="1" applyBorder="1" applyAlignment="1">
      <alignment horizontal="center" vertical="center" wrapText="1"/>
    </xf>
    <xf numFmtId="0" fontId="11" fillId="13" borderId="9" xfId="3" applyFont="1" applyBorder="1" applyAlignment="1">
      <alignment horizontal="center" vertical="center" wrapText="1"/>
    </xf>
    <xf numFmtId="2" fontId="13" fillId="7" borderId="11" xfId="0" applyNumberFormat="1" applyFont="1" applyFill="1" applyBorder="1" applyAlignment="1">
      <alignment horizontal="center" vertical="center"/>
    </xf>
    <xf numFmtId="2" fontId="15" fillId="7" borderId="11" xfId="0" applyNumberFormat="1" applyFont="1" applyFill="1" applyBorder="1" applyAlignment="1">
      <alignment horizontal="center" vertical="center"/>
    </xf>
    <xf numFmtId="2" fontId="27" fillId="7" borderId="11" xfId="0" applyNumberFormat="1" applyFont="1" applyFill="1" applyBorder="1" applyAlignment="1">
      <alignment horizontal="center" vertical="center"/>
    </xf>
    <xf numFmtId="2" fontId="27" fillId="7" borderId="27" xfId="0" applyNumberFormat="1" applyFont="1" applyFill="1" applyBorder="1" applyAlignment="1">
      <alignment horizontal="center" vertical="center"/>
    </xf>
    <xf numFmtId="1" fontId="28" fillId="0" borderId="0" xfId="0" applyNumberFormat="1" applyFont="1" applyAlignment="1">
      <alignment horizontal="center" vertical="center"/>
    </xf>
    <xf numFmtId="0" fontId="3" fillId="8" borderId="0" xfId="4" applyFill="1"/>
    <xf numFmtId="0" fontId="16" fillId="8" borderId="0" xfId="4" applyFont="1" applyFill="1" applyAlignment="1">
      <alignment horizontal="right" vertical="center"/>
    </xf>
    <xf numFmtId="0" fontId="16" fillId="8" borderId="0" xfId="4" applyFont="1" applyFill="1" applyAlignment="1">
      <alignment horizontal="center" vertical="center"/>
    </xf>
    <xf numFmtId="1" fontId="17" fillId="8" borderId="0" xfId="4" applyNumberFormat="1" applyFont="1" applyFill="1" applyAlignment="1">
      <alignment horizontal="left" vertical="center"/>
    </xf>
    <xf numFmtId="0" fontId="3" fillId="8" borderId="0" xfId="4" applyFill="1" applyAlignment="1">
      <alignment horizontal="center" vertical="center"/>
    </xf>
    <xf numFmtId="0" fontId="3" fillId="7" borderId="0" xfId="4" applyFill="1"/>
    <xf numFmtId="0" fontId="10" fillId="9" borderId="0" xfId="4" applyFont="1" applyFill="1" applyAlignment="1">
      <alignment horizontal="center" vertical="center"/>
    </xf>
    <xf numFmtId="0" fontId="10" fillId="7" borderId="0" xfId="4" applyFont="1" applyFill="1" applyAlignment="1">
      <alignment horizontal="center" vertical="center"/>
    </xf>
    <xf numFmtId="2" fontId="3" fillId="7" borderId="0" xfId="4" applyNumberFormat="1" applyFill="1" applyAlignment="1">
      <alignment horizontal="center" vertical="center"/>
    </xf>
    <xf numFmtId="0" fontId="3" fillId="8" borderId="0" xfId="4" applyFill="1" applyAlignment="1">
      <alignment horizontal="right"/>
    </xf>
    <xf numFmtId="1" fontId="3" fillId="8" borderId="0" xfId="4" applyNumberFormat="1" applyFill="1" applyAlignment="1">
      <alignment horizontal="center" vertical="center"/>
    </xf>
    <xf numFmtId="0" fontId="19" fillId="10" borderId="0" xfId="4" applyFont="1" applyFill="1" applyAlignment="1">
      <alignment horizontal="center" vertical="center"/>
    </xf>
    <xf numFmtId="0" fontId="19" fillId="10" borderId="0" xfId="4" applyFont="1" applyFill="1" applyAlignment="1">
      <alignment horizontal="center" vertical="center" wrapText="1"/>
    </xf>
    <xf numFmtId="1" fontId="19" fillId="10" borderId="0" xfId="4" applyNumberFormat="1" applyFont="1" applyFill="1" applyAlignment="1">
      <alignment horizontal="center" vertical="center" wrapText="1"/>
    </xf>
    <xf numFmtId="2" fontId="7" fillId="7" borderId="0" xfId="0" applyNumberFormat="1" applyFont="1" applyFill="1" applyAlignment="1">
      <alignment horizontal="center" vertical="center"/>
    </xf>
    <xf numFmtId="0" fontId="21" fillId="8" borderId="0" xfId="4" applyFont="1" applyFill="1" applyAlignment="1">
      <alignment horizontal="center" vertical="center"/>
    </xf>
    <xf numFmtId="2" fontId="21" fillId="8" borderId="0" xfId="4" applyNumberFormat="1" applyFont="1" applyFill="1" applyAlignment="1">
      <alignment horizontal="center" vertical="center"/>
    </xf>
    <xf numFmtId="164" fontId="21" fillId="8" borderId="0" xfId="4" applyNumberFormat="1" applyFont="1" applyFill="1" applyAlignment="1">
      <alignment horizontal="center" vertical="center"/>
    </xf>
    <xf numFmtId="2" fontId="7" fillId="6" borderId="0" xfId="0" applyNumberFormat="1" applyFont="1" applyFill="1" applyAlignment="1">
      <alignment horizontal="center" vertical="center"/>
    </xf>
    <xf numFmtId="0" fontId="21" fillId="11" borderId="0" xfId="4" applyFont="1" applyFill="1" applyAlignment="1">
      <alignment horizontal="center" vertical="center"/>
    </xf>
    <xf numFmtId="2" fontId="21" fillId="11" borderId="0" xfId="4" applyNumberFormat="1" applyFont="1" applyFill="1" applyAlignment="1">
      <alignment horizontal="center" vertical="center"/>
    </xf>
    <xf numFmtId="164" fontId="21" fillId="11" borderId="0" xfId="4" applyNumberFormat="1" applyFont="1" applyFill="1" applyAlignment="1">
      <alignment horizontal="center" vertical="center"/>
    </xf>
    <xf numFmtId="0" fontId="11" fillId="7" borderId="0" xfId="4" applyFont="1" applyFill="1"/>
    <xf numFmtId="1" fontId="3" fillId="7" borderId="0" xfId="4" applyNumberFormat="1" applyFill="1"/>
    <xf numFmtId="0" fontId="3" fillId="7" borderId="0" xfId="4" applyFill="1" applyAlignment="1">
      <alignment horizontal="right"/>
    </xf>
    <xf numFmtId="0" fontId="10" fillId="7" borderId="0" xfId="4" applyFont="1" applyFill="1"/>
    <xf numFmtId="0" fontId="22" fillId="7" borderId="0" xfId="4" applyFont="1" applyFill="1"/>
    <xf numFmtId="164" fontId="3" fillId="8" borderId="0" xfId="4" applyNumberFormat="1" applyFill="1"/>
    <xf numFmtId="49" fontId="3" fillId="7" borderId="0" xfId="4" applyNumberFormat="1" applyFill="1"/>
    <xf numFmtId="0" fontId="10" fillId="8" borderId="0" xfId="4" applyFont="1" applyFill="1"/>
    <xf numFmtId="164" fontId="10" fillId="7" borderId="0" xfId="4" applyNumberFormat="1" applyFont="1" applyFill="1"/>
    <xf numFmtId="164" fontId="3" fillId="7" borderId="0" xfId="4" applyNumberFormat="1" applyFill="1"/>
    <xf numFmtId="2" fontId="0" fillId="7" borderId="0" xfId="0" applyNumberFormat="1" applyFill="1" applyAlignment="1">
      <alignment horizontal="center" vertical="center"/>
    </xf>
    <xf numFmtId="2" fontId="0" fillId="6" borderId="0" xfId="0" applyNumberFormat="1" applyFill="1" applyAlignment="1">
      <alignment horizontal="center" vertical="center"/>
    </xf>
    <xf numFmtId="2" fontId="3" fillId="0" borderId="0" xfId="4" applyNumberFormat="1" applyAlignment="1">
      <alignment horizontal="center"/>
    </xf>
    <xf numFmtId="0" fontId="3" fillId="0" borderId="0" xfId="4"/>
    <xf numFmtId="1" fontId="3" fillId="0" borderId="0" xfId="4" applyNumberFormat="1" applyAlignment="1">
      <alignment horizontal="center"/>
    </xf>
    <xf numFmtId="164" fontId="3" fillId="0" borderId="0" xfId="4" applyNumberFormat="1" applyAlignment="1">
      <alignment horizontal="center"/>
    </xf>
    <xf numFmtId="0" fontId="3" fillId="0" borderId="0" xfId="4" applyAlignment="1">
      <alignment horizontal="center" vertical="center"/>
    </xf>
    <xf numFmtId="1" fontId="3" fillId="0" borderId="0" xfId="4" applyNumberFormat="1" applyAlignment="1">
      <alignment horizontal="center" vertical="center"/>
    </xf>
    <xf numFmtId="164" fontId="3" fillId="0" borderId="0" xfId="4" applyNumberFormat="1" applyAlignment="1">
      <alignment horizontal="center" vertical="center"/>
    </xf>
    <xf numFmtId="1" fontId="3" fillId="7" borderId="0" xfId="4" applyNumberFormat="1" applyFill="1" applyAlignment="1">
      <alignment horizontal="center" vertical="center"/>
    </xf>
    <xf numFmtId="0" fontId="29" fillId="7" borderId="0" xfId="0" applyFont="1" applyFill="1" applyAlignment="1">
      <alignment vertical="center" wrapText="1"/>
    </xf>
    <xf numFmtId="0" fontId="11" fillId="8" borderId="0" xfId="4" applyFont="1" applyFill="1" applyAlignment="1">
      <alignment horizontal="left" vertical="center"/>
    </xf>
    <xf numFmtId="0" fontId="3" fillId="8" borderId="0" xfId="4" applyFill="1" applyAlignment="1">
      <alignment horizontal="left" vertical="center"/>
    </xf>
    <xf numFmtId="164" fontId="3" fillId="7" borderId="0" xfId="4" applyNumberFormat="1" applyFill="1" applyAlignment="1">
      <alignment horizontal="center" vertical="center"/>
    </xf>
    <xf numFmtId="2" fontId="15" fillId="7" borderId="13" xfId="0" applyNumberFormat="1" applyFont="1" applyFill="1" applyBorder="1" applyAlignment="1">
      <alignment horizontal="center" vertical="center"/>
    </xf>
    <xf numFmtId="14" fontId="9" fillId="8" borderId="0" xfId="8" applyNumberFormat="1" applyFill="1" applyAlignment="1">
      <alignment horizontal="left"/>
    </xf>
    <xf numFmtId="0" fontId="31" fillId="8" borderId="0" xfId="2" applyFont="1" applyFill="1" applyAlignment="1">
      <alignment horizontal="left" vertical="center"/>
    </xf>
    <xf numFmtId="0" fontId="30" fillId="8" borderId="0" xfId="2" applyFont="1" applyFill="1" applyAlignment="1">
      <alignment horizontal="right" vertical="center"/>
    </xf>
    <xf numFmtId="0" fontId="30" fillId="8" borderId="0" xfId="2" applyFont="1" applyFill="1" applyAlignment="1">
      <alignment horizontal="center" vertical="center"/>
    </xf>
    <xf numFmtId="0" fontId="31" fillId="8" borderId="0" xfId="2" applyFont="1" applyFill="1" applyAlignment="1">
      <alignment horizontal="center" vertical="center"/>
    </xf>
    <xf numFmtId="1" fontId="31" fillId="8" borderId="0" xfId="2" applyNumberFormat="1" applyFont="1" applyFill="1" applyAlignment="1">
      <alignment horizontal="center" vertical="center"/>
    </xf>
    <xf numFmtId="0" fontId="32" fillId="8" borderId="0" xfId="2" applyFont="1" applyFill="1" applyAlignment="1">
      <alignment horizontal="center" vertical="center" wrapText="1"/>
    </xf>
    <xf numFmtId="1" fontId="32" fillId="8" borderId="0" xfId="2" applyNumberFormat="1" applyFont="1" applyFill="1" applyAlignment="1">
      <alignment horizontal="center" vertical="center" wrapText="1"/>
    </xf>
    <xf numFmtId="2" fontId="31" fillId="8" borderId="0" xfId="2" applyNumberFormat="1" applyFont="1" applyFill="1" applyAlignment="1">
      <alignment horizontal="center" vertical="center"/>
    </xf>
    <xf numFmtId="164" fontId="31" fillId="8" borderId="0" xfId="2" applyNumberFormat="1" applyFont="1" applyFill="1" applyAlignment="1">
      <alignment horizontal="center" vertical="center"/>
    </xf>
    <xf numFmtId="0" fontId="33" fillId="8" borderId="0" xfId="2" applyFont="1" applyFill="1" applyAlignment="1">
      <alignment horizontal="center" vertical="center"/>
    </xf>
    <xf numFmtId="0" fontId="31" fillId="0" borderId="0" xfId="2" applyFont="1" applyAlignment="1">
      <alignment horizontal="center" vertical="center"/>
    </xf>
    <xf numFmtId="1" fontId="31" fillId="0" borderId="0" xfId="2" applyNumberFormat="1" applyFont="1" applyAlignment="1">
      <alignment horizontal="center" vertical="center"/>
    </xf>
    <xf numFmtId="164" fontId="31" fillId="0" borderId="0" xfId="2" applyNumberFormat="1" applyFont="1" applyAlignment="1">
      <alignment horizontal="center" vertical="center"/>
    </xf>
    <xf numFmtId="0" fontId="0" fillId="12" borderId="0" xfId="0" applyFill="1" applyAlignment="1">
      <alignment horizontal="left"/>
    </xf>
    <xf numFmtId="0" fontId="2" fillId="8" borderId="0" xfId="5" applyFill="1"/>
    <xf numFmtId="0" fontId="16" fillId="8" borderId="0" xfId="5" applyFont="1" applyFill="1" applyAlignment="1">
      <alignment horizontal="right" vertical="center"/>
    </xf>
    <xf numFmtId="0" fontId="16" fillId="8" borderId="0" xfId="5" applyFont="1" applyFill="1" applyAlignment="1">
      <alignment horizontal="center" vertical="center"/>
    </xf>
    <xf numFmtId="1" fontId="17" fillId="8" borderId="0" xfId="5" applyNumberFormat="1" applyFont="1" applyFill="1" applyAlignment="1">
      <alignment horizontal="left" vertical="center"/>
    </xf>
    <xf numFmtId="0" fontId="2" fillId="8" borderId="0" xfId="5" applyFill="1" applyAlignment="1">
      <alignment horizontal="center" vertical="center"/>
    </xf>
    <xf numFmtId="0" fontId="2" fillId="7" borderId="0" xfId="5" applyFill="1"/>
    <xf numFmtId="0" fontId="10" fillId="9" borderId="0" xfId="5" applyFont="1" applyFill="1" applyAlignment="1">
      <alignment horizontal="center" vertical="center"/>
    </xf>
    <xf numFmtId="0" fontId="10" fillId="7" borderId="0" xfId="5" applyFont="1" applyFill="1" applyAlignment="1">
      <alignment horizontal="center" vertical="center"/>
    </xf>
    <xf numFmtId="1" fontId="2" fillId="7" borderId="0" xfId="5" applyNumberFormat="1" applyFill="1" applyAlignment="1">
      <alignment horizontal="center" vertical="center"/>
    </xf>
    <xf numFmtId="0" fontId="2" fillId="8" borderId="0" xfId="5" applyFill="1" applyAlignment="1">
      <alignment horizontal="right"/>
    </xf>
    <xf numFmtId="1" fontId="2" fillId="8" borderId="0" xfId="5" applyNumberFormat="1" applyFill="1" applyAlignment="1">
      <alignment horizontal="center" vertical="center"/>
    </xf>
    <xf numFmtId="0" fontId="19" fillId="10" borderId="0" xfId="5" applyFont="1" applyFill="1" applyAlignment="1">
      <alignment horizontal="center" vertical="center"/>
    </xf>
    <xf numFmtId="0" fontId="19" fillId="10" borderId="0" xfId="5" applyFont="1" applyFill="1" applyAlignment="1">
      <alignment horizontal="center" vertical="center" wrapText="1"/>
    </xf>
    <xf numFmtId="1" fontId="19" fillId="10" borderId="0" xfId="5" applyNumberFormat="1" applyFont="1" applyFill="1" applyAlignment="1">
      <alignment horizontal="center" vertical="center" wrapText="1"/>
    </xf>
    <xf numFmtId="0" fontId="21" fillId="8" borderId="0" xfId="5" applyFont="1" applyFill="1" applyAlignment="1">
      <alignment horizontal="center" vertical="center"/>
    </xf>
    <xf numFmtId="2" fontId="21" fillId="8" borderId="0" xfId="5" applyNumberFormat="1" applyFont="1" applyFill="1" applyAlignment="1">
      <alignment horizontal="center" vertical="center"/>
    </xf>
    <xf numFmtId="164" fontId="21" fillId="8" borderId="0" xfId="5" applyNumberFormat="1" applyFont="1" applyFill="1" applyAlignment="1">
      <alignment horizontal="center" vertical="center"/>
    </xf>
    <xf numFmtId="0" fontId="21" fillId="11" borderId="0" xfId="5" applyFont="1" applyFill="1" applyAlignment="1">
      <alignment horizontal="center" vertical="center"/>
    </xf>
    <xf numFmtId="2" fontId="21" fillId="11" borderId="0" xfId="5" applyNumberFormat="1" applyFont="1" applyFill="1" applyAlignment="1">
      <alignment horizontal="center" vertical="center"/>
    </xf>
    <xf numFmtId="164" fontId="21" fillId="11" borderId="0" xfId="5" applyNumberFormat="1" applyFont="1" applyFill="1" applyAlignment="1">
      <alignment horizontal="center" vertical="center"/>
    </xf>
    <xf numFmtId="0" fontId="11" fillId="7" borderId="0" xfId="5" applyFont="1" applyFill="1"/>
    <xf numFmtId="1" fontId="2" fillId="7" borderId="0" xfId="5" applyNumberFormat="1" applyFill="1"/>
    <xf numFmtId="0" fontId="2" fillId="7" borderId="0" xfId="5" applyFill="1" applyAlignment="1">
      <alignment horizontal="right"/>
    </xf>
    <xf numFmtId="0" fontId="10" fillId="7" borderId="0" xfId="5" applyFont="1" applyFill="1"/>
    <xf numFmtId="0" fontId="22" fillId="7" borderId="0" xfId="5" applyFont="1" applyFill="1"/>
    <xf numFmtId="164" fontId="2" fillId="8" borderId="0" xfId="5" applyNumberFormat="1" applyFill="1"/>
    <xf numFmtId="49" fontId="2" fillId="7" borderId="0" xfId="5" applyNumberFormat="1" applyFill="1"/>
    <xf numFmtId="0" fontId="10" fillId="8" borderId="0" xfId="5" applyFont="1" applyFill="1"/>
    <xf numFmtId="164" fontId="10" fillId="7" borderId="0" xfId="5" applyNumberFormat="1" applyFont="1" applyFill="1"/>
    <xf numFmtId="164" fontId="2" fillId="7" borderId="0" xfId="5" applyNumberFormat="1" applyFill="1"/>
    <xf numFmtId="1" fontId="2" fillId="0" borderId="0" xfId="5" applyNumberFormat="1" applyAlignment="1">
      <alignment horizontal="center"/>
    </xf>
    <xf numFmtId="0" fontId="2" fillId="0" borderId="0" xfId="5"/>
    <xf numFmtId="164" fontId="2" fillId="0" borderId="0" xfId="5" applyNumberFormat="1" applyAlignment="1">
      <alignment horizontal="center"/>
    </xf>
    <xf numFmtId="0" fontId="2" fillId="0" borderId="0" xfId="5" applyAlignment="1">
      <alignment horizontal="center" vertical="center"/>
    </xf>
    <xf numFmtId="1" fontId="2" fillId="0" borderId="0" xfId="5" applyNumberFormat="1" applyAlignment="1">
      <alignment horizontal="center" vertical="center"/>
    </xf>
    <xf numFmtId="164" fontId="2" fillId="0" borderId="0" xfId="5" applyNumberFormat="1" applyAlignment="1">
      <alignment horizontal="center" vertical="center"/>
    </xf>
    <xf numFmtId="0" fontId="9" fillId="12" borderId="0" xfId="8" applyFill="1" applyAlignment="1">
      <alignment horizontal="left"/>
    </xf>
    <xf numFmtId="0" fontId="2" fillId="8" borderId="0" xfId="6" applyFill="1"/>
    <xf numFmtId="0" fontId="16" fillId="8" borderId="0" xfId="6" applyFont="1" applyFill="1" applyAlignment="1">
      <alignment horizontal="right" vertical="center"/>
    </xf>
    <xf numFmtId="0" fontId="16" fillId="8" borderId="0" xfId="6" applyFont="1" applyFill="1" applyAlignment="1">
      <alignment horizontal="center" vertical="center"/>
    </xf>
    <xf numFmtId="1" fontId="17" fillId="8" borderId="0" xfId="6" applyNumberFormat="1" applyFont="1" applyFill="1" applyAlignment="1">
      <alignment horizontal="left" vertical="center"/>
    </xf>
    <xf numFmtId="0" fontId="2" fillId="8" borderId="0" xfId="6" applyFill="1" applyAlignment="1">
      <alignment horizontal="center" vertical="center"/>
    </xf>
    <xf numFmtId="0" fontId="2" fillId="7" borderId="0" xfId="6" applyFill="1"/>
    <xf numFmtId="0" fontId="10" fillId="9" borderId="0" xfId="6" applyFont="1" applyFill="1" applyAlignment="1">
      <alignment horizontal="center" vertical="center"/>
    </xf>
    <xf numFmtId="0" fontId="10" fillId="7" borderId="0" xfId="6" applyFont="1" applyFill="1" applyAlignment="1">
      <alignment horizontal="center" vertical="center"/>
    </xf>
    <xf numFmtId="1" fontId="2" fillId="7" borderId="0" xfId="6" applyNumberFormat="1" applyFill="1" applyAlignment="1">
      <alignment horizontal="center" vertical="center"/>
    </xf>
    <xf numFmtId="0" fontId="2" fillId="8" borderId="0" xfId="6" applyFill="1" applyAlignment="1">
      <alignment horizontal="right"/>
    </xf>
    <xf numFmtId="0" fontId="19" fillId="10" borderId="0" xfId="6" applyFont="1" applyFill="1" applyAlignment="1">
      <alignment horizontal="center" vertical="center"/>
    </xf>
    <xf numFmtId="0" fontId="19" fillId="10" borderId="0" xfId="6" applyFont="1" applyFill="1" applyAlignment="1">
      <alignment horizontal="center" vertical="center" wrapText="1"/>
    </xf>
    <xf numFmtId="0" fontId="21" fillId="8" borderId="0" xfId="6" applyFont="1" applyFill="1" applyAlignment="1">
      <alignment horizontal="center" vertical="center"/>
    </xf>
    <xf numFmtId="2" fontId="21" fillId="8" borderId="0" xfId="6" applyNumberFormat="1" applyFont="1" applyFill="1" applyAlignment="1">
      <alignment horizontal="center" vertical="center"/>
    </xf>
    <xf numFmtId="164" fontId="21" fillId="8" borderId="0" xfId="6" applyNumberFormat="1" applyFont="1" applyFill="1" applyAlignment="1">
      <alignment horizontal="center" vertical="center"/>
    </xf>
    <xf numFmtId="0" fontId="21" fillId="11" borderId="0" xfId="6" applyFont="1" applyFill="1" applyAlignment="1">
      <alignment horizontal="center" vertical="center"/>
    </xf>
    <xf numFmtId="2" fontId="21" fillId="11" borderId="0" xfId="6" applyNumberFormat="1" applyFont="1" applyFill="1" applyAlignment="1">
      <alignment horizontal="center" vertical="center"/>
    </xf>
    <xf numFmtId="164" fontId="21" fillId="11" borderId="0" xfId="6" applyNumberFormat="1" applyFont="1" applyFill="1" applyAlignment="1">
      <alignment horizontal="center" vertical="center"/>
    </xf>
    <xf numFmtId="0" fontId="11" fillId="7" borderId="0" xfId="6" applyFont="1" applyFill="1"/>
    <xf numFmtId="1" fontId="2" fillId="7" borderId="0" xfId="6" applyNumberFormat="1" applyFill="1"/>
    <xf numFmtId="0" fontId="2" fillId="7" borderId="0" xfId="6" applyFill="1" applyAlignment="1">
      <alignment horizontal="right"/>
    </xf>
    <xf numFmtId="0" fontId="10" fillId="7" borderId="0" xfId="6" applyFont="1" applyFill="1"/>
    <xf numFmtId="0" fontId="22" fillId="7" borderId="0" xfId="6" applyFont="1" applyFill="1"/>
    <xf numFmtId="164" fontId="2" fillId="8" borderId="0" xfId="6" applyNumberFormat="1" applyFill="1"/>
    <xf numFmtId="49" fontId="2" fillId="7" borderId="0" xfId="6" applyNumberFormat="1" applyFill="1"/>
    <xf numFmtId="0" fontId="10" fillId="8" borderId="0" xfId="6" applyFont="1" applyFill="1"/>
    <xf numFmtId="164" fontId="10" fillId="7" borderId="0" xfId="6" applyNumberFormat="1" applyFont="1" applyFill="1"/>
    <xf numFmtId="164" fontId="2" fillId="7" borderId="0" xfId="6" applyNumberFormat="1" applyFill="1"/>
    <xf numFmtId="0" fontId="2" fillId="0" borderId="0" xfId="6"/>
    <xf numFmtId="1" fontId="2" fillId="0" borderId="0" xfId="6" applyNumberFormat="1" applyAlignment="1">
      <alignment horizontal="center"/>
    </xf>
    <xf numFmtId="164" fontId="2" fillId="0" borderId="0" xfId="6" applyNumberFormat="1" applyAlignment="1">
      <alignment horizontal="center"/>
    </xf>
    <xf numFmtId="0" fontId="2" fillId="0" borderId="0" xfId="6" applyAlignment="1">
      <alignment horizontal="center" vertical="center"/>
    </xf>
    <xf numFmtId="1" fontId="2" fillId="0" borderId="0" xfId="6" applyNumberFormat="1" applyAlignment="1">
      <alignment horizontal="center" vertical="center"/>
    </xf>
    <xf numFmtId="164" fontId="2" fillId="0" borderId="0" xfId="6" applyNumberFormat="1" applyAlignment="1">
      <alignment horizontal="center" vertical="center"/>
    </xf>
    <xf numFmtId="2" fontId="2" fillId="7" borderId="0" xfId="6" applyNumberFormat="1" applyFill="1" applyAlignment="1">
      <alignment horizontal="center" vertical="center"/>
    </xf>
    <xf numFmtId="1" fontId="2" fillId="8" borderId="0" xfId="6" applyNumberFormat="1" applyFill="1" applyAlignment="1">
      <alignment horizontal="center" vertical="center"/>
    </xf>
    <xf numFmtId="1" fontId="19" fillId="10" borderId="0" xfId="6" applyNumberFormat="1" applyFont="1" applyFill="1" applyAlignment="1">
      <alignment horizontal="center" vertical="center" wrapText="1"/>
    </xf>
    <xf numFmtId="2" fontId="2" fillId="0" borderId="0" xfId="6" applyNumberFormat="1" applyAlignment="1">
      <alignment horizontal="center"/>
    </xf>
    <xf numFmtId="0" fontId="1" fillId="8" borderId="0" xfId="7" applyFill="1"/>
    <xf numFmtId="0" fontId="16" fillId="8" borderId="0" xfId="7" applyFont="1" applyFill="1" applyAlignment="1">
      <alignment horizontal="right" vertical="center"/>
    </xf>
    <xf numFmtId="0" fontId="16" fillId="8" borderId="0" xfId="7" applyFont="1" applyFill="1" applyAlignment="1">
      <alignment horizontal="center" vertical="center"/>
    </xf>
    <xf numFmtId="1" fontId="17" fillId="8" borderId="0" xfId="7" applyNumberFormat="1" applyFont="1" applyFill="1" applyAlignment="1">
      <alignment horizontal="left" vertical="center"/>
    </xf>
    <xf numFmtId="0" fontId="1" fillId="8" borderId="0" xfId="7" applyFill="1" applyAlignment="1">
      <alignment horizontal="center" vertical="center"/>
    </xf>
    <xf numFmtId="0" fontId="1" fillId="7" borderId="0" xfId="7" applyFill="1"/>
    <xf numFmtId="0" fontId="10" fillId="9" borderId="0" xfId="7" applyFont="1" applyFill="1" applyAlignment="1">
      <alignment horizontal="center" vertical="center"/>
    </xf>
    <xf numFmtId="0" fontId="10" fillId="7" borderId="0" xfId="7" applyFont="1" applyFill="1" applyAlignment="1">
      <alignment horizontal="center" vertical="center"/>
    </xf>
    <xf numFmtId="1" fontId="1" fillId="7" borderId="0" xfId="7" applyNumberFormat="1" applyFill="1" applyAlignment="1">
      <alignment horizontal="center" vertical="center"/>
    </xf>
    <xf numFmtId="0" fontId="1" fillId="8" borderId="0" xfId="7" applyFill="1" applyAlignment="1">
      <alignment horizontal="right"/>
    </xf>
    <xf numFmtId="1" fontId="1" fillId="8" borderId="0" xfId="7" applyNumberFormat="1" applyFill="1" applyAlignment="1">
      <alignment horizontal="center" vertical="center"/>
    </xf>
    <xf numFmtId="0" fontId="19" fillId="10" borderId="0" xfId="7" applyFont="1" applyFill="1" applyAlignment="1">
      <alignment horizontal="center" vertical="center"/>
    </xf>
    <xf numFmtId="0" fontId="19" fillId="10" borderId="0" xfId="7" applyFont="1" applyFill="1" applyAlignment="1">
      <alignment horizontal="center" vertical="center" wrapText="1"/>
    </xf>
    <xf numFmtId="1" fontId="19" fillId="10" borderId="0" xfId="7" applyNumberFormat="1" applyFont="1" applyFill="1" applyAlignment="1">
      <alignment horizontal="center" vertical="center" wrapText="1"/>
    </xf>
    <xf numFmtId="0" fontId="21" fillId="8" borderId="0" xfId="7" applyFont="1" applyFill="1" applyAlignment="1">
      <alignment horizontal="center" vertical="center"/>
    </xf>
    <xf numFmtId="2" fontId="21" fillId="8" borderId="0" xfId="7" applyNumberFormat="1" applyFont="1" applyFill="1" applyAlignment="1">
      <alignment horizontal="center" vertical="center"/>
    </xf>
    <xf numFmtId="164" fontId="21" fillId="8" borderId="0" xfId="7" applyNumberFormat="1" applyFont="1" applyFill="1" applyAlignment="1">
      <alignment horizontal="center" vertical="center"/>
    </xf>
    <xf numFmtId="0" fontId="21" fillId="11" borderId="0" xfId="7" applyFont="1" applyFill="1" applyAlignment="1">
      <alignment horizontal="center" vertical="center"/>
    </xf>
    <xf numFmtId="2" fontId="21" fillId="11" borderId="0" xfId="7" applyNumberFormat="1" applyFont="1" applyFill="1" applyAlignment="1">
      <alignment horizontal="center" vertical="center"/>
    </xf>
    <xf numFmtId="164" fontId="21" fillId="11" borderId="0" xfId="7" applyNumberFormat="1" applyFont="1" applyFill="1" applyAlignment="1">
      <alignment horizontal="center" vertical="center"/>
    </xf>
    <xf numFmtId="0" fontId="11" fillId="7" borderId="0" xfId="7" applyFont="1" applyFill="1"/>
    <xf numFmtId="1" fontId="1" fillId="7" borderId="0" xfId="7" applyNumberFormat="1" applyFill="1"/>
    <xf numFmtId="0" fontId="1" fillId="7" borderId="0" xfId="7" applyFill="1" applyAlignment="1">
      <alignment horizontal="right"/>
    </xf>
    <xf numFmtId="0" fontId="10" fillId="7" borderId="0" xfId="7" applyFont="1" applyFill="1"/>
    <xf numFmtId="0" fontId="22" fillId="7" borderId="0" xfId="7" applyFont="1" applyFill="1"/>
    <xf numFmtId="164" fontId="1" fillId="8" borderId="0" xfId="7" applyNumberFormat="1" applyFill="1"/>
    <xf numFmtId="49" fontId="1" fillId="7" borderId="0" xfId="7" applyNumberFormat="1" applyFill="1"/>
    <xf numFmtId="0" fontId="10" fillId="8" borderId="0" xfId="7" applyFont="1" applyFill="1"/>
    <xf numFmtId="164" fontId="10" fillId="7" borderId="0" xfId="7" applyNumberFormat="1" applyFont="1" applyFill="1"/>
    <xf numFmtId="164" fontId="1" fillId="7" borderId="0" xfId="7" applyNumberFormat="1" applyFill="1"/>
    <xf numFmtId="0" fontId="1" fillId="0" borderId="0" xfId="7"/>
    <xf numFmtId="1" fontId="1" fillId="0" borderId="0" xfId="7" applyNumberFormat="1" applyAlignment="1">
      <alignment horizontal="center"/>
    </xf>
    <xf numFmtId="164" fontId="1" fillId="0" borderId="0" xfId="7" applyNumberFormat="1" applyAlignment="1">
      <alignment horizontal="center"/>
    </xf>
    <xf numFmtId="0" fontId="1" fillId="0" borderId="0" xfId="7" applyAlignment="1">
      <alignment horizontal="center" vertical="center"/>
    </xf>
    <xf numFmtId="1" fontId="1" fillId="0" borderId="0" xfId="7" applyNumberFormat="1" applyAlignment="1">
      <alignment horizontal="center" vertical="center"/>
    </xf>
    <xf numFmtId="164" fontId="1" fillId="0" borderId="0" xfId="7" applyNumberFormat="1" applyAlignment="1">
      <alignment horizontal="center" vertical="center"/>
    </xf>
    <xf numFmtId="0" fontId="9" fillId="8" borderId="0" xfId="8" applyFill="1"/>
    <xf numFmtId="0" fontId="31" fillId="8" borderId="0" xfId="2" applyFont="1" applyFill="1" applyAlignment="1">
      <alignment horizontal="left"/>
    </xf>
    <xf numFmtId="0" fontId="31" fillId="8" borderId="0" xfId="2" applyFont="1" applyFill="1"/>
    <xf numFmtId="0" fontId="31" fillId="8" borderId="0" xfId="2" applyFont="1" applyFill="1" applyAlignment="1">
      <alignment horizontal="center"/>
    </xf>
    <xf numFmtId="0" fontId="7" fillId="7" borderId="0" xfId="0" applyFont="1" applyFill="1" applyAlignment="1">
      <alignment horizontal="left"/>
    </xf>
    <xf numFmtId="0" fontId="7" fillId="7" borderId="11" xfId="0" applyFont="1" applyFill="1" applyBorder="1" applyAlignment="1">
      <alignment horizontal="center"/>
    </xf>
    <xf numFmtId="0" fontId="0" fillId="7" borderId="14" xfId="0" applyFill="1" applyBorder="1" applyAlignment="1">
      <alignment horizontal="center"/>
    </xf>
    <xf numFmtId="0" fontId="7" fillId="7" borderId="14" xfId="0" applyFont="1" applyFill="1" applyBorder="1" applyAlignment="1">
      <alignment vertical="center" wrapText="1"/>
    </xf>
    <xf numFmtId="0" fontId="5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0" fillId="6" borderId="17" xfId="0" applyFill="1" applyBorder="1" applyAlignment="1">
      <alignment horizontal="center" vertical="center" wrapText="1"/>
    </xf>
    <xf numFmtId="0" fontId="0" fillId="6" borderId="18" xfId="0" applyFill="1" applyBorder="1" applyAlignment="1">
      <alignment horizontal="center" vertical="center" wrapText="1"/>
    </xf>
    <xf numFmtId="0" fontId="0" fillId="6" borderId="19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0" xfId="0" applyFill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22" xfId="0" applyFill="1" applyBorder="1" applyAlignment="1">
      <alignment horizontal="center" vertical="center" wrapText="1"/>
    </xf>
    <xf numFmtId="0" fontId="0" fillId="6" borderId="23" xfId="0" applyFill="1" applyBorder="1" applyAlignment="1">
      <alignment horizontal="center" vertical="center" wrapText="1"/>
    </xf>
    <xf numFmtId="0" fontId="0" fillId="6" borderId="24" xfId="0" applyFill="1" applyBorder="1" applyAlignment="1">
      <alignment horizontal="center" vertical="center" wrapText="1"/>
    </xf>
    <xf numFmtId="0" fontId="9" fillId="8" borderId="0" xfId="8" applyFill="1" applyAlignment="1">
      <alignment horizontal="left" vertical="center"/>
    </xf>
    <xf numFmtId="14" fontId="0" fillId="8" borderId="0" xfId="0" applyNumberFormat="1" applyFill="1" applyAlignment="1">
      <alignment horizontal="left"/>
    </xf>
    <xf numFmtId="0" fontId="31" fillId="8" borderId="0" xfId="2" applyFont="1" applyFill="1" applyAlignment="1">
      <alignment horizontal="center" vertical="center"/>
    </xf>
    <xf numFmtId="0" fontId="23" fillId="4" borderId="0" xfId="0" applyFont="1" applyFill="1" applyAlignment="1">
      <alignment horizontal="center" vertical="center" wrapText="1"/>
    </xf>
    <xf numFmtId="0" fontId="0" fillId="14" borderId="17" xfId="0" applyFill="1" applyBorder="1" applyAlignment="1">
      <alignment horizontal="center" vertical="center" wrapText="1"/>
    </xf>
    <xf numFmtId="0" fontId="0" fillId="14" borderId="18" xfId="0" applyFill="1" applyBorder="1" applyAlignment="1">
      <alignment horizontal="center" vertical="center" wrapText="1"/>
    </xf>
    <xf numFmtId="0" fontId="0" fillId="14" borderId="19" xfId="0" applyFill="1" applyBorder="1" applyAlignment="1">
      <alignment horizontal="center" vertical="center" wrapText="1"/>
    </xf>
    <xf numFmtId="0" fontId="0" fillId="14" borderId="20" xfId="0" applyFill="1" applyBorder="1" applyAlignment="1">
      <alignment horizontal="center" vertical="center" wrapText="1"/>
    </xf>
    <xf numFmtId="0" fontId="0" fillId="14" borderId="0" xfId="0" applyFill="1" applyAlignment="1">
      <alignment horizontal="center" vertical="center" wrapText="1"/>
    </xf>
    <xf numFmtId="0" fontId="0" fillId="14" borderId="21" xfId="0" applyFill="1" applyBorder="1" applyAlignment="1">
      <alignment horizontal="center" vertical="center" wrapText="1"/>
    </xf>
    <xf numFmtId="0" fontId="0" fillId="14" borderId="22" xfId="0" applyFill="1" applyBorder="1" applyAlignment="1">
      <alignment horizontal="center" vertical="center" wrapText="1"/>
    </xf>
    <xf numFmtId="0" fontId="0" fillId="14" borderId="23" xfId="0" applyFill="1" applyBorder="1" applyAlignment="1">
      <alignment horizontal="center" vertical="center" wrapText="1"/>
    </xf>
    <xf numFmtId="0" fontId="0" fillId="14" borderId="24" xfId="0" applyFill="1" applyBorder="1" applyAlignment="1">
      <alignment horizontal="center" vertical="center" wrapText="1"/>
    </xf>
    <xf numFmtId="0" fontId="26" fillId="2" borderId="5" xfId="0" applyFont="1" applyFill="1" applyBorder="1" applyAlignment="1">
      <alignment horizontal="center" vertical="center"/>
    </xf>
    <xf numFmtId="0" fontId="26" fillId="2" borderId="6" xfId="0" applyFont="1" applyFill="1" applyBorder="1" applyAlignment="1">
      <alignment horizontal="center" vertical="center"/>
    </xf>
    <xf numFmtId="0" fontId="11" fillId="13" borderId="25" xfId="3" applyFont="1" applyBorder="1" applyAlignment="1">
      <alignment horizontal="center" vertical="center"/>
    </xf>
    <xf numFmtId="0" fontId="11" fillId="13" borderId="26" xfId="3" applyFont="1" applyBorder="1" applyAlignment="1">
      <alignment horizontal="center" vertical="center"/>
    </xf>
    <xf numFmtId="0" fontId="26" fillId="2" borderId="3" xfId="0" applyFont="1" applyFill="1" applyBorder="1" applyAlignment="1">
      <alignment horizontal="center" vertical="center"/>
    </xf>
    <xf numFmtId="0" fontId="26" fillId="2" borderId="7" xfId="0" applyFont="1" applyFill="1" applyBorder="1" applyAlignment="1">
      <alignment horizontal="center" vertical="center"/>
    </xf>
    <xf numFmtId="0" fontId="26" fillId="2" borderId="4" xfId="0" applyFont="1" applyFill="1" applyBorder="1" applyAlignment="1">
      <alignment horizontal="center" vertical="center"/>
    </xf>
    <xf numFmtId="0" fontId="26" fillId="2" borderId="8" xfId="0" applyFont="1" applyFill="1" applyBorder="1" applyAlignment="1">
      <alignment horizontal="center" vertical="center"/>
    </xf>
    <xf numFmtId="0" fontId="26" fillId="2" borderId="2" xfId="0" applyFont="1" applyFill="1" applyBorder="1" applyAlignment="1">
      <alignment horizontal="center" vertical="center"/>
    </xf>
    <xf numFmtId="14" fontId="9" fillId="8" borderId="0" xfId="8" applyNumberFormat="1" applyFill="1" applyAlignment="1">
      <alignment horizontal="left"/>
    </xf>
    <xf numFmtId="0" fontId="9" fillId="12" borderId="0" xfId="8" applyFill="1" applyBorder="1" applyAlignment="1"/>
    <xf numFmtId="0" fontId="0" fillId="12" borderId="0" xfId="0" applyFill="1" applyAlignment="1">
      <alignment horizontal="left"/>
    </xf>
  </cellXfs>
  <cellStyles count="9">
    <cellStyle name="20% — akcent 1" xfId="3" builtinId="30"/>
    <cellStyle name="Akcent 1" xfId="1" builtinId="29"/>
    <cellStyle name="Hiperłącze" xfId="8" builtinId="8"/>
    <cellStyle name="Normal 2" xfId="2" xr:uid="{CC2D019B-9B7D-4F11-9E2B-9F42238FAD2B}"/>
    <cellStyle name="Normal 2 2" xfId="5" xr:uid="{22ECA8E7-B989-4719-8127-593FA96A346A}"/>
    <cellStyle name="Normal 2 2 2" xfId="4" xr:uid="{5249F7A1-D24E-49AB-AFC7-0C21F76C5D83}"/>
    <cellStyle name="Normal 2 2 2 2" xfId="6" xr:uid="{6EBBB965-B5DB-4E0F-A993-8886E4F52D78}"/>
    <cellStyle name="Normal 2 2 2 3" xfId="7" xr:uid="{071373EC-7F89-4D64-8963-B65A70F49169}"/>
    <cellStyle name="Normalny" xfId="0" builtinId="0"/>
  </cellStyles>
  <dxfs count="39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2"/>
      </font>
    </dxf>
    <dxf>
      <font>
        <color theme="2"/>
      </font>
    </dxf>
    <dxf>
      <font>
        <color theme="5" tint="-0.24994659260841701"/>
      </font>
      <fill>
        <patternFill>
          <bgColor theme="7"/>
        </patternFill>
      </fill>
    </dxf>
    <dxf>
      <font>
        <color theme="2" tint="-0.749961851863155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5" tint="-0.24994659260841701"/>
        </patternFill>
      </fill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2"/>
      </font>
    </dxf>
    <dxf>
      <font>
        <color theme="5" tint="-0.24994659260841701"/>
      </font>
      <fill>
        <patternFill>
          <bgColor theme="7"/>
        </patternFill>
      </fill>
    </dxf>
    <dxf>
      <font>
        <color theme="2" tint="-0.749961851863155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5" tint="-0.24994659260841701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333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CCCCC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DDDDD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Relationship Id="rId30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www.fencingtimelive.com/tournaments/eventSchedule/B3DA380CD665461DA7201E30A5652557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www.fencingtimelive.com/events/results/F3325D7247534BFCAD156E0C685D4020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www.fencingtimelive.com/tournaments/eventSchedule/A233DC1D44A44F6CBC3CF3E9D9BDFBFA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fencingtimelive.com/tournaments/eventSchedule/4E8236D593B64434A9EE99D9B5F7E65F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s://www.fencingtimelive.com/events/results/9F634F806CE54F0F9F539A52CB034B29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s://www.fencingtimelive.com/tournaments/eventSchedule/D70668CEB8754915920393A22468C3AB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s://www.fencingtimelive.com/tournaments/eventSchedule/85A647ED7CA8457AAB73EFA286767B15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s://www.fencingtimelive.com/tournaments/eventSchedule/3D4AE99A80D04D30A3C8B870E292FAD3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s://www.fencingtimelive.com/events/results/F2E70A712A9A4ED5AEA1E05CDC71272E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https://www.fencingtimelive.com/events/results/51C2161239214FFDBB606816DCD8F87B" TargetMode="Externa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hyperlink" Target="https://engarde-service.com/competition/fencingaddict/crit23/sdv234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6.bin"/><Relationship Id="rId1" Type="http://schemas.openxmlformats.org/officeDocument/2006/relationships/hyperlink" Target="https://engarde-service.com/?fbclid=IwAR1q8b20973WNdhLRYbl3vdP-rPK0cilvuHZi37KFNf-Dodoicffb3YOQeM" TargetMode="Externa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7.bin"/><Relationship Id="rId1" Type="http://schemas.openxmlformats.org/officeDocument/2006/relationships/hyperlink" Target="https://engarde-service.com/competition/aeve_esgrima/evf_madrid_2023/t_sf_2" TargetMode="Externa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8.bin"/><Relationship Id="rId1" Type="http://schemas.openxmlformats.org/officeDocument/2006/relationships/hyperlink" Target="https://fencing.ophardt.online/en/search/results/27166" TargetMode="Externa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9.bin"/><Relationship Id="rId1" Type="http://schemas.openxmlformats.org/officeDocument/2006/relationships/hyperlink" Target="https://www.4fence.it/FIS/Risultati/2023-12-17-16_Terni_(TR)_-_3_Prova_Circuito_Naz.le_Master/index.php?a=SC&amp;s=F&amp;c=6&amp;f=clafinale" TargetMode="Externa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0.bin"/><Relationship Id="rId1" Type="http://schemas.openxmlformats.org/officeDocument/2006/relationships/hyperlink" Target="https://www.fencingtimelive.com/events/results/ECF8802B533B45C8B35DAF96022F3053" TargetMode="Externa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1.bin"/><Relationship Id="rId1" Type="http://schemas.openxmlformats.org/officeDocument/2006/relationships/hyperlink" Target="https://www.veteransfencing.eu/fencing/rankings/" TargetMode="Externa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2.bin"/><Relationship Id="rId1" Type="http://schemas.openxmlformats.org/officeDocument/2006/relationships/hyperlink" Target="https://www.veteransfencing.eu/fencing/rankings/" TargetMode="Externa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3.bin"/><Relationship Id="rId1" Type="http://schemas.openxmlformats.org/officeDocument/2006/relationships/hyperlink" Target="https://www.veteransfencing.eu/fencing/rankings/" TargetMode="Externa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4.bin"/><Relationship Id="rId2" Type="http://schemas.openxmlformats.org/officeDocument/2006/relationships/hyperlink" Target="https://engarde-service.com/competition/e3f/efcv/womensabrev2" TargetMode="External"/><Relationship Id="rId1" Type="http://schemas.openxmlformats.org/officeDocument/2006/relationships/hyperlink" Target="https://engarde-service.com/tournament/e3f/efcv?fbclid=IwAR1Vu7PzqhdxiNexAJADfvMcidb5q6PMXUA8tzcExXid4fmvv1sDm-QJbg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F393C-E0AA-4EC1-80C2-6C82F61F78AA}">
  <dimension ref="A1:AA39"/>
  <sheetViews>
    <sheetView tabSelected="1" workbookViewId="0">
      <selection activeCell="B16" sqref="B16"/>
    </sheetView>
  </sheetViews>
  <sheetFormatPr defaultColWidth="11.625" defaultRowHeight="12.9" x14ac:dyDescent="0.2"/>
  <cols>
    <col min="1" max="1" width="6" customWidth="1"/>
    <col min="2" max="2" width="29.25" customWidth="1"/>
    <col min="3" max="3" width="13.875" customWidth="1"/>
    <col min="5" max="5" width="5.75" customWidth="1"/>
    <col min="6" max="6" width="6.75" bestFit="1" customWidth="1"/>
    <col min="7" max="7" width="3.75" customWidth="1"/>
    <col min="8" max="8" width="6" customWidth="1"/>
    <col min="9" max="9" width="3.75" customWidth="1"/>
    <col min="10" max="10" width="6" customWidth="1"/>
    <col min="11" max="11" width="3.75" customWidth="1"/>
    <col min="12" max="12" width="6" customWidth="1"/>
    <col min="13" max="13" width="3.75" customWidth="1"/>
    <col min="14" max="20" width="6" customWidth="1"/>
    <col min="21" max="21" width="3.75" customWidth="1"/>
    <col min="22" max="22" width="6" customWidth="1"/>
    <col min="23" max="23" width="3.75" customWidth="1"/>
  </cols>
  <sheetData>
    <row r="1" spans="1:27" ht="14.3" thickBot="1" x14ac:dyDescent="0.3">
      <c r="A1" s="3"/>
      <c r="B1" s="3"/>
      <c r="C1" s="3"/>
      <c r="D1" s="6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</row>
    <row r="2" spans="1:27" ht="13.75" customHeight="1" thickTop="1" x14ac:dyDescent="0.25">
      <c r="A2" s="3"/>
      <c r="B2" s="4" t="s">
        <v>0</v>
      </c>
      <c r="C2" s="3"/>
      <c r="D2" s="69" t="s">
        <v>1</v>
      </c>
      <c r="E2" s="5"/>
      <c r="F2" s="5"/>
      <c r="G2" s="5"/>
      <c r="H2" s="5"/>
      <c r="I2" s="5"/>
      <c r="J2" s="5"/>
      <c r="K2" s="5"/>
      <c r="L2" s="5"/>
      <c r="M2" s="5"/>
      <c r="N2" s="3"/>
      <c r="O2" s="3"/>
      <c r="P2" s="3"/>
      <c r="Q2" s="3"/>
      <c r="R2" s="3"/>
      <c r="S2" s="3"/>
      <c r="T2" s="3"/>
      <c r="U2" s="3"/>
      <c r="V2" s="3"/>
      <c r="X2" s="268" t="s">
        <v>2</v>
      </c>
      <c r="Y2" s="269"/>
      <c r="Z2" s="269"/>
      <c r="AA2" s="270"/>
    </row>
    <row r="3" spans="1:27" ht="13.6" x14ac:dyDescent="0.25">
      <c r="A3" s="3"/>
      <c r="B3" s="3"/>
      <c r="C3" s="3"/>
      <c r="D3" s="6" t="s">
        <v>3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X3" s="271"/>
      <c r="Y3" s="272"/>
      <c r="Z3" s="272"/>
      <c r="AA3" s="273"/>
    </row>
    <row r="4" spans="1:27" ht="24.8" customHeight="1" thickBot="1" x14ac:dyDescent="0.25">
      <c r="A4" s="263" t="s">
        <v>4</v>
      </c>
      <c r="B4" s="265" t="s">
        <v>5</v>
      </c>
      <c r="C4" s="265" t="s">
        <v>6</v>
      </c>
      <c r="D4" s="265" t="s">
        <v>7</v>
      </c>
      <c r="E4" s="261" t="s">
        <v>8</v>
      </c>
      <c r="F4" s="262"/>
      <c r="G4" s="261" t="s">
        <v>9</v>
      </c>
      <c r="H4" s="262"/>
      <c r="I4" s="261" t="s">
        <v>10</v>
      </c>
      <c r="J4" s="262"/>
      <c r="K4" s="261" t="s">
        <v>11</v>
      </c>
      <c r="L4" s="262"/>
      <c r="M4" s="261" t="s">
        <v>12</v>
      </c>
      <c r="N4" s="262"/>
      <c r="O4" s="261" t="s">
        <v>13</v>
      </c>
      <c r="P4" s="262"/>
      <c r="Q4" s="261" t="s">
        <v>14</v>
      </c>
      <c r="R4" s="262"/>
      <c r="S4" s="261" t="s">
        <v>15</v>
      </c>
      <c r="T4" s="262"/>
      <c r="U4" s="261" t="s">
        <v>16</v>
      </c>
      <c r="V4" s="262"/>
      <c r="X4" s="274"/>
      <c r="Y4" s="275"/>
      <c r="Z4" s="275"/>
      <c r="AA4" s="276"/>
    </row>
    <row r="5" spans="1:27" ht="18" customHeight="1" thickTop="1" x14ac:dyDescent="0.2">
      <c r="A5" s="264"/>
      <c r="B5" s="266"/>
      <c r="C5" s="266"/>
      <c r="D5" s="267"/>
      <c r="E5" s="2" t="s">
        <v>17</v>
      </c>
      <c r="F5" s="2" t="s">
        <v>18</v>
      </c>
      <c r="G5" s="2" t="s">
        <v>17</v>
      </c>
      <c r="H5" s="2" t="s">
        <v>18</v>
      </c>
      <c r="I5" s="2" t="s">
        <v>17</v>
      </c>
      <c r="J5" s="2" t="s">
        <v>18</v>
      </c>
      <c r="K5" s="2" t="s">
        <v>17</v>
      </c>
      <c r="L5" s="2" t="s">
        <v>18</v>
      </c>
      <c r="M5" s="2" t="s">
        <v>17</v>
      </c>
      <c r="N5" s="7" t="s">
        <v>18</v>
      </c>
      <c r="O5" s="2" t="s">
        <v>17</v>
      </c>
      <c r="P5" s="7" t="s">
        <v>18</v>
      </c>
      <c r="Q5" s="2" t="s">
        <v>17</v>
      </c>
      <c r="R5" s="7" t="s">
        <v>18</v>
      </c>
      <c r="S5" s="2" t="s">
        <v>17</v>
      </c>
      <c r="T5" s="7" t="s">
        <v>18</v>
      </c>
      <c r="U5" s="2" t="s">
        <v>17</v>
      </c>
      <c r="V5" s="7" t="s">
        <v>18</v>
      </c>
    </row>
    <row r="6" spans="1:27" ht="15.8" customHeight="1" x14ac:dyDescent="0.25">
      <c r="A6" s="8">
        <f t="shared" ref="A6:A23" si="0">ROW()-5</f>
        <v>1</v>
      </c>
      <c r="B6" s="260" t="s">
        <v>200</v>
      </c>
      <c r="C6" s="11"/>
      <c r="D6" s="75">
        <f>SUM(F6,H6,J6,L6,N6,P6,R6,T6,V6)-SUM(SMALL((F6,H6,J6,L6,N6,P6,R6,T6),1),SMALL((F6,H6,J6,L6,N6,P6,R6,T6),2))</f>
        <v>71</v>
      </c>
      <c r="E6" s="9" t="str">
        <f>_xlfn.XLOOKUP($B6,'GP1'!$C$6:$C$101,'GP1'!$B$6:$B$101,"")</f>
        <v/>
      </c>
      <c r="F6" s="76">
        <f>_xlfn.XLOOKUP(E6,'GP1'!$B$6:$B$55,'GP1'!$A$6:$A$55,0)</f>
        <v>0</v>
      </c>
      <c r="G6" s="9" t="str">
        <f>_xlfn.XLOOKUP($B6,'GP2'!$C$6:$C$101,'GP2'!$B$6:$B$101,"")</f>
        <v/>
      </c>
      <c r="H6" s="76">
        <f>_xlfn.XLOOKUP(G6,'GP2'!$B$6:$B$55,'GP2'!$A$6:$A$55,0)</f>
        <v>0</v>
      </c>
      <c r="I6" s="9" t="str">
        <f>_xlfn.XLOOKUP($B6,'GP3'!$C$6:$C$101,'GP3'!$B$6:$B$101,"")</f>
        <v/>
      </c>
      <c r="J6" s="76">
        <f>_xlfn.XLOOKUP(I6,'GP3'!$B$6:$B$55,'GP3'!$A$6:$A$55,0)</f>
        <v>0</v>
      </c>
      <c r="K6" s="9" t="str">
        <f>_xlfn.XLOOKUP($B6,'GP4'!$C$6:$C$101,'GP4'!$B$6:$B$101,"")</f>
        <v/>
      </c>
      <c r="L6" s="76">
        <f>_xlfn.XLOOKUP(K6,'GP4'!$B$6:$B$55,'GP4'!$A$6:$A$55,0)</f>
        <v>0</v>
      </c>
      <c r="M6" s="9" t="str">
        <f>_xlfn.XLOOKUP($B6,'GP5'!$C$6:$C$101,'GP5'!$B$6:$B$101,"")</f>
        <v/>
      </c>
      <c r="N6" s="126">
        <f>_xlfn.XLOOKUP(M6,'GP5'!$B$6:$B$55,'GP5'!$A$6:$A$55,0)</f>
        <v>0</v>
      </c>
      <c r="O6" s="9" t="str">
        <f>_xlfn.XLOOKUP($B6,'GP6'!$C$6:$C$101,'GP6'!$B$6:$B$101,"")</f>
        <v/>
      </c>
      <c r="P6" s="126">
        <f>_xlfn.XLOOKUP(O6,'GP6'!$B$6:$B$55,'GP6'!$A$6:$A$55,0)</f>
        <v>0</v>
      </c>
      <c r="Q6" s="9" t="str">
        <f>_xlfn.XLOOKUP($B6,'GP7'!$C$6:$C$101,'GP7'!$B$6:$B$101,"")</f>
        <v/>
      </c>
      <c r="R6" s="126">
        <f>_xlfn.XLOOKUP(Q6,'GP7'!$B$6:$B$55,'GP7'!$A$6:$A$55,0)</f>
        <v>0</v>
      </c>
      <c r="S6" s="9" t="str">
        <f>_xlfn.XLOOKUP($B6,'GP8'!$C$6:$C$101,'GP8'!$B$6:$B$101,"")</f>
        <v/>
      </c>
      <c r="T6" s="126">
        <f>_xlfn.XLOOKUP(S6,'GP8'!$B$6:$B$55,'GP8'!$A$6:$A$55,0)</f>
        <v>0</v>
      </c>
      <c r="U6" s="9">
        <f>_xlfn.XLOOKUP($B6,MPW!$C$6:$C$101,MPW!$B$6:$B$101,"")</f>
        <v>1</v>
      </c>
      <c r="V6" s="126">
        <f>_xlfn.XLOOKUP(U6,MPW!$B$6:$B$55,MPW!$A$6:$A$55,0)</f>
        <v>71</v>
      </c>
    </row>
    <row r="7" spans="1:27" ht="15.8" customHeight="1" x14ac:dyDescent="0.25">
      <c r="A7" s="8">
        <f t="shared" si="0"/>
        <v>2</v>
      </c>
      <c r="B7" s="257" t="s">
        <v>19</v>
      </c>
      <c r="C7" s="11"/>
      <c r="D7" s="75">
        <f>SUM(F7,H7,J7,L7,N7,P7,R7,T7,V7)-SUM(SMALL((F7,H7,J7,L7,N7,P7,R7,T7),1),SMALL((F7,H7,J7,L7,N7,P7,R7,T7),2))</f>
        <v>69.271431559243084</v>
      </c>
      <c r="E7" s="9" t="str">
        <f>_xlfn.XLOOKUP($B7,'GP1'!$C$6:$C$101,'GP1'!$B$6:$B$101,"")</f>
        <v/>
      </c>
      <c r="F7" s="76">
        <f>_xlfn.XLOOKUP(E7,'GP1'!$B$6:$B$55,'GP1'!$A$6:$A$55,0)</f>
        <v>0</v>
      </c>
      <c r="G7" s="9">
        <f>_xlfn.XLOOKUP($B7,'GP2'!$C$6:$C$101,'GP2'!$B$6:$B$101,"")</f>
        <v>1</v>
      </c>
      <c r="H7" s="76">
        <f>_xlfn.XLOOKUP(G7,'GP2'!$B$6:$B$55,'GP2'!$A$6:$A$55,0)</f>
        <v>59</v>
      </c>
      <c r="I7" s="9" t="str">
        <f>_xlfn.XLOOKUP($B7,'GP3'!$C$6:$C$101,'GP3'!$B$6:$B$101,"")</f>
        <v/>
      </c>
      <c r="J7" s="76">
        <f>_xlfn.XLOOKUP(I7,'GP3'!$B$6:$B$55,'GP3'!$A$6:$A$55,0)</f>
        <v>0</v>
      </c>
      <c r="K7" s="9" t="str">
        <f>_xlfn.XLOOKUP($B7,'GP4'!$C$6:$C$101,'GP4'!$B$6:$B$101,"")</f>
        <v/>
      </c>
      <c r="L7" s="76">
        <f>_xlfn.XLOOKUP(K7,'GP4'!$B$6:$B$55,'GP4'!$A$6:$A$55,0)</f>
        <v>0</v>
      </c>
      <c r="M7" s="9" t="str">
        <f>_xlfn.XLOOKUP($B7,'GP5'!$C$6:$C$101,'GP5'!$B$6:$B$101,"")</f>
        <v/>
      </c>
      <c r="N7" s="126">
        <f>_xlfn.XLOOKUP(M7,'GP5'!$B$6:$B$55,'GP5'!$A$6:$A$55,0)</f>
        <v>0</v>
      </c>
      <c r="O7" s="9" t="str">
        <f>_xlfn.XLOOKUP($B7,'GP6'!$C$6:$C$101,'GP6'!$B$6:$B$101,"")</f>
        <v/>
      </c>
      <c r="P7" s="126">
        <f>_xlfn.XLOOKUP(O7,'GP6'!$B$6:$B$55,'GP6'!$A$6:$A$55,0)</f>
        <v>0</v>
      </c>
      <c r="Q7" s="9" t="str">
        <f>_xlfn.XLOOKUP($B7,'GP7'!$C$6:$C$101,'GP7'!$B$6:$B$101,"")</f>
        <v/>
      </c>
      <c r="R7" s="126">
        <f>_xlfn.XLOOKUP(Q7,'GP7'!$B$6:$B$55,'GP7'!$A$6:$A$55,0)</f>
        <v>0</v>
      </c>
      <c r="S7" s="9" t="str">
        <f>_xlfn.XLOOKUP($B7,'GP8'!$C$6:$C$101,'GP8'!$B$6:$B$101,"")</f>
        <v/>
      </c>
      <c r="T7" s="126">
        <f>_xlfn.XLOOKUP(S7,'GP8'!$B$6:$B$55,'GP8'!$A$6:$A$55,0)</f>
        <v>0</v>
      </c>
      <c r="U7" s="9">
        <f>_xlfn.XLOOKUP($B7,MPW!$C$6:$C$101,MPW!$B$6:$B$101,"")</f>
        <v>2</v>
      </c>
      <c r="V7" s="126">
        <f>_xlfn.XLOOKUP(U7,MPW!$B$6:$B$55,MPW!$A$6:$A$55,0)</f>
        <v>10.271431559243085</v>
      </c>
    </row>
    <row r="8" spans="1:27" ht="15.8" customHeight="1" x14ac:dyDescent="0.25">
      <c r="A8" s="8">
        <f t="shared" si="0"/>
        <v>3</v>
      </c>
      <c r="B8" s="10"/>
      <c r="C8" s="11"/>
      <c r="D8" s="75">
        <f>SUM(F8,H8,J8,L8,N8,P8,R8,T8,V8)-SUM(SMALL((F8,H8,J8,L8,N8,P8,R8,T8),1),SMALL((F8,H8,J8,L8,N8,P8,R8,T8),2))</f>
        <v>0</v>
      </c>
      <c r="E8" s="9" t="str">
        <f>_xlfn.XLOOKUP($B8,'GP1'!$C$6:$C$101,'GP1'!$B$6:$B$101,"")</f>
        <v/>
      </c>
      <c r="F8" s="76">
        <f>_xlfn.XLOOKUP(E8,'GP1'!$B$6:$B$55,'GP1'!$A$6:$A$55,0)</f>
        <v>0</v>
      </c>
      <c r="G8" s="9" t="str">
        <f>_xlfn.XLOOKUP($B8,'GP2'!$C$6:$C$101,'GP2'!$B$6:$B$101,"")</f>
        <v/>
      </c>
      <c r="H8" s="76">
        <f>_xlfn.XLOOKUP(G8,'GP2'!$B$6:$B$55,'GP2'!$A$6:$A$55,0)</f>
        <v>0</v>
      </c>
      <c r="I8" s="9" t="str">
        <f>_xlfn.XLOOKUP($B8,'GP3'!$C$6:$C$101,'GP3'!$B$6:$B$101,"")</f>
        <v/>
      </c>
      <c r="J8" s="76">
        <f>_xlfn.XLOOKUP(I8,'GP3'!$B$6:$B$55,'GP3'!$A$6:$A$55,0)</f>
        <v>0</v>
      </c>
      <c r="K8" s="9" t="str">
        <f>_xlfn.XLOOKUP($B8,'GP4'!$C$6:$C$101,'GP4'!$B$6:$B$101,"")</f>
        <v/>
      </c>
      <c r="L8" s="76">
        <f>_xlfn.XLOOKUP(K8,'GP4'!$B$6:$B$55,'GP4'!$A$6:$A$55,0)</f>
        <v>0</v>
      </c>
      <c r="M8" s="9" t="str">
        <f>_xlfn.XLOOKUP($B8,'GP5'!$C$6:$C$101,'GP5'!$B$6:$B$101,"")</f>
        <v/>
      </c>
      <c r="N8" s="126">
        <f>_xlfn.XLOOKUP(M8,'GP5'!$B$6:$B$55,'GP5'!$A$6:$A$55,0)</f>
        <v>0</v>
      </c>
      <c r="O8" s="9" t="str">
        <f>_xlfn.XLOOKUP($B8,'GP6'!$C$6:$C$101,'GP6'!$B$6:$B$101,"")</f>
        <v/>
      </c>
      <c r="P8" s="126">
        <f>_xlfn.XLOOKUP(O8,'GP6'!$B$6:$B$55,'GP6'!$A$6:$A$55,0)</f>
        <v>0</v>
      </c>
      <c r="Q8" s="9" t="str">
        <f>_xlfn.XLOOKUP($B8,'GP7'!$C$6:$C$101,'GP7'!$B$6:$B$101,"")</f>
        <v/>
      </c>
      <c r="R8" s="126">
        <f>_xlfn.XLOOKUP(Q8,'GP7'!$B$6:$B$55,'GP7'!$A$6:$A$55,0)</f>
        <v>0</v>
      </c>
      <c r="S8" s="9" t="str">
        <f>_xlfn.XLOOKUP($B8,'GP8'!$C$6:$C$101,'GP8'!$B$6:$B$101,"")</f>
        <v/>
      </c>
      <c r="T8" s="126">
        <f>_xlfn.XLOOKUP(S8,'GP8'!$B$6:$B$55,'GP8'!$A$6:$A$55,0)</f>
        <v>0</v>
      </c>
      <c r="U8" s="9" t="str">
        <f>_xlfn.XLOOKUP($B8,MPW!$C$6:$C$101,MPW!$B$6:$B$101,"")</f>
        <v/>
      </c>
      <c r="V8" s="126">
        <f>_xlfn.XLOOKUP(U8,MPW!$B$6:$B$55,MPW!$A$6:$A$55,0)</f>
        <v>0</v>
      </c>
    </row>
    <row r="9" spans="1:27" ht="14.8" customHeight="1" x14ac:dyDescent="0.25">
      <c r="A9" s="8">
        <f t="shared" si="0"/>
        <v>4</v>
      </c>
      <c r="B9" s="10"/>
      <c r="C9" s="11"/>
      <c r="D9" s="75">
        <f>SUM(F9,H9,J9,L9,N9,P9,R9,T9,V9)-SUM(SMALL((F9,H9,J9,L9,N9,P9,R9,T9),1),SMALL((F9,H9,J9,L9,N9,P9,R9,T9),2))</f>
        <v>0</v>
      </c>
      <c r="E9" s="9" t="str">
        <f>_xlfn.XLOOKUP($B9,'GP1'!$C$6:$C$101,'GP1'!$B$6:$B$101,"")</f>
        <v/>
      </c>
      <c r="F9" s="76">
        <f>_xlfn.XLOOKUP(E9,'GP1'!$B$6:$B$55,'GP1'!$A$6:$A$55,0)</f>
        <v>0</v>
      </c>
      <c r="G9" s="9" t="str">
        <f>_xlfn.XLOOKUP($B9,'GP2'!$C$6:$C$101,'GP2'!$B$6:$B$101,"")</f>
        <v/>
      </c>
      <c r="H9" s="76">
        <f>_xlfn.XLOOKUP(G9,'GP2'!$B$6:$B$55,'GP2'!$A$6:$A$55,0)</f>
        <v>0</v>
      </c>
      <c r="I9" s="9" t="str">
        <f>_xlfn.XLOOKUP($B9,'GP3'!$C$6:$C$101,'GP3'!$B$6:$B$101,"")</f>
        <v/>
      </c>
      <c r="J9" s="76">
        <f>_xlfn.XLOOKUP(I9,'GP3'!$B$6:$B$55,'GP3'!$A$6:$A$55,0)</f>
        <v>0</v>
      </c>
      <c r="K9" s="9" t="str">
        <f>_xlfn.XLOOKUP($B9,'GP4'!$C$6:$C$101,'GP4'!$B$6:$B$101,"")</f>
        <v/>
      </c>
      <c r="L9" s="76">
        <f>_xlfn.XLOOKUP(K9,'GP4'!$B$6:$B$55,'GP4'!$A$6:$A$55,0)</f>
        <v>0</v>
      </c>
      <c r="M9" s="9" t="str">
        <f>_xlfn.XLOOKUP($B9,'GP5'!$C$6:$C$101,'GP5'!$B$6:$B$101,"")</f>
        <v/>
      </c>
      <c r="N9" s="126">
        <f>_xlfn.XLOOKUP(M9,'GP5'!$B$6:$B$55,'GP5'!$A$6:$A$55,0)</f>
        <v>0</v>
      </c>
      <c r="O9" s="9" t="str">
        <f>_xlfn.XLOOKUP($B9,'GP6'!$C$6:$C$101,'GP6'!$B$6:$B$101,"")</f>
        <v/>
      </c>
      <c r="P9" s="126">
        <f>_xlfn.XLOOKUP(O9,'GP6'!$B$6:$B$55,'GP6'!$A$6:$A$55,0)</f>
        <v>0</v>
      </c>
      <c r="Q9" s="9" t="str">
        <f>_xlfn.XLOOKUP($B9,'GP7'!$C$6:$C$101,'GP7'!$B$6:$B$101,"")</f>
        <v/>
      </c>
      <c r="R9" s="126">
        <f>_xlfn.XLOOKUP(Q9,'GP7'!$B$6:$B$55,'GP7'!$A$6:$A$55,0)</f>
        <v>0</v>
      </c>
      <c r="S9" s="9" t="str">
        <f>_xlfn.XLOOKUP($B9,'GP8'!$C$6:$C$101,'GP8'!$B$6:$B$101,"")</f>
        <v/>
      </c>
      <c r="T9" s="126">
        <f>_xlfn.XLOOKUP(S9,'GP8'!$B$6:$B$55,'GP8'!$A$6:$A$55,0)</f>
        <v>0</v>
      </c>
      <c r="U9" s="9" t="str">
        <f>_xlfn.XLOOKUP($B9,MPW!$C$6:$C$101,MPW!$B$6:$B$101,"")</f>
        <v/>
      </c>
      <c r="V9" s="126">
        <f>_xlfn.XLOOKUP(U9,MPW!$B$6:$B$55,MPW!$A$6:$A$55,0)</f>
        <v>0</v>
      </c>
    </row>
    <row r="10" spans="1:27" ht="14.8" customHeight="1" x14ac:dyDescent="0.25">
      <c r="A10" s="8">
        <f t="shared" si="0"/>
        <v>5</v>
      </c>
      <c r="B10" s="10"/>
      <c r="C10" s="11"/>
      <c r="D10" s="75">
        <f>SUM(F10,H10,J10,L10,N10,P10,R10,T10,V10)-SUM(SMALL((F10,H10,J10,L10,N10,P10,R10,T10),1),SMALL((F10,H10,J10,L10,N10,P10,R10,T10),2))</f>
        <v>0</v>
      </c>
      <c r="E10" s="9" t="str">
        <f>_xlfn.XLOOKUP($B10,'GP1'!$C$6:$C$101,'GP1'!$B$6:$B$101,"")</f>
        <v/>
      </c>
      <c r="F10" s="76">
        <f>_xlfn.XLOOKUP(E10,'GP1'!$B$6:$B$55,'GP1'!$A$6:$A$55,0)</f>
        <v>0</v>
      </c>
      <c r="G10" s="9" t="str">
        <f>_xlfn.XLOOKUP($B10,'GP2'!$C$6:$C$101,'GP2'!$B$6:$B$101,"")</f>
        <v/>
      </c>
      <c r="H10" s="76">
        <f>_xlfn.XLOOKUP(G10,'GP2'!$B$6:$B$55,'GP2'!$A$6:$A$55,0)</f>
        <v>0</v>
      </c>
      <c r="I10" s="9" t="str">
        <f>_xlfn.XLOOKUP($B10,'GP3'!$C$6:$C$101,'GP3'!$B$6:$B$101,"")</f>
        <v/>
      </c>
      <c r="J10" s="76">
        <f>_xlfn.XLOOKUP(I10,'GP3'!$B$6:$B$55,'GP3'!$A$6:$A$55,0)</f>
        <v>0</v>
      </c>
      <c r="K10" s="9" t="str">
        <f>_xlfn.XLOOKUP($B10,'GP4'!$C$6:$C$101,'GP4'!$B$6:$B$101,"")</f>
        <v/>
      </c>
      <c r="L10" s="76">
        <f>_xlfn.XLOOKUP(K10,'GP4'!$B$6:$B$55,'GP4'!$A$6:$A$55,0)</f>
        <v>0</v>
      </c>
      <c r="M10" s="9" t="str">
        <f>_xlfn.XLOOKUP($B10,'GP5'!$C$6:$C$101,'GP5'!$B$6:$B$101,"")</f>
        <v/>
      </c>
      <c r="N10" s="126">
        <f>_xlfn.XLOOKUP(M10,'GP5'!$B$6:$B$55,'GP5'!$A$6:$A$55,0)</f>
        <v>0</v>
      </c>
      <c r="O10" s="9" t="str">
        <f>_xlfn.XLOOKUP($B10,'GP6'!$C$6:$C$101,'GP6'!$B$6:$B$101,"")</f>
        <v/>
      </c>
      <c r="P10" s="126">
        <f>_xlfn.XLOOKUP(O10,'GP6'!$B$6:$B$55,'GP6'!$A$6:$A$55,0)</f>
        <v>0</v>
      </c>
      <c r="Q10" s="9" t="str">
        <f>_xlfn.XLOOKUP($B10,'GP7'!$C$6:$C$101,'GP7'!$B$6:$B$101,"")</f>
        <v/>
      </c>
      <c r="R10" s="126">
        <f>_xlfn.XLOOKUP(Q10,'GP7'!$B$6:$B$55,'GP7'!$A$6:$A$55,0)</f>
        <v>0</v>
      </c>
      <c r="S10" s="9" t="str">
        <f>_xlfn.XLOOKUP($B10,'GP8'!$C$6:$C$101,'GP8'!$B$6:$B$101,"")</f>
        <v/>
      </c>
      <c r="T10" s="126">
        <f>_xlfn.XLOOKUP(S10,'GP8'!$B$6:$B$55,'GP8'!$A$6:$A$55,0)</f>
        <v>0</v>
      </c>
      <c r="U10" s="9" t="str">
        <f>_xlfn.XLOOKUP($B10,MPW!$C$6:$C$101,MPW!$B$6:$B$101,"")</f>
        <v/>
      </c>
      <c r="V10" s="126">
        <f>_xlfn.XLOOKUP(U10,MPW!$B$6:$B$55,MPW!$A$6:$A$55,0)</f>
        <v>0</v>
      </c>
    </row>
    <row r="11" spans="1:27" ht="14.8" customHeight="1" x14ac:dyDescent="0.25">
      <c r="A11" s="8">
        <f t="shared" si="0"/>
        <v>6</v>
      </c>
      <c r="B11" s="10"/>
      <c r="C11" s="11"/>
      <c r="D11" s="75">
        <f>SUM(F11,H11,J11,L11,N11,P11,R11,T11,V11)-SUM(SMALL((F11,H11,J11,L11,N11,P11,R11,T11),1),SMALL((F11,H11,J11,L11,N11,P11,R11,T11),2))</f>
        <v>0</v>
      </c>
      <c r="E11" s="9" t="str">
        <f>_xlfn.XLOOKUP($B11,'GP1'!$C$6:$C$101,'GP1'!$B$6:$B$101,"")</f>
        <v/>
      </c>
      <c r="F11" s="76">
        <f>_xlfn.XLOOKUP(E11,'GP1'!$B$6:$B$55,'GP1'!$A$6:$A$55,0)</f>
        <v>0</v>
      </c>
      <c r="G11" s="9" t="str">
        <f>_xlfn.XLOOKUP($B11,'GP2'!$C$6:$C$101,'GP2'!$B$6:$B$101,"")</f>
        <v/>
      </c>
      <c r="H11" s="76">
        <f>_xlfn.XLOOKUP(G11,'GP2'!$B$6:$B$55,'GP2'!$A$6:$A$55,0)</f>
        <v>0</v>
      </c>
      <c r="I11" s="9" t="str">
        <f>_xlfn.XLOOKUP($B11,'GP3'!$C$6:$C$101,'GP3'!$B$6:$B$101,"")</f>
        <v/>
      </c>
      <c r="J11" s="76">
        <f>_xlfn.XLOOKUP(I11,'GP3'!$B$6:$B$55,'GP3'!$A$6:$A$55,0)</f>
        <v>0</v>
      </c>
      <c r="K11" s="9" t="str">
        <f>_xlfn.XLOOKUP($B11,'GP4'!$C$6:$C$101,'GP4'!$B$6:$B$101,"")</f>
        <v/>
      </c>
      <c r="L11" s="76">
        <f>_xlfn.XLOOKUP(K11,'GP4'!$B$6:$B$55,'GP4'!$A$6:$A$55,0)</f>
        <v>0</v>
      </c>
      <c r="M11" s="9" t="str">
        <f>_xlfn.XLOOKUP($B11,'GP5'!$C$6:$C$101,'GP5'!$B$6:$B$101,"")</f>
        <v/>
      </c>
      <c r="N11" s="126">
        <f>_xlfn.XLOOKUP(M11,'GP5'!$B$6:$B$55,'GP5'!$A$6:$A$55,0)</f>
        <v>0</v>
      </c>
      <c r="O11" s="9" t="str">
        <f>_xlfn.XLOOKUP($B11,'GP6'!$C$6:$C$101,'GP6'!$B$6:$B$101,"")</f>
        <v/>
      </c>
      <c r="P11" s="126">
        <f>_xlfn.XLOOKUP(O11,'GP6'!$B$6:$B$55,'GP6'!$A$6:$A$55,0)</f>
        <v>0</v>
      </c>
      <c r="Q11" s="9" t="str">
        <f>_xlfn.XLOOKUP($B11,'GP7'!$C$6:$C$101,'GP7'!$B$6:$B$101,"")</f>
        <v/>
      </c>
      <c r="R11" s="126">
        <f>_xlfn.XLOOKUP(Q11,'GP7'!$B$6:$B$55,'GP7'!$A$6:$A$55,0)</f>
        <v>0</v>
      </c>
      <c r="S11" s="9" t="str">
        <f>_xlfn.XLOOKUP($B11,'GP8'!$C$6:$C$101,'GP8'!$B$6:$B$101,"")</f>
        <v/>
      </c>
      <c r="T11" s="126">
        <f>_xlfn.XLOOKUP(S11,'GP8'!$B$6:$B$55,'GP8'!$A$6:$A$55,0)</f>
        <v>0</v>
      </c>
      <c r="U11" s="9" t="str">
        <f>_xlfn.XLOOKUP($B11,MPW!$C$6:$C$101,MPW!$B$6:$B$101,"")</f>
        <v/>
      </c>
      <c r="V11" s="126">
        <f>_xlfn.XLOOKUP(U11,MPW!$B$6:$B$55,MPW!$A$6:$A$55,0)</f>
        <v>0</v>
      </c>
    </row>
    <row r="12" spans="1:27" ht="14.8" customHeight="1" x14ac:dyDescent="0.25">
      <c r="A12" s="8">
        <f t="shared" si="0"/>
        <v>7</v>
      </c>
      <c r="B12" s="10"/>
      <c r="C12" s="11"/>
      <c r="D12" s="75">
        <f>SUM(F12,H12,J12,L12,N12,P12,R12,T12,V12)-SUM(SMALL((F12,H12,J12,L12,N12,P12,R12,T12),1),SMALL((F12,H12,J12,L12,N12,P12,R12,T12),2))</f>
        <v>0</v>
      </c>
      <c r="E12" s="9" t="str">
        <f>_xlfn.XLOOKUP($B12,'GP1'!$C$6:$C$101,'GP1'!$B$6:$B$101,"")</f>
        <v/>
      </c>
      <c r="F12" s="76">
        <f>_xlfn.XLOOKUP(E12,'GP1'!$B$6:$B$55,'GP1'!$A$6:$A$55,0)</f>
        <v>0</v>
      </c>
      <c r="G12" s="9" t="str">
        <f>_xlfn.XLOOKUP($B12,'GP2'!$C$6:$C$101,'GP2'!$B$6:$B$101,"")</f>
        <v/>
      </c>
      <c r="H12" s="76">
        <f>_xlfn.XLOOKUP(G12,'GP2'!$B$6:$B$55,'GP2'!$A$6:$A$55,0)</f>
        <v>0</v>
      </c>
      <c r="I12" s="9" t="str">
        <f>_xlfn.XLOOKUP($B12,'GP3'!$C$6:$C$101,'GP3'!$B$6:$B$101,"")</f>
        <v/>
      </c>
      <c r="J12" s="76">
        <f>_xlfn.XLOOKUP(I12,'GP3'!$B$6:$B$55,'GP3'!$A$6:$A$55,0)</f>
        <v>0</v>
      </c>
      <c r="K12" s="9" t="str">
        <f>_xlfn.XLOOKUP($B12,'GP4'!$C$6:$C$101,'GP4'!$B$6:$B$101,"")</f>
        <v/>
      </c>
      <c r="L12" s="76">
        <f>_xlfn.XLOOKUP(K12,'GP4'!$B$6:$B$55,'GP4'!$A$6:$A$55,0)</f>
        <v>0</v>
      </c>
      <c r="M12" s="9" t="str">
        <f>_xlfn.XLOOKUP($B12,'GP5'!$C$6:$C$101,'GP5'!$B$6:$B$101,"")</f>
        <v/>
      </c>
      <c r="N12" s="126">
        <f>_xlfn.XLOOKUP(M12,'GP5'!$B$6:$B$55,'GP5'!$A$6:$A$55,0)</f>
        <v>0</v>
      </c>
      <c r="O12" s="9" t="str">
        <f>_xlfn.XLOOKUP($B12,'GP6'!$C$6:$C$101,'GP6'!$B$6:$B$101,"")</f>
        <v/>
      </c>
      <c r="P12" s="126">
        <f>_xlfn.XLOOKUP(O12,'GP6'!$B$6:$B$55,'GP6'!$A$6:$A$55,0)</f>
        <v>0</v>
      </c>
      <c r="Q12" s="9" t="str">
        <f>_xlfn.XLOOKUP($B12,'GP7'!$C$6:$C$101,'GP7'!$B$6:$B$101,"")</f>
        <v/>
      </c>
      <c r="R12" s="126">
        <f>_xlfn.XLOOKUP(Q12,'GP7'!$B$6:$B$55,'GP7'!$A$6:$A$55,0)</f>
        <v>0</v>
      </c>
      <c r="S12" s="9" t="str">
        <f>_xlfn.XLOOKUP($B12,'GP8'!$C$6:$C$101,'GP8'!$B$6:$B$101,"")</f>
        <v/>
      </c>
      <c r="T12" s="126">
        <f>_xlfn.XLOOKUP(S12,'GP8'!$B$6:$B$55,'GP8'!$A$6:$A$55,0)</f>
        <v>0</v>
      </c>
      <c r="U12" s="9" t="str">
        <f>_xlfn.XLOOKUP($B12,MPW!$C$6:$C$101,MPW!$B$6:$B$101,"")</f>
        <v/>
      </c>
      <c r="V12" s="126">
        <f>_xlfn.XLOOKUP(U12,MPW!$B$6:$B$55,MPW!$A$6:$A$55,0)</f>
        <v>0</v>
      </c>
    </row>
    <row r="13" spans="1:27" ht="14.8" customHeight="1" x14ac:dyDescent="0.25">
      <c r="A13" s="8">
        <f t="shared" si="0"/>
        <v>8</v>
      </c>
      <c r="B13" s="10"/>
      <c r="C13" s="11"/>
      <c r="D13" s="75">
        <f>SUM(F13,H13,J13,L13,N13,P13,R13,T13,V13)-SUM(SMALL((F13,H13,J13,L13,N13,P13,R13,T13),1),SMALL((F13,H13,J13,L13,N13,P13,R13,T13),2))</f>
        <v>0</v>
      </c>
      <c r="E13" s="9" t="str">
        <f>_xlfn.XLOOKUP($B13,'GP1'!$C$6:$C$101,'GP1'!$B$6:$B$101,"")</f>
        <v/>
      </c>
      <c r="F13" s="76">
        <f>_xlfn.XLOOKUP(E13,'GP1'!$B$6:$B$55,'GP1'!$A$6:$A$55,0)</f>
        <v>0</v>
      </c>
      <c r="G13" s="9" t="str">
        <f>_xlfn.XLOOKUP($B13,'GP2'!$C$6:$C$101,'GP2'!$B$6:$B$101,"")</f>
        <v/>
      </c>
      <c r="H13" s="76">
        <f>_xlfn.XLOOKUP(G13,'GP2'!$B$6:$B$55,'GP2'!$A$6:$A$55,0)</f>
        <v>0</v>
      </c>
      <c r="I13" s="9" t="str">
        <f>_xlfn.XLOOKUP($B13,'GP3'!$C$6:$C$101,'GP3'!$B$6:$B$101,"")</f>
        <v/>
      </c>
      <c r="J13" s="76">
        <f>_xlfn.XLOOKUP(I13,'GP3'!$B$6:$B$55,'GP3'!$A$6:$A$55,0)</f>
        <v>0</v>
      </c>
      <c r="K13" s="9" t="str">
        <f>_xlfn.XLOOKUP($B13,'GP4'!$C$6:$C$101,'GP4'!$B$6:$B$101,"")</f>
        <v/>
      </c>
      <c r="L13" s="76">
        <f>_xlfn.XLOOKUP(K13,'GP4'!$B$6:$B$55,'GP4'!$A$6:$A$55,0)</f>
        <v>0</v>
      </c>
      <c r="M13" s="9" t="str">
        <f>_xlfn.XLOOKUP($B13,'GP5'!$C$6:$C$101,'GP5'!$B$6:$B$101,"")</f>
        <v/>
      </c>
      <c r="N13" s="126">
        <f>_xlfn.XLOOKUP(M13,'GP5'!$B$6:$B$55,'GP5'!$A$6:$A$55,0)</f>
        <v>0</v>
      </c>
      <c r="O13" s="9" t="str">
        <f>_xlfn.XLOOKUP($B13,'GP6'!$C$6:$C$101,'GP6'!$B$6:$B$101,"")</f>
        <v/>
      </c>
      <c r="P13" s="126">
        <f>_xlfn.XLOOKUP(O13,'GP6'!$B$6:$B$55,'GP6'!$A$6:$A$55,0)</f>
        <v>0</v>
      </c>
      <c r="Q13" s="9" t="str">
        <f>_xlfn.XLOOKUP($B13,'GP7'!$C$6:$C$101,'GP7'!$B$6:$B$101,"")</f>
        <v/>
      </c>
      <c r="R13" s="126">
        <f>_xlfn.XLOOKUP(Q13,'GP7'!$B$6:$B$55,'GP7'!$A$6:$A$55,0)</f>
        <v>0</v>
      </c>
      <c r="S13" s="9" t="str">
        <f>_xlfn.XLOOKUP($B13,'GP8'!$C$6:$C$101,'GP8'!$B$6:$B$101,"")</f>
        <v/>
      </c>
      <c r="T13" s="126">
        <f>_xlfn.XLOOKUP(S13,'GP8'!$B$6:$B$55,'GP8'!$A$6:$A$55,0)</f>
        <v>0</v>
      </c>
      <c r="U13" s="9" t="str">
        <f>_xlfn.XLOOKUP($B13,MPW!$C$6:$C$101,MPW!$B$6:$B$101,"")</f>
        <v/>
      </c>
      <c r="V13" s="126">
        <f>_xlfn.XLOOKUP(U13,MPW!$B$6:$B$55,MPW!$A$6:$A$55,0)</f>
        <v>0</v>
      </c>
    </row>
    <row r="14" spans="1:27" ht="14.8" customHeight="1" x14ac:dyDescent="0.25">
      <c r="A14" s="8">
        <f t="shared" si="0"/>
        <v>9</v>
      </c>
      <c r="B14" s="10"/>
      <c r="C14" s="11"/>
      <c r="D14" s="75">
        <f>SUM(F14,H14,J14,L14,N14,P14,R14,T14,V14)-SUM(SMALL((F14,H14,J14,L14,N14,P14,R14,T14),1),SMALL((F14,H14,J14,L14,N14,P14,R14,T14),2))</f>
        <v>0</v>
      </c>
      <c r="E14" s="9" t="str">
        <f>_xlfn.XLOOKUP($B14,'GP1'!$C$6:$C$101,'GP1'!$B$6:$B$101,"")</f>
        <v/>
      </c>
      <c r="F14" s="76">
        <f>_xlfn.XLOOKUP(E14,'GP1'!$B$6:$B$55,'GP1'!$A$6:$A$55,0)</f>
        <v>0</v>
      </c>
      <c r="G14" s="9" t="str">
        <f>_xlfn.XLOOKUP($B14,'GP2'!$C$6:$C$101,'GP2'!$B$6:$B$101,"")</f>
        <v/>
      </c>
      <c r="H14" s="76">
        <f>_xlfn.XLOOKUP(G14,'GP2'!$B$6:$B$55,'GP2'!$A$6:$A$55,0)</f>
        <v>0</v>
      </c>
      <c r="I14" s="9" t="str">
        <f>_xlfn.XLOOKUP($B14,'GP3'!$C$6:$C$101,'GP3'!$B$6:$B$101,"")</f>
        <v/>
      </c>
      <c r="J14" s="76">
        <f>_xlfn.XLOOKUP(I14,'GP3'!$B$6:$B$55,'GP3'!$A$6:$A$55,0)</f>
        <v>0</v>
      </c>
      <c r="K14" s="9" t="str">
        <f>_xlfn.XLOOKUP($B14,'GP4'!$C$6:$C$101,'GP4'!$B$6:$B$101,"")</f>
        <v/>
      </c>
      <c r="L14" s="76">
        <f>_xlfn.XLOOKUP(K14,'GP4'!$B$6:$B$55,'GP4'!$A$6:$A$55,0)</f>
        <v>0</v>
      </c>
      <c r="M14" s="9" t="str">
        <f>_xlfn.XLOOKUP($B14,'GP5'!$C$6:$C$101,'GP5'!$B$6:$B$101,"")</f>
        <v/>
      </c>
      <c r="N14" s="126">
        <f>_xlfn.XLOOKUP(M14,'GP5'!$B$6:$B$55,'GP5'!$A$6:$A$55,0)</f>
        <v>0</v>
      </c>
      <c r="O14" s="9" t="str">
        <f>_xlfn.XLOOKUP($B14,'GP6'!$C$6:$C$101,'GP6'!$B$6:$B$101,"")</f>
        <v/>
      </c>
      <c r="P14" s="126">
        <f>_xlfn.XLOOKUP(O14,'GP6'!$B$6:$B$55,'GP6'!$A$6:$A$55,0)</f>
        <v>0</v>
      </c>
      <c r="Q14" s="9" t="str">
        <f>_xlfn.XLOOKUP($B14,'GP7'!$C$6:$C$101,'GP7'!$B$6:$B$101,"")</f>
        <v/>
      </c>
      <c r="R14" s="126">
        <f>_xlfn.XLOOKUP(Q14,'GP7'!$B$6:$B$55,'GP7'!$A$6:$A$55,0)</f>
        <v>0</v>
      </c>
      <c r="S14" s="9" t="str">
        <f>_xlfn.XLOOKUP($B14,'GP8'!$C$6:$C$101,'GP8'!$B$6:$B$101,"")</f>
        <v/>
      </c>
      <c r="T14" s="126">
        <f>_xlfn.XLOOKUP(S14,'GP8'!$B$6:$B$55,'GP8'!$A$6:$A$55,0)</f>
        <v>0</v>
      </c>
      <c r="U14" s="9" t="str">
        <f>_xlfn.XLOOKUP($B14,MPW!$C$6:$C$101,MPW!$B$6:$B$101,"")</f>
        <v/>
      </c>
      <c r="V14" s="126">
        <f>_xlfn.XLOOKUP(U14,MPW!$B$6:$B$55,MPW!$A$6:$A$55,0)</f>
        <v>0</v>
      </c>
    </row>
    <row r="15" spans="1:27" ht="14.8" customHeight="1" x14ac:dyDescent="0.25">
      <c r="A15" s="8">
        <f t="shared" si="0"/>
        <v>10</v>
      </c>
      <c r="B15" s="10"/>
      <c r="C15" s="11"/>
      <c r="D15" s="75">
        <f>SUM(F15,H15,J15,L15,N15,P15,R15,T15,V15)-SUM(SMALL((F15,H15,J15,L15,N15,P15,R15,T15),1),SMALL((F15,H15,J15,L15,N15,P15,R15,T15),2))</f>
        <v>0</v>
      </c>
      <c r="E15" s="9" t="str">
        <f>_xlfn.XLOOKUP($B15,'GP1'!$C$6:$C$101,'GP1'!$B$6:$B$101,"")</f>
        <v/>
      </c>
      <c r="F15" s="76">
        <f>_xlfn.XLOOKUP(E15,'GP1'!$B$6:$B$55,'GP1'!$A$6:$A$55,0)</f>
        <v>0</v>
      </c>
      <c r="G15" s="9" t="str">
        <f>_xlfn.XLOOKUP($B15,'GP2'!$C$6:$C$101,'GP2'!$B$6:$B$101,"")</f>
        <v/>
      </c>
      <c r="H15" s="76">
        <f>_xlfn.XLOOKUP(G15,'GP2'!$B$6:$B$55,'GP2'!$A$6:$A$55,0)</f>
        <v>0</v>
      </c>
      <c r="I15" s="9" t="str">
        <f>_xlfn.XLOOKUP($B15,'GP3'!$C$6:$C$101,'GP3'!$B$6:$B$101,"")</f>
        <v/>
      </c>
      <c r="J15" s="76">
        <f>_xlfn.XLOOKUP(I15,'GP3'!$B$6:$B$55,'GP3'!$A$6:$A$55,0)</f>
        <v>0</v>
      </c>
      <c r="K15" s="9" t="str">
        <f>_xlfn.XLOOKUP($B15,'GP4'!$C$6:$C$101,'GP4'!$B$6:$B$101,"")</f>
        <v/>
      </c>
      <c r="L15" s="76">
        <f>_xlfn.XLOOKUP(K15,'GP4'!$B$6:$B$55,'GP4'!$A$6:$A$55,0)</f>
        <v>0</v>
      </c>
      <c r="M15" s="9" t="str">
        <f>_xlfn.XLOOKUP($B15,'GP5'!$C$6:$C$101,'GP5'!$B$6:$B$101,"")</f>
        <v/>
      </c>
      <c r="N15" s="126">
        <f>_xlfn.XLOOKUP(M15,'GP5'!$B$6:$B$55,'GP5'!$A$6:$A$55,0)</f>
        <v>0</v>
      </c>
      <c r="O15" s="9" t="str">
        <f>_xlfn.XLOOKUP($B15,'GP6'!$C$6:$C$101,'GP6'!$B$6:$B$101,"")</f>
        <v/>
      </c>
      <c r="P15" s="126">
        <f>_xlfn.XLOOKUP(O15,'GP6'!$B$6:$B$55,'GP6'!$A$6:$A$55,0)</f>
        <v>0</v>
      </c>
      <c r="Q15" s="9" t="str">
        <f>_xlfn.XLOOKUP($B15,'GP7'!$C$6:$C$101,'GP7'!$B$6:$B$101,"")</f>
        <v/>
      </c>
      <c r="R15" s="126">
        <f>_xlfn.XLOOKUP(Q15,'GP7'!$B$6:$B$55,'GP7'!$A$6:$A$55,0)</f>
        <v>0</v>
      </c>
      <c r="S15" s="9" t="str">
        <f>_xlfn.XLOOKUP($B15,'GP8'!$C$6:$C$101,'GP8'!$B$6:$B$101,"")</f>
        <v/>
      </c>
      <c r="T15" s="126">
        <f>_xlfn.XLOOKUP(S15,'GP8'!$B$6:$B$55,'GP8'!$A$6:$A$55,0)</f>
        <v>0</v>
      </c>
      <c r="U15" s="9" t="str">
        <f>_xlfn.XLOOKUP($B15,MPW!$C$6:$C$101,MPW!$B$6:$B$101,"")</f>
        <v/>
      </c>
      <c r="V15" s="126">
        <f>_xlfn.XLOOKUP(U15,MPW!$B$6:$B$55,MPW!$A$6:$A$55,0)</f>
        <v>0</v>
      </c>
    </row>
    <row r="16" spans="1:27" ht="14.8" customHeight="1" x14ac:dyDescent="0.25">
      <c r="A16" s="8">
        <f t="shared" si="0"/>
        <v>11</v>
      </c>
      <c r="B16" s="10"/>
      <c r="C16" s="11"/>
      <c r="D16" s="75">
        <f>SUM(F16,H16,J16,L16,N16,P16,R16,T16,V16)-SUM(SMALL((F16,H16,J16,L16,N16,P16,R16,T16),1),SMALL((F16,H16,J16,L16,N16,P16,R16,T16),2))</f>
        <v>0</v>
      </c>
      <c r="E16" s="9" t="str">
        <f>_xlfn.XLOOKUP($B16,'GP1'!$C$6:$C$101,'GP1'!$B$6:$B$101,"")</f>
        <v/>
      </c>
      <c r="F16" s="76">
        <f>_xlfn.XLOOKUP(E16,'GP1'!$B$6:$B$55,'GP1'!$A$6:$A$55,0)</f>
        <v>0</v>
      </c>
      <c r="G16" s="9" t="str">
        <f>_xlfn.XLOOKUP($B16,'GP2'!$C$6:$C$101,'GP2'!$B$6:$B$101,"")</f>
        <v/>
      </c>
      <c r="H16" s="76">
        <f>_xlfn.XLOOKUP(G16,'GP2'!$B$6:$B$55,'GP2'!$A$6:$A$55,0)</f>
        <v>0</v>
      </c>
      <c r="I16" s="9" t="str">
        <f>_xlfn.XLOOKUP($B16,'GP3'!$C$6:$C$101,'GP3'!$B$6:$B$101,"")</f>
        <v/>
      </c>
      <c r="J16" s="76">
        <f>_xlfn.XLOOKUP(I16,'GP3'!$B$6:$B$55,'GP3'!$A$6:$A$55,0)</f>
        <v>0</v>
      </c>
      <c r="K16" s="9" t="str">
        <f>_xlfn.XLOOKUP($B16,'GP4'!$C$6:$C$101,'GP4'!$B$6:$B$101,"")</f>
        <v/>
      </c>
      <c r="L16" s="76">
        <f>_xlfn.XLOOKUP(K16,'GP4'!$B$6:$B$55,'GP4'!$A$6:$A$55,0)</f>
        <v>0</v>
      </c>
      <c r="M16" s="9" t="str">
        <f>_xlfn.XLOOKUP($B16,'GP5'!$C$6:$C$101,'GP5'!$B$6:$B$101,"")</f>
        <v/>
      </c>
      <c r="N16" s="126">
        <f>_xlfn.XLOOKUP(M16,'GP5'!$B$6:$B$55,'GP5'!$A$6:$A$55,0)</f>
        <v>0</v>
      </c>
      <c r="O16" s="9" t="str">
        <f>_xlfn.XLOOKUP($B16,'GP6'!$C$6:$C$101,'GP6'!$B$6:$B$101,"")</f>
        <v/>
      </c>
      <c r="P16" s="126">
        <f>_xlfn.XLOOKUP(O16,'GP6'!$B$6:$B$55,'GP6'!$A$6:$A$55,0)</f>
        <v>0</v>
      </c>
      <c r="Q16" s="9" t="str">
        <f>_xlfn.XLOOKUP($B16,'GP7'!$C$6:$C$101,'GP7'!$B$6:$B$101,"")</f>
        <v/>
      </c>
      <c r="R16" s="126">
        <f>_xlfn.XLOOKUP(Q16,'GP7'!$B$6:$B$55,'GP7'!$A$6:$A$55,0)</f>
        <v>0</v>
      </c>
      <c r="S16" s="9" t="str">
        <f>_xlfn.XLOOKUP($B16,'GP8'!$C$6:$C$101,'GP8'!$B$6:$B$101,"")</f>
        <v/>
      </c>
      <c r="T16" s="126">
        <f>_xlfn.XLOOKUP(S16,'GP8'!$B$6:$B$55,'GP8'!$A$6:$A$55,0)</f>
        <v>0</v>
      </c>
      <c r="U16" s="9" t="str">
        <f>_xlfn.XLOOKUP($B16,MPW!$C$6:$C$101,MPW!$B$6:$B$101,"")</f>
        <v/>
      </c>
      <c r="V16" s="126">
        <f>_xlfn.XLOOKUP(U16,MPW!$B$6:$B$55,MPW!$A$6:$A$55,0)</f>
        <v>0</v>
      </c>
    </row>
    <row r="17" spans="1:22" ht="14.8" customHeight="1" x14ac:dyDescent="0.25">
      <c r="A17" s="8">
        <f t="shared" si="0"/>
        <v>12</v>
      </c>
      <c r="B17" s="10"/>
      <c r="C17" s="11"/>
      <c r="D17" s="75">
        <f>SUM(F17,H17,J17,L17,N17,P17,R17,T17,V17)-SUM(SMALL((F17,H17,J17,L17,N17,P17,R17,T17),1),SMALL((F17,H17,J17,L17,N17,P17,R17,T17),2))</f>
        <v>0</v>
      </c>
      <c r="E17" s="9" t="str">
        <f>_xlfn.XLOOKUP($B17,'GP1'!$C$6:$C$101,'GP1'!$B$6:$B$101,"")</f>
        <v/>
      </c>
      <c r="F17" s="76">
        <f>_xlfn.XLOOKUP(E17,'GP1'!$B$6:$B$55,'GP1'!$A$6:$A$55,0)</f>
        <v>0</v>
      </c>
      <c r="G17" s="9" t="str">
        <f>_xlfn.XLOOKUP($B17,'GP2'!$C$6:$C$101,'GP2'!$B$6:$B$101,"")</f>
        <v/>
      </c>
      <c r="H17" s="76">
        <f>_xlfn.XLOOKUP(G17,'GP2'!$B$6:$B$55,'GP2'!$A$6:$A$55,0)</f>
        <v>0</v>
      </c>
      <c r="I17" s="9" t="str">
        <f>_xlfn.XLOOKUP($B17,'GP3'!$C$6:$C$101,'GP3'!$B$6:$B$101,"")</f>
        <v/>
      </c>
      <c r="J17" s="76">
        <f>_xlfn.XLOOKUP(I17,'GP3'!$B$6:$B$55,'GP3'!$A$6:$A$55,0)</f>
        <v>0</v>
      </c>
      <c r="K17" s="9" t="str">
        <f>_xlfn.XLOOKUP($B17,'GP4'!$C$6:$C$101,'GP4'!$B$6:$B$101,"")</f>
        <v/>
      </c>
      <c r="L17" s="76">
        <f>_xlfn.XLOOKUP(K17,'GP4'!$B$6:$B$55,'GP4'!$A$6:$A$55,0)</f>
        <v>0</v>
      </c>
      <c r="M17" s="9" t="str">
        <f>_xlfn.XLOOKUP($B17,'GP5'!$C$6:$C$101,'GP5'!$B$6:$B$101,"")</f>
        <v/>
      </c>
      <c r="N17" s="126">
        <f>_xlfn.XLOOKUP(M17,'GP5'!$B$6:$B$55,'GP5'!$A$6:$A$55,0)</f>
        <v>0</v>
      </c>
      <c r="O17" s="9" t="str">
        <f>_xlfn.XLOOKUP($B17,'GP6'!$C$6:$C$101,'GP6'!$B$6:$B$101,"")</f>
        <v/>
      </c>
      <c r="P17" s="126">
        <f>_xlfn.XLOOKUP(O17,'GP6'!$B$6:$B$55,'GP6'!$A$6:$A$55,0)</f>
        <v>0</v>
      </c>
      <c r="Q17" s="9" t="str">
        <f>_xlfn.XLOOKUP($B17,'GP7'!$C$6:$C$101,'GP7'!$B$6:$B$101,"")</f>
        <v/>
      </c>
      <c r="R17" s="126">
        <f>_xlfn.XLOOKUP(Q17,'GP7'!$B$6:$B$55,'GP7'!$A$6:$A$55,0)</f>
        <v>0</v>
      </c>
      <c r="S17" s="9" t="str">
        <f>_xlfn.XLOOKUP($B17,'GP8'!$C$6:$C$101,'GP8'!$B$6:$B$101,"")</f>
        <v/>
      </c>
      <c r="T17" s="126">
        <f>_xlfn.XLOOKUP(S17,'GP8'!$B$6:$B$55,'GP8'!$A$6:$A$55,0)</f>
        <v>0</v>
      </c>
      <c r="U17" s="9" t="str">
        <f>_xlfn.XLOOKUP($B17,MPW!$C$6:$C$101,MPW!$B$6:$B$101,"")</f>
        <v/>
      </c>
      <c r="V17" s="126">
        <f>_xlfn.XLOOKUP(U17,MPW!$B$6:$B$55,MPW!$A$6:$A$55,0)</f>
        <v>0</v>
      </c>
    </row>
    <row r="18" spans="1:22" ht="14.8" customHeight="1" x14ac:dyDescent="0.25">
      <c r="A18" s="8">
        <f t="shared" si="0"/>
        <v>13</v>
      </c>
      <c r="B18" s="10"/>
      <c r="C18" s="11"/>
      <c r="D18" s="75">
        <f>SUM(F18,H18,J18,L18,N18,P18,R18,T18,V18)-SUM(SMALL((F18,H18,J18,L18,N18,P18,R18,T18),1),SMALL((F18,H18,J18,L18,N18,P18,R18,T18),2))</f>
        <v>0</v>
      </c>
      <c r="E18" s="9" t="str">
        <f>_xlfn.XLOOKUP($B18,'GP1'!$C$6:$C$101,'GP1'!$B$6:$B$101,"")</f>
        <v/>
      </c>
      <c r="F18" s="76">
        <f>_xlfn.XLOOKUP(E18,'GP1'!$B$6:$B$55,'GP1'!$A$6:$A$55,0)</f>
        <v>0</v>
      </c>
      <c r="G18" s="9" t="str">
        <f>_xlfn.XLOOKUP($B18,'GP2'!$C$6:$C$101,'GP2'!$B$6:$B$101,"")</f>
        <v/>
      </c>
      <c r="H18" s="76">
        <f>_xlfn.XLOOKUP(G18,'GP2'!$B$6:$B$55,'GP2'!$A$6:$A$55,0)</f>
        <v>0</v>
      </c>
      <c r="I18" s="9" t="str">
        <f>_xlfn.XLOOKUP($B18,'GP3'!$C$6:$C$101,'GP3'!$B$6:$B$101,"")</f>
        <v/>
      </c>
      <c r="J18" s="76">
        <f>_xlfn.XLOOKUP(I18,'GP3'!$B$6:$B$55,'GP3'!$A$6:$A$55,0)</f>
        <v>0</v>
      </c>
      <c r="K18" s="9" t="str">
        <f>_xlfn.XLOOKUP($B18,'GP4'!$C$6:$C$101,'GP4'!$B$6:$B$101,"")</f>
        <v/>
      </c>
      <c r="L18" s="76">
        <f>_xlfn.XLOOKUP(K18,'GP4'!$B$6:$B$55,'GP4'!$A$6:$A$55,0)</f>
        <v>0</v>
      </c>
      <c r="M18" s="9" t="str">
        <f>_xlfn.XLOOKUP($B18,'GP5'!$C$6:$C$101,'GP5'!$B$6:$B$101,"")</f>
        <v/>
      </c>
      <c r="N18" s="126">
        <f>_xlfn.XLOOKUP(M18,'GP5'!$B$6:$B$55,'GP5'!$A$6:$A$55,0)</f>
        <v>0</v>
      </c>
      <c r="O18" s="9" t="str">
        <f>_xlfn.XLOOKUP($B18,'GP6'!$C$6:$C$101,'GP6'!$B$6:$B$101,"")</f>
        <v/>
      </c>
      <c r="P18" s="126">
        <f>_xlfn.XLOOKUP(O18,'GP6'!$B$6:$B$55,'GP6'!$A$6:$A$55,0)</f>
        <v>0</v>
      </c>
      <c r="Q18" s="9" t="str">
        <f>_xlfn.XLOOKUP($B18,'GP7'!$C$6:$C$101,'GP7'!$B$6:$B$101,"")</f>
        <v/>
      </c>
      <c r="R18" s="126">
        <f>_xlfn.XLOOKUP(Q18,'GP7'!$B$6:$B$55,'GP7'!$A$6:$A$55,0)</f>
        <v>0</v>
      </c>
      <c r="S18" s="9" t="str">
        <f>_xlfn.XLOOKUP($B18,'GP8'!$C$6:$C$101,'GP8'!$B$6:$B$101,"")</f>
        <v/>
      </c>
      <c r="T18" s="126">
        <f>_xlfn.XLOOKUP(S18,'GP8'!$B$6:$B$55,'GP8'!$A$6:$A$55,0)</f>
        <v>0</v>
      </c>
      <c r="U18" s="9" t="str">
        <f>_xlfn.XLOOKUP($B18,MPW!$C$6:$C$101,MPW!$B$6:$B$101,"")</f>
        <v/>
      </c>
      <c r="V18" s="126">
        <f>_xlfn.XLOOKUP(U18,MPW!$B$6:$B$55,MPW!$A$6:$A$55,0)</f>
        <v>0</v>
      </c>
    </row>
    <row r="19" spans="1:22" ht="14.8" customHeight="1" x14ac:dyDescent="0.25">
      <c r="A19" s="8">
        <f t="shared" si="0"/>
        <v>14</v>
      </c>
      <c r="B19" s="10"/>
      <c r="C19" s="11"/>
      <c r="D19" s="75">
        <f>SUM(F19,H19,J19,L19,N19,P19,R19,T19,V19)-SUM(SMALL((F19,H19,J19,L19,N19,P19,R19,T19),1),SMALL((F19,H19,J19,L19,N19,P19,R19,T19),2))</f>
        <v>0</v>
      </c>
      <c r="E19" s="9" t="str">
        <f>_xlfn.XLOOKUP($B19,'GP1'!$C$6:$C$101,'GP1'!$B$6:$B$101,"")</f>
        <v/>
      </c>
      <c r="F19" s="76">
        <f>_xlfn.XLOOKUP(E19,'GP1'!$B$6:$B$55,'GP1'!$A$6:$A$55,0)</f>
        <v>0</v>
      </c>
      <c r="G19" s="9" t="str">
        <f>_xlfn.XLOOKUP($B19,'GP2'!$C$6:$C$101,'GP2'!$B$6:$B$101,"")</f>
        <v/>
      </c>
      <c r="H19" s="76">
        <f>_xlfn.XLOOKUP(G19,'GP2'!$B$6:$B$55,'GP2'!$A$6:$A$55,0)</f>
        <v>0</v>
      </c>
      <c r="I19" s="9" t="str">
        <f>_xlfn.XLOOKUP($B19,'GP3'!$C$6:$C$101,'GP3'!$B$6:$B$101,"")</f>
        <v/>
      </c>
      <c r="J19" s="76">
        <f>_xlfn.XLOOKUP(I19,'GP3'!$B$6:$B$55,'GP3'!$A$6:$A$55,0)</f>
        <v>0</v>
      </c>
      <c r="K19" s="9" t="str">
        <f>_xlfn.XLOOKUP($B19,'GP4'!$C$6:$C$101,'GP4'!$B$6:$B$101,"")</f>
        <v/>
      </c>
      <c r="L19" s="76">
        <f>_xlfn.XLOOKUP(K19,'GP4'!$B$6:$B$55,'GP4'!$A$6:$A$55,0)</f>
        <v>0</v>
      </c>
      <c r="M19" s="9" t="str">
        <f>_xlfn.XLOOKUP($B19,'GP5'!$C$6:$C$101,'GP5'!$B$6:$B$101,"")</f>
        <v/>
      </c>
      <c r="N19" s="126">
        <f>_xlfn.XLOOKUP(M19,'GP5'!$B$6:$B$55,'GP5'!$A$6:$A$55,0)</f>
        <v>0</v>
      </c>
      <c r="O19" s="9" t="str">
        <f>_xlfn.XLOOKUP($B19,'GP6'!$C$6:$C$101,'GP6'!$B$6:$B$101,"")</f>
        <v/>
      </c>
      <c r="P19" s="126">
        <f>_xlfn.XLOOKUP(O19,'GP6'!$B$6:$B$55,'GP6'!$A$6:$A$55,0)</f>
        <v>0</v>
      </c>
      <c r="Q19" s="9" t="str">
        <f>_xlfn.XLOOKUP($B19,'GP7'!$C$6:$C$101,'GP7'!$B$6:$B$101,"")</f>
        <v/>
      </c>
      <c r="R19" s="126">
        <f>_xlfn.XLOOKUP(Q19,'GP7'!$B$6:$B$55,'GP7'!$A$6:$A$55,0)</f>
        <v>0</v>
      </c>
      <c r="S19" s="9" t="str">
        <f>_xlfn.XLOOKUP($B19,'GP8'!$C$6:$C$101,'GP8'!$B$6:$B$101,"")</f>
        <v/>
      </c>
      <c r="T19" s="126">
        <f>_xlfn.XLOOKUP(S19,'GP8'!$B$6:$B$55,'GP8'!$A$6:$A$55,0)</f>
        <v>0</v>
      </c>
      <c r="U19" s="9" t="str">
        <f>_xlfn.XLOOKUP($B19,MPW!$C$6:$C$101,MPW!$B$6:$B$101,"")</f>
        <v/>
      </c>
      <c r="V19" s="126">
        <f>_xlfn.XLOOKUP(U19,MPW!$B$6:$B$55,MPW!$A$6:$A$55,0)</f>
        <v>0</v>
      </c>
    </row>
    <row r="20" spans="1:22" ht="14.8" customHeight="1" x14ac:dyDescent="0.25">
      <c r="A20" s="8">
        <f t="shared" si="0"/>
        <v>15</v>
      </c>
      <c r="B20" s="10"/>
      <c r="C20" s="11"/>
      <c r="D20" s="75">
        <f>SUM(F20,H20,J20,L20,N20,P20,R20,T20,V20)-SUM(SMALL((F20,H20,J20,L20,N20,P20,R20,T20),1),SMALL((F20,H20,J20,L20,N20,P20,R20,T20),2))</f>
        <v>0</v>
      </c>
      <c r="E20" s="9" t="str">
        <f>_xlfn.XLOOKUP($B20,'GP1'!$C$6:$C$101,'GP1'!$B$6:$B$101,"")</f>
        <v/>
      </c>
      <c r="F20" s="76">
        <f>_xlfn.XLOOKUP(E20,'GP1'!$B$6:$B$55,'GP1'!$A$6:$A$55,0)</f>
        <v>0</v>
      </c>
      <c r="G20" s="9" t="str">
        <f>_xlfn.XLOOKUP($B20,'GP2'!$C$6:$C$101,'GP2'!$B$6:$B$101,"")</f>
        <v/>
      </c>
      <c r="H20" s="76">
        <f>_xlfn.XLOOKUP(G20,'GP2'!$B$6:$B$55,'GP2'!$A$6:$A$55,0)</f>
        <v>0</v>
      </c>
      <c r="I20" s="9" t="str">
        <f>_xlfn.XLOOKUP($B20,'GP3'!$C$6:$C$101,'GP3'!$B$6:$B$101,"")</f>
        <v/>
      </c>
      <c r="J20" s="76">
        <f>_xlfn.XLOOKUP(I20,'GP3'!$B$6:$B$55,'GP3'!$A$6:$A$55,0)</f>
        <v>0</v>
      </c>
      <c r="K20" s="9" t="str">
        <f>_xlfn.XLOOKUP($B20,'GP4'!$C$6:$C$101,'GP4'!$B$6:$B$101,"")</f>
        <v/>
      </c>
      <c r="L20" s="76">
        <f>_xlfn.XLOOKUP(K20,'GP4'!$B$6:$B$55,'GP4'!$A$6:$A$55,0)</f>
        <v>0</v>
      </c>
      <c r="M20" s="9" t="str">
        <f>_xlfn.XLOOKUP($B20,'GP5'!$C$6:$C$101,'GP5'!$B$6:$B$101,"")</f>
        <v/>
      </c>
      <c r="N20" s="126">
        <f>_xlfn.XLOOKUP(M20,'GP5'!$B$6:$B$55,'GP5'!$A$6:$A$55,0)</f>
        <v>0</v>
      </c>
      <c r="O20" s="9" t="str">
        <f>_xlfn.XLOOKUP($B20,'GP6'!$C$6:$C$101,'GP6'!$B$6:$B$101,"")</f>
        <v/>
      </c>
      <c r="P20" s="126">
        <f>_xlfn.XLOOKUP(O20,'GP6'!$B$6:$B$55,'GP6'!$A$6:$A$55,0)</f>
        <v>0</v>
      </c>
      <c r="Q20" s="9" t="str">
        <f>_xlfn.XLOOKUP($B20,'GP7'!$C$6:$C$101,'GP7'!$B$6:$B$101,"")</f>
        <v/>
      </c>
      <c r="R20" s="126">
        <f>_xlfn.XLOOKUP(Q20,'GP7'!$B$6:$B$55,'GP7'!$A$6:$A$55,0)</f>
        <v>0</v>
      </c>
      <c r="S20" s="9" t="str">
        <f>_xlfn.XLOOKUP($B20,'GP8'!$C$6:$C$101,'GP8'!$B$6:$B$101,"")</f>
        <v/>
      </c>
      <c r="T20" s="126">
        <f>_xlfn.XLOOKUP(S20,'GP8'!$B$6:$B$55,'GP8'!$A$6:$A$55,0)</f>
        <v>0</v>
      </c>
      <c r="U20" s="9" t="str">
        <f>_xlfn.XLOOKUP($B20,MPW!$C$6:$C$101,MPW!$B$6:$B$101,"")</f>
        <v/>
      </c>
      <c r="V20" s="126">
        <f>_xlfn.XLOOKUP(U20,MPW!$B$6:$B$55,MPW!$A$6:$A$55,0)</f>
        <v>0</v>
      </c>
    </row>
    <row r="21" spans="1:22" ht="14.8" customHeight="1" x14ac:dyDescent="0.25">
      <c r="A21" s="8">
        <f t="shared" si="0"/>
        <v>16</v>
      </c>
      <c r="B21" s="10"/>
      <c r="C21" s="11"/>
      <c r="D21" s="75">
        <f>SUM(F21,H21,J21,L21,N21,P21,R21,T21,V21)-SUM(SMALL((F21,H21,J21,L21,N21,P21,R21,T21),1),SMALL((F21,H21,J21,L21,N21,P21,R21,T21),2))</f>
        <v>0</v>
      </c>
      <c r="E21" s="9" t="str">
        <f>_xlfn.XLOOKUP($B21,'GP1'!$C$6:$C$101,'GP1'!$B$6:$B$101,"")</f>
        <v/>
      </c>
      <c r="F21" s="76">
        <f>_xlfn.XLOOKUP(E21,'GP1'!$B$6:$B$55,'GP1'!$A$6:$A$55,0)</f>
        <v>0</v>
      </c>
      <c r="G21" s="9" t="str">
        <f>_xlfn.XLOOKUP($B21,'GP2'!$C$6:$C$101,'GP2'!$B$6:$B$101,"")</f>
        <v/>
      </c>
      <c r="H21" s="76">
        <f>_xlfn.XLOOKUP(G21,'GP2'!$B$6:$B$55,'GP2'!$A$6:$A$55,0)</f>
        <v>0</v>
      </c>
      <c r="I21" s="9" t="str">
        <f>_xlfn.XLOOKUP($B21,'GP3'!$C$6:$C$101,'GP3'!$B$6:$B$101,"")</f>
        <v/>
      </c>
      <c r="J21" s="76">
        <f>_xlfn.XLOOKUP(I21,'GP3'!$B$6:$B$55,'GP3'!$A$6:$A$55,0)</f>
        <v>0</v>
      </c>
      <c r="K21" s="9" t="str">
        <f>_xlfn.XLOOKUP($B21,'GP4'!$C$6:$C$101,'GP4'!$B$6:$B$101,"")</f>
        <v/>
      </c>
      <c r="L21" s="76">
        <f>_xlfn.XLOOKUP(K21,'GP4'!$B$6:$B$55,'GP4'!$A$6:$A$55,0)</f>
        <v>0</v>
      </c>
      <c r="M21" s="9" t="str">
        <f>_xlfn.XLOOKUP($B21,'GP5'!$C$6:$C$101,'GP5'!$B$6:$B$101,"")</f>
        <v/>
      </c>
      <c r="N21" s="126">
        <f>_xlfn.XLOOKUP(M21,'GP5'!$B$6:$B$55,'GP5'!$A$6:$A$55,0)</f>
        <v>0</v>
      </c>
      <c r="O21" s="9" t="str">
        <f>_xlfn.XLOOKUP($B21,'GP6'!$C$6:$C$101,'GP6'!$B$6:$B$101,"")</f>
        <v/>
      </c>
      <c r="P21" s="126">
        <f>_xlfn.XLOOKUP(O21,'GP6'!$B$6:$B$55,'GP6'!$A$6:$A$55,0)</f>
        <v>0</v>
      </c>
      <c r="Q21" s="9" t="str">
        <f>_xlfn.XLOOKUP($B21,'GP7'!$C$6:$C$101,'GP7'!$B$6:$B$101,"")</f>
        <v/>
      </c>
      <c r="R21" s="126">
        <f>_xlfn.XLOOKUP(Q21,'GP7'!$B$6:$B$55,'GP7'!$A$6:$A$55,0)</f>
        <v>0</v>
      </c>
      <c r="S21" s="9" t="str">
        <f>_xlfn.XLOOKUP($B21,'GP8'!$C$6:$C$101,'GP8'!$B$6:$B$101,"")</f>
        <v/>
      </c>
      <c r="T21" s="126">
        <f>_xlfn.XLOOKUP(S21,'GP8'!$B$6:$B$55,'GP8'!$A$6:$A$55,0)</f>
        <v>0</v>
      </c>
      <c r="U21" s="9" t="str">
        <f>_xlfn.XLOOKUP($B21,MPW!$C$6:$C$101,MPW!$B$6:$B$101,"")</f>
        <v/>
      </c>
      <c r="V21" s="126">
        <f>_xlfn.XLOOKUP(U21,MPW!$B$6:$B$55,MPW!$A$6:$A$55,0)</f>
        <v>0</v>
      </c>
    </row>
    <row r="22" spans="1:22" ht="14.8" customHeight="1" x14ac:dyDescent="0.25">
      <c r="A22" s="8">
        <f t="shared" si="0"/>
        <v>17</v>
      </c>
      <c r="B22" s="10"/>
      <c r="C22" s="11"/>
      <c r="D22" s="75">
        <f>SUM(F22,H22,J22,L22,N22,P22,R22,T22,V22)-SUM(SMALL((F22,H22,J22,L22,N22,P22,R22,T22),1),SMALL((F22,H22,J22,L22,N22,P22,R22,T22),2))</f>
        <v>0</v>
      </c>
      <c r="E22" s="9" t="str">
        <f>_xlfn.XLOOKUP($B22,'GP1'!$C$6:$C$101,'GP1'!$B$6:$B$101,"")</f>
        <v/>
      </c>
      <c r="F22" s="76">
        <f>_xlfn.XLOOKUP(E22,'GP1'!$B$6:$B$55,'GP1'!$A$6:$A$55,0)</f>
        <v>0</v>
      </c>
      <c r="G22" s="9" t="str">
        <f>_xlfn.XLOOKUP($B22,'GP2'!$C$6:$C$101,'GP2'!$B$6:$B$101,"")</f>
        <v/>
      </c>
      <c r="H22" s="76">
        <f>_xlfn.XLOOKUP(G22,'GP2'!$B$6:$B$55,'GP2'!$A$6:$A$55,0)</f>
        <v>0</v>
      </c>
      <c r="I22" s="9" t="str">
        <f>_xlfn.XLOOKUP($B22,'GP3'!$C$6:$C$101,'GP3'!$B$6:$B$101,"")</f>
        <v/>
      </c>
      <c r="J22" s="76">
        <f>_xlfn.XLOOKUP(I22,'GP3'!$B$6:$B$55,'GP3'!$A$6:$A$55,0)</f>
        <v>0</v>
      </c>
      <c r="K22" s="9" t="str">
        <f>_xlfn.XLOOKUP($B22,'GP4'!$C$6:$C$101,'GP4'!$B$6:$B$101,"")</f>
        <v/>
      </c>
      <c r="L22" s="76">
        <f>_xlfn.XLOOKUP(K22,'GP4'!$B$6:$B$55,'GP4'!$A$6:$A$55,0)</f>
        <v>0</v>
      </c>
      <c r="M22" s="9" t="str">
        <f>_xlfn.XLOOKUP($B22,'GP5'!$C$6:$C$101,'GP5'!$B$6:$B$101,"")</f>
        <v/>
      </c>
      <c r="N22" s="126">
        <f>_xlfn.XLOOKUP(M22,'GP5'!$B$6:$B$55,'GP5'!$A$6:$A$55,0)</f>
        <v>0</v>
      </c>
      <c r="O22" s="9" t="str">
        <f>_xlfn.XLOOKUP($B22,'GP6'!$C$6:$C$101,'GP6'!$B$6:$B$101,"")</f>
        <v/>
      </c>
      <c r="P22" s="126">
        <f>_xlfn.XLOOKUP(O22,'GP6'!$B$6:$B$55,'GP6'!$A$6:$A$55,0)</f>
        <v>0</v>
      </c>
      <c r="Q22" s="9" t="str">
        <f>_xlfn.XLOOKUP($B22,'GP7'!$C$6:$C$101,'GP7'!$B$6:$B$101,"")</f>
        <v/>
      </c>
      <c r="R22" s="126">
        <f>_xlfn.XLOOKUP(Q22,'GP7'!$B$6:$B$55,'GP7'!$A$6:$A$55,0)</f>
        <v>0</v>
      </c>
      <c r="S22" s="9" t="str">
        <f>_xlfn.XLOOKUP($B22,'GP8'!$C$6:$C$101,'GP8'!$B$6:$B$101,"")</f>
        <v/>
      </c>
      <c r="T22" s="126">
        <f>_xlfn.XLOOKUP(S22,'GP8'!$B$6:$B$55,'GP8'!$A$6:$A$55,0)</f>
        <v>0</v>
      </c>
      <c r="U22" s="9" t="str">
        <f>_xlfn.XLOOKUP($B22,MPW!$C$6:$C$101,MPW!$B$6:$B$101,"")</f>
        <v/>
      </c>
      <c r="V22" s="126">
        <f>_xlfn.XLOOKUP(U22,MPW!$B$6:$B$55,MPW!$A$6:$A$55,0)</f>
        <v>0</v>
      </c>
    </row>
    <row r="23" spans="1:22" ht="14.8" customHeight="1" x14ac:dyDescent="0.25">
      <c r="A23" s="8">
        <f t="shared" si="0"/>
        <v>18</v>
      </c>
      <c r="B23" s="10"/>
      <c r="C23" s="11"/>
      <c r="D23" s="75">
        <f>SUM(F23,H23,J23,L23,N23,P23,R23,T23,V23)-SUM(SMALL((F23,H23,J23,L23,N23,P23,R23,T23),1),SMALL((F23,H23,J23,L23,N23,P23,R23,T23),2))</f>
        <v>0</v>
      </c>
      <c r="E23" s="9" t="str">
        <f>_xlfn.XLOOKUP($B23,'GP1'!$C$6:$C$101,'GP1'!$B$6:$B$101,"")</f>
        <v/>
      </c>
      <c r="F23" s="76">
        <f>_xlfn.XLOOKUP(E23,'GP1'!$B$6:$B$55,'GP1'!$A$6:$A$55,0)</f>
        <v>0</v>
      </c>
      <c r="G23" s="9" t="str">
        <f>_xlfn.XLOOKUP($B23,'GP2'!$C$6:$C$101,'GP2'!$B$6:$B$101,"")</f>
        <v/>
      </c>
      <c r="H23" s="76">
        <f>_xlfn.XLOOKUP(G23,'GP2'!$B$6:$B$55,'GP2'!$A$6:$A$55,0)</f>
        <v>0</v>
      </c>
      <c r="I23" s="9" t="str">
        <f>_xlfn.XLOOKUP($B23,'GP3'!$C$6:$C$101,'GP3'!$B$6:$B$101,"")</f>
        <v/>
      </c>
      <c r="J23" s="76">
        <f>_xlfn.XLOOKUP(I23,'GP3'!$B$6:$B$55,'GP3'!$A$6:$A$55,0)</f>
        <v>0</v>
      </c>
      <c r="K23" s="9" t="str">
        <f>_xlfn.XLOOKUP($B23,'GP4'!$C$6:$C$101,'GP4'!$B$6:$B$101,"")</f>
        <v/>
      </c>
      <c r="L23" s="76">
        <f>_xlfn.XLOOKUP(K23,'GP4'!$B$6:$B$55,'GP4'!$A$6:$A$55,0)</f>
        <v>0</v>
      </c>
      <c r="M23" s="9" t="str">
        <f>_xlfn.XLOOKUP($B23,'GP5'!$C$6:$C$101,'GP5'!$B$6:$B$101,"")</f>
        <v/>
      </c>
      <c r="N23" s="126">
        <f>_xlfn.XLOOKUP(M23,'GP5'!$B$6:$B$55,'GP5'!$A$6:$A$55,0)</f>
        <v>0</v>
      </c>
      <c r="O23" s="9" t="str">
        <f>_xlfn.XLOOKUP($B23,'GP6'!$C$6:$C$101,'GP6'!$B$6:$B$101,"")</f>
        <v/>
      </c>
      <c r="P23" s="126">
        <f>_xlfn.XLOOKUP(O23,'GP6'!$B$6:$B$55,'GP6'!$A$6:$A$55,0)</f>
        <v>0</v>
      </c>
      <c r="Q23" s="9" t="str">
        <f>_xlfn.XLOOKUP($B23,'GP7'!$C$6:$C$101,'GP7'!$B$6:$B$101,"")</f>
        <v/>
      </c>
      <c r="R23" s="126">
        <f>_xlfn.XLOOKUP(Q23,'GP7'!$B$6:$B$55,'GP7'!$A$6:$A$55,0)</f>
        <v>0</v>
      </c>
      <c r="S23" s="9" t="str">
        <f>_xlfn.XLOOKUP($B23,'GP8'!$C$6:$C$101,'GP8'!$B$6:$B$101,"")</f>
        <v/>
      </c>
      <c r="T23" s="126">
        <f>_xlfn.XLOOKUP(S23,'GP8'!$B$6:$B$55,'GP8'!$A$6:$A$55,0)</f>
        <v>0</v>
      </c>
      <c r="U23" s="9" t="str">
        <f>_xlfn.XLOOKUP($B23,MPW!$C$6:$C$101,MPW!$B$6:$B$101,"")</f>
        <v/>
      </c>
      <c r="V23" s="126">
        <f>_xlfn.XLOOKUP(U23,MPW!$B$6:$B$55,MPW!$A$6:$A$55,0)</f>
        <v>0</v>
      </c>
    </row>
    <row r="24" spans="1:22" x14ac:dyDescent="0.2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</row>
    <row r="25" spans="1:22" x14ac:dyDescent="0.2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</row>
    <row r="26" spans="1:22" x14ac:dyDescent="0.2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</row>
    <row r="27" spans="1:22" x14ac:dyDescent="0.2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</row>
    <row r="28" spans="1:22" ht="65.400000000000006" customHeight="1" x14ac:dyDescent="0.2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</row>
    <row r="29" spans="1:22" x14ac:dyDescent="0.2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</row>
    <row r="30" spans="1:22" x14ac:dyDescent="0.2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</row>
    <row r="31" spans="1:22" x14ac:dyDescent="0.2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</row>
    <row r="32" spans="1:22" x14ac:dyDescent="0.2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</row>
    <row r="33" spans="1:22" x14ac:dyDescent="0.2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</row>
    <row r="34" spans="1:22" x14ac:dyDescent="0.2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</row>
    <row r="35" spans="1:22" x14ac:dyDescent="0.2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</row>
    <row r="36" spans="1:22" x14ac:dyDescent="0.2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</row>
    <row r="37" spans="1:22" x14ac:dyDescent="0.2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</row>
    <row r="38" spans="1:22" x14ac:dyDescent="0.2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</row>
    <row r="39" spans="1:22" x14ac:dyDescent="0.2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</row>
  </sheetData>
  <sheetProtection selectLockedCells="1" selectUnlockedCells="1"/>
  <autoFilter ref="A5:V5" xr:uid="{BD5F393C-E0AA-4EC1-80C2-6C82F61F78AA}">
    <sortState xmlns:xlrd2="http://schemas.microsoft.com/office/spreadsheetml/2017/richdata2" ref="A7:V23">
      <sortCondition descending="1" ref="D5"/>
    </sortState>
  </autoFilter>
  <mergeCells count="14">
    <mergeCell ref="X2:AA4"/>
    <mergeCell ref="I4:J4"/>
    <mergeCell ref="K4:L4"/>
    <mergeCell ref="M4:N4"/>
    <mergeCell ref="U4:V4"/>
    <mergeCell ref="O4:P4"/>
    <mergeCell ref="Q4:R4"/>
    <mergeCell ref="S4:T4"/>
    <mergeCell ref="G4:H4"/>
    <mergeCell ref="A4:A5"/>
    <mergeCell ref="B4:B5"/>
    <mergeCell ref="C4:C5"/>
    <mergeCell ref="D4:D5"/>
    <mergeCell ref="E4:F4"/>
  </mergeCells>
  <conditionalFormatting sqref="A6:A23">
    <cfRule type="cellIs" dxfId="38" priority="12" operator="equal">
      <formula>3</formula>
    </cfRule>
    <cfRule type="cellIs" dxfId="37" priority="13" operator="equal">
      <formula>2</formula>
    </cfRule>
    <cfRule type="cellIs" dxfId="36" priority="14" operator="equal">
      <formula>1</formula>
    </cfRule>
  </conditionalFormatting>
  <conditionalFormatting sqref="D6:V23">
    <cfRule type="cellIs" dxfId="35" priority="1" operator="equal">
      <formula>0</formula>
    </cfRule>
  </conditionalFormatting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 r:id="rId1"/>
  <headerFooter alignWithMargins="0">
    <oddHeader>&amp;C&amp;A</oddHeader>
    <oddFooter>&amp;CStrona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E2B51-D47E-465F-AE06-484BCBAA965F}">
  <sheetPr>
    <tabColor rgb="FF92D050"/>
  </sheetPr>
  <dimension ref="A1:AL374"/>
  <sheetViews>
    <sheetView workbookViewId="0">
      <selection activeCell="C3" sqref="C3:D3"/>
    </sheetView>
  </sheetViews>
  <sheetFormatPr defaultColWidth="8.875" defaultRowHeight="14.3" x14ac:dyDescent="0.25"/>
  <cols>
    <col min="1" max="1" width="8" style="57" customWidth="1"/>
    <col min="2" max="2" width="8.25" style="57" customWidth="1"/>
    <col min="3" max="3" width="32.375" style="57" customWidth="1"/>
    <col min="4" max="4" width="14.25" style="57" customWidth="1"/>
    <col min="5" max="6" width="8.875" style="57"/>
    <col min="7" max="7" width="0.875" style="57" customWidth="1"/>
    <col min="8" max="8" width="8.875" style="59"/>
    <col min="9" max="9" width="11" style="59" customWidth="1"/>
    <col min="10" max="10" width="15.25" style="59" customWidth="1"/>
    <col min="11" max="11" width="8.75" style="59" customWidth="1"/>
    <col min="12" max="12" width="11" style="59" customWidth="1"/>
    <col min="13" max="13" width="12.25" style="60" customWidth="1"/>
    <col min="14" max="15" width="13.875" style="13" customWidth="1"/>
    <col min="16" max="18" width="8.875" style="13"/>
    <col min="19" max="20" width="8.875" style="18"/>
    <col min="21" max="21" width="12.125" style="18" customWidth="1"/>
    <col min="22" max="22" width="27.375" style="18" customWidth="1"/>
    <col min="23" max="38" width="8.875" style="18"/>
    <col min="39" max="16384" width="8.875" style="57"/>
  </cols>
  <sheetData>
    <row r="1" spans="1:36" x14ac:dyDescent="0.25">
      <c r="A1" s="13"/>
      <c r="B1" s="13"/>
      <c r="C1" s="13"/>
      <c r="D1" s="13"/>
      <c r="E1" s="13"/>
      <c r="F1" s="13"/>
      <c r="G1" s="13"/>
      <c r="H1" s="14" t="s">
        <v>20</v>
      </c>
      <c r="I1" s="15" t="s">
        <v>21</v>
      </c>
      <c r="J1" s="15" t="s">
        <v>22</v>
      </c>
      <c r="K1" s="16" t="s">
        <v>23</v>
      </c>
      <c r="L1" s="17"/>
      <c r="M1" s="17"/>
    </row>
    <row r="2" spans="1:36" ht="14.3" customHeight="1" x14ac:dyDescent="0.25">
      <c r="A2" s="13"/>
      <c r="B2" s="19" t="s">
        <v>24</v>
      </c>
      <c r="C2" s="277" t="s">
        <v>25</v>
      </c>
      <c r="D2" s="277"/>
      <c r="E2" s="20"/>
      <c r="F2" s="20"/>
      <c r="G2" s="20"/>
      <c r="H2" s="21">
        <v>0</v>
      </c>
      <c r="I2" s="22">
        <v>50</v>
      </c>
      <c r="J2" s="22">
        <v>10</v>
      </c>
      <c r="K2" s="65">
        <f>3*H2^(1/3)</f>
        <v>0</v>
      </c>
      <c r="L2" s="17"/>
      <c r="M2" s="17"/>
    </row>
    <row r="3" spans="1:36" ht="14.3" customHeight="1" x14ac:dyDescent="0.25">
      <c r="A3" s="13"/>
      <c r="B3" s="24" t="s">
        <v>26</v>
      </c>
      <c r="C3" s="278" t="s">
        <v>27</v>
      </c>
      <c r="D3" s="278"/>
      <c r="E3" s="25"/>
      <c r="F3" s="25"/>
      <c r="G3" s="25"/>
      <c r="H3" s="17"/>
      <c r="I3" s="17"/>
      <c r="J3" s="26"/>
      <c r="K3" s="17"/>
      <c r="L3" s="17"/>
      <c r="M3" s="17"/>
    </row>
    <row r="4" spans="1:36" ht="10.199999999999999" customHeight="1" x14ac:dyDescent="0.25">
      <c r="A4" s="27"/>
      <c r="B4" s="25"/>
      <c r="C4" s="27"/>
      <c r="D4" s="27"/>
      <c r="E4" s="27"/>
      <c r="F4" s="27"/>
      <c r="G4" s="27"/>
      <c r="H4" s="17"/>
      <c r="I4" s="17"/>
      <c r="J4" s="26"/>
      <c r="K4" s="17"/>
      <c r="L4" s="17"/>
      <c r="M4" s="17"/>
    </row>
    <row r="5" spans="1:36" ht="34.65" x14ac:dyDescent="0.25">
      <c r="A5" s="1" t="s">
        <v>28</v>
      </c>
      <c r="B5" s="28" t="s">
        <v>29</v>
      </c>
      <c r="C5" s="1" t="s">
        <v>30</v>
      </c>
      <c r="D5" s="1" t="s">
        <v>31</v>
      </c>
      <c r="E5" s="1" t="s">
        <v>32</v>
      </c>
      <c r="F5" s="1" t="s">
        <v>33</v>
      </c>
      <c r="G5" s="27"/>
      <c r="H5" s="29" t="s">
        <v>34</v>
      </c>
      <c r="I5" s="30" t="s">
        <v>35</v>
      </c>
      <c r="J5" s="31" t="s">
        <v>36</v>
      </c>
      <c r="K5" s="30" t="s">
        <v>37</v>
      </c>
      <c r="L5" s="30" t="s">
        <v>38</v>
      </c>
      <c r="M5" s="29" t="s">
        <v>39</v>
      </c>
    </row>
    <row r="6" spans="1:36" ht="14.45" customHeight="1" x14ac:dyDescent="0.25">
      <c r="A6" s="32">
        <f t="shared" ref="A6:A37" si="0">M6</f>
        <v>0</v>
      </c>
      <c r="B6" s="33" t="str">
        <f t="shared" ref="B6" si="1">IF(H6&gt;$H$2,"",(ROW()-5))</f>
        <v/>
      </c>
      <c r="C6" s="34"/>
      <c r="D6" s="34"/>
      <c r="E6" s="34"/>
      <c r="F6" s="34"/>
      <c r="G6" s="27"/>
      <c r="H6" s="35">
        <v>1</v>
      </c>
      <c r="I6" s="36" t="str">
        <f>IF(H2=1,50,IF(H6&lt;$H$2+1,($I$2-($I$2-1)*(LOG(H6)/LOG($H$2))),""))</f>
        <v/>
      </c>
      <c r="J6" s="35" t="e">
        <f>INT(LOG($H$2,2))-ROUNDUP(LOG(H6,2),0)+IF(OR($H$2=1,$H$2=2,$H$2=4,$H$2=8,$H$2=16,$H$2=32,$H$2=64,$H$2=128,$H$2=256),0,1)</f>
        <v>#NUM!</v>
      </c>
      <c r="K6" s="35" t="e">
        <f t="shared" ref="K6:K69" si="2">J6*$J$2</f>
        <v>#NUM!</v>
      </c>
      <c r="L6" s="37">
        <f>3*K2</f>
        <v>0</v>
      </c>
      <c r="M6" s="37">
        <f t="shared" ref="M6:M69" si="3">IF(I6&lt;&gt;"",K6+I6+L6,0)</f>
        <v>0</v>
      </c>
    </row>
    <row r="7" spans="1:36" ht="14.45" customHeight="1" x14ac:dyDescent="0.25">
      <c r="A7" s="38">
        <f t="shared" si="0"/>
        <v>0</v>
      </c>
      <c r="B7" s="39"/>
      <c r="C7" s="40"/>
      <c r="D7" s="40"/>
      <c r="E7" s="40"/>
      <c r="F7" s="40"/>
      <c r="G7" s="27"/>
      <c r="H7" s="41">
        <v>2</v>
      </c>
      <c r="I7" s="42" t="str">
        <f t="shared" ref="I7:I69" si="4">IF(H7&lt;$H$2+1,($I$2-($I$2-1)*(LOG(H7)/LOG($H$2))),"")</f>
        <v/>
      </c>
      <c r="J7" s="41" t="e">
        <f t="shared" ref="J7:J70" si="5">INT(LOG($H$2,2))-ROUNDUP(LOG(H7,2),0)+IF(OR($H$2=1,$H$2=2,$H$2=4,$H$2=8,$H$2=16,$H$2=32,$H$2=64,$H$2=128,$H$2=256),0,1)</f>
        <v>#NUM!</v>
      </c>
      <c r="K7" s="41" t="e">
        <f t="shared" si="2"/>
        <v>#NUM!</v>
      </c>
      <c r="L7" s="43">
        <f>2*K2</f>
        <v>0</v>
      </c>
      <c r="M7" s="43">
        <f t="shared" si="3"/>
        <v>0</v>
      </c>
    </row>
    <row r="8" spans="1:36" ht="14.45" customHeight="1" x14ac:dyDescent="0.25">
      <c r="A8" s="32">
        <f t="shared" si="0"/>
        <v>0</v>
      </c>
      <c r="B8" s="33" t="str">
        <f t="shared" ref="B8:B65" si="6">IF(H8&gt;$H$2,"",(ROW()-5))</f>
        <v/>
      </c>
      <c r="C8" s="34"/>
      <c r="D8" s="34"/>
      <c r="E8" s="34"/>
      <c r="F8" s="34"/>
      <c r="G8" s="27"/>
      <c r="H8" s="35">
        <v>3</v>
      </c>
      <c r="I8" s="36" t="str">
        <f t="shared" si="4"/>
        <v/>
      </c>
      <c r="J8" s="35" t="e">
        <f t="shared" si="5"/>
        <v>#NUM!</v>
      </c>
      <c r="K8" s="35" t="e">
        <f t="shared" si="2"/>
        <v>#NUM!</v>
      </c>
      <c r="L8" s="37">
        <f>K2</f>
        <v>0</v>
      </c>
      <c r="M8" s="37">
        <f t="shared" si="3"/>
        <v>0</v>
      </c>
    </row>
    <row r="9" spans="1:36" ht="14.45" customHeight="1" x14ac:dyDescent="0.25">
      <c r="A9" s="38">
        <f t="shared" si="0"/>
        <v>0</v>
      </c>
      <c r="B9" s="39" t="str">
        <f t="shared" si="6"/>
        <v/>
      </c>
      <c r="C9" s="40"/>
      <c r="D9" s="40"/>
      <c r="E9" s="40"/>
      <c r="F9" s="40"/>
      <c r="G9" s="27"/>
      <c r="H9" s="41">
        <v>4</v>
      </c>
      <c r="I9" s="42" t="str">
        <f t="shared" si="4"/>
        <v/>
      </c>
      <c r="J9" s="41" t="e">
        <f t="shared" si="5"/>
        <v>#NUM!</v>
      </c>
      <c r="K9" s="41" t="e">
        <f t="shared" si="2"/>
        <v>#NUM!</v>
      </c>
      <c r="L9" s="43"/>
      <c r="M9" s="43">
        <f t="shared" si="3"/>
        <v>0</v>
      </c>
      <c r="V9" s="44"/>
      <c r="Z9" s="45"/>
      <c r="AA9" s="45"/>
      <c r="AG9" s="46"/>
      <c r="AH9" s="18" t="s">
        <v>40</v>
      </c>
      <c r="AI9" s="18">
        <v>23</v>
      </c>
    </row>
    <row r="10" spans="1:36" ht="14.45" customHeight="1" x14ac:dyDescent="0.25">
      <c r="A10" s="32">
        <f t="shared" si="0"/>
        <v>0</v>
      </c>
      <c r="B10" s="33" t="str">
        <f t="shared" si="6"/>
        <v/>
      </c>
      <c r="C10" s="34"/>
      <c r="D10" s="34"/>
      <c r="E10" s="34"/>
      <c r="F10" s="34"/>
      <c r="G10" s="27"/>
      <c r="H10" s="35">
        <v>5</v>
      </c>
      <c r="I10" s="36" t="str">
        <f t="shared" si="4"/>
        <v/>
      </c>
      <c r="J10" s="35" t="e">
        <f t="shared" si="5"/>
        <v>#NUM!</v>
      </c>
      <c r="K10" s="35" t="e">
        <f t="shared" si="2"/>
        <v>#NUM!</v>
      </c>
      <c r="L10" s="35"/>
      <c r="M10" s="37">
        <f t="shared" si="3"/>
        <v>0</v>
      </c>
      <c r="V10" s="44"/>
      <c r="Z10" s="45"/>
      <c r="AA10" s="45"/>
      <c r="AG10" s="46"/>
      <c r="AH10" s="18" t="s">
        <v>41</v>
      </c>
      <c r="AI10" s="18">
        <v>45</v>
      </c>
    </row>
    <row r="11" spans="1:36" ht="14.45" customHeight="1" x14ac:dyDescent="0.25">
      <c r="A11" s="38">
        <f t="shared" si="0"/>
        <v>0</v>
      </c>
      <c r="B11" s="39" t="str">
        <f t="shared" si="6"/>
        <v/>
      </c>
      <c r="C11" s="40"/>
      <c r="D11" s="40"/>
      <c r="E11" s="40"/>
      <c r="F11" s="40"/>
      <c r="G11" s="27"/>
      <c r="H11" s="41">
        <v>6</v>
      </c>
      <c r="I11" s="42" t="str">
        <f t="shared" si="4"/>
        <v/>
      </c>
      <c r="J11" s="41" t="e">
        <f t="shared" si="5"/>
        <v>#NUM!</v>
      </c>
      <c r="K11" s="41" t="e">
        <f t="shared" si="2"/>
        <v>#NUM!</v>
      </c>
      <c r="L11" s="41"/>
      <c r="M11" s="43">
        <f t="shared" si="3"/>
        <v>0</v>
      </c>
      <c r="V11" s="47"/>
      <c r="Z11" s="45"/>
      <c r="AA11" s="45"/>
      <c r="AG11" s="46"/>
      <c r="AH11" s="18" t="s">
        <v>42</v>
      </c>
      <c r="AI11" s="18">
        <v>50</v>
      </c>
    </row>
    <row r="12" spans="1:36" ht="14.45" customHeight="1" x14ac:dyDescent="0.25">
      <c r="A12" s="32">
        <f t="shared" si="0"/>
        <v>0</v>
      </c>
      <c r="B12" s="33" t="str">
        <f t="shared" si="6"/>
        <v/>
      </c>
      <c r="C12" s="34"/>
      <c r="D12" s="34"/>
      <c r="E12" s="34"/>
      <c r="F12" s="34"/>
      <c r="G12" s="27"/>
      <c r="H12" s="35">
        <v>7</v>
      </c>
      <c r="I12" s="36" t="str">
        <f t="shared" si="4"/>
        <v/>
      </c>
      <c r="J12" s="35" t="e">
        <f t="shared" si="5"/>
        <v>#NUM!</v>
      </c>
      <c r="K12" s="35" t="e">
        <f t="shared" si="2"/>
        <v>#NUM!</v>
      </c>
      <c r="L12" s="35"/>
      <c r="M12" s="37">
        <f t="shared" si="3"/>
        <v>0</v>
      </c>
      <c r="R12" s="66"/>
      <c r="Z12" s="45"/>
      <c r="AA12" s="45"/>
      <c r="AG12" s="46"/>
      <c r="AH12" s="18" t="s">
        <v>43</v>
      </c>
      <c r="AI12" s="18">
        <f>AI11-1</f>
        <v>49</v>
      </c>
    </row>
    <row r="13" spans="1:36" ht="14.45" customHeight="1" x14ac:dyDescent="0.25">
      <c r="A13" s="48">
        <f t="shared" si="0"/>
        <v>0</v>
      </c>
      <c r="B13" s="39" t="str">
        <f t="shared" si="6"/>
        <v/>
      </c>
      <c r="C13" s="40"/>
      <c r="D13" s="40"/>
      <c r="E13" s="40"/>
      <c r="F13" s="40"/>
      <c r="G13" s="27"/>
      <c r="H13" s="41">
        <v>8</v>
      </c>
      <c r="I13" s="42" t="str">
        <f t="shared" si="4"/>
        <v/>
      </c>
      <c r="J13" s="41" t="e">
        <f t="shared" si="5"/>
        <v>#NUM!</v>
      </c>
      <c r="K13" s="41" t="e">
        <f t="shared" si="2"/>
        <v>#NUM!</v>
      </c>
      <c r="L13" s="41"/>
      <c r="M13" s="43">
        <f t="shared" si="3"/>
        <v>0</v>
      </c>
      <c r="R13" s="66"/>
      <c r="X13" s="44"/>
      <c r="AG13" s="46"/>
      <c r="AH13" s="18" t="s">
        <v>44</v>
      </c>
      <c r="AI13" s="18">
        <f>LOG(AI9)</f>
        <v>1.3617278360175928</v>
      </c>
    </row>
    <row r="14" spans="1:36" x14ac:dyDescent="0.25">
      <c r="A14" s="49">
        <f t="shared" si="0"/>
        <v>0</v>
      </c>
      <c r="B14" s="33" t="str">
        <f t="shared" si="6"/>
        <v/>
      </c>
      <c r="C14" s="34"/>
      <c r="D14" s="34"/>
      <c r="E14" s="34"/>
      <c r="F14" s="34"/>
      <c r="G14" s="27"/>
      <c r="H14" s="35">
        <v>9</v>
      </c>
      <c r="I14" s="36" t="str">
        <f t="shared" si="4"/>
        <v/>
      </c>
      <c r="J14" s="35" t="e">
        <f t="shared" si="5"/>
        <v>#NUM!</v>
      </c>
      <c r="K14" s="35" t="e">
        <f t="shared" si="2"/>
        <v>#NUM!</v>
      </c>
      <c r="L14" s="35"/>
      <c r="M14" s="37">
        <f t="shared" si="3"/>
        <v>0</v>
      </c>
      <c r="X14" s="50"/>
      <c r="Z14" s="45"/>
      <c r="AA14" s="45"/>
      <c r="AG14" s="46"/>
      <c r="AH14" s="18" t="s">
        <v>45</v>
      </c>
      <c r="AI14" s="18">
        <f>LOG(AI10)</f>
        <v>1.6532125137753437</v>
      </c>
    </row>
    <row r="15" spans="1:36" x14ac:dyDescent="0.25">
      <c r="A15" s="48">
        <f t="shared" si="0"/>
        <v>0</v>
      </c>
      <c r="B15" s="39" t="str">
        <f t="shared" si="6"/>
        <v/>
      </c>
      <c r="C15" s="40"/>
      <c r="D15" s="40"/>
      <c r="E15" s="40"/>
      <c r="F15" s="40"/>
      <c r="G15" s="27"/>
      <c r="H15" s="41">
        <v>10</v>
      </c>
      <c r="I15" s="42" t="str">
        <f t="shared" si="4"/>
        <v/>
      </c>
      <c r="J15" s="41" t="e">
        <f t="shared" si="5"/>
        <v>#NUM!</v>
      </c>
      <c r="K15" s="41" t="e">
        <f t="shared" si="2"/>
        <v>#NUM!</v>
      </c>
      <c r="L15" s="41"/>
      <c r="M15" s="43">
        <f t="shared" si="3"/>
        <v>0</v>
      </c>
      <c r="X15" s="44"/>
      <c r="Z15" s="45"/>
      <c r="AA15" s="45"/>
    </row>
    <row r="16" spans="1:36" x14ac:dyDescent="0.25">
      <c r="A16" s="49">
        <f t="shared" si="0"/>
        <v>0</v>
      </c>
      <c r="B16" s="33" t="str">
        <f t="shared" si="6"/>
        <v/>
      </c>
      <c r="C16" s="34"/>
      <c r="D16" s="34"/>
      <c r="E16" s="34"/>
      <c r="F16" s="34"/>
      <c r="G16" s="27"/>
      <c r="H16" s="35">
        <v>11</v>
      </c>
      <c r="I16" s="36" t="str">
        <f t="shared" si="4"/>
        <v/>
      </c>
      <c r="J16" s="35" t="e">
        <f t="shared" si="5"/>
        <v>#NUM!</v>
      </c>
      <c r="K16" s="35" t="e">
        <f t="shared" si="2"/>
        <v>#NUM!</v>
      </c>
      <c r="L16" s="35"/>
      <c r="M16" s="37">
        <f t="shared" si="3"/>
        <v>0</v>
      </c>
      <c r="R16" s="51"/>
      <c r="Z16" s="45"/>
      <c r="AA16" s="45"/>
      <c r="AH16" s="52" t="s">
        <v>46</v>
      </c>
      <c r="AI16" s="18">
        <f>AI11-AI12*AI13/AI14</f>
        <v>9.6393909380186855</v>
      </c>
      <c r="AJ16" s="18" t="s">
        <v>47</v>
      </c>
    </row>
    <row r="17" spans="1:19" x14ac:dyDescent="0.25">
      <c r="A17" s="48">
        <f t="shared" si="0"/>
        <v>0</v>
      </c>
      <c r="B17" s="39" t="str">
        <f t="shared" si="6"/>
        <v/>
      </c>
      <c r="C17" s="40"/>
      <c r="D17" s="40"/>
      <c r="E17" s="40"/>
      <c r="F17" s="40"/>
      <c r="G17" s="27"/>
      <c r="H17" s="41">
        <v>12</v>
      </c>
      <c r="I17" s="42" t="str">
        <f t="shared" si="4"/>
        <v/>
      </c>
      <c r="J17" s="41" t="e">
        <f t="shared" si="5"/>
        <v>#NUM!</v>
      </c>
      <c r="K17" s="41" t="e">
        <f t="shared" si="2"/>
        <v>#NUM!</v>
      </c>
      <c r="L17" s="41"/>
      <c r="M17" s="43">
        <f t="shared" si="3"/>
        <v>0</v>
      </c>
    </row>
    <row r="18" spans="1:19" x14ac:dyDescent="0.25">
      <c r="A18" s="49">
        <f t="shared" si="0"/>
        <v>0</v>
      </c>
      <c r="B18" s="33" t="str">
        <f t="shared" si="6"/>
        <v/>
      </c>
      <c r="C18" s="34"/>
      <c r="D18" s="34"/>
      <c r="E18" s="34"/>
      <c r="F18" s="34"/>
      <c r="G18" s="27"/>
      <c r="H18" s="35">
        <v>13</v>
      </c>
      <c r="I18" s="36" t="str">
        <f t="shared" si="4"/>
        <v/>
      </c>
      <c r="J18" s="35" t="e">
        <f t="shared" si="5"/>
        <v>#NUM!</v>
      </c>
      <c r="K18" s="35" t="e">
        <f t="shared" si="2"/>
        <v>#NUM!</v>
      </c>
      <c r="L18" s="35"/>
      <c r="M18" s="37">
        <f t="shared" si="3"/>
        <v>0</v>
      </c>
    </row>
    <row r="19" spans="1:19" x14ac:dyDescent="0.25">
      <c r="A19" s="48">
        <f t="shared" si="0"/>
        <v>0</v>
      </c>
      <c r="B19" s="39" t="str">
        <f t="shared" si="6"/>
        <v/>
      </c>
      <c r="C19" s="40"/>
      <c r="D19" s="40"/>
      <c r="E19" s="40"/>
      <c r="F19" s="40"/>
      <c r="G19" s="27"/>
      <c r="H19" s="41">
        <v>14</v>
      </c>
      <c r="I19" s="42" t="str">
        <f t="shared" si="4"/>
        <v/>
      </c>
      <c r="J19" s="41" t="e">
        <f t="shared" si="5"/>
        <v>#NUM!</v>
      </c>
      <c r="K19" s="41" t="e">
        <f t="shared" si="2"/>
        <v>#NUM!</v>
      </c>
      <c r="L19" s="41"/>
      <c r="M19" s="43">
        <f t="shared" si="3"/>
        <v>0</v>
      </c>
    </row>
    <row r="20" spans="1:19" x14ac:dyDescent="0.25">
      <c r="A20" s="49">
        <f t="shared" si="0"/>
        <v>0</v>
      </c>
      <c r="B20" s="33" t="str">
        <f t="shared" si="6"/>
        <v/>
      </c>
      <c r="C20" s="34"/>
      <c r="D20" s="34"/>
      <c r="E20" s="34"/>
      <c r="F20" s="34"/>
      <c r="G20" s="27"/>
      <c r="H20" s="35">
        <v>15</v>
      </c>
      <c r="I20" s="36" t="str">
        <f t="shared" si="4"/>
        <v/>
      </c>
      <c r="J20" s="35" t="e">
        <f t="shared" si="5"/>
        <v>#NUM!</v>
      </c>
      <c r="K20" s="35" t="e">
        <f t="shared" si="2"/>
        <v>#NUM!</v>
      </c>
      <c r="L20" s="35"/>
      <c r="M20" s="37">
        <f t="shared" si="3"/>
        <v>0</v>
      </c>
      <c r="R20" s="53"/>
      <c r="S20" s="54"/>
    </row>
    <row r="21" spans="1:19" x14ac:dyDescent="0.25">
      <c r="A21" s="48">
        <f t="shared" si="0"/>
        <v>0</v>
      </c>
      <c r="B21" s="39" t="str">
        <f t="shared" si="6"/>
        <v/>
      </c>
      <c r="C21" s="40"/>
      <c r="D21" s="40"/>
      <c r="E21" s="40"/>
      <c r="F21" s="40"/>
      <c r="G21" s="27"/>
      <c r="H21" s="41">
        <v>16</v>
      </c>
      <c r="I21" s="42" t="str">
        <f t="shared" si="4"/>
        <v/>
      </c>
      <c r="J21" s="41" t="e">
        <f t="shared" si="5"/>
        <v>#NUM!</v>
      </c>
      <c r="K21" s="41" t="e">
        <f t="shared" si="2"/>
        <v>#NUM!</v>
      </c>
      <c r="L21" s="41"/>
      <c r="M21" s="43">
        <f t="shared" si="3"/>
        <v>0</v>
      </c>
    </row>
    <row r="22" spans="1:19" x14ac:dyDescent="0.25">
      <c r="A22" s="49">
        <f t="shared" si="0"/>
        <v>0</v>
      </c>
      <c r="B22" s="33" t="str">
        <f t="shared" si="6"/>
        <v/>
      </c>
      <c r="C22" s="34"/>
      <c r="D22" s="34"/>
      <c r="E22" s="34"/>
      <c r="F22" s="34"/>
      <c r="G22" s="27"/>
      <c r="H22" s="35">
        <v>17</v>
      </c>
      <c r="I22" s="36" t="str">
        <f t="shared" si="4"/>
        <v/>
      </c>
      <c r="J22" s="35" t="e">
        <f t="shared" si="5"/>
        <v>#NUM!</v>
      </c>
      <c r="K22" s="35" t="e">
        <f t="shared" si="2"/>
        <v>#NUM!</v>
      </c>
      <c r="L22" s="35"/>
      <c r="M22" s="37">
        <f t="shared" si="3"/>
        <v>0</v>
      </c>
    </row>
    <row r="23" spans="1:19" x14ac:dyDescent="0.25">
      <c r="A23" s="48">
        <f t="shared" si="0"/>
        <v>0</v>
      </c>
      <c r="B23" s="39" t="str">
        <f t="shared" si="6"/>
        <v/>
      </c>
      <c r="C23" s="40"/>
      <c r="D23" s="40"/>
      <c r="E23" s="40"/>
      <c r="F23" s="40"/>
      <c r="G23" s="27"/>
      <c r="H23" s="41">
        <v>18</v>
      </c>
      <c r="I23" s="42" t="str">
        <f t="shared" si="4"/>
        <v/>
      </c>
      <c r="J23" s="41" t="e">
        <f t="shared" si="5"/>
        <v>#NUM!</v>
      </c>
      <c r="K23" s="41" t="e">
        <f t="shared" si="2"/>
        <v>#NUM!</v>
      </c>
      <c r="L23" s="41"/>
      <c r="M23" s="43">
        <f t="shared" si="3"/>
        <v>0</v>
      </c>
    </row>
    <row r="24" spans="1:19" x14ac:dyDescent="0.25">
      <c r="A24" s="49">
        <f t="shared" si="0"/>
        <v>0</v>
      </c>
      <c r="B24" s="33" t="str">
        <f t="shared" si="6"/>
        <v/>
      </c>
      <c r="C24" s="34"/>
      <c r="D24" s="34"/>
      <c r="E24" s="34"/>
      <c r="F24" s="34"/>
      <c r="G24" s="27"/>
      <c r="H24" s="35">
        <v>19</v>
      </c>
      <c r="I24" s="36" t="str">
        <f t="shared" si="4"/>
        <v/>
      </c>
      <c r="J24" s="35" t="e">
        <f t="shared" si="5"/>
        <v>#NUM!</v>
      </c>
      <c r="K24" s="35" t="e">
        <f t="shared" si="2"/>
        <v>#NUM!</v>
      </c>
      <c r="L24" s="35"/>
      <c r="M24" s="37">
        <f t="shared" si="3"/>
        <v>0</v>
      </c>
      <c r="R24" s="53"/>
      <c r="S24" s="54"/>
    </row>
    <row r="25" spans="1:19" x14ac:dyDescent="0.25">
      <c r="A25" s="48">
        <f t="shared" si="0"/>
        <v>0</v>
      </c>
      <c r="B25" s="39" t="str">
        <f t="shared" si="6"/>
        <v/>
      </c>
      <c r="C25" s="40"/>
      <c r="D25" s="40"/>
      <c r="E25" s="40"/>
      <c r="F25" s="40"/>
      <c r="G25" s="27"/>
      <c r="H25" s="41">
        <v>20</v>
      </c>
      <c r="I25" s="42" t="str">
        <f t="shared" si="4"/>
        <v/>
      </c>
      <c r="J25" s="41" t="e">
        <f t="shared" si="5"/>
        <v>#NUM!</v>
      </c>
      <c r="K25" s="41" t="e">
        <f t="shared" si="2"/>
        <v>#NUM!</v>
      </c>
      <c r="L25" s="41"/>
      <c r="M25" s="43">
        <f t="shared" si="3"/>
        <v>0</v>
      </c>
    </row>
    <row r="26" spans="1:19" x14ac:dyDescent="0.25">
      <c r="A26" s="49">
        <f t="shared" si="0"/>
        <v>0</v>
      </c>
      <c r="B26" s="33" t="str">
        <f t="shared" si="6"/>
        <v/>
      </c>
      <c r="C26" s="34"/>
      <c r="D26" s="34"/>
      <c r="E26" s="34"/>
      <c r="F26" s="34"/>
      <c r="G26" s="27"/>
      <c r="H26" s="35">
        <v>21</v>
      </c>
      <c r="I26" s="36" t="str">
        <f t="shared" si="4"/>
        <v/>
      </c>
      <c r="J26" s="35" t="e">
        <f t="shared" si="5"/>
        <v>#NUM!</v>
      </c>
      <c r="K26" s="35" t="e">
        <f t="shared" si="2"/>
        <v>#NUM!</v>
      </c>
      <c r="L26" s="35"/>
      <c r="M26" s="37">
        <f t="shared" si="3"/>
        <v>0</v>
      </c>
    </row>
    <row r="27" spans="1:19" x14ac:dyDescent="0.25">
      <c r="A27" s="48">
        <f t="shared" si="0"/>
        <v>0</v>
      </c>
      <c r="B27" s="39" t="str">
        <f t="shared" si="6"/>
        <v/>
      </c>
      <c r="C27" s="40"/>
      <c r="D27" s="40"/>
      <c r="E27" s="40"/>
      <c r="F27" s="40"/>
      <c r="G27" s="27"/>
      <c r="H27" s="41">
        <v>22</v>
      </c>
      <c r="I27" s="42" t="str">
        <f t="shared" si="4"/>
        <v/>
      </c>
      <c r="J27" s="41" t="e">
        <f t="shared" si="5"/>
        <v>#NUM!</v>
      </c>
      <c r="K27" s="41" t="e">
        <f t="shared" si="2"/>
        <v>#NUM!</v>
      </c>
      <c r="L27" s="41"/>
      <c r="M27" s="43">
        <f t="shared" si="3"/>
        <v>0</v>
      </c>
    </row>
    <row r="28" spans="1:19" x14ac:dyDescent="0.25">
      <c r="A28" s="49">
        <f t="shared" si="0"/>
        <v>0</v>
      </c>
      <c r="B28" s="33" t="str">
        <f t="shared" si="6"/>
        <v/>
      </c>
      <c r="C28" s="34"/>
      <c r="D28" s="34"/>
      <c r="E28" s="34"/>
      <c r="F28" s="34"/>
      <c r="G28" s="27"/>
      <c r="H28" s="35">
        <v>23</v>
      </c>
      <c r="I28" s="36" t="str">
        <f t="shared" si="4"/>
        <v/>
      </c>
      <c r="J28" s="35" t="e">
        <f t="shared" si="5"/>
        <v>#NUM!</v>
      </c>
      <c r="K28" s="35" t="e">
        <f t="shared" si="2"/>
        <v>#NUM!</v>
      </c>
      <c r="L28" s="35"/>
      <c r="M28" s="37">
        <f t="shared" si="3"/>
        <v>0</v>
      </c>
      <c r="R28" s="53"/>
      <c r="S28" s="54"/>
    </row>
    <row r="29" spans="1:19" x14ac:dyDescent="0.25">
      <c r="A29" s="48">
        <f t="shared" si="0"/>
        <v>0</v>
      </c>
      <c r="B29" s="39" t="str">
        <f t="shared" si="6"/>
        <v/>
      </c>
      <c r="C29" s="40"/>
      <c r="D29" s="40"/>
      <c r="E29" s="40"/>
      <c r="F29" s="40"/>
      <c r="G29" s="13"/>
      <c r="H29" s="41">
        <v>24</v>
      </c>
      <c r="I29" s="42" t="str">
        <f t="shared" si="4"/>
        <v/>
      </c>
      <c r="J29" s="41" t="e">
        <f t="shared" si="5"/>
        <v>#NUM!</v>
      </c>
      <c r="K29" s="41" t="e">
        <f t="shared" si="2"/>
        <v>#NUM!</v>
      </c>
      <c r="L29" s="41"/>
      <c r="M29" s="43">
        <f t="shared" si="3"/>
        <v>0</v>
      </c>
    </row>
    <row r="30" spans="1:19" x14ac:dyDescent="0.25">
      <c r="A30" s="49">
        <f t="shared" si="0"/>
        <v>0</v>
      </c>
      <c r="B30" s="33" t="str">
        <f t="shared" si="6"/>
        <v/>
      </c>
      <c r="C30" s="34"/>
      <c r="D30" s="34"/>
      <c r="E30" s="34"/>
      <c r="F30" s="34"/>
      <c r="G30" s="13"/>
      <c r="H30" s="35">
        <v>25</v>
      </c>
      <c r="I30" s="36" t="str">
        <f t="shared" si="4"/>
        <v/>
      </c>
      <c r="J30" s="35" t="e">
        <f t="shared" si="5"/>
        <v>#NUM!</v>
      </c>
      <c r="K30" s="35" t="e">
        <f t="shared" si="2"/>
        <v>#NUM!</v>
      </c>
      <c r="L30" s="35"/>
      <c r="M30" s="37">
        <f t="shared" si="3"/>
        <v>0</v>
      </c>
    </row>
    <row r="31" spans="1:19" x14ac:dyDescent="0.25">
      <c r="A31" s="48">
        <f t="shared" si="0"/>
        <v>0</v>
      </c>
      <c r="B31" s="39" t="str">
        <f t="shared" si="6"/>
        <v/>
      </c>
      <c r="C31" s="40"/>
      <c r="D31" s="40"/>
      <c r="E31" s="40"/>
      <c r="F31" s="40"/>
      <c r="G31" s="13"/>
      <c r="H31" s="41">
        <v>26</v>
      </c>
      <c r="I31" s="42" t="str">
        <f t="shared" si="4"/>
        <v/>
      </c>
      <c r="J31" s="41" t="e">
        <f t="shared" si="5"/>
        <v>#NUM!</v>
      </c>
      <c r="K31" s="41" t="e">
        <f t="shared" si="2"/>
        <v>#NUM!</v>
      </c>
      <c r="L31" s="41"/>
      <c r="M31" s="43">
        <f t="shared" si="3"/>
        <v>0</v>
      </c>
    </row>
    <row r="32" spans="1:19" x14ac:dyDescent="0.25">
      <c r="A32" s="49">
        <f t="shared" si="0"/>
        <v>0</v>
      </c>
      <c r="B32" s="33" t="str">
        <f t="shared" si="6"/>
        <v/>
      </c>
      <c r="C32" s="34"/>
      <c r="D32" s="34"/>
      <c r="E32" s="34"/>
      <c r="F32" s="34"/>
      <c r="G32" s="13"/>
      <c r="H32" s="35">
        <v>27</v>
      </c>
      <c r="I32" s="36" t="str">
        <f t="shared" si="4"/>
        <v/>
      </c>
      <c r="J32" s="35" t="e">
        <f t="shared" si="5"/>
        <v>#NUM!</v>
      </c>
      <c r="K32" s="35" t="e">
        <f t="shared" si="2"/>
        <v>#NUM!</v>
      </c>
      <c r="L32" s="35"/>
      <c r="M32" s="37">
        <f t="shared" si="3"/>
        <v>0</v>
      </c>
      <c r="R32" s="53"/>
      <c r="S32" s="54"/>
    </row>
    <row r="33" spans="1:21" x14ac:dyDescent="0.25">
      <c r="A33" s="48">
        <f t="shared" si="0"/>
        <v>0</v>
      </c>
      <c r="B33" s="39" t="str">
        <f t="shared" si="6"/>
        <v/>
      </c>
      <c r="C33" s="40"/>
      <c r="D33" s="40"/>
      <c r="E33" s="40"/>
      <c r="F33" s="40"/>
      <c r="G33" s="13"/>
      <c r="H33" s="41">
        <v>28</v>
      </c>
      <c r="I33" s="42" t="str">
        <f t="shared" si="4"/>
        <v/>
      </c>
      <c r="J33" s="41" t="e">
        <f t="shared" si="5"/>
        <v>#NUM!</v>
      </c>
      <c r="K33" s="41" t="e">
        <f t="shared" si="2"/>
        <v>#NUM!</v>
      </c>
      <c r="L33" s="41"/>
      <c r="M33" s="43">
        <f t="shared" si="3"/>
        <v>0</v>
      </c>
    </row>
    <row r="34" spans="1:21" x14ac:dyDescent="0.25">
      <c r="A34" s="49">
        <f t="shared" si="0"/>
        <v>0</v>
      </c>
      <c r="B34" s="33" t="str">
        <f t="shared" si="6"/>
        <v/>
      </c>
      <c r="C34" s="34"/>
      <c r="D34" s="34"/>
      <c r="E34" s="34"/>
      <c r="F34" s="34"/>
      <c r="G34" s="13"/>
      <c r="H34" s="35">
        <v>29</v>
      </c>
      <c r="I34" s="36" t="str">
        <f t="shared" si="4"/>
        <v/>
      </c>
      <c r="J34" s="35" t="e">
        <f t="shared" si="5"/>
        <v>#NUM!</v>
      </c>
      <c r="K34" s="35" t="e">
        <f t="shared" si="2"/>
        <v>#NUM!</v>
      </c>
      <c r="L34" s="35"/>
      <c r="M34" s="37">
        <f t="shared" si="3"/>
        <v>0</v>
      </c>
    </row>
    <row r="35" spans="1:21" x14ac:dyDescent="0.25">
      <c r="A35" s="48">
        <f t="shared" si="0"/>
        <v>0</v>
      </c>
      <c r="B35" s="39" t="str">
        <f t="shared" si="6"/>
        <v/>
      </c>
      <c r="C35" s="40"/>
      <c r="D35" s="40"/>
      <c r="E35" s="40"/>
      <c r="F35" s="40"/>
      <c r="G35" s="13"/>
      <c r="H35" s="41">
        <v>30</v>
      </c>
      <c r="I35" s="42" t="str">
        <f t="shared" si="4"/>
        <v/>
      </c>
      <c r="J35" s="41" t="e">
        <f t="shared" si="5"/>
        <v>#NUM!</v>
      </c>
      <c r="K35" s="41" t="e">
        <f t="shared" si="2"/>
        <v>#NUM!</v>
      </c>
      <c r="L35" s="41"/>
      <c r="M35" s="43">
        <f t="shared" si="3"/>
        <v>0</v>
      </c>
    </row>
    <row r="36" spans="1:21" x14ac:dyDescent="0.25">
      <c r="A36" s="49">
        <f t="shared" si="0"/>
        <v>0</v>
      </c>
      <c r="B36" s="33" t="str">
        <f t="shared" si="6"/>
        <v/>
      </c>
      <c r="C36" s="34"/>
      <c r="D36" s="34"/>
      <c r="E36" s="34"/>
      <c r="F36" s="34"/>
      <c r="G36" s="13"/>
      <c r="H36" s="35">
        <v>31</v>
      </c>
      <c r="I36" s="36" t="str">
        <f t="shared" si="4"/>
        <v/>
      </c>
      <c r="J36" s="35" t="e">
        <f t="shared" si="5"/>
        <v>#NUM!</v>
      </c>
      <c r="K36" s="35" t="e">
        <f t="shared" si="2"/>
        <v>#NUM!</v>
      </c>
      <c r="L36" s="35"/>
      <c r="M36" s="37">
        <f t="shared" si="3"/>
        <v>0</v>
      </c>
      <c r="R36" s="53"/>
      <c r="S36" s="54"/>
    </row>
    <row r="37" spans="1:21" x14ac:dyDescent="0.25">
      <c r="A37" s="48">
        <f t="shared" si="0"/>
        <v>0</v>
      </c>
      <c r="B37" s="39" t="str">
        <f t="shared" si="6"/>
        <v/>
      </c>
      <c r="C37" s="40"/>
      <c r="D37" s="40"/>
      <c r="E37" s="40"/>
      <c r="F37" s="40"/>
      <c r="G37" s="13"/>
      <c r="H37" s="41">
        <v>32</v>
      </c>
      <c r="I37" s="42" t="str">
        <f t="shared" si="4"/>
        <v/>
      </c>
      <c r="J37" s="41" t="e">
        <f t="shared" si="5"/>
        <v>#NUM!</v>
      </c>
      <c r="K37" s="41" t="e">
        <f t="shared" si="2"/>
        <v>#NUM!</v>
      </c>
      <c r="L37" s="41"/>
      <c r="M37" s="43">
        <f t="shared" si="3"/>
        <v>0</v>
      </c>
    </row>
    <row r="38" spans="1:21" x14ac:dyDescent="0.25">
      <c r="A38" s="49"/>
      <c r="B38" s="33" t="str">
        <f t="shared" si="6"/>
        <v/>
      </c>
      <c r="C38" s="34"/>
      <c r="D38" s="34"/>
      <c r="E38" s="34"/>
      <c r="F38" s="34"/>
      <c r="G38" s="13"/>
      <c r="H38" s="35">
        <v>33</v>
      </c>
      <c r="I38" s="36" t="str">
        <f t="shared" si="4"/>
        <v/>
      </c>
      <c r="J38" s="35" t="e">
        <f t="shared" si="5"/>
        <v>#NUM!</v>
      </c>
      <c r="K38" s="35" t="e">
        <f t="shared" si="2"/>
        <v>#NUM!</v>
      </c>
      <c r="L38" s="35"/>
      <c r="M38" s="37">
        <f t="shared" si="3"/>
        <v>0</v>
      </c>
    </row>
    <row r="39" spans="1:21" x14ac:dyDescent="0.25">
      <c r="A39" s="48"/>
      <c r="B39" s="39" t="str">
        <f t="shared" si="6"/>
        <v/>
      </c>
      <c r="C39" s="40"/>
      <c r="D39" s="40"/>
      <c r="E39" s="40"/>
      <c r="F39" s="40"/>
      <c r="G39" s="13"/>
      <c r="H39" s="41">
        <v>34</v>
      </c>
      <c r="I39" s="42" t="str">
        <f t="shared" si="4"/>
        <v/>
      </c>
      <c r="J39" s="41" t="e">
        <f t="shared" si="5"/>
        <v>#NUM!</v>
      </c>
      <c r="K39" s="41" t="e">
        <f t="shared" si="2"/>
        <v>#NUM!</v>
      </c>
      <c r="L39" s="41"/>
      <c r="M39" s="43">
        <f t="shared" si="3"/>
        <v>0</v>
      </c>
    </row>
    <row r="40" spans="1:21" x14ac:dyDescent="0.25">
      <c r="A40" s="49"/>
      <c r="B40" s="33" t="str">
        <f t="shared" si="6"/>
        <v/>
      </c>
      <c r="C40" s="34"/>
      <c r="D40" s="34"/>
      <c r="E40" s="34"/>
      <c r="F40" s="34"/>
      <c r="G40" s="13"/>
      <c r="H40" s="35">
        <v>35</v>
      </c>
      <c r="I40" s="36" t="str">
        <f t="shared" si="4"/>
        <v/>
      </c>
      <c r="J40" s="35" t="e">
        <f t="shared" si="5"/>
        <v>#NUM!</v>
      </c>
      <c r="K40" s="35" t="e">
        <f t="shared" si="2"/>
        <v>#NUM!</v>
      </c>
      <c r="L40" s="35"/>
      <c r="M40" s="37">
        <f t="shared" si="3"/>
        <v>0</v>
      </c>
    </row>
    <row r="41" spans="1:21" x14ac:dyDescent="0.25">
      <c r="A41" s="48"/>
      <c r="B41" s="39" t="str">
        <f t="shared" si="6"/>
        <v/>
      </c>
      <c r="C41" s="40"/>
      <c r="D41" s="40"/>
      <c r="E41" s="40"/>
      <c r="F41" s="40"/>
      <c r="G41" s="13"/>
      <c r="H41" s="41">
        <v>36</v>
      </c>
      <c r="I41" s="42" t="str">
        <f t="shared" si="4"/>
        <v/>
      </c>
      <c r="J41" s="41" t="e">
        <f t="shared" si="5"/>
        <v>#NUM!</v>
      </c>
      <c r="K41" s="41" t="e">
        <f t="shared" si="2"/>
        <v>#NUM!</v>
      </c>
      <c r="L41" s="41"/>
      <c r="M41" s="43">
        <f t="shared" si="3"/>
        <v>0</v>
      </c>
      <c r="S41" s="55"/>
    </row>
    <row r="42" spans="1:21" x14ac:dyDescent="0.25">
      <c r="A42" s="49"/>
      <c r="B42" s="33" t="str">
        <f t="shared" si="6"/>
        <v/>
      </c>
      <c r="C42" s="34"/>
      <c r="D42" s="34"/>
      <c r="E42" s="34"/>
      <c r="F42" s="34"/>
      <c r="G42" s="13"/>
      <c r="H42" s="35">
        <v>37</v>
      </c>
      <c r="I42" s="36" t="str">
        <f t="shared" si="4"/>
        <v/>
      </c>
      <c r="J42" s="35" t="e">
        <f t="shared" si="5"/>
        <v>#NUM!</v>
      </c>
      <c r="K42" s="35" t="e">
        <f t="shared" si="2"/>
        <v>#NUM!</v>
      </c>
      <c r="L42" s="35"/>
      <c r="M42" s="37">
        <f t="shared" si="3"/>
        <v>0</v>
      </c>
    </row>
    <row r="43" spans="1:21" x14ac:dyDescent="0.25">
      <c r="A43" s="48"/>
      <c r="B43" s="39" t="str">
        <f t="shared" si="6"/>
        <v/>
      </c>
      <c r="C43" s="40"/>
      <c r="D43" s="40"/>
      <c r="E43" s="40"/>
      <c r="F43" s="40"/>
      <c r="G43" s="13"/>
      <c r="H43" s="41">
        <v>38</v>
      </c>
      <c r="I43" s="42" t="str">
        <f t="shared" si="4"/>
        <v/>
      </c>
      <c r="J43" s="41" t="e">
        <f t="shared" si="5"/>
        <v>#NUM!</v>
      </c>
      <c r="K43" s="41" t="e">
        <f t="shared" si="2"/>
        <v>#NUM!</v>
      </c>
      <c r="L43" s="41"/>
      <c r="M43" s="43">
        <f t="shared" si="3"/>
        <v>0</v>
      </c>
    </row>
    <row r="44" spans="1:21" x14ac:dyDescent="0.25">
      <c r="A44" s="49"/>
      <c r="B44" s="33" t="str">
        <f t="shared" si="6"/>
        <v/>
      </c>
      <c r="C44" s="34"/>
      <c r="D44" s="34"/>
      <c r="E44" s="34"/>
      <c r="F44" s="34"/>
      <c r="G44" s="13"/>
      <c r="H44" s="35">
        <v>39</v>
      </c>
      <c r="I44" s="36" t="str">
        <f t="shared" si="4"/>
        <v/>
      </c>
      <c r="J44" s="35" t="e">
        <f t="shared" si="5"/>
        <v>#NUM!</v>
      </c>
      <c r="K44" s="35" t="e">
        <f t="shared" si="2"/>
        <v>#NUM!</v>
      </c>
      <c r="L44" s="35"/>
      <c r="M44" s="37">
        <f t="shared" si="3"/>
        <v>0</v>
      </c>
    </row>
    <row r="45" spans="1:21" x14ac:dyDescent="0.25">
      <c r="A45" s="48"/>
      <c r="B45" s="39" t="str">
        <f t="shared" si="6"/>
        <v/>
      </c>
      <c r="C45" s="40"/>
      <c r="D45" s="40"/>
      <c r="E45" s="40"/>
      <c r="F45" s="40"/>
      <c r="G45" s="13"/>
      <c r="H45" s="41">
        <v>40</v>
      </c>
      <c r="I45" s="42" t="str">
        <f t="shared" si="4"/>
        <v/>
      </c>
      <c r="J45" s="41" t="e">
        <f t="shared" si="5"/>
        <v>#NUM!</v>
      </c>
      <c r="K45" s="41" t="e">
        <f t="shared" si="2"/>
        <v>#NUM!</v>
      </c>
      <c r="L45" s="41"/>
      <c r="M45" s="43">
        <f t="shared" si="3"/>
        <v>0</v>
      </c>
    </row>
    <row r="46" spans="1:21" x14ac:dyDescent="0.25">
      <c r="A46" s="49"/>
      <c r="B46" s="33" t="str">
        <f t="shared" si="6"/>
        <v/>
      </c>
      <c r="C46" s="34"/>
      <c r="D46" s="34"/>
      <c r="E46" s="34"/>
      <c r="F46" s="34"/>
      <c r="G46" s="13"/>
      <c r="H46" s="35">
        <v>41</v>
      </c>
      <c r="I46" s="36" t="str">
        <f t="shared" si="4"/>
        <v/>
      </c>
      <c r="J46" s="35" t="e">
        <f t="shared" si="5"/>
        <v>#NUM!</v>
      </c>
      <c r="K46" s="35" t="e">
        <f t="shared" si="2"/>
        <v>#NUM!</v>
      </c>
      <c r="L46" s="35"/>
      <c r="M46" s="37">
        <f t="shared" si="3"/>
        <v>0</v>
      </c>
      <c r="R46" s="13" t="e">
        <f>LOG($H$2,2)</f>
        <v>#NUM!</v>
      </c>
      <c r="T46" s="18">
        <f>LOG(H38,2)</f>
        <v>5.0443941193584534</v>
      </c>
      <c r="U46" s="18" t="e">
        <f>R46-T46</f>
        <v>#NUM!</v>
      </c>
    </row>
    <row r="47" spans="1:21" x14ac:dyDescent="0.25">
      <c r="A47" s="48"/>
      <c r="B47" s="39" t="str">
        <f t="shared" si="6"/>
        <v/>
      </c>
      <c r="C47" s="40"/>
      <c r="D47" s="40"/>
      <c r="E47" s="40"/>
      <c r="F47" s="40"/>
      <c r="G47" s="13"/>
      <c r="H47" s="41">
        <v>42</v>
      </c>
      <c r="I47" s="42" t="str">
        <f t="shared" si="4"/>
        <v/>
      </c>
      <c r="J47" s="41" t="e">
        <f t="shared" si="5"/>
        <v>#NUM!</v>
      </c>
      <c r="K47" s="41" t="e">
        <f t="shared" si="2"/>
        <v>#NUM!</v>
      </c>
      <c r="L47" s="41"/>
      <c r="M47" s="43">
        <f t="shared" si="3"/>
        <v>0</v>
      </c>
    </row>
    <row r="48" spans="1:21" x14ac:dyDescent="0.25">
      <c r="A48" s="49"/>
      <c r="B48" s="33" t="str">
        <f t="shared" si="6"/>
        <v/>
      </c>
      <c r="C48" s="34"/>
      <c r="D48" s="34"/>
      <c r="E48" s="34"/>
      <c r="F48" s="34"/>
      <c r="G48" s="13"/>
      <c r="H48" s="35">
        <v>43</v>
      </c>
      <c r="I48" s="36" t="str">
        <f t="shared" si="4"/>
        <v/>
      </c>
      <c r="J48" s="35" t="e">
        <f t="shared" si="5"/>
        <v>#NUM!</v>
      </c>
      <c r="K48" s="35" t="e">
        <f t="shared" si="2"/>
        <v>#NUM!</v>
      </c>
      <c r="L48" s="35"/>
      <c r="M48" s="37">
        <f t="shared" si="3"/>
        <v>0</v>
      </c>
    </row>
    <row r="49" spans="1:13" x14ac:dyDescent="0.25">
      <c r="A49" s="48"/>
      <c r="B49" s="39" t="str">
        <f t="shared" si="6"/>
        <v/>
      </c>
      <c r="C49" s="40"/>
      <c r="D49" s="40"/>
      <c r="E49" s="40"/>
      <c r="F49" s="40"/>
      <c r="G49" s="13"/>
      <c r="H49" s="41">
        <v>44</v>
      </c>
      <c r="I49" s="42" t="str">
        <f t="shared" si="4"/>
        <v/>
      </c>
      <c r="J49" s="41" t="e">
        <f t="shared" si="5"/>
        <v>#NUM!</v>
      </c>
      <c r="K49" s="41" t="e">
        <f t="shared" si="2"/>
        <v>#NUM!</v>
      </c>
      <c r="L49" s="41"/>
      <c r="M49" s="43">
        <f t="shared" si="3"/>
        <v>0</v>
      </c>
    </row>
    <row r="50" spans="1:13" x14ac:dyDescent="0.25">
      <c r="A50" s="49"/>
      <c r="B50" s="33" t="str">
        <f t="shared" si="6"/>
        <v/>
      </c>
      <c r="C50" s="34"/>
      <c r="D50" s="34"/>
      <c r="E50" s="34"/>
      <c r="F50" s="34"/>
      <c r="G50" s="13"/>
      <c r="H50" s="35">
        <v>45</v>
      </c>
      <c r="I50" s="36" t="str">
        <f t="shared" si="4"/>
        <v/>
      </c>
      <c r="J50" s="35" t="e">
        <f t="shared" si="5"/>
        <v>#NUM!</v>
      </c>
      <c r="K50" s="35" t="e">
        <f t="shared" si="2"/>
        <v>#NUM!</v>
      </c>
      <c r="L50" s="35"/>
      <c r="M50" s="37">
        <f t="shared" si="3"/>
        <v>0</v>
      </c>
    </row>
    <row r="51" spans="1:13" x14ac:dyDescent="0.25">
      <c r="A51" s="48"/>
      <c r="B51" s="39" t="str">
        <f t="shared" si="6"/>
        <v/>
      </c>
      <c r="C51" s="40"/>
      <c r="D51" s="40"/>
      <c r="E51" s="40"/>
      <c r="F51" s="40"/>
      <c r="G51" s="13"/>
      <c r="H51" s="41">
        <v>46</v>
      </c>
      <c r="I51" s="42" t="str">
        <f t="shared" si="4"/>
        <v/>
      </c>
      <c r="J51" s="41" t="e">
        <f t="shared" si="5"/>
        <v>#NUM!</v>
      </c>
      <c r="K51" s="41" t="e">
        <f t="shared" si="2"/>
        <v>#NUM!</v>
      </c>
      <c r="L51" s="41"/>
      <c r="M51" s="43">
        <f t="shared" si="3"/>
        <v>0</v>
      </c>
    </row>
    <row r="52" spans="1:13" x14ac:dyDescent="0.25">
      <c r="A52" s="49"/>
      <c r="B52" s="33" t="str">
        <f t="shared" si="6"/>
        <v/>
      </c>
      <c r="C52" s="34"/>
      <c r="D52" s="34"/>
      <c r="E52" s="34"/>
      <c r="F52" s="34"/>
      <c r="G52" s="13"/>
      <c r="H52" s="35">
        <v>47</v>
      </c>
      <c r="I52" s="36" t="str">
        <f t="shared" si="4"/>
        <v/>
      </c>
      <c r="J52" s="35" t="e">
        <f t="shared" si="5"/>
        <v>#NUM!</v>
      </c>
      <c r="K52" s="35" t="e">
        <f t="shared" si="2"/>
        <v>#NUM!</v>
      </c>
      <c r="L52" s="35"/>
      <c r="M52" s="37">
        <f t="shared" si="3"/>
        <v>0</v>
      </c>
    </row>
    <row r="53" spans="1:13" x14ac:dyDescent="0.25">
      <c r="A53" s="48"/>
      <c r="B53" s="39" t="str">
        <f t="shared" si="6"/>
        <v/>
      </c>
      <c r="C53" s="40"/>
      <c r="D53" s="40"/>
      <c r="E53" s="40"/>
      <c r="F53" s="40"/>
      <c r="G53" s="13"/>
      <c r="H53" s="41">
        <v>48</v>
      </c>
      <c r="I53" s="42" t="str">
        <f t="shared" si="4"/>
        <v/>
      </c>
      <c r="J53" s="41" t="e">
        <f t="shared" si="5"/>
        <v>#NUM!</v>
      </c>
      <c r="K53" s="41" t="e">
        <f t="shared" si="2"/>
        <v>#NUM!</v>
      </c>
      <c r="L53" s="41"/>
      <c r="M53" s="43">
        <f t="shared" si="3"/>
        <v>0</v>
      </c>
    </row>
    <row r="54" spans="1:13" x14ac:dyDescent="0.25">
      <c r="A54" s="49"/>
      <c r="B54" s="33" t="str">
        <f t="shared" si="6"/>
        <v/>
      </c>
      <c r="C54" s="34"/>
      <c r="D54" s="34"/>
      <c r="E54" s="34"/>
      <c r="F54" s="34"/>
      <c r="G54" s="13"/>
      <c r="H54" s="35">
        <v>49</v>
      </c>
      <c r="I54" s="36" t="str">
        <f t="shared" si="4"/>
        <v/>
      </c>
      <c r="J54" s="35" t="e">
        <f t="shared" si="5"/>
        <v>#NUM!</v>
      </c>
      <c r="K54" s="35" t="e">
        <f t="shared" si="2"/>
        <v>#NUM!</v>
      </c>
      <c r="L54" s="35"/>
      <c r="M54" s="37">
        <f t="shared" si="3"/>
        <v>0</v>
      </c>
    </row>
    <row r="55" spans="1:13" x14ac:dyDescent="0.25">
      <c r="A55" s="48"/>
      <c r="B55" s="39" t="str">
        <f t="shared" si="6"/>
        <v/>
      </c>
      <c r="C55" s="40"/>
      <c r="D55" s="40"/>
      <c r="E55" s="40"/>
      <c r="F55" s="40"/>
      <c r="G55" s="13"/>
      <c r="H55" s="41">
        <v>50</v>
      </c>
      <c r="I55" s="42" t="str">
        <f t="shared" si="4"/>
        <v/>
      </c>
      <c r="J55" s="41" t="e">
        <f t="shared" si="5"/>
        <v>#NUM!</v>
      </c>
      <c r="K55" s="41" t="e">
        <f t="shared" si="2"/>
        <v>#NUM!</v>
      </c>
      <c r="L55" s="41"/>
      <c r="M55" s="43">
        <f t="shared" si="3"/>
        <v>0</v>
      </c>
    </row>
    <row r="56" spans="1:13" x14ac:dyDescent="0.25">
      <c r="A56" s="49"/>
      <c r="B56" s="33" t="str">
        <f t="shared" si="6"/>
        <v/>
      </c>
      <c r="C56" s="34"/>
      <c r="D56" s="34"/>
      <c r="E56" s="34"/>
      <c r="F56" s="34"/>
      <c r="G56" s="13"/>
      <c r="H56" s="35">
        <v>51</v>
      </c>
      <c r="I56" s="36" t="str">
        <f t="shared" si="4"/>
        <v/>
      </c>
      <c r="J56" s="35" t="e">
        <f t="shared" si="5"/>
        <v>#NUM!</v>
      </c>
      <c r="K56" s="35" t="e">
        <f t="shared" si="2"/>
        <v>#NUM!</v>
      </c>
      <c r="L56" s="35"/>
      <c r="M56" s="37">
        <f t="shared" si="3"/>
        <v>0</v>
      </c>
    </row>
    <row r="57" spans="1:13" x14ac:dyDescent="0.25">
      <c r="A57" s="48"/>
      <c r="B57" s="39" t="str">
        <f t="shared" si="6"/>
        <v/>
      </c>
      <c r="C57" s="40"/>
      <c r="D57" s="40"/>
      <c r="E57" s="40"/>
      <c r="F57" s="40"/>
      <c r="G57" s="13"/>
      <c r="H57" s="41">
        <v>52</v>
      </c>
      <c r="I57" s="42" t="str">
        <f t="shared" si="4"/>
        <v/>
      </c>
      <c r="J57" s="41" t="e">
        <f t="shared" si="5"/>
        <v>#NUM!</v>
      </c>
      <c r="K57" s="41" t="e">
        <f t="shared" si="2"/>
        <v>#NUM!</v>
      </c>
      <c r="L57" s="41"/>
      <c r="M57" s="43">
        <f t="shared" si="3"/>
        <v>0</v>
      </c>
    </row>
    <row r="58" spans="1:13" x14ac:dyDescent="0.25">
      <c r="A58" s="49"/>
      <c r="B58" s="33" t="str">
        <f t="shared" si="6"/>
        <v/>
      </c>
      <c r="C58" s="34"/>
      <c r="D58" s="34"/>
      <c r="E58" s="34"/>
      <c r="F58" s="34"/>
      <c r="G58" s="13"/>
      <c r="H58" s="35">
        <v>53</v>
      </c>
      <c r="I58" s="36" t="str">
        <f t="shared" si="4"/>
        <v/>
      </c>
      <c r="J58" s="35" t="e">
        <f t="shared" si="5"/>
        <v>#NUM!</v>
      </c>
      <c r="K58" s="35" t="e">
        <f t="shared" si="2"/>
        <v>#NUM!</v>
      </c>
      <c r="L58" s="35"/>
      <c r="M58" s="37">
        <f t="shared" si="3"/>
        <v>0</v>
      </c>
    </row>
    <row r="59" spans="1:13" x14ac:dyDescent="0.25">
      <c r="A59" s="48"/>
      <c r="B59" s="39" t="str">
        <f t="shared" si="6"/>
        <v/>
      </c>
      <c r="C59" s="40"/>
      <c r="D59" s="40"/>
      <c r="E59" s="40"/>
      <c r="F59" s="40"/>
      <c r="G59" s="13"/>
      <c r="H59" s="41">
        <v>54</v>
      </c>
      <c r="I59" s="42" t="str">
        <f t="shared" si="4"/>
        <v/>
      </c>
      <c r="J59" s="41" t="e">
        <f t="shared" si="5"/>
        <v>#NUM!</v>
      </c>
      <c r="K59" s="41" t="e">
        <f t="shared" si="2"/>
        <v>#NUM!</v>
      </c>
      <c r="L59" s="41"/>
      <c r="M59" s="43">
        <f t="shared" si="3"/>
        <v>0</v>
      </c>
    </row>
    <row r="60" spans="1:13" x14ac:dyDescent="0.25">
      <c r="A60" s="49"/>
      <c r="B60" s="33" t="str">
        <f t="shared" si="6"/>
        <v/>
      </c>
      <c r="C60" s="34"/>
      <c r="D60" s="34"/>
      <c r="E60" s="34"/>
      <c r="F60" s="34"/>
      <c r="G60" s="13"/>
      <c r="H60" s="35">
        <v>55</v>
      </c>
      <c r="I60" s="36" t="str">
        <f t="shared" si="4"/>
        <v/>
      </c>
      <c r="J60" s="35" t="e">
        <f t="shared" si="5"/>
        <v>#NUM!</v>
      </c>
      <c r="K60" s="35" t="e">
        <f t="shared" si="2"/>
        <v>#NUM!</v>
      </c>
      <c r="L60" s="35"/>
      <c r="M60" s="37">
        <f t="shared" si="3"/>
        <v>0</v>
      </c>
    </row>
    <row r="61" spans="1:13" x14ac:dyDescent="0.25">
      <c r="A61" s="48"/>
      <c r="B61" s="39" t="str">
        <f t="shared" si="6"/>
        <v/>
      </c>
      <c r="C61" s="40"/>
      <c r="D61" s="40"/>
      <c r="E61" s="40"/>
      <c r="F61" s="40"/>
      <c r="G61" s="13"/>
      <c r="H61" s="41">
        <v>56</v>
      </c>
      <c r="I61" s="42" t="str">
        <f t="shared" si="4"/>
        <v/>
      </c>
      <c r="J61" s="41" t="e">
        <f t="shared" si="5"/>
        <v>#NUM!</v>
      </c>
      <c r="K61" s="41" t="e">
        <f t="shared" si="2"/>
        <v>#NUM!</v>
      </c>
      <c r="L61" s="41"/>
      <c r="M61" s="43">
        <f t="shared" si="3"/>
        <v>0</v>
      </c>
    </row>
    <row r="62" spans="1:13" x14ac:dyDescent="0.25">
      <c r="A62" s="49"/>
      <c r="B62" s="33" t="str">
        <f t="shared" si="6"/>
        <v/>
      </c>
      <c r="C62" s="34"/>
      <c r="D62" s="34"/>
      <c r="E62" s="34"/>
      <c r="F62" s="34"/>
      <c r="G62" s="13"/>
      <c r="H62" s="35">
        <v>57</v>
      </c>
      <c r="I62" s="36" t="str">
        <f t="shared" si="4"/>
        <v/>
      </c>
      <c r="J62" s="35" t="e">
        <f t="shared" si="5"/>
        <v>#NUM!</v>
      </c>
      <c r="K62" s="35" t="e">
        <f t="shared" si="2"/>
        <v>#NUM!</v>
      </c>
      <c r="L62" s="35"/>
      <c r="M62" s="37">
        <f t="shared" si="3"/>
        <v>0</v>
      </c>
    </row>
    <row r="63" spans="1:13" x14ac:dyDescent="0.25">
      <c r="A63" s="48"/>
      <c r="B63" s="39" t="str">
        <f t="shared" si="6"/>
        <v/>
      </c>
      <c r="C63" s="40"/>
      <c r="D63" s="40"/>
      <c r="E63" s="40"/>
      <c r="F63" s="40"/>
      <c r="G63" s="13"/>
      <c r="H63" s="41">
        <v>58</v>
      </c>
      <c r="I63" s="42" t="str">
        <f t="shared" si="4"/>
        <v/>
      </c>
      <c r="J63" s="41" t="e">
        <f t="shared" si="5"/>
        <v>#NUM!</v>
      </c>
      <c r="K63" s="41" t="e">
        <f t="shared" si="2"/>
        <v>#NUM!</v>
      </c>
      <c r="L63" s="41"/>
      <c r="M63" s="43">
        <f t="shared" si="3"/>
        <v>0</v>
      </c>
    </row>
    <row r="64" spans="1:13" x14ac:dyDescent="0.25">
      <c r="A64" s="49"/>
      <c r="B64" s="33" t="str">
        <f t="shared" si="6"/>
        <v/>
      </c>
      <c r="C64" s="34"/>
      <c r="D64" s="34"/>
      <c r="E64" s="34"/>
      <c r="F64" s="34"/>
      <c r="G64" s="13"/>
      <c r="H64" s="35">
        <v>59</v>
      </c>
      <c r="I64" s="36" t="str">
        <f t="shared" si="4"/>
        <v/>
      </c>
      <c r="J64" s="35" t="e">
        <f t="shared" si="5"/>
        <v>#NUM!</v>
      </c>
      <c r="K64" s="35" t="e">
        <f t="shared" si="2"/>
        <v>#NUM!</v>
      </c>
      <c r="L64" s="35"/>
      <c r="M64" s="37">
        <f t="shared" si="3"/>
        <v>0</v>
      </c>
    </row>
    <row r="65" spans="1:13" x14ac:dyDescent="0.25">
      <c r="A65" s="48"/>
      <c r="B65" s="39" t="str">
        <f t="shared" si="6"/>
        <v/>
      </c>
      <c r="C65" s="40"/>
      <c r="D65" s="40"/>
      <c r="E65" s="40"/>
      <c r="F65" s="40"/>
      <c r="G65" s="13"/>
      <c r="H65" s="41">
        <v>60</v>
      </c>
      <c r="I65" s="42" t="str">
        <f t="shared" si="4"/>
        <v/>
      </c>
      <c r="J65" s="41" t="e">
        <f t="shared" si="5"/>
        <v>#NUM!</v>
      </c>
      <c r="K65" s="41" t="e">
        <f t="shared" si="2"/>
        <v>#NUM!</v>
      </c>
      <c r="L65" s="41"/>
      <c r="M65" s="43">
        <f t="shared" si="3"/>
        <v>0</v>
      </c>
    </row>
    <row r="66" spans="1:13" x14ac:dyDescent="0.25">
      <c r="A66" s="56"/>
      <c r="B66" s="33"/>
      <c r="G66" s="13"/>
      <c r="H66" s="35">
        <v>61</v>
      </c>
      <c r="I66" s="36" t="str">
        <f t="shared" si="4"/>
        <v/>
      </c>
      <c r="J66" s="35" t="e">
        <f t="shared" si="5"/>
        <v>#NUM!</v>
      </c>
      <c r="K66" s="35" t="e">
        <f t="shared" si="2"/>
        <v>#NUM!</v>
      </c>
      <c r="L66" s="35"/>
      <c r="M66" s="37">
        <f t="shared" si="3"/>
        <v>0</v>
      </c>
    </row>
    <row r="67" spans="1:13" x14ac:dyDescent="0.25">
      <c r="A67" s="56"/>
      <c r="B67" s="39"/>
      <c r="G67" s="13"/>
      <c r="H67" s="35">
        <v>62</v>
      </c>
      <c r="I67" s="36" t="str">
        <f t="shared" si="4"/>
        <v/>
      </c>
      <c r="J67" s="35" t="e">
        <f t="shared" si="5"/>
        <v>#NUM!</v>
      </c>
      <c r="K67" s="35" t="e">
        <f t="shared" si="2"/>
        <v>#NUM!</v>
      </c>
      <c r="L67" s="35"/>
      <c r="M67" s="37">
        <f t="shared" si="3"/>
        <v>0</v>
      </c>
    </row>
    <row r="68" spans="1:13" x14ac:dyDescent="0.25">
      <c r="A68" s="56"/>
      <c r="B68" s="33"/>
      <c r="G68" s="13"/>
      <c r="H68" s="35">
        <v>63</v>
      </c>
      <c r="I68" s="36" t="str">
        <f t="shared" si="4"/>
        <v/>
      </c>
      <c r="J68" s="35" t="e">
        <f t="shared" si="5"/>
        <v>#NUM!</v>
      </c>
      <c r="K68" s="35" t="e">
        <f t="shared" si="2"/>
        <v>#NUM!</v>
      </c>
      <c r="L68" s="35"/>
      <c r="M68" s="37">
        <f t="shared" si="3"/>
        <v>0</v>
      </c>
    </row>
    <row r="69" spans="1:13" x14ac:dyDescent="0.25">
      <c r="A69" s="56"/>
      <c r="B69" s="39"/>
      <c r="G69" s="13"/>
      <c r="H69" s="35">
        <v>64</v>
      </c>
      <c r="I69" s="36" t="str">
        <f t="shared" si="4"/>
        <v/>
      </c>
      <c r="J69" s="35" t="e">
        <f t="shared" si="5"/>
        <v>#NUM!</v>
      </c>
      <c r="K69" s="35" t="e">
        <f t="shared" si="2"/>
        <v>#NUM!</v>
      </c>
      <c r="L69" s="35"/>
      <c r="M69" s="37">
        <f t="shared" si="3"/>
        <v>0</v>
      </c>
    </row>
    <row r="70" spans="1:13" x14ac:dyDescent="0.25">
      <c r="A70" s="56"/>
      <c r="G70" s="13"/>
      <c r="H70" s="35">
        <v>65</v>
      </c>
      <c r="I70" s="36" t="str">
        <f t="shared" ref="I70:I133" si="7">IF(H70&lt;$H$2+1,($I$2-($I$2-1)*(LOG(H70)/LOG($H$2))),"")</f>
        <v/>
      </c>
      <c r="J70" s="35" t="e">
        <f t="shared" si="5"/>
        <v>#NUM!</v>
      </c>
      <c r="K70" s="35" t="e">
        <f t="shared" ref="K70:K133" si="8">J70*$J$2</f>
        <v>#NUM!</v>
      </c>
      <c r="L70" s="35"/>
      <c r="M70" s="37">
        <f t="shared" ref="M70:M133" si="9">IF(I70&lt;&gt;"",K70+I70+L70,0)</f>
        <v>0</v>
      </c>
    </row>
    <row r="71" spans="1:13" x14ac:dyDescent="0.25">
      <c r="A71" s="56"/>
      <c r="G71" s="13"/>
      <c r="H71" s="35">
        <v>66</v>
      </c>
      <c r="I71" s="36" t="str">
        <f t="shared" si="7"/>
        <v/>
      </c>
      <c r="J71" s="35" t="e">
        <f t="shared" ref="J71:J134" si="10">INT(LOG($H$2,2))-ROUNDUP(LOG(H71,2),0)+IF(OR($H$2=1,$H$2=2,$H$2=4,$H$2=8,$H$2=16,$H$2=32,$H$2=64,$H$2=128,$H$2=256),0,1)</f>
        <v>#NUM!</v>
      </c>
      <c r="K71" s="35" t="e">
        <f t="shared" si="8"/>
        <v>#NUM!</v>
      </c>
      <c r="L71" s="35"/>
      <c r="M71" s="37">
        <f t="shared" si="9"/>
        <v>0</v>
      </c>
    </row>
    <row r="72" spans="1:13" x14ac:dyDescent="0.25">
      <c r="A72" s="56"/>
      <c r="G72" s="13"/>
      <c r="H72" s="35">
        <v>67</v>
      </c>
      <c r="I72" s="36" t="str">
        <f t="shared" si="7"/>
        <v/>
      </c>
      <c r="J72" s="35" t="e">
        <f t="shared" si="10"/>
        <v>#NUM!</v>
      </c>
      <c r="K72" s="35" t="e">
        <f t="shared" si="8"/>
        <v>#NUM!</v>
      </c>
      <c r="L72" s="35"/>
      <c r="M72" s="37">
        <f t="shared" si="9"/>
        <v>0</v>
      </c>
    </row>
    <row r="73" spans="1:13" x14ac:dyDescent="0.25">
      <c r="A73" s="56"/>
      <c r="G73" s="13"/>
      <c r="H73" s="35">
        <v>68</v>
      </c>
      <c r="I73" s="36" t="str">
        <f t="shared" si="7"/>
        <v/>
      </c>
      <c r="J73" s="35" t="e">
        <f t="shared" si="10"/>
        <v>#NUM!</v>
      </c>
      <c r="K73" s="35" t="e">
        <f t="shared" si="8"/>
        <v>#NUM!</v>
      </c>
      <c r="L73" s="35"/>
      <c r="M73" s="37">
        <f t="shared" si="9"/>
        <v>0</v>
      </c>
    </row>
    <row r="74" spans="1:13" x14ac:dyDescent="0.25">
      <c r="A74" s="56"/>
      <c r="G74" s="13"/>
      <c r="H74" s="35">
        <v>69</v>
      </c>
      <c r="I74" s="36" t="str">
        <f t="shared" si="7"/>
        <v/>
      </c>
      <c r="J74" s="35" t="e">
        <f t="shared" si="10"/>
        <v>#NUM!</v>
      </c>
      <c r="K74" s="35" t="e">
        <f t="shared" si="8"/>
        <v>#NUM!</v>
      </c>
      <c r="L74" s="35"/>
      <c r="M74" s="37">
        <f t="shared" si="9"/>
        <v>0</v>
      </c>
    </row>
    <row r="75" spans="1:13" x14ac:dyDescent="0.25">
      <c r="A75" s="56"/>
      <c r="G75" s="13"/>
      <c r="H75" s="35">
        <v>70</v>
      </c>
      <c r="I75" s="36" t="str">
        <f t="shared" si="7"/>
        <v/>
      </c>
      <c r="J75" s="35" t="e">
        <f t="shared" si="10"/>
        <v>#NUM!</v>
      </c>
      <c r="K75" s="35" t="e">
        <f t="shared" si="8"/>
        <v>#NUM!</v>
      </c>
      <c r="L75" s="35"/>
      <c r="M75" s="37">
        <f t="shared" si="9"/>
        <v>0</v>
      </c>
    </row>
    <row r="76" spans="1:13" x14ac:dyDescent="0.25">
      <c r="A76" s="56"/>
      <c r="G76" s="13"/>
      <c r="H76" s="35">
        <v>71</v>
      </c>
      <c r="I76" s="36" t="str">
        <f t="shared" si="7"/>
        <v/>
      </c>
      <c r="J76" s="35" t="e">
        <f t="shared" si="10"/>
        <v>#NUM!</v>
      </c>
      <c r="K76" s="35" t="e">
        <f t="shared" si="8"/>
        <v>#NUM!</v>
      </c>
      <c r="L76" s="35"/>
      <c r="M76" s="37">
        <f t="shared" si="9"/>
        <v>0</v>
      </c>
    </row>
    <row r="77" spans="1:13" x14ac:dyDescent="0.25">
      <c r="A77" s="56"/>
      <c r="G77" s="13"/>
      <c r="H77" s="35">
        <v>72</v>
      </c>
      <c r="I77" s="36" t="str">
        <f t="shared" si="7"/>
        <v/>
      </c>
      <c r="J77" s="35" t="e">
        <f t="shared" si="10"/>
        <v>#NUM!</v>
      </c>
      <c r="K77" s="35" t="e">
        <f t="shared" si="8"/>
        <v>#NUM!</v>
      </c>
      <c r="L77" s="35"/>
      <c r="M77" s="37">
        <f t="shared" si="9"/>
        <v>0</v>
      </c>
    </row>
    <row r="78" spans="1:13" x14ac:dyDescent="0.25">
      <c r="A78" s="56"/>
      <c r="G78" s="13"/>
      <c r="H78" s="35">
        <v>73</v>
      </c>
      <c r="I78" s="36" t="str">
        <f t="shared" si="7"/>
        <v/>
      </c>
      <c r="J78" s="35" t="e">
        <f t="shared" si="10"/>
        <v>#NUM!</v>
      </c>
      <c r="K78" s="35" t="e">
        <f t="shared" si="8"/>
        <v>#NUM!</v>
      </c>
      <c r="L78" s="35"/>
      <c r="M78" s="37">
        <f t="shared" si="9"/>
        <v>0</v>
      </c>
    </row>
    <row r="79" spans="1:13" x14ac:dyDescent="0.25">
      <c r="A79" s="56"/>
      <c r="G79" s="13"/>
      <c r="H79" s="35">
        <v>74</v>
      </c>
      <c r="I79" s="36" t="str">
        <f t="shared" si="7"/>
        <v/>
      </c>
      <c r="J79" s="35" t="e">
        <f t="shared" si="10"/>
        <v>#NUM!</v>
      </c>
      <c r="K79" s="35" t="e">
        <f t="shared" si="8"/>
        <v>#NUM!</v>
      </c>
      <c r="L79" s="35"/>
      <c r="M79" s="37">
        <f t="shared" si="9"/>
        <v>0</v>
      </c>
    </row>
    <row r="80" spans="1:13" x14ac:dyDescent="0.25">
      <c r="A80" s="56"/>
      <c r="G80" s="13"/>
      <c r="H80" s="35">
        <v>75</v>
      </c>
      <c r="I80" s="36" t="str">
        <f t="shared" si="7"/>
        <v/>
      </c>
      <c r="J80" s="35" t="e">
        <f t="shared" si="10"/>
        <v>#NUM!</v>
      </c>
      <c r="K80" s="35" t="e">
        <f t="shared" si="8"/>
        <v>#NUM!</v>
      </c>
      <c r="L80" s="35"/>
      <c r="M80" s="37">
        <f t="shared" si="9"/>
        <v>0</v>
      </c>
    </row>
    <row r="81" spans="1:13" x14ac:dyDescent="0.25">
      <c r="A81" s="56"/>
      <c r="G81" s="13"/>
      <c r="H81" s="35">
        <v>76</v>
      </c>
      <c r="I81" s="36" t="str">
        <f t="shared" si="7"/>
        <v/>
      </c>
      <c r="J81" s="35" t="e">
        <f t="shared" si="10"/>
        <v>#NUM!</v>
      </c>
      <c r="K81" s="35" t="e">
        <f t="shared" si="8"/>
        <v>#NUM!</v>
      </c>
      <c r="L81" s="35"/>
      <c r="M81" s="37">
        <f t="shared" si="9"/>
        <v>0</v>
      </c>
    </row>
    <row r="82" spans="1:13" x14ac:dyDescent="0.25">
      <c r="A82" s="56"/>
      <c r="G82" s="13"/>
      <c r="H82" s="35">
        <v>77</v>
      </c>
      <c r="I82" s="36" t="str">
        <f t="shared" si="7"/>
        <v/>
      </c>
      <c r="J82" s="35" t="e">
        <f t="shared" si="10"/>
        <v>#NUM!</v>
      </c>
      <c r="K82" s="35" t="e">
        <f t="shared" si="8"/>
        <v>#NUM!</v>
      </c>
      <c r="L82" s="35"/>
      <c r="M82" s="37">
        <f t="shared" si="9"/>
        <v>0</v>
      </c>
    </row>
    <row r="83" spans="1:13" x14ac:dyDescent="0.25">
      <c r="A83" s="56"/>
      <c r="G83" s="13"/>
      <c r="H83" s="35">
        <v>78</v>
      </c>
      <c r="I83" s="36" t="str">
        <f t="shared" si="7"/>
        <v/>
      </c>
      <c r="J83" s="35" t="e">
        <f t="shared" si="10"/>
        <v>#NUM!</v>
      </c>
      <c r="K83" s="35" t="e">
        <f t="shared" si="8"/>
        <v>#NUM!</v>
      </c>
      <c r="L83" s="35"/>
      <c r="M83" s="37">
        <f t="shared" si="9"/>
        <v>0</v>
      </c>
    </row>
    <row r="84" spans="1:13" x14ac:dyDescent="0.25">
      <c r="A84" s="56"/>
      <c r="G84" s="13"/>
      <c r="H84" s="35">
        <v>79</v>
      </c>
      <c r="I84" s="36" t="str">
        <f t="shared" si="7"/>
        <v/>
      </c>
      <c r="J84" s="35" t="e">
        <f t="shared" si="10"/>
        <v>#NUM!</v>
      </c>
      <c r="K84" s="35" t="e">
        <f t="shared" si="8"/>
        <v>#NUM!</v>
      </c>
      <c r="L84" s="35"/>
      <c r="M84" s="37">
        <f t="shared" si="9"/>
        <v>0</v>
      </c>
    </row>
    <row r="85" spans="1:13" x14ac:dyDescent="0.25">
      <c r="A85" s="56"/>
      <c r="G85" s="13"/>
      <c r="H85" s="35">
        <v>80</v>
      </c>
      <c r="I85" s="36" t="str">
        <f t="shared" si="7"/>
        <v/>
      </c>
      <c r="J85" s="35" t="e">
        <f t="shared" si="10"/>
        <v>#NUM!</v>
      </c>
      <c r="K85" s="35" t="e">
        <f t="shared" si="8"/>
        <v>#NUM!</v>
      </c>
      <c r="L85" s="35"/>
      <c r="M85" s="37">
        <f t="shared" si="9"/>
        <v>0</v>
      </c>
    </row>
    <row r="86" spans="1:13" x14ac:dyDescent="0.25">
      <c r="A86" s="56"/>
      <c r="G86" s="13"/>
      <c r="H86" s="35">
        <v>81</v>
      </c>
      <c r="I86" s="36" t="str">
        <f t="shared" si="7"/>
        <v/>
      </c>
      <c r="J86" s="35" t="e">
        <f t="shared" si="10"/>
        <v>#NUM!</v>
      </c>
      <c r="K86" s="35" t="e">
        <f t="shared" si="8"/>
        <v>#NUM!</v>
      </c>
      <c r="L86" s="35"/>
      <c r="M86" s="37">
        <f t="shared" si="9"/>
        <v>0</v>
      </c>
    </row>
    <row r="87" spans="1:13" x14ac:dyDescent="0.25">
      <c r="A87" s="56"/>
      <c r="G87" s="13"/>
      <c r="H87" s="35">
        <v>82</v>
      </c>
      <c r="I87" s="36" t="str">
        <f t="shared" si="7"/>
        <v/>
      </c>
      <c r="J87" s="35" t="e">
        <f t="shared" si="10"/>
        <v>#NUM!</v>
      </c>
      <c r="K87" s="35" t="e">
        <f t="shared" si="8"/>
        <v>#NUM!</v>
      </c>
      <c r="L87" s="35"/>
      <c r="M87" s="37">
        <f t="shared" si="9"/>
        <v>0</v>
      </c>
    </row>
    <row r="88" spans="1:13" x14ac:dyDescent="0.25">
      <c r="A88" s="56"/>
      <c r="G88" s="13"/>
      <c r="H88" s="35">
        <v>83</v>
      </c>
      <c r="I88" s="36" t="str">
        <f t="shared" si="7"/>
        <v/>
      </c>
      <c r="J88" s="35" t="e">
        <f t="shared" si="10"/>
        <v>#NUM!</v>
      </c>
      <c r="K88" s="35" t="e">
        <f t="shared" si="8"/>
        <v>#NUM!</v>
      </c>
      <c r="L88" s="35"/>
      <c r="M88" s="37">
        <f t="shared" si="9"/>
        <v>0</v>
      </c>
    </row>
    <row r="89" spans="1:13" x14ac:dyDescent="0.25">
      <c r="A89" s="56"/>
      <c r="G89" s="13"/>
      <c r="H89" s="35">
        <v>84</v>
      </c>
      <c r="I89" s="36" t="str">
        <f t="shared" si="7"/>
        <v/>
      </c>
      <c r="J89" s="35" t="e">
        <f t="shared" si="10"/>
        <v>#NUM!</v>
      </c>
      <c r="K89" s="35" t="e">
        <f t="shared" si="8"/>
        <v>#NUM!</v>
      </c>
      <c r="L89" s="35"/>
      <c r="M89" s="37">
        <f t="shared" si="9"/>
        <v>0</v>
      </c>
    </row>
    <row r="90" spans="1:13" x14ac:dyDescent="0.25">
      <c r="A90" s="56"/>
      <c r="G90" s="13"/>
      <c r="H90" s="35">
        <v>85</v>
      </c>
      <c r="I90" s="36" t="str">
        <f t="shared" si="7"/>
        <v/>
      </c>
      <c r="J90" s="35" t="e">
        <f t="shared" si="10"/>
        <v>#NUM!</v>
      </c>
      <c r="K90" s="35" t="e">
        <f t="shared" si="8"/>
        <v>#NUM!</v>
      </c>
      <c r="L90" s="35"/>
      <c r="M90" s="37">
        <f t="shared" si="9"/>
        <v>0</v>
      </c>
    </row>
    <row r="91" spans="1:13" x14ac:dyDescent="0.25">
      <c r="A91" s="56"/>
      <c r="G91" s="13"/>
      <c r="H91" s="35">
        <v>86</v>
      </c>
      <c r="I91" s="36" t="str">
        <f t="shared" si="7"/>
        <v/>
      </c>
      <c r="J91" s="35" t="e">
        <f t="shared" si="10"/>
        <v>#NUM!</v>
      </c>
      <c r="K91" s="35" t="e">
        <f t="shared" si="8"/>
        <v>#NUM!</v>
      </c>
      <c r="L91" s="35"/>
      <c r="M91" s="37">
        <f t="shared" si="9"/>
        <v>0</v>
      </c>
    </row>
    <row r="92" spans="1:13" x14ac:dyDescent="0.25">
      <c r="A92" s="56"/>
      <c r="G92" s="13"/>
      <c r="H92" s="35">
        <v>87</v>
      </c>
      <c r="I92" s="36" t="str">
        <f t="shared" si="7"/>
        <v/>
      </c>
      <c r="J92" s="35" t="e">
        <f t="shared" si="10"/>
        <v>#NUM!</v>
      </c>
      <c r="K92" s="35" t="e">
        <f t="shared" si="8"/>
        <v>#NUM!</v>
      </c>
      <c r="L92" s="35"/>
      <c r="M92" s="37">
        <f t="shared" si="9"/>
        <v>0</v>
      </c>
    </row>
    <row r="93" spans="1:13" x14ac:dyDescent="0.25">
      <c r="A93" s="56"/>
      <c r="G93" s="13"/>
      <c r="H93" s="35">
        <v>88</v>
      </c>
      <c r="I93" s="36" t="str">
        <f t="shared" si="7"/>
        <v/>
      </c>
      <c r="J93" s="35" t="e">
        <f t="shared" si="10"/>
        <v>#NUM!</v>
      </c>
      <c r="K93" s="35" t="e">
        <f t="shared" si="8"/>
        <v>#NUM!</v>
      </c>
      <c r="L93" s="35"/>
      <c r="M93" s="37">
        <f t="shared" si="9"/>
        <v>0</v>
      </c>
    </row>
    <row r="94" spans="1:13" x14ac:dyDescent="0.25">
      <c r="A94" s="56"/>
      <c r="G94" s="13"/>
      <c r="H94" s="35">
        <v>89</v>
      </c>
      <c r="I94" s="36" t="str">
        <f t="shared" si="7"/>
        <v/>
      </c>
      <c r="J94" s="35" t="e">
        <f t="shared" si="10"/>
        <v>#NUM!</v>
      </c>
      <c r="K94" s="35" t="e">
        <f t="shared" si="8"/>
        <v>#NUM!</v>
      </c>
      <c r="L94" s="35"/>
      <c r="M94" s="37">
        <f t="shared" si="9"/>
        <v>0</v>
      </c>
    </row>
    <row r="95" spans="1:13" x14ac:dyDescent="0.25">
      <c r="A95" s="56"/>
      <c r="G95" s="13"/>
      <c r="H95" s="35">
        <v>90</v>
      </c>
      <c r="I95" s="36" t="str">
        <f t="shared" si="7"/>
        <v/>
      </c>
      <c r="J95" s="35" t="e">
        <f t="shared" si="10"/>
        <v>#NUM!</v>
      </c>
      <c r="K95" s="35" t="e">
        <f t="shared" si="8"/>
        <v>#NUM!</v>
      </c>
      <c r="L95" s="35"/>
      <c r="M95" s="37">
        <f t="shared" si="9"/>
        <v>0</v>
      </c>
    </row>
    <row r="96" spans="1:13" x14ac:dyDescent="0.25">
      <c r="A96" s="56"/>
      <c r="G96" s="13"/>
      <c r="H96" s="35">
        <v>91</v>
      </c>
      <c r="I96" s="36" t="str">
        <f t="shared" si="7"/>
        <v/>
      </c>
      <c r="J96" s="35" t="e">
        <f t="shared" si="10"/>
        <v>#NUM!</v>
      </c>
      <c r="K96" s="35" t="e">
        <f t="shared" si="8"/>
        <v>#NUM!</v>
      </c>
      <c r="L96" s="35"/>
      <c r="M96" s="37">
        <f t="shared" si="9"/>
        <v>0</v>
      </c>
    </row>
    <row r="97" spans="1:13" x14ac:dyDescent="0.25">
      <c r="A97" s="56"/>
      <c r="G97" s="13"/>
      <c r="H97" s="35">
        <v>92</v>
      </c>
      <c r="I97" s="36" t="str">
        <f t="shared" si="7"/>
        <v/>
      </c>
      <c r="J97" s="35" t="e">
        <f t="shared" si="10"/>
        <v>#NUM!</v>
      </c>
      <c r="K97" s="35" t="e">
        <f t="shared" si="8"/>
        <v>#NUM!</v>
      </c>
      <c r="L97" s="35"/>
      <c r="M97" s="37">
        <f t="shared" si="9"/>
        <v>0</v>
      </c>
    </row>
    <row r="98" spans="1:13" x14ac:dyDescent="0.25">
      <c r="A98" s="56"/>
      <c r="G98" s="13"/>
      <c r="H98" s="35">
        <v>93</v>
      </c>
      <c r="I98" s="36" t="str">
        <f t="shared" si="7"/>
        <v/>
      </c>
      <c r="J98" s="35" t="e">
        <f t="shared" si="10"/>
        <v>#NUM!</v>
      </c>
      <c r="K98" s="35" t="e">
        <f t="shared" si="8"/>
        <v>#NUM!</v>
      </c>
      <c r="L98" s="35"/>
      <c r="M98" s="37">
        <f t="shared" si="9"/>
        <v>0</v>
      </c>
    </row>
    <row r="99" spans="1:13" x14ac:dyDescent="0.25">
      <c r="A99" s="56"/>
      <c r="G99" s="13"/>
      <c r="H99" s="35">
        <v>94</v>
      </c>
      <c r="I99" s="36" t="str">
        <f t="shared" si="7"/>
        <v/>
      </c>
      <c r="J99" s="35" t="e">
        <f t="shared" si="10"/>
        <v>#NUM!</v>
      </c>
      <c r="K99" s="35" t="e">
        <f t="shared" si="8"/>
        <v>#NUM!</v>
      </c>
      <c r="L99" s="35"/>
      <c r="M99" s="37">
        <f t="shared" si="9"/>
        <v>0</v>
      </c>
    </row>
    <row r="100" spans="1:13" x14ac:dyDescent="0.25">
      <c r="A100" s="56"/>
      <c r="G100" s="13"/>
      <c r="H100" s="35">
        <v>95</v>
      </c>
      <c r="I100" s="36" t="str">
        <f t="shared" si="7"/>
        <v/>
      </c>
      <c r="J100" s="35" t="e">
        <f t="shared" si="10"/>
        <v>#NUM!</v>
      </c>
      <c r="K100" s="35" t="e">
        <f t="shared" si="8"/>
        <v>#NUM!</v>
      </c>
      <c r="L100" s="35"/>
      <c r="M100" s="37">
        <f t="shared" si="9"/>
        <v>0</v>
      </c>
    </row>
    <row r="101" spans="1:13" x14ac:dyDescent="0.25">
      <c r="A101" s="56"/>
      <c r="G101" s="13"/>
      <c r="H101" s="35">
        <v>96</v>
      </c>
      <c r="I101" s="36" t="str">
        <f t="shared" si="7"/>
        <v/>
      </c>
      <c r="J101" s="35" t="e">
        <f t="shared" si="10"/>
        <v>#NUM!</v>
      </c>
      <c r="K101" s="35" t="e">
        <f t="shared" si="8"/>
        <v>#NUM!</v>
      </c>
      <c r="L101" s="35"/>
      <c r="M101" s="37">
        <f t="shared" si="9"/>
        <v>0</v>
      </c>
    </row>
    <row r="102" spans="1:13" x14ac:dyDescent="0.25">
      <c r="A102" s="56"/>
      <c r="G102" s="13"/>
      <c r="H102" s="35">
        <v>97</v>
      </c>
      <c r="I102" s="36" t="str">
        <f t="shared" si="7"/>
        <v/>
      </c>
      <c r="J102" s="35" t="e">
        <f t="shared" si="10"/>
        <v>#NUM!</v>
      </c>
      <c r="K102" s="35" t="e">
        <f t="shared" si="8"/>
        <v>#NUM!</v>
      </c>
      <c r="L102" s="35"/>
      <c r="M102" s="37">
        <f t="shared" si="9"/>
        <v>0</v>
      </c>
    </row>
    <row r="103" spans="1:13" x14ac:dyDescent="0.25">
      <c r="A103" s="56"/>
      <c r="G103" s="13"/>
      <c r="H103" s="35">
        <v>98</v>
      </c>
      <c r="I103" s="36" t="str">
        <f t="shared" si="7"/>
        <v/>
      </c>
      <c r="J103" s="35" t="e">
        <f t="shared" si="10"/>
        <v>#NUM!</v>
      </c>
      <c r="K103" s="35" t="e">
        <f t="shared" si="8"/>
        <v>#NUM!</v>
      </c>
      <c r="L103" s="35"/>
      <c r="M103" s="37">
        <f t="shared" si="9"/>
        <v>0</v>
      </c>
    </row>
    <row r="104" spans="1:13" x14ac:dyDescent="0.25">
      <c r="A104" s="56"/>
      <c r="G104" s="13"/>
      <c r="H104" s="35">
        <v>99</v>
      </c>
      <c r="I104" s="36" t="str">
        <f t="shared" si="7"/>
        <v/>
      </c>
      <c r="J104" s="35" t="e">
        <f t="shared" si="10"/>
        <v>#NUM!</v>
      </c>
      <c r="K104" s="35" t="e">
        <f t="shared" si="8"/>
        <v>#NUM!</v>
      </c>
      <c r="L104" s="35"/>
      <c r="M104" s="37">
        <f t="shared" si="9"/>
        <v>0</v>
      </c>
    </row>
    <row r="105" spans="1:13" x14ac:dyDescent="0.25">
      <c r="A105" s="56"/>
      <c r="G105" s="13"/>
      <c r="H105" s="35">
        <v>100</v>
      </c>
      <c r="I105" s="36" t="str">
        <f t="shared" si="7"/>
        <v/>
      </c>
      <c r="J105" s="35" t="e">
        <f t="shared" si="10"/>
        <v>#NUM!</v>
      </c>
      <c r="K105" s="35" t="e">
        <f t="shared" si="8"/>
        <v>#NUM!</v>
      </c>
      <c r="L105" s="35"/>
      <c r="M105" s="37">
        <f t="shared" si="9"/>
        <v>0</v>
      </c>
    </row>
    <row r="106" spans="1:13" x14ac:dyDescent="0.25">
      <c r="A106" s="56"/>
      <c r="G106" s="13"/>
      <c r="H106" s="35">
        <v>101</v>
      </c>
      <c r="I106" s="36" t="str">
        <f t="shared" si="7"/>
        <v/>
      </c>
      <c r="J106" s="35" t="e">
        <f t="shared" si="10"/>
        <v>#NUM!</v>
      </c>
      <c r="K106" s="35" t="e">
        <f t="shared" si="8"/>
        <v>#NUM!</v>
      </c>
      <c r="L106" s="35"/>
      <c r="M106" s="37">
        <f t="shared" si="9"/>
        <v>0</v>
      </c>
    </row>
    <row r="107" spans="1:13" x14ac:dyDescent="0.25">
      <c r="A107" s="56"/>
      <c r="G107" s="13"/>
      <c r="H107" s="35">
        <v>102</v>
      </c>
      <c r="I107" s="36" t="str">
        <f t="shared" si="7"/>
        <v/>
      </c>
      <c r="J107" s="35" t="e">
        <f t="shared" si="10"/>
        <v>#NUM!</v>
      </c>
      <c r="K107" s="35" t="e">
        <f t="shared" si="8"/>
        <v>#NUM!</v>
      </c>
      <c r="L107" s="35"/>
      <c r="M107" s="37">
        <f t="shared" si="9"/>
        <v>0</v>
      </c>
    </row>
    <row r="108" spans="1:13" x14ac:dyDescent="0.25">
      <c r="A108" s="56"/>
      <c r="G108" s="13"/>
      <c r="H108" s="35">
        <v>103</v>
      </c>
      <c r="I108" s="36" t="str">
        <f t="shared" si="7"/>
        <v/>
      </c>
      <c r="J108" s="35" t="e">
        <f t="shared" si="10"/>
        <v>#NUM!</v>
      </c>
      <c r="K108" s="35" t="e">
        <f t="shared" si="8"/>
        <v>#NUM!</v>
      </c>
      <c r="L108" s="35"/>
      <c r="M108" s="37">
        <f t="shared" si="9"/>
        <v>0</v>
      </c>
    </row>
    <row r="109" spans="1:13" x14ac:dyDescent="0.25">
      <c r="A109" s="56"/>
      <c r="G109" s="13"/>
      <c r="H109" s="35">
        <v>104</v>
      </c>
      <c r="I109" s="36" t="str">
        <f t="shared" si="7"/>
        <v/>
      </c>
      <c r="J109" s="35" t="e">
        <f t="shared" si="10"/>
        <v>#NUM!</v>
      </c>
      <c r="K109" s="35" t="e">
        <f t="shared" si="8"/>
        <v>#NUM!</v>
      </c>
      <c r="L109" s="35"/>
      <c r="M109" s="37">
        <f t="shared" si="9"/>
        <v>0</v>
      </c>
    </row>
    <row r="110" spans="1:13" x14ac:dyDescent="0.25">
      <c r="A110" s="56"/>
      <c r="G110" s="13"/>
      <c r="H110" s="35">
        <v>105</v>
      </c>
      <c r="I110" s="36" t="str">
        <f t="shared" si="7"/>
        <v/>
      </c>
      <c r="J110" s="35" t="e">
        <f t="shared" si="10"/>
        <v>#NUM!</v>
      </c>
      <c r="K110" s="35" t="e">
        <f t="shared" si="8"/>
        <v>#NUM!</v>
      </c>
      <c r="L110" s="35"/>
      <c r="M110" s="37">
        <f t="shared" si="9"/>
        <v>0</v>
      </c>
    </row>
    <row r="111" spans="1:13" x14ac:dyDescent="0.25">
      <c r="A111" s="56"/>
      <c r="G111" s="13"/>
      <c r="H111" s="35">
        <v>106</v>
      </c>
      <c r="I111" s="36" t="str">
        <f t="shared" si="7"/>
        <v/>
      </c>
      <c r="J111" s="35" t="e">
        <f t="shared" si="10"/>
        <v>#NUM!</v>
      </c>
      <c r="K111" s="35" t="e">
        <f t="shared" si="8"/>
        <v>#NUM!</v>
      </c>
      <c r="L111" s="35"/>
      <c r="M111" s="37">
        <f t="shared" si="9"/>
        <v>0</v>
      </c>
    </row>
    <row r="112" spans="1:13" x14ac:dyDescent="0.25">
      <c r="A112" s="56"/>
      <c r="G112" s="13"/>
      <c r="H112" s="35">
        <v>107</v>
      </c>
      <c r="I112" s="36" t="str">
        <f t="shared" si="7"/>
        <v/>
      </c>
      <c r="J112" s="35" t="e">
        <f t="shared" si="10"/>
        <v>#NUM!</v>
      </c>
      <c r="K112" s="35" t="e">
        <f t="shared" si="8"/>
        <v>#NUM!</v>
      </c>
      <c r="L112" s="35"/>
      <c r="M112" s="37">
        <f t="shared" si="9"/>
        <v>0</v>
      </c>
    </row>
    <row r="113" spans="1:13" x14ac:dyDescent="0.25">
      <c r="A113" s="56"/>
      <c r="G113" s="13"/>
      <c r="H113" s="35">
        <v>108</v>
      </c>
      <c r="I113" s="36" t="str">
        <f t="shared" si="7"/>
        <v/>
      </c>
      <c r="J113" s="35" t="e">
        <f t="shared" si="10"/>
        <v>#NUM!</v>
      </c>
      <c r="K113" s="35" t="e">
        <f t="shared" si="8"/>
        <v>#NUM!</v>
      </c>
      <c r="L113" s="35"/>
      <c r="M113" s="37">
        <f t="shared" si="9"/>
        <v>0</v>
      </c>
    </row>
    <row r="114" spans="1:13" x14ac:dyDescent="0.25">
      <c r="A114" s="56"/>
      <c r="G114" s="13"/>
      <c r="H114" s="35">
        <v>109</v>
      </c>
      <c r="I114" s="36" t="str">
        <f t="shared" si="7"/>
        <v/>
      </c>
      <c r="J114" s="35" t="e">
        <f t="shared" si="10"/>
        <v>#NUM!</v>
      </c>
      <c r="K114" s="35" t="e">
        <f t="shared" si="8"/>
        <v>#NUM!</v>
      </c>
      <c r="L114" s="35"/>
      <c r="M114" s="37">
        <f t="shared" si="9"/>
        <v>0</v>
      </c>
    </row>
    <row r="115" spans="1:13" x14ac:dyDescent="0.25">
      <c r="A115" s="56"/>
      <c r="G115" s="13"/>
      <c r="H115" s="35">
        <v>110</v>
      </c>
      <c r="I115" s="36" t="str">
        <f t="shared" si="7"/>
        <v/>
      </c>
      <c r="J115" s="35" t="e">
        <f t="shared" si="10"/>
        <v>#NUM!</v>
      </c>
      <c r="K115" s="35" t="e">
        <f t="shared" si="8"/>
        <v>#NUM!</v>
      </c>
      <c r="L115" s="35"/>
      <c r="M115" s="37">
        <f t="shared" si="9"/>
        <v>0</v>
      </c>
    </row>
    <row r="116" spans="1:13" x14ac:dyDescent="0.25">
      <c r="A116" s="56"/>
      <c r="G116" s="13"/>
      <c r="H116" s="35">
        <v>111</v>
      </c>
      <c r="I116" s="36" t="str">
        <f t="shared" si="7"/>
        <v/>
      </c>
      <c r="J116" s="35" t="e">
        <f t="shared" si="10"/>
        <v>#NUM!</v>
      </c>
      <c r="K116" s="35" t="e">
        <f t="shared" si="8"/>
        <v>#NUM!</v>
      </c>
      <c r="L116" s="35"/>
      <c r="M116" s="37">
        <f t="shared" si="9"/>
        <v>0</v>
      </c>
    </row>
    <row r="117" spans="1:13" x14ac:dyDescent="0.25">
      <c r="A117" s="56"/>
      <c r="G117" s="13"/>
      <c r="H117" s="35">
        <v>112</v>
      </c>
      <c r="I117" s="36" t="str">
        <f t="shared" si="7"/>
        <v/>
      </c>
      <c r="J117" s="35" t="e">
        <f t="shared" si="10"/>
        <v>#NUM!</v>
      </c>
      <c r="K117" s="35" t="e">
        <f t="shared" si="8"/>
        <v>#NUM!</v>
      </c>
      <c r="L117" s="35"/>
      <c r="M117" s="37">
        <f t="shared" si="9"/>
        <v>0</v>
      </c>
    </row>
    <row r="118" spans="1:13" x14ac:dyDescent="0.25">
      <c r="A118" s="56"/>
      <c r="G118" s="13"/>
      <c r="H118" s="35">
        <v>113</v>
      </c>
      <c r="I118" s="36" t="str">
        <f t="shared" si="7"/>
        <v/>
      </c>
      <c r="J118" s="35" t="e">
        <f t="shared" si="10"/>
        <v>#NUM!</v>
      </c>
      <c r="K118" s="35" t="e">
        <f t="shared" si="8"/>
        <v>#NUM!</v>
      </c>
      <c r="L118" s="35"/>
      <c r="M118" s="37">
        <f t="shared" si="9"/>
        <v>0</v>
      </c>
    </row>
    <row r="119" spans="1:13" x14ac:dyDescent="0.25">
      <c r="A119" s="56"/>
      <c r="G119" s="13"/>
      <c r="H119" s="35">
        <v>114</v>
      </c>
      <c r="I119" s="36" t="str">
        <f t="shared" si="7"/>
        <v/>
      </c>
      <c r="J119" s="35" t="e">
        <f t="shared" si="10"/>
        <v>#NUM!</v>
      </c>
      <c r="K119" s="35" t="e">
        <f t="shared" si="8"/>
        <v>#NUM!</v>
      </c>
      <c r="L119" s="35"/>
      <c r="M119" s="37">
        <f t="shared" si="9"/>
        <v>0</v>
      </c>
    </row>
    <row r="120" spans="1:13" x14ac:dyDescent="0.25">
      <c r="A120" s="56"/>
      <c r="G120" s="13"/>
      <c r="H120" s="35">
        <v>115</v>
      </c>
      <c r="I120" s="36" t="str">
        <f t="shared" si="7"/>
        <v/>
      </c>
      <c r="J120" s="35" t="e">
        <f t="shared" si="10"/>
        <v>#NUM!</v>
      </c>
      <c r="K120" s="35" t="e">
        <f t="shared" si="8"/>
        <v>#NUM!</v>
      </c>
      <c r="L120" s="35"/>
      <c r="M120" s="37">
        <f t="shared" si="9"/>
        <v>0</v>
      </c>
    </row>
    <row r="121" spans="1:13" x14ac:dyDescent="0.25">
      <c r="A121" s="56"/>
      <c r="G121" s="13"/>
      <c r="H121" s="35">
        <v>116</v>
      </c>
      <c r="I121" s="36" t="str">
        <f t="shared" si="7"/>
        <v/>
      </c>
      <c r="J121" s="35" t="e">
        <f t="shared" si="10"/>
        <v>#NUM!</v>
      </c>
      <c r="K121" s="35" t="e">
        <f t="shared" si="8"/>
        <v>#NUM!</v>
      </c>
      <c r="L121" s="35"/>
      <c r="M121" s="37">
        <f t="shared" si="9"/>
        <v>0</v>
      </c>
    </row>
    <row r="122" spans="1:13" x14ac:dyDescent="0.25">
      <c r="A122" s="56"/>
      <c r="G122" s="13"/>
      <c r="H122" s="35">
        <v>117</v>
      </c>
      <c r="I122" s="36" t="str">
        <f t="shared" si="7"/>
        <v/>
      </c>
      <c r="J122" s="35" t="e">
        <f t="shared" si="10"/>
        <v>#NUM!</v>
      </c>
      <c r="K122" s="35" t="e">
        <f t="shared" si="8"/>
        <v>#NUM!</v>
      </c>
      <c r="L122" s="35"/>
      <c r="M122" s="37">
        <f t="shared" si="9"/>
        <v>0</v>
      </c>
    </row>
    <row r="123" spans="1:13" x14ac:dyDescent="0.25">
      <c r="A123" s="56"/>
      <c r="G123" s="13"/>
      <c r="H123" s="35">
        <v>118</v>
      </c>
      <c r="I123" s="36" t="str">
        <f t="shared" si="7"/>
        <v/>
      </c>
      <c r="J123" s="35" t="e">
        <f t="shared" si="10"/>
        <v>#NUM!</v>
      </c>
      <c r="K123" s="35" t="e">
        <f t="shared" si="8"/>
        <v>#NUM!</v>
      </c>
      <c r="L123" s="35"/>
      <c r="M123" s="37">
        <f t="shared" si="9"/>
        <v>0</v>
      </c>
    </row>
    <row r="124" spans="1:13" x14ac:dyDescent="0.25">
      <c r="A124" s="56"/>
      <c r="G124" s="13"/>
      <c r="H124" s="35">
        <v>119</v>
      </c>
      <c r="I124" s="36" t="str">
        <f t="shared" si="7"/>
        <v/>
      </c>
      <c r="J124" s="35" t="e">
        <f t="shared" si="10"/>
        <v>#NUM!</v>
      </c>
      <c r="K124" s="35" t="e">
        <f t="shared" si="8"/>
        <v>#NUM!</v>
      </c>
      <c r="L124" s="35"/>
      <c r="M124" s="37">
        <f t="shared" si="9"/>
        <v>0</v>
      </c>
    </row>
    <row r="125" spans="1:13" x14ac:dyDescent="0.25">
      <c r="A125" s="56"/>
      <c r="G125" s="13"/>
      <c r="H125" s="35">
        <v>120</v>
      </c>
      <c r="I125" s="36" t="str">
        <f t="shared" si="7"/>
        <v/>
      </c>
      <c r="J125" s="35" t="e">
        <f t="shared" si="10"/>
        <v>#NUM!</v>
      </c>
      <c r="K125" s="35" t="e">
        <f t="shared" si="8"/>
        <v>#NUM!</v>
      </c>
      <c r="L125" s="35"/>
      <c r="M125" s="37">
        <f t="shared" si="9"/>
        <v>0</v>
      </c>
    </row>
    <row r="126" spans="1:13" x14ac:dyDescent="0.25">
      <c r="A126" s="56"/>
      <c r="G126" s="13"/>
      <c r="H126" s="35">
        <v>121</v>
      </c>
      <c r="I126" s="36" t="str">
        <f t="shared" si="7"/>
        <v/>
      </c>
      <c r="J126" s="35" t="e">
        <f t="shared" si="10"/>
        <v>#NUM!</v>
      </c>
      <c r="K126" s="35" t="e">
        <f t="shared" si="8"/>
        <v>#NUM!</v>
      </c>
      <c r="L126" s="35"/>
      <c r="M126" s="37">
        <f t="shared" si="9"/>
        <v>0</v>
      </c>
    </row>
    <row r="127" spans="1:13" x14ac:dyDescent="0.25">
      <c r="A127" s="56"/>
      <c r="G127" s="13"/>
      <c r="H127" s="35">
        <v>122</v>
      </c>
      <c r="I127" s="36" t="str">
        <f t="shared" si="7"/>
        <v/>
      </c>
      <c r="J127" s="35" t="e">
        <f t="shared" si="10"/>
        <v>#NUM!</v>
      </c>
      <c r="K127" s="35" t="e">
        <f t="shared" si="8"/>
        <v>#NUM!</v>
      </c>
      <c r="L127" s="35"/>
      <c r="M127" s="37">
        <f t="shared" si="9"/>
        <v>0</v>
      </c>
    </row>
    <row r="128" spans="1:13" x14ac:dyDescent="0.25">
      <c r="A128" s="56"/>
      <c r="G128" s="13"/>
      <c r="H128" s="35">
        <v>123</v>
      </c>
      <c r="I128" s="36" t="str">
        <f t="shared" si="7"/>
        <v/>
      </c>
      <c r="J128" s="35" t="e">
        <f t="shared" si="10"/>
        <v>#NUM!</v>
      </c>
      <c r="K128" s="35" t="e">
        <f t="shared" si="8"/>
        <v>#NUM!</v>
      </c>
      <c r="L128" s="35"/>
      <c r="M128" s="37">
        <f t="shared" si="9"/>
        <v>0</v>
      </c>
    </row>
    <row r="129" spans="1:13" x14ac:dyDescent="0.25">
      <c r="A129" s="56"/>
      <c r="G129" s="13"/>
      <c r="H129" s="35">
        <v>124</v>
      </c>
      <c r="I129" s="36" t="str">
        <f t="shared" si="7"/>
        <v/>
      </c>
      <c r="J129" s="35" t="e">
        <f t="shared" si="10"/>
        <v>#NUM!</v>
      </c>
      <c r="K129" s="35" t="e">
        <f t="shared" si="8"/>
        <v>#NUM!</v>
      </c>
      <c r="L129" s="35"/>
      <c r="M129" s="37">
        <f t="shared" si="9"/>
        <v>0</v>
      </c>
    </row>
    <row r="130" spans="1:13" x14ac:dyDescent="0.25">
      <c r="A130" s="56"/>
      <c r="G130" s="13"/>
      <c r="H130" s="35">
        <v>125</v>
      </c>
      <c r="I130" s="36" t="str">
        <f t="shared" si="7"/>
        <v/>
      </c>
      <c r="J130" s="35" t="e">
        <f t="shared" si="10"/>
        <v>#NUM!</v>
      </c>
      <c r="K130" s="35" t="e">
        <f t="shared" si="8"/>
        <v>#NUM!</v>
      </c>
      <c r="L130" s="35"/>
      <c r="M130" s="37">
        <f t="shared" si="9"/>
        <v>0</v>
      </c>
    </row>
    <row r="131" spans="1:13" x14ac:dyDescent="0.25">
      <c r="A131" s="56"/>
      <c r="G131" s="13"/>
      <c r="H131" s="35">
        <v>126</v>
      </c>
      <c r="I131" s="36" t="str">
        <f t="shared" si="7"/>
        <v/>
      </c>
      <c r="J131" s="35" t="e">
        <f t="shared" si="10"/>
        <v>#NUM!</v>
      </c>
      <c r="K131" s="35" t="e">
        <f t="shared" si="8"/>
        <v>#NUM!</v>
      </c>
      <c r="L131" s="35"/>
      <c r="M131" s="37">
        <f t="shared" si="9"/>
        <v>0</v>
      </c>
    </row>
    <row r="132" spans="1:13" x14ac:dyDescent="0.25">
      <c r="A132" s="56"/>
      <c r="G132" s="13"/>
      <c r="H132" s="35">
        <v>127</v>
      </c>
      <c r="I132" s="36" t="str">
        <f t="shared" si="7"/>
        <v/>
      </c>
      <c r="J132" s="35" t="e">
        <f t="shared" si="10"/>
        <v>#NUM!</v>
      </c>
      <c r="K132" s="35" t="e">
        <f t="shared" si="8"/>
        <v>#NUM!</v>
      </c>
      <c r="L132" s="35"/>
      <c r="M132" s="37">
        <f t="shared" si="9"/>
        <v>0</v>
      </c>
    </row>
    <row r="133" spans="1:13" x14ac:dyDescent="0.25">
      <c r="A133" s="56"/>
      <c r="G133" s="13"/>
      <c r="H133" s="35">
        <v>128</v>
      </c>
      <c r="I133" s="36" t="str">
        <f t="shared" si="7"/>
        <v/>
      </c>
      <c r="J133" s="35" t="e">
        <f t="shared" si="10"/>
        <v>#NUM!</v>
      </c>
      <c r="K133" s="35" t="e">
        <f t="shared" si="8"/>
        <v>#NUM!</v>
      </c>
      <c r="L133" s="35"/>
      <c r="M133" s="37">
        <f t="shared" si="9"/>
        <v>0</v>
      </c>
    </row>
    <row r="134" spans="1:13" x14ac:dyDescent="0.25">
      <c r="A134" s="56"/>
      <c r="G134" s="13"/>
      <c r="H134" s="35">
        <v>129</v>
      </c>
      <c r="I134" s="36" t="str">
        <f t="shared" ref="I134:I197" si="11">IF(H134&lt;$H$2+1,($I$2-($I$2-1)*(LOG(H134)/LOG($H$2))),"")</f>
        <v/>
      </c>
      <c r="J134" s="35" t="e">
        <f t="shared" si="10"/>
        <v>#NUM!</v>
      </c>
      <c r="K134" s="35" t="e">
        <f t="shared" ref="K134:K197" si="12">J134*$J$2</f>
        <v>#NUM!</v>
      </c>
      <c r="L134" s="35"/>
      <c r="M134" s="37">
        <f t="shared" ref="M134:M197" si="13">IF(I134&lt;&gt;"",K134+I134+L134,0)</f>
        <v>0</v>
      </c>
    </row>
    <row r="135" spans="1:13" x14ac:dyDescent="0.25">
      <c r="A135" s="56"/>
      <c r="G135" s="13"/>
      <c r="H135" s="35">
        <v>130</v>
      </c>
      <c r="I135" s="36" t="str">
        <f t="shared" si="11"/>
        <v/>
      </c>
      <c r="J135" s="35" t="e">
        <f t="shared" ref="J135:J198" si="14">INT(LOG($H$2,2))-ROUNDUP(LOG(H135,2),0)+IF(OR($H$2=1,$H$2=2,$H$2=4,$H$2=8,$H$2=16,$H$2=32,$H$2=64,$H$2=128,$H$2=256),0,1)</f>
        <v>#NUM!</v>
      </c>
      <c r="K135" s="35" t="e">
        <f t="shared" si="12"/>
        <v>#NUM!</v>
      </c>
      <c r="L135" s="35"/>
      <c r="M135" s="37">
        <f t="shared" si="13"/>
        <v>0</v>
      </c>
    </row>
    <row r="136" spans="1:13" x14ac:dyDescent="0.25">
      <c r="A136" s="56"/>
      <c r="G136" s="13"/>
      <c r="H136" s="35">
        <v>131</v>
      </c>
      <c r="I136" s="36" t="str">
        <f t="shared" si="11"/>
        <v/>
      </c>
      <c r="J136" s="35" t="e">
        <f t="shared" si="14"/>
        <v>#NUM!</v>
      </c>
      <c r="K136" s="35" t="e">
        <f t="shared" si="12"/>
        <v>#NUM!</v>
      </c>
      <c r="L136" s="35"/>
      <c r="M136" s="37">
        <f t="shared" si="13"/>
        <v>0</v>
      </c>
    </row>
    <row r="137" spans="1:13" x14ac:dyDescent="0.25">
      <c r="A137" s="56"/>
      <c r="G137" s="13"/>
      <c r="H137" s="35">
        <v>132</v>
      </c>
      <c r="I137" s="36" t="str">
        <f t="shared" si="11"/>
        <v/>
      </c>
      <c r="J137" s="35" t="e">
        <f t="shared" si="14"/>
        <v>#NUM!</v>
      </c>
      <c r="K137" s="35" t="e">
        <f t="shared" si="12"/>
        <v>#NUM!</v>
      </c>
      <c r="L137" s="35"/>
      <c r="M137" s="37">
        <f t="shared" si="13"/>
        <v>0</v>
      </c>
    </row>
    <row r="138" spans="1:13" x14ac:dyDescent="0.25">
      <c r="A138" s="56"/>
      <c r="G138" s="13"/>
      <c r="H138" s="35">
        <v>133</v>
      </c>
      <c r="I138" s="36" t="str">
        <f t="shared" si="11"/>
        <v/>
      </c>
      <c r="J138" s="35" t="e">
        <f t="shared" si="14"/>
        <v>#NUM!</v>
      </c>
      <c r="K138" s="35" t="e">
        <f t="shared" si="12"/>
        <v>#NUM!</v>
      </c>
      <c r="L138" s="35"/>
      <c r="M138" s="37">
        <f t="shared" si="13"/>
        <v>0</v>
      </c>
    </row>
    <row r="139" spans="1:13" x14ac:dyDescent="0.25">
      <c r="A139" s="56"/>
      <c r="G139" s="13"/>
      <c r="H139" s="35">
        <v>134</v>
      </c>
      <c r="I139" s="36" t="str">
        <f t="shared" si="11"/>
        <v/>
      </c>
      <c r="J139" s="35" t="e">
        <f t="shared" si="14"/>
        <v>#NUM!</v>
      </c>
      <c r="K139" s="35" t="e">
        <f t="shared" si="12"/>
        <v>#NUM!</v>
      </c>
      <c r="L139" s="35"/>
      <c r="M139" s="37">
        <f t="shared" si="13"/>
        <v>0</v>
      </c>
    </row>
    <row r="140" spans="1:13" x14ac:dyDescent="0.25">
      <c r="A140" s="56"/>
      <c r="G140" s="13"/>
      <c r="H140" s="35">
        <v>135</v>
      </c>
      <c r="I140" s="36" t="str">
        <f t="shared" si="11"/>
        <v/>
      </c>
      <c r="J140" s="35" t="e">
        <f t="shared" si="14"/>
        <v>#NUM!</v>
      </c>
      <c r="K140" s="35" t="e">
        <f t="shared" si="12"/>
        <v>#NUM!</v>
      </c>
      <c r="L140" s="35"/>
      <c r="M140" s="37">
        <f t="shared" si="13"/>
        <v>0</v>
      </c>
    </row>
    <row r="141" spans="1:13" x14ac:dyDescent="0.25">
      <c r="A141" s="56"/>
      <c r="G141" s="13"/>
      <c r="H141" s="35">
        <v>136</v>
      </c>
      <c r="I141" s="36" t="str">
        <f t="shared" si="11"/>
        <v/>
      </c>
      <c r="J141" s="35" t="e">
        <f t="shared" si="14"/>
        <v>#NUM!</v>
      </c>
      <c r="K141" s="35" t="e">
        <f t="shared" si="12"/>
        <v>#NUM!</v>
      </c>
      <c r="L141" s="35"/>
      <c r="M141" s="37">
        <f t="shared" si="13"/>
        <v>0</v>
      </c>
    </row>
    <row r="142" spans="1:13" x14ac:dyDescent="0.25">
      <c r="A142" s="56"/>
      <c r="G142" s="13"/>
      <c r="H142" s="35">
        <v>137</v>
      </c>
      <c r="I142" s="36" t="str">
        <f t="shared" si="11"/>
        <v/>
      </c>
      <c r="J142" s="35" t="e">
        <f t="shared" si="14"/>
        <v>#NUM!</v>
      </c>
      <c r="K142" s="35" t="e">
        <f t="shared" si="12"/>
        <v>#NUM!</v>
      </c>
      <c r="L142" s="35"/>
      <c r="M142" s="37">
        <f t="shared" si="13"/>
        <v>0</v>
      </c>
    </row>
    <row r="143" spans="1:13" x14ac:dyDescent="0.25">
      <c r="A143" s="56"/>
      <c r="G143" s="13"/>
      <c r="H143" s="35">
        <v>138</v>
      </c>
      <c r="I143" s="36" t="str">
        <f t="shared" si="11"/>
        <v/>
      </c>
      <c r="J143" s="35" t="e">
        <f t="shared" si="14"/>
        <v>#NUM!</v>
      </c>
      <c r="K143" s="35" t="e">
        <f t="shared" si="12"/>
        <v>#NUM!</v>
      </c>
      <c r="L143" s="35"/>
      <c r="M143" s="37">
        <f t="shared" si="13"/>
        <v>0</v>
      </c>
    </row>
    <row r="144" spans="1:13" x14ac:dyDescent="0.25">
      <c r="A144" s="56"/>
      <c r="G144" s="13"/>
      <c r="H144" s="35">
        <v>139</v>
      </c>
      <c r="I144" s="36" t="str">
        <f t="shared" si="11"/>
        <v/>
      </c>
      <c r="J144" s="35" t="e">
        <f t="shared" si="14"/>
        <v>#NUM!</v>
      </c>
      <c r="K144" s="35" t="e">
        <f t="shared" si="12"/>
        <v>#NUM!</v>
      </c>
      <c r="L144" s="35"/>
      <c r="M144" s="37">
        <f t="shared" si="13"/>
        <v>0</v>
      </c>
    </row>
    <row r="145" spans="1:13" x14ac:dyDescent="0.25">
      <c r="A145" s="56"/>
      <c r="G145" s="13"/>
      <c r="H145" s="35">
        <v>140</v>
      </c>
      <c r="I145" s="36" t="str">
        <f t="shared" si="11"/>
        <v/>
      </c>
      <c r="J145" s="35" t="e">
        <f t="shared" si="14"/>
        <v>#NUM!</v>
      </c>
      <c r="K145" s="35" t="e">
        <f t="shared" si="12"/>
        <v>#NUM!</v>
      </c>
      <c r="L145" s="35"/>
      <c r="M145" s="37">
        <f t="shared" si="13"/>
        <v>0</v>
      </c>
    </row>
    <row r="146" spans="1:13" x14ac:dyDescent="0.25">
      <c r="A146" s="56"/>
      <c r="G146" s="13"/>
      <c r="H146" s="35">
        <v>141</v>
      </c>
      <c r="I146" s="36" t="str">
        <f t="shared" si="11"/>
        <v/>
      </c>
      <c r="J146" s="35" t="e">
        <f t="shared" si="14"/>
        <v>#NUM!</v>
      </c>
      <c r="K146" s="35" t="e">
        <f t="shared" si="12"/>
        <v>#NUM!</v>
      </c>
      <c r="L146" s="35"/>
      <c r="M146" s="37">
        <f t="shared" si="13"/>
        <v>0</v>
      </c>
    </row>
    <row r="147" spans="1:13" x14ac:dyDescent="0.25">
      <c r="A147" s="56"/>
      <c r="G147" s="13"/>
      <c r="H147" s="35">
        <v>142</v>
      </c>
      <c r="I147" s="36" t="str">
        <f t="shared" si="11"/>
        <v/>
      </c>
      <c r="J147" s="35" t="e">
        <f t="shared" si="14"/>
        <v>#NUM!</v>
      </c>
      <c r="K147" s="35" t="e">
        <f t="shared" si="12"/>
        <v>#NUM!</v>
      </c>
      <c r="L147" s="35"/>
      <c r="M147" s="37">
        <f t="shared" si="13"/>
        <v>0</v>
      </c>
    </row>
    <row r="148" spans="1:13" x14ac:dyDescent="0.25">
      <c r="A148" s="56"/>
      <c r="G148" s="13"/>
      <c r="H148" s="35">
        <v>143</v>
      </c>
      <c r="I148" s="36" t="str">
        <f t="shared" si="11"/>
        <v/>
      </c>
      <c r="J148" s="35" t="e">
        <f t="shared" si="14"/>
        <v>#NUM!</v>
      </c>
      <c r="K148" s="35" t="e">
        <f t="shared" si="12"/>
        <v>#NUM!</v>
      </c>
      <c r="L148" s="35"/>
      <c r="M148" s="37">
        <f t="shared" si="13"/>
        <v>0</v>
      </c>
    </row>
    <row r="149" spans="1:13" x14ac:dyDescent="0.25">
      <c r="A149" s="56"/>
      <c r="G149" s="13"/>
      <c r="H149" s="35">
        <v>144</v>
      </c>
      <c r="I149" s="36" t="str">
        <f t="shared" si="11"/>
        <v/>
      </c>
      <c r="J149" s="35" t="e">
        <f t="shared" si="14"/>
        <v>#NUM!</v>
      </c>
      <c r="K149" s="35" t="e">
        <f t="shared" si="12"/>
        <v>#NUM!</v>
      </c>
      <c r="L149" s="35"/>
      <c r="M149" s="37">
        <f t="shared" si="13"/>
        <v>0</v>
      </c>
    </row>
    <row r="150" spans="1:13" x14ac:dyDescent="0.25">
      <c r="A150" s="56"/>
      <c r="G150" s="13"/>
      <c r="H150" s="35">
        <v>145</v>
      </c>
      <c r="I150" s="36" t="str">
        <f t="shared" si="11"/>
        <v/>
      </c>
      <c r="J150" s="35" t="e">
        <f t="shared" si="14"/>
        <v>#NUM!</v>
      </c>
      <c r="K150" s="35" t="e">
        <f t="shared" si="12"/>
        <v>#NUM!</v>
      </c>
      <c r="L150" s="35"/>
      <c r="M150" s="37">
        <f t="shared" si="13"/>
        <v>0</v>
      </c>
    </row>
    <row r="151" spans="1:13" x14ac:dyDescent="0.25">
      <c r="A151" s="56"/>
      <c r="G151" s="13"/>
      <c r="H151" s="35">
        <v>146</v>
      </c>
      <c r="I151" s="36" t="str">
        <f t="shared" si="11"/>
        <v/>
      </c>
      <c r="J151" s="35" t="e">
        <f t="shared" si="14"/>
        <v>#NUM!</v>
      </c>
      <c r="K151" s="35" t="e">
        <f t="shared" si="12"/>
        <v>#NUM!</v>
      </c>
      <c r="L151" s="35"/>
      <c r="M151" s="37">
        <f t="shared" si="13"/>
        <v>0</v>
      </c>
    </row>
    <row r="152" spans="1:13" x14ac:dyDescent="0.25">
      <c r="A152" s="56"/>
      <c r="G152" s="13"/>
      <c r="H152" s="35">
        <v>147</v>
      </c>
      <c r="I152" s="36" t="str">
        <f t="shared" si="11"/>
        <v/>
      </c>
      <c r="J152" s="35" t="e">
        <f t="shared" si="14"/>
        <v>#NUM!</v>
      </c>
      <c r="K152" s="35" t="e">
        <f t="shared" si="12"/>
        <v>#NUM!</v>
      </c>
      <c r="L152" s="35"/>
      <c r="M152" s="37">
        <f t="shared" si="13"/>
        <v>0</v>
      </c>
    </row>
    <row r="153" spans="1:13" x14ac:dyDescent="0.25">
      <c r="A153" s="56"/>
      <c r="G153" s="13"/>
      <c r="H153" s="35">
        <v>148</v>
      </c>
      <c r="I153" s="36" t="str">
        <f t="shared" si="11"/>
        <v/>
      </c>
      <c r="J153" s="35" t="e">
        <f t="shared" si="14"/>
        <v>#NUM!</v>
      </c>
      <c r="K153" s="35" t="e">
        <f t="shared" si="12"/>
        <v>#NUM!</v>
      </c>
      <c r="L153" s="35"/>
      <c r="M153" s="37">
        <f t="shared" si="13"/>
        <v>0</v>
      </c>
    </row>
    <row r="154" spans="1:13" x14ac:dyDescent="0.25">
      <c r="A154" s="56"/>
      <c r="G154" s="13"/>
      <c r="H154" s="35">
        <v>149</v>
      </c>
      <c r="I154" s="36" t="str">
        <f t="shared" si="11"/>
        <v/>
      </c>
      <c r="J154" s="35" t="e">
        <f t="shared" si="14"/>
        <v>#NUM!</v>
      </c>
      <c r="K154" s="35" t="e">
        <f t="shared" si="12"/>
        <v>#NUM!</v>
      </c>
      <c r="L154" s="35"/>
      <c r="M154" s="37">
        <f t="shared" si="13"/>
        <v>0</v>
      </c>
    </row>
    <row r="155" spans="1:13" x14ac:dyDescent="0.25">
      <c r="A155" s="56"/>
      <c r="G155" s="13"/>
      <c r="H155" s="35">
        <v>150</v>
      </c>
      <c r="I155" s="36" t="str">
        <f t="shared" si="11"/>
        <v/>
      </c>
      <c r="J155" s="35" t="e">
        <f t="shared" si="14"/>
        <v>#NUM!</v>
      </c>
      <c r="K155" s="35" t="e">
        <f t="shared" si="12"/>
        <v>#NUM!</v>
      </c>
      <c r="L155" s="35"/>
      <c r="M155" s="37">
        <f t="shared" si="13"/>
        <v>0</v>
      </c>
    </row>
    <row r="156" spans="1:13" x14ac:dyDescent="0.25">
      <c r="A156" s="56"/>
      <c r="G156" s="13"/>
      <c r="H156" s="35">
        <v>151</v>
      </c>
      <c r="I156" s="36" t="str">
        <f t="shared" si="11"/>
        <v/>
      </c>
      <c r="J156" s="35" t="e">
        <f t="shared" si="14"/>
        <v>#NUM!</v>
      </c>
      <c r="K156" s="35" t="e">
        <f t="shared" si="12"/>
        <v>#NUM!</v>
      </c>
      <c r="L156" s="35"/>
      <c r="M156" s="37">
        <f t="shared" si="13"/>
        <v>0</v>
      </c>
    </row>
    <row r="157" spans="1:13" x14ac:dyDescent="0.25">
      <c r="A157" s="56"/>
      <c r="G157" s="13"/>
      <c r="H157" s="35">
        <v>152</v>
      </c>
      <c r="I157" s="36" t="str">
        <f t="shared" si="11"/>
        <v/>
      </c>
      <c r="J157" s="35" t="e">
        <f t="shared" si="14"/>
        <v>#NUM!</v>
      </c>
      <c r="K157" s="35" t="e">
        <f t="shared" si="12"/>
        <v>#NUM!</v>
      </c>
      <c r="L157" s="35"/>
      <c r="M157" s="37">
        <f t="shared" si="13"/>
        <v>0</v>
      </c>
    </row>
    <row r="158" spans="1:13" x14ac:dyDescent="0.25">
      <c r="A158" s="56"/>
      <c r="G158" s="13"/>
      <c r="H158" s="35">
        <v>153</v>
      </c>
      <c r="I158" s="36" t="str">
        <f t="shared" si="11"/>
        <v/>
      </c>
      <c r="J158" s="35" t="e">
        <f t="shared" si="14"/>
        <v>#NUM!</v>
      </c>
      <c r="K158" s="35" t="e">
        <f t="shared" si="12"/>
        <v>#NUM!</v>
      </c>
      <c r="L158" s="35"/>
      <c r="M158" s="37">
        <f t="shared" si="13"/>
        <v>0</v>
      </c>
    </row>
    <row r="159" spans="1:13" x14ac:dyDescent="0.25">
      <c r="A159" s="56"/>
      <c r="G159" s="13"/>
      <c r="H159" s="35">
        <v>154</v>
      </c>
      <c r="I159" s="36" t="str">
        <f t="shared" si="11"/>
        <v/>
      </c>
      <c r="J159" s="35" t="e">
        <f t="shared" si="14"/>
        <v>#NUM!</v>
      </c>
      <c r="K159" s="35" t="e">
        <f t="shared" si="12"/>
        <v>#NUM!</v>
      </c>
      <c r="L159" s="35"/>
      <c r="M159" s="37">
        <f t="shared" si="13"/>
        <v>0</v>
      </c>
    </row>
    <row r="160" spans="1:13" x14ac:dyDescent="0.25">
      <c r="A160" s="56"/>
      <c r="G160" s="13"/>
      <c r="H160" s="35">
        <v>155</v>
      </c>
      <c r="I160" s="36" t="str">
        <f t="shared" si="11"/>
        <v/>
      </c>
      <c r="J160" s="35" t="e">
        <f t="shared" si="14"/>
        <v>#NUM!</v>
      </c>
      <c r="K160" s="35" t="e">
        <f t="shared" si="12"/>
        <v>#NUM!</v>
      </c>
      <c r="L160" s="35"/>
      <c r="M160" s="37">
        <f t="shared" si="13"/>
        <v>0</v>
      </c>
    </row>
    <row r="161" spans="1:13" x14ac:dyDescent="0.25">
      <c r="A161" s="56"/>
      <c r="G161" s="13"/>
      <c r="H161" s="35">
        <v>156</v>
      </c>
      <c r="I161" s="36" t="str">
        <f t="shared" si="11"/>
        <v/>
      </c>
      <c r="J161" s="35" t="e">
        <f t="shared" si="14"/>
        <v>#NUM!</v>
      </c>
      <c r="K161" s="35" t="e">
        <f t="shared" si="12"/>
        <v>#NUM!</v>
      </c>
      <c r="L161" s="35"/>
      <c r="M161" s="37">
        <f t="shared" si="13"/>
        <v>0</v>
      </c>
    </row>
    <row r="162" spans="1:13" x14ac:dyDescent="0.25">
      <c r="A162" s="56"/>
      <c r="G162" s="13"/>
      <c r="H162" s="35">
        <v>157</v>
      </c>
      <c r="I162" s="36" t="str">
        <f t="shared" si="11"/>
        <v/>
      </c>
      <c r="J162" s="35" t="e">
        <f t="shared" si="14"/>
        <v>#NUM!</v>
      </c>
      <c r="K162" s="35" t="e">
        <f t="shared" si="12"/>
        <v>#NUM!</v>
      </c>
      <c r="L162" s="35"/>
      <c r="M162" s="37">
        <f t="shared" si="13"/>
        <v>0</v>
      </c>
    </row>
    <row r="163" spans="1:13" x14ac:dyDescent="0.25">
      <c r="A163" s="56"/>
      <c r="G163" s="13"/>
      <c r="H163" s="35">
        <v>158</v>
      </c>
      <c r="I163" s="36" t="str">
        <f t="shared" si="11"/>
        <v/>
      </c>
      <c r="J163" s="35" t="e">
        <f t="shared" si="14"/>
        <v>#NUM!</v>
      </c>
      <c r="K163" s="35" t="e">
        <f t="shared" si="12"/>
        <v>#NUM!</v>
      </c>
      <c r="L163" s="35"/>
      <c r="M163" s="37">
        <f t="shared" si="13"/>
        <v>0</v>
      </c>
    </row>
    <row r="164" spans="1:13" x14ac:dyDescent="0.25">
      <c r="A164" s="56"/>
      <c r="G164" s="13"/>
      <c r="H164" s="35">
        <v>159</v>
      </c>
      <c r="I164" s="36" t="str">
        <f t="shared" si="11"/>
        <v/>
      </c>
      <c r="J164" s="35" t="e">
        <f t="shared" si="14"/>
        <v>#NUM!</v>
      </c>
      <c r="K164" s="35" t="e">
        <f t="shared" si="12"/>
        <v>#NUM!</v>
      </c>
      <c r="L164" s="35"/>
      <c r="M164" s="37">
        <f t="shared" si="13"/>
        <v>0</v>
      </c>
    </row>
    <row r="165" spans="1:13" x14ac:dyDescent="0.25">
      <c r="A165" s="56"/>
      <c r="G165" s="13"/>
      <c r="H165" s="35">
        <v>160</v>
      </c>
      <c r="I165" s="36" t="str">
        <f t="shared" si="11"/>
        <v/>
      </c>
      <c r="J165" s="35" t="e">
        <f t="shared" si="14"/>
        <v>#NUM!</v>
      </c>
      <c r="K165" s="35" t="e">
        <f t="shared" si="12"/>
        <v>#NUM!</v>
      </c>
      <c r="L165" s="35"/>
      <c r="M165" s="37">
        <f t="shared" si="13"/>
        <v>0</v>
      </c>
    </row>
    <row r="166" spans="1:13" x14ac:dyDescent="0.25">
      <c r="A166" s="56"/>
      <c r="G166" s="13"/>
      <c r="H166" s="35">
        <v>161</v>
      </c>
      <c r="I166" s="36" t="str">
        <f t="shared" si="11"/>
        <v/>
      </c>
      <c r="J166" s="35" t="e">
        <f t="shared" si="14"/>
        <v>#NUM!</v>
      </c>
      <c r="K166" s="35" t="e">
        <f t="shared" si="12"/>
        <v>#NUM!</v>
      </c>
      <c r="L166" s="35"/>
      <c r="M166" s="37">
        <f t="shared" si="13"/>
        <v>0</v>
      </c>
    </row>
    <row r="167" spans="1:13" x14ac:dyDescent="0.25">
      <c r="A167" s="56"/>
      <c r="G167" s="13"/>
      <c r="H167" s="35">
        <v>162</v>
      </c>
      <c r="I167" s="36" t="str">
        <f t="shared" si="11"/>
        <v/>
      </c>
      <c r="J167" s="35" t="e">
        <f t="shared" si="14"/>
        <v>#NUM!</v>
      </c>
      <c r="K167" s="35" t="e">
        <f t="shared" si="12"/>
        <v>#NUM!</v>
      </c>
      <c r="L167" s="35"/>
      <c r="M167" s="37">
        <f t="shared" si="13"/>
        <v>0</v>
      </c>
    </row>
    <row r="168" spans="1:13" x14ac:dyDescent="0.25">
      <c r="A168" s="56"/>
      <c r="G168" s="13"/>
      <c r="H168" s="35">
        <v>163</v>
      </c>
      <c r="I168" s="36" t="str">
        <f t="shared" si="11"/>
        <v/>
      </c>
      <c r="J168" s="35" t="e">
        <f t="shared" si="14"/>
        <v>#NUM!</v>
      </c>
      <c r="K168" s="35" t="e">
        <f t="shared" si="12"/>
        <v>#NUM!</v>
      </c>
      <c r="L168" s="35"/>
      <c r="M168" s="37">
        <f t="shared" si="13"/>
        <v>0</v>
      </c>
    </row>
    <row r="169" spans="1:13" x14ac:dyDescent="0.25">
      <c r="A169" s="56"/>
      <c r="G169" s="13"/>
      <c r="H169" s="35">
        <v>164</v>
      </c>
      <c r="I169" s="36" t="str">
        <f t="shared" si="11"/>
        <v/>
      </c>
      <c r="J169" s="35" t="e">
        <f t="shared" si="14"/>
        <v>#NUM!</v>
      </c>
      <c r="K169" s="35" t="e">
        <f t="shared" si="12"/>
        <v>#NUM!</v>
      </c>
      <c r="L169" s="35"/>
      <c r="M169" s="37">
        <f t="shared" si="13"/>
        <v>0</v>
      </c>
    </row>
    <row r="170" spans="1:13" x14ac:dyDescent="0.25">
      <c r="A170" s="56"/>
      <c r="G170" s="13"/>
      <c r="H170" s="35">
        <v>165</v>
      </c>
      <c r="I170" s="36" t="str">
        <f t="shared" si="11"/>
        <v/>
      </c>
      <c r="J170" s="35" t="e">
        <f t="shared" si="14"/>
        <v>#NUM!</v>
      </c>
      <c r="K170" s="35" t="e">
        <f t="shared" si="12"/>
        <v>#NUM!</v>
      </c>
      <c r="L170" s="35"/>
      <c r="M170" s="37">
        <f t="shared" si="13"/>
        <v>0</v>
      </c>
    </row>
    <row r="171" spans="1:13" x14ac:dyDescent="0.25">
      <c r="A171" s="56"/>
      <c r="G171" s="13"/>
      <c r="H171" s="35">
        <v>166</v>
      </c>
      <c r="I171" s="36" t="str">
        <f t="shared" si="11"/>
        <v/>
      </c>
      <c r="J171" s="35" t="e">
        <f t="shared" si="14"/>
        <v>#NUM!</v>
      </c>
      <c r="K171" s="35" t="e">
        <f t="shared" si="12"/>
        <v>#NUM!</v>
      </c>
      <c r="L171" s="35"/>
      <c r="M171" s="37">
        <f t="shared" si="13"/>
        <v>0</v>
      </c>
    </row>
    <row r="172" spans="1:13" x14ac:dyDescent="0.25">
      <c r="A172" s="56"/>
      <c r="G172" s="13"/>
      <c r="H172" s="35">
        <v>167</v>
      </c>
      <c r="I172" s="36" t="str">
        <f t="shared" si="11"/>
        <v/>
      </c>
      <c r="J172" s="35" t="e">
        <f t="shared" si="14"/>
        <v>#NUM!</v>
      </c>
      <c r="K172" s="35" t="e">
        <f t="shared" si="12"/>
        <v>#NUM!</v>
      </c>
      <c r="L172" s="35"/>
      <c r="M172" s="37">
        <f t="shared" si="13"/>
        <v>0</v>
      </c>
    </row>
    <row r="173" spans="1:13" x14ac:dyDescent="0.25">
      <c r="A173" s="56"/>
      <c r="G173" s="13"/>
      <c r="H173" s="35">
        <v>168</v>
      </c>
      <c r="I173" s="36" t="str">
        <f t="shared" si="11"/>
        <v/>
      </c>
      <c r="J173" s="35" t="e">
        <f t="shared" si="14"/>
        <v>#NUM!</v>
      </c>
      <c r="K173" s="35" t="e">
        <f t="shared" si="12"/>
        <v>#NUM!</v>
      </c>
      <c r="L173" s="35"/>
      <c r="M173" s="37">
        <f t="shared" si="13"/>
        <v>0</v>
      </c>
    </row>
    <row r="174" spans="1:13" x14ac:dyDescent="0.25">
      <c r="A174" s="56"/>
      <c r="G174" s="13"/>
      <c r="H174" s="35">
        <v>169</v>
      </c>
      <c r="I174" s="36" t="str">
        <f t="shared" si="11"/>
        <v/>
      </c>
      <c r="J174" s="35" t="e">
        <f t="shared" si="14"/>
        <v>#NUM!</v>
      </c>
      <c r="K174" s="35" t="e">
        <f t="shared" si="12"/>
        <v>#NUM!</v>
      </c>
      <c r="L174" s="35"/>
      <c r="M174" s="37">
        <f t="shared" si="13"/>
        <v>0</v>
      </c>
    </row>
    <row r="175" spans="1:13" x14ac:dyDescent="0.25">
      <c r="A175" s="56"/>
      <c r="G175" s="13"/>
      <c r="H175" s="35">
        <v>170</v>
      </c>
      <c r="I175" s="36" t="str">
        <f t="shared" si="11"/>
        <v/>
      </c>
      <c r="J175" s="35" t="e">
        <f t="shared" si="14"/>
        <v>#NUM!</v>
      </c>
      <c r="K175" s="35" t="e">
        <f t="shared" si="12"/>
        <v>#NUM!</v>
      </c>
      <c r="L175" s="35"/>
      <c r="M175" s="37">
        <f t="shared" si="13"/>
        <v>0</v>
      </c>
    </row>
    <row r="176" spans="1:13" x14ac:dyDescent="0.25">
      <c r="A176" s="56"/>
      <c r="G176" s="13"/>
      <c r="H176" s="35">
        <v>171</v>
      </c>
      <c r="I176" s="36" t="str">
        <f t="shared" si="11"/>
        <v/>
      </c>
      <c r="J176" s="35" t="e">
        <f t="shared" si="14"/>
        <v>#NUM!</v>
      </c>
      <c r="K176" s="35" t="e">
        <f t="shared" si="12"/>
        <v>#NUM!</v>
      </c>
      <c r="L176" s="35"/>
      <c r="M176" s="37">
        <f t="shared" si="13"/>
        <v>0</v>
      </c>
    </row>
    <row r="177" spans="1:13" x14ac:dyDescent="0.25">
      <c r="A177" s="56"/>
      <c r="G177" s="13"/>
      <c r="H177" s="35">
        <v>172</v>
      </c>
      <c r="I177" s="36" t="str">
        <f t="shared" si="11"/>
        <v/>
      </c>
      <c r="J177" s="35" t="e">
        <f t="shared" si="14"/>
        <v>#NUM!</v>
      </c>
      <c r="K177" s="35" t="e">
        <f t="shared" si="12"/>
        <v>#NUM!</v>
      </c>
      <c r="L177" s="35"/>
      <c r="M177" s="37">
        <f t="shared" si="13"/>
        <v>0</v>
      </c>
    </row>
    <row r="178" spans="1:13" x14ac:dyDescent="0.25">
      <c r="A178" s="56"/>
      <c r="G178" s="13"/>
      <c r="H178" s="35">
        <v>173</v>
      </c>
      <c r="I178" s="36" t="str">
        <f t="shared" si="11"/>
        <v/>
      </c>
      <c r="J178" s="35" t="e">
        <f t="shared" si="14"/>
        <v>#NUM!</v>
      </c>
      <c r="K178" s="35" t="e">
        <f t="shared" si="12"/>
        <v>#NUM!</v>
      </c>
      <c r="L178" s="35"/>
      <c r="M178" s="37">
        <f t="shared" si="13"/>
        <v>0</v>
      </c>
    </row>
    <row r="179" spans="1:13" x14ac:dyDescent="0.25">
      <c r="A179" s="56"/>
      <c r="G179" s="13"/>
      <c r="H179" s="35">
        <v>174</v>
      </c>
      <c r="I179" s="36" t="str">
        <f t="shared" si="11"/>
        <v/>
      </c>
      <c r="J179" s="35" t="e">
        <f t="shared" si="14"/>
        <v>#NUM!</v>
      </c>
      <c r="K179" s="35" t="e">
        <f t="shared" si="12"/>
        <v>#NUM!</v>
      </c>
      <c r="L179" s="35"/>
      <c r="M179" s="37">
        <f t="shared" si="13"/>
        <v>0</v>
      </c>
    </row>
    <row r="180" spans="1:13" x14ac:dyDescent="0.25">
      <c r="A180" s="56"/>
      <c r="G180" s="13"/>
      <c r="H180" s="35">
        <v>175</v>
      </c>
      <c r="I180" s="36" t="str">
        <f t="shared" si="11"/>
        <v/>
      </c>
      <c r="J180" s="35" t="e">
        <f t="shared" si="14"/>
        <v>#NUM!</v>
      </c>
      <c r="K180" s="35" t="e">
        <f t="shared" si="12"/>
        <v>#NUM!</v>
      </c>
      <c r="L180" s="35"/>
      <c r="M180" s="37">
        <f t="shared" si="13"/>
        <v>0</v>
      </c>
    </row>
    <row r="181" spans="1:13" x14ac:dyDescent="0.25">
      <c r="A181" s="56"/>
      <c r="G181" s="13"/>
      <c r="H181" s="35">
        <v>176</v>
      </c>
      <c r="I181" s="36" t="str">
        <f t="shared" si="11"/>
        <v/>
      </c>
      <c r="J181" s="35" t="e">
        <f t="shared" si="14"/>
        <v>#NUM!</v>
      </c>
      <c r="K181" s="35" t="e">
        <f t="shared" si="12"/>
        <v>#NUM!</v>
      </c>
      <c r="L181" s="35"/>
      <c r="M181" s="37">
        <f t="shared" si="13"/>
        <v>0</v>
      </c>
    </row>
    <row r="182" spans="1:13" x14ac:dyDescent="0.25">
      <c r="A182" s="56"/>
      <c r="G182" s="13"/>
      <c r="H182" s="35">
        <v>177</v>
      </c>
      <c r="I182" s="36" t="str">
        <f t="shared" si="11"/>
        <v/>
      </c>
      <c r="J182" s="35" t="e">
        <f t="shared" si="14"/>
        <v>#NUM!</v>
      </c>
      <c r="K182" s="35" t="e">
        <f t="shared" si="12"/>
        <v>#NUM!</v>
      </c>
      <c r="L182" s="35"/>
      <c r="M182" s="37">
        <f t="shared" si="13"/>
        <v>0</v>
      </c>
    </row>
    <row r="183" spans="1:13" x14ac:dyDescent="0.25">
      <c r="A183" s="56"/>
      <c r="G183" s="13"/>
      <c r="H183" s="35">
        <v>178</v>
      </c>
      <c r="I183" s="36" t="str">
        <f t="shared" si="11"/>
        <v/>
      </c>
      <c r="J183" s="35" t="e">
        <f t="shared" si="14"/>
        <v>#NUM!</v>
      </c>
      <c r="K183" s="35" t="e">
        <f t="shared" si="12"/>
        <v>#NUM!</v>
      </c>
      <c r="L183" s="35"/>
      <c r="M183" s="37">
        <f t="shared" si="13"/>
        <v>0</v>
      </c>
    </row>
    <row r="184" spans="1:13" x14ac:dyDescent="0.25">
      <c r="A184" s="56"/>
      <c r="G184" s="13"/>
      <c r="H184" s="35">
        <v>179</v>
      </c>
      <c r="I184" s="36" t="str">
        <f t="shared" si="11"/>
        <v/>
      </c>
      <c r="J184" s="35" t="e">
        <f t="shared" si="14"/>
        <v>#NUM!</v>
      </c>
      <c r="K184" s="35" t="e">
        <f t="shared" si="12"/>
        <v>#NUM!</v>
      </c>
      <c r="L184" s="35"/>
      <c r="M184" s="37">
        <f t="shared" si="13"/>
        <v>0</v>
      </c>
    </row>
    <row r="185" spans="1:13" x14ac:dyDescent="0.25">
      <c r="A185" s="56"/>
      <c r="G185" s="13"/>
      <c r="H185" s="35">
        <v>180</v>
      </c>
      <c r="I185" s="36" t="str">
        <f t="shared" si="11"/>
        <v/>
      </c>
      <c r="J185" s="35" t="e">
        <f t="shared" si="14"/>
        <v>#NUM!</v>
      </c>
      <c r="K185" s="35" t="e">
        <f t="shared" si="12"/>
        <v>#NUM!</v>
      </c>
      <c r="L185" s="35"/>
      <c r="M185" s="37">
        <f t="shared" si="13"/>
        <v>0</v>
      </c>
    </row>
    <row r="186" spans="1:13" x14ac:dyDescent="0.25">
      <c r="A186" s="56"/>
      <c r="G186" s="13"/>
      <c r="H186" s="35">
        <v>181</v>
      </c>
      <c r="I186" s="36" t="str">
        <f t="shared" si="11"/>
        <v/>
      </c>
      <c r="J186" s="35" t="e">
        <f t="shared" si="14"/>
        <v>#NUM!</v>
      </c>
      <c r="K186" s="35" t="e">
        <f t="shared" si="12"/>
        <v>#NUM!</v>
      </c>
      <c r="L186" s="35"/>
      <c r="M186" s="37">
        <f t="shared" si="13"/>
        <v>0</v>
      </c>
    </row>
    <row r="187" spans="1:13" x14ac:dyDescent="0.25">
      <c r="A187" s="56"/>
      <c r="G187" s="13"/>
      <c r="H187" s="35">
        <v>182</v>
      </c>
      <c r="I187" s="36" t="str">
        <f t="shared" si="11"/>
        <v/>
      </c>
      <c r="J187" s="35" t="e">
        <f t="shared" si="14"/>
        <v>#NUM!</v>
      </c>
      <c r="K187" s="35" t="e">
        <f t="shared" si="12"/>
        <v>#NUM!</v>
      </c>
      <c r="L187" s="35"/>
      <c r="M187" s="37">
        <f t="shared" si="13"/>
        <v>0</v>
      </c>
    </row>
    <row r="188" spans="1:13" x14ac:dyDescent="0.25">
      <c r="A188" s="56"/>
      <c r="G188" s="13"/>
      <c r="H188" s="35">
        <v>183</v>
      </c>
      <c r="I188" s="36" t="str">
        <f t="shared" si="11"/>
        <v/>
      </c>
      <c r="J188" s="35" t="e">
        <f t="shared" si="14"/>
        <v>#NUM!</v>
      </c>
      <c r="K188" s="35" t="e">
        <f t="shared" si="12"/>
        <v>#NUM!</v>
      </c>
      <c r="L188" s="35"/>
      <c r="M188" s="37">
        <f t="shared" si="13"/>
        <v>0</v>
      </c>
    </row>
    <row r="189" spans="1:13" x14ac:dyDescent="0.25">
      <c r="A189" s="56"/>
      <c r="G189" s="13"/>
      <c r="H189" s="35">
        <v>184</v>
      </c>
      <c r="I189" s="36" t="str">
        <f t="shared" si="11"/>
        <v/>
      </c>
      <c r="J189" s="35" t="e">
        <f t="shared" si="14"/>
        <v>#NUM!</v>
      </c>
      <c r="K189" s="35" t="e">
        <f t="shared" si="12"/>
        <v>#NUM!</v>
      </c>
      <c r="L189" s="35"/>
      <c r="M189" s="37">
        <f t="shared" si="13"/>
        <v>0</v>
      </c>
    </row>
    <row r="190" spans="1:13" x14ac:dyDescent="0.25">
      <c r="A190" s="56"/>
      <c r="G190" s="13"/>
      <c r="H190" s="35">
        <v>185</v>
      </c>
      <c r="I190" s="36" t="str">
        <f t="shared" si="11"/>
        <v/>
      </c>
      <c r="J190" s="35" t="e">
        <f t="shared" si="14"/>
        <v>#NUM!</v>
      </c>
      <c r="K190" s="35" t="e">
        <f t="shared" si="12"/>
        <v>#NUM!</v>
      </c>
      <c r="L190" s="35"/>
      <c r="M190" s="37">
        <f t="shared" si="13"/>
        <v>0</v>
      </c>
    </row>
    <row r="191" spans="1:13" x14ac:dyDescent="0.25">
      <c r="A191" s="56"/>
      <c r="G191" s="13"/>
      <c r="H191" s="35">
        <v>186</v>
      </c>
      <c r="I191" s="36" t="str">
        <f t="shared" si="11"/>
        <v/>
      </c>
      <c r="J191" s="35" t="e">
        <f t="shared" si="14"/>
        <v>#NUM!</v>
      </c>
      <c r="K191" s="35" t="e">
        <f t="shared" si="12"/>
        <v>#NUM!</v>
      </c>
      <c r="L191" s="35"/>
      <c r="M191" s="37">
        <f t="shared" si="13"/>
        <v>0</v>
      </c>
    </row>
    <row r="192" spans="1:13" x14ac:dyDescent="0.25">
      <c r="A192" s="56"/>
      <c r="G192" s="13"/>
      <c r="H192" s="35">
        <v>187</v>
      </c>
      <c r="I192" s="36" t="str">
        <f t="shared" si="11"/>
        <v/>
      </c>
      <c r="J192" s="35" t="e">
        <f t="shared" si="14"/>
        <v>#NUM!</v>
      </c>
      <c r="K192" s="35" t="e">
        <f t="shared" si="12"/>
        <v>#NUM!</v>
      </c>
      <c r="L192" s="35"/>
      <c r="M192" s="37">
        <f t="shared" si="13"/>
        <v>0</v>
      </c>
    </row>
    <row r="193" spans="1:13" x14ac:dyDescent="0.25">
      <c r="A193" s="56"/>
      <c r="G193" s="13"/>
      <c r="H193" s="35">
        <v>188</v>
      </c>
      <c r="I193" s="36" t="str">
        <f t="shared" si="11"/>
        <v/>
      </c>
      <c r="J193" s="35" t="e">
        <f t="shared" si="14"/>
        <v>#NUM!</v>
      </c>
      <c r="K193" s="35" t="e">
        <f t="shared" si="12"/>
        <v>#NUM!</v>
      </c>
      <c r="L193" s="35"/>
      <c r="M193" s="37">
        <f t="shared" si="13"/>
        <v>0</v>
      </c>
    </row>
    <row r="194" spans="1:13" x14ac:dyDescent="0.25">
      <c r="A194" s="56"/>
      <c r="G194" s="13"/>
      <c r="H194" s="35">
        <v>189</v>
      </c>
      <c r="I194" s="36" t="str">
        <f t="shared" si="11"/>
        <v/>
      </c>
      <c r="J194" s="35" t="e">
        <f t="shared" si="14"/>
        <v>#NUM!</v>
      </c>
      <c r="K194" s="35" t="e">
        <f t="shared" si="12"/>
        <v>#NUM!</v>
      </c>
      <c r="L194" s="35"/>
      <c r="M194" s="37">
        <f t="shared" si="13"/>
        <v>0</v>
      </c>
    </row>
    <row r="195" spans="1:13" x14ac:dyDescent="0.25">
      <c r="A195" s="56"/>
      <c r="G195" s="13"/>
      <c r="H195" s="35">
        <v>190</v>
      </c>
      <c r="I195" s="36" t="str">
        <f t="shared" si="11"/>
        <v/>
      </c>
      <c r="J195" s="35" t="e">
        <f t="shared" si="14"/>
        <v>#NUM!</v>
      </c>
      <c r="K195" s="35" t="e">
        <f t="shared" si="12"/>
        <v>#NUM!</v>
      </c>
      <c r="L195" s="35"/>
      <c r="M195" s="37">
        <f t="shared" si="13"/>
        <v>0</v>
      </c>
    </row>
    <row r="196" spans="1:13" x14ac:dyDescent="0.25">
      <c r="A196" s="56"/>
      <c r="G196" s="13"/>
      <c r="H196" s="35">
        <v>191</v>
      </c>
      <c r="I196" s="36" t="str">
        <f t="shared" si="11"/>
        <v/>
      </c>
      <c r="J196" s="35" t="e">
        <f t="shared" si="14"/>
        <v>#NUM!</v>
      </c>
      <c r="K196" s="35" t="e">
        <f t="shared" si="12"/>
        <v>#NUM!</v>
      </c>
      <c r="L196" s="35"/>
      <c r="M196" s="37">
        <f t="shared" si="13"/>
        <v>0</v>
      </c>
    </row>
    <row r="197" spans="1:13" x14ac:dyDescent="0.25">
      <c r="A197" s="56"/>
      <c r="G197" s="13"/>
      <c r="H197" s="35">
        <v>192</v>
      </c>
      <c r="I197" s="36" t="str">
        <f t="shared" si="11"/>
        <v/>
      </c>
      <c r="J197" s="35" t="e">
        <f t="shared" si="14"/>
        <v>#NUM!</v>
      </c>
      <c r="K197" s="35" t="e">
        <f t="shared" si="12"/>
        <v>#NUM!</v>
      </c>
      <c r="L197" s="35"/>
      <c r="M197" s="37">
        <f t="shared" si="13"/>
        <v>0</v>
      </c>
    </row>
    <row r="198" spans="1:13" x14ac:dyDescent="0.25">
      <c r="A198" s="56"/>
      <c r="G198" s="13"/>
      <c r="H198" s="35">
        <v>193</v>
      </c>
      <c r="I198" s="36" t="str">
        <f t="shared" ref="I198:I261" si="15">IF(H198&lt;$H$2+1,($I$2-($I$2-1)*(LOG(H198)/LOG($H$2))),"")</f>
        <v/>
      </c>
      <c r="J198" s="35" t="e">
        <f t="shared" si="14"/>
        <v>#NUM!</v>
      </c>
      <c r="K198" s="35" t="e">
        <f t="shared" ref="K198:K261" si="16">J198*$J$2</f>
        <v>#NUM!</v>
      </c>
      <c r="L198" s="35"/>
      <c r="M198" s="37">
        <f t="shared" ref="M198:M261" si="17">IF(I198&lt;&gt;"",K198+I198+L198,0)</f>
        <v>0</v>
      </c>
    </row>
    <row r="199" spans="1:13" x14ac:dyDescent="0.25">
      <c r="A199" s="56"/>
      <c r="G199" s="13"/>
      <c r="H199" s="35">
        <v>194</v>
      </c>
      <c r="I199" s="36" t="str">
        <f t="shared" si="15"/>
        <v/>
      </c>
      <c r="J199" s="35" t="e">
        <f t="shared" ref="J199:J262" si="18">INT(LOG($H$2,2))-ROUNDUP(LOG(H199,2),0)+IF(OR($H$2=1,$H$2=2,$H$2=4,$H$2=8,$H$2=16,$H$2=32,$H$2=64,$H$2=128,$H$2=256),0,1)</f>
        <v>#NUM!</v>
      </c>
      <c r="K199" s="35" t="e">
        <f t="shared" si="16"/>
        <v>#NUM!</v>
      </c>
      <c r="L199" s="35"/>
      <c r="M199" s="37">
        <f t="shared" si="17"/>
        <v>0</v>
      </c>
    </row>
    <row r="200" spans="1:13" x14ac:dyDescent="0.25">
      <c r="A200" s="56"/>
      <c r="G200" s="13"/>
      <c r="H200" s="35">
        <v>195</v>
      </c>
      <c r="I200" s="36" t="str">
        <f t="shared" si="15"/>
        <v/>
      </c>
      <c r="J200" s="35" t="e">
        <f t="shared" si="18"/>
        <v>#NUM!</v>
      </c>
      <c r="K200" s="35" t="e">
        <f t="shared" si="16"/>
        <v>#NUM!</v>
      </c>
      <c r="L200" s="35"/>
      <c r="M200" s="37">
        <f t="shared" si="17"/>
        <v>0</v>
      </c>
    </row>
    <row r="201" spans="1:13" x14ac:dyDescent="0.25">
      <c r="A201" s="56"/>
      <c r="G201" s="13"/>
      <c r="H201" s="35">
        <v>196</v>
      </c>
      <c r="I201" s="36" t="str">
        <f t="shared" si="15"/>
        <v/>
      </c>
      <c r="J201" s="35" t="e">
        <f t="shared" si="18"/>
        <v>#NUM!</v>
      </c>
      <c r="K201" s="35" t="e">
        <f t="shared" si="16"/>
        <v>#NUM!</v>
      </c>
      <c r="L201" s="35"/>
      <c r="M201" s="37">
        <f t="shared" si="17"/>
        <v>0</v>
      </c>
    </row>
    <row r="202" spans="1:13" x14ac:dyDescent="0.25">
      <c r="A202" s="56"/>
      <c r="G202" s="13"/>
      <c r="H202" s="35">
        <v>197</v>
      </c>
      <c r="I202" s="36" t="str">
        <f t="shared" si="15"/>
        <v/>
      </c>
      <c r="J202" s="35" t="e">
        <f t="shared" si="18"/>
        <v>#NUM!</v>
      </c>
      <c r="K202" s="35" t="e">
        <f t="shared" si="16"/>
        <v>#NUM!</v>
      </c>
      <c r="L202" s="35"/>
      <c r="M202" s="37">
        <f t="shared" si="17"/>
        <v>0</v>
      </c>
    </row>
    <row r="203" spans="1:13" x14ac:dyDescent="0.25">
      <c r="A203" s="56"/>
      <c r="G203" s="13"/>
      <c r="H203" s="35">
        <v>198</v>
      </c>
      <c r="I203" s="36" t="str">
        <f t="shared" si="15"/>
        <v/>
      </c>
      <c r="J203" s="35" t="e">
        <f t="shared" si="18"/>
        <v>#NUM!</v>
      </c>
      <c r="K203" s="35" t="e">
        <f t="shared" si="16"/>
        <v>#NUM!</v>
      </c>
      <c r="L203" s="35"/>
      <c r="M203" s="37">
        <f t="shared" si="17"/>
        <v>0</v>
      </c>
    </row>
    <row r="204" spans="1:13" x14ac:dyDescent="0.25">
      <c r="A204" s="56"/>
      <c r="G204" s="13"/>
      <c r="H204" s="35">
        <v>199</v>
      </c>
      <c r="I204" s="36" t="str">
        <f t="shared" si="15"/>
        <v/>
      </c>
      <c r="J204" s="35" t="e">
        <f t="shared" si="18"/>
        <v>#NUM!</v>
      </c>
      <c r="K204" s="35" t="e">
        <f t="shared" si="16"/>
        <v>#NUM!</v>
      </c>
      <c r="L204" s="35"/>
      <c r="M204" s="37">
        <f t="shared" si="17"/>
        <v>0</v>
      </c>
    </row>
    <row r="205" spans="1:13" x14ac:dyDescent="0.25">
      <c r="A205" s="56"/>
      <c r="G205" s="13"/>
      <c r="H205" s="35">
        <v>200</v>
      </c>
      <c r="I205" s="36" t="str">
        <f t="shared" si="15"/>
        <v/>
      </c>
      <c r="J205" s="35" t="e">
        <f t="shared" si="18"/>
        <v>#NUM!</v>
      </c>
      <c r="K205" s="35" t="e">
        <f t="shared" si="16"/>
        <v>#NUM!</v>
      </c>
      <c r="L205" s="35"/>
      <c r="M205" s="37">
        <f t="shared" si="17"/>
        <v>0</v>
      </c>
    </row>
    <row r="206" spans="1:13" x14ac:dyDescent="0.25">
      <c r="A206" s="56"/>
      <c r="G206" s="13"/>
      <c r="H206" s="35">
        <v>201</v>
      </c>
      <c r="I206" s="36" t="str">
        <f t="shared" si="15"/>
        <v/>
      </c>
      <c r="J206" s="35" t="e">
        <f t="shared" si="18"/>
        <v>#NUM!</v>
      </c>
      <c r="K206" s="35" t="e">
        <f t="shared" si="16"/>
        <v>#NUM!</v>
      </c>
      <c r="L206" s="35"/>
      <c r="M206" s="37">
        <f t="shared" si="17"/>
        <v>0</v>
      </c>
    </row>
    <row r="207" spans="1:13" x14ac:dyDescent="0.25">
      <c r="A207" s="56"/>
      <c r="G207" s="13"/>
      <c r="H207" s="35">
        <v>202</v>
      </c>
      <c r="I207" s="36" t="str">
        <f t="shared" si="15"/>
        <v/>
      </c>
      <c r="J207" s="35" t="e">
        <f t="shared" si="18"/>
        <v>#NUM!</v>
      </c>
      <c r="K207" s="35" t="e">
        <f t="shared" si="16"/>
        <v>#NUM!</v>
      </c>
      <c r="L207" s="35"/>
      <c r="M207" s="37">
        <f t="shared" si="17"/>
        <v>0</v>
      </c>
    </row>
    <row r="208" spans="1:13" x14ac:dyDescent="0.25">
      <c r="A208" s="56"/>
      <c r="G208" s="13"/>
      <c r="H208" s="35">
        <v>203</v>
      </c>
      <c r="I208" s="36" t="str">
        <f t="shared" si="15"/>
        <v/>
      </c>
      <c r="J208" s="35" t="e">
        <f t="shared" si="18"/>
        <v>#NUM!</v>
      </c>
      <c r="K208" s="35" t="e">
        <f t="shared" si="16"/>
        <v>#NUM!</v>
      </c>
      <c r="L208" s="35"/>
      <c r="M208" s="37">
        <f t="shared" si="17"/>
        <v>0</v>
      </c>
    </row>
    <row r="209" spans="1:13" x14ac:dyDescent="0.25">
      <c r="A209" s="56"/>
      <c r="G209" s="13"/>
      <c r="H209" s="35">
        <v>204</v>
      </c>
      <c r="I209" s="36" t="str">
        <f t="shared" si="15"/>
        <v/>
      </c>
      <c r="J209" s="35" t="e">
        <f t="shared" si="18"/>
        <v>#NUM!</v>
      </c>
      <c r="K209" s="35" t="e">
        <f t="shared" si="16"/>
        <v>#NUM!</v>
      </c>
      <c r="L209" s="35"/>
      <c r="M209" s="37">
        <f t="shared" si="17"/>
        <v>0</v>
      </c>
    </row>
    <row r="210" spans="1:13" x14ac:dyDescent="0.25">
      <c r="A210" s="56"/>
      <c r="G210" s="13"/>
      <c r="H210" s="35">
        <v>205</v>
      </c>
      <c r="I210" s="36" t="str">
        <f t="shared" si="15"/>
        <v/>
      </c>
      <c r="J210" s="35" t="e">
        <f t="shared" si="18"/>
        <v>#NUM!</v>
      </c>
      <c r="K210" s="35" t="e">
        <f t="shared" si="16"/>
        <v>#NUM!</v>
      </c>
      <c r="L210" s="35"/>
      <c r="M210" s="37">
        <f t="shared" si="17"/>
        <v>0</v>
      </c>
    </row>
    <row r="211" spans="1:13" x14ac:dyDescent="0.25">
      <c r="A211" s="56"/>
      <c r="G211" s="13"/>
      <c r="H211" s="35">
        <v>206</v>
      </c>
      <c r="I211" s="36" t="str">
        <f t="shared" si="15"/>
        <v/>
      </c>
      <c r="J211" s="35" t="e">
        <f t="shared" si="18"/>
        <v>#NUM!</v>
      </c>
      <c r="K211" s="35" t="e">
        <f t="shared" si="16"/>
        <v>#NUM!</v>
      </c>
      <c r="L211" s="35"/>
      <c r="M211" s="37">
        <f t="shared" si="17"/>
        <v>0</v>
      </c>
    </row>
    <row r="212" spans="1:13" x14ac:dyDescent="0.25">
      <c r="A212" s="56"/>
      <c r="G212" s="13"/>
      <c r="H212" s="35">
        <v>207</v>
      </c>
      <c r="I212" s="36" t="str">
        <f t="shared" si="15"/>
        <v/>
      </c>
      <c r="J212" s="35" t="e">
        <f t="shared" si="18"/>
        <v>#NUM!</v>
      </c>
      <c r="K212" s="35" t="e">
        <f t="shared" si="16"/>
        <v>#NUM!</v>
      </c>
      <c r="L212" s="35"/>
      <c r="M212" s="37">
        <f t="shared" si="17"/>
        <v>0</v>
      </c>
    </row>
    <row r="213" spans="1:13" x14ac:dyDescent="0.25">
      <c r="A213" s="56"/>
      <c r="G213" s="13"/>
      <c r="H213" s="35">
        <v>208</v>
      </c>
      <c r="I213" s="36" t="str">
        <f t="shared" si="15"/>
        <v/>
      </c>
      <c r="J213" s="35" t="e">
        <f t="shared" si="18"/>
        <v>#NUM!</v>
      </c>
      <c r="K213" s="35" t="e">
        <f t="shared" si="16"/>
        <v>#NUM!</v>
      </c>
      <c r="L213" s="35"/>
      <c r="M213" s="37">
        <f t="shared" si="17"/>
        <v>0</v>
      </c>
    </row>
    <row r="214" spans="1:13" x14ac:dyDescent="0.25">
      <c r="A214" s="56"/>
      <c r="G214" s="13"/>
      <c r="H214" s="35">
        <v>209</v>
      </c>
      <c r="I214" s="36" t="str">
        <f t="shared" si="15"/>
        <v/>
      </c>
      <c r="J214" s="35" t="e">
        <f t="shared" si="18"/>
        <v>#NUM!</v>
      </c>
      <c r="K214" s="35" t="e">
        <f t="shared" si="16"/>
        <v>#NUM!</v>
      </c>
      <c r="L214" s="35"/>
      <c r="M214" s="37">
        <f t="shared" si="17"/>
        <v>0</v>
      </c>
    </row>
    <row r="215" spans="1:13" x14ac:dyDescent="0.25">
      <c r="A215" s="56"/>
      <c r="G215" s="13"/>
      <c r="H215" s="35">
        <v>210</v>
      </c>
      <c r="I215" s="36" t="str">
        <f t="shared" si="15"/>
        <v/>
      </c>
      <c r="J215" s="35" t="e">
        <f t="shared" si="18"/>
        <v>#NUM!</v>
      </c>
      <c r="K215" s="35" t="e">
        <f t="shared" si="16"/>
        <v>#NUM!</v>
      </c>
      <c r="L215" s="35"/>
      <c r="M215" s="37">
        <f t="shared" si="17"/>
        <v>0</v>
      </c>
    </row>
    <row r="216" spans="1:13" x14ac:dyDescent="0.25">
      <c r="A216" s="56"/>
      <c r="G216" s="13"/>
      <c r="H216" s="35">
        <v>211</v>
      </c>
      <c r="I216" s="36" t="str">
        <f t="shared" si="15"/>
        <v/>
      </c>
      <c r="J216" s="35" t="e">
        <f t="shared" si="18"/>
        <v>#NUM!</v>
      </c>
      <c r="K216" s="35" t="e">
        <f t="shared" si="16"/>
        <v>#NUM!</v>
      </c>
      <c r="L216" s="35"/>
      <c r="M216" s="37">
        <f t="shared" si="17"/>
        <v>0</v>
      </c>
    </row>
    <row r="217" spans="1:13" x14ac:dyDescent="0.25">
      <c r="A217" s="56"/>
      <c r="G217" s="13"/>
      <c r="H217" s="35">
        <v>212</v>
      </c>
      <c r="I217" s="36" t="str">
        <f t="shared" si="15"/>
        <v/>
      </c>
      <c r="J217" s="35" t="e">
        <f t="shared" si="18"/>
        <v>#NUM!</v>
      </c>
      <c r="K217" s="35" t="e">
        <f t="shared" si="16"/>
        <v>#NUM!</v>
      </c>
      <c r="L217" s="35"/>
      <c r="M217" s="37">
        <f t="shared" si="17"/>
        <v>0</v>
      </c>
    </row>
    <row r="218" spans="1:13" x14ac:dyDescent="0.25">
      <c r="A218" s="56"/>
      <c r="G218" s="13"/>
      <c r="H218" s="35">
        <v>213</v>
      </c>
      <c r="I218" s="36" t="str">
        <f t="shared" si="15"/>
        <v/>
      </c>
      <c r="J218" s="35" t="e">
        <f t="shared" si="18"/>
        <v>#NUM!</v>
      </c>
      <c r="K218" s="35" t="e">
        <f t="shared" si="16"/>
        <v>#NUM!</v>
      </c>
      <c r="L218" s="35"/>
      <c r="M218" s="37">
        <f t="shared" si="17"/>
        <v>0</v>
      </c>
    </row>
    <row r="219" spans="1:13" x14ac:dyDescent="0.25">
      <c r="A219" s="56"/>
      <c r="G219" s="13"/>
      <c r="H219" s="35">
        <v>214</v>
      </c>
      <c r="I219" s="36" t="str">
        <f t="shared" si="15"/>
        <v/>
      </c>
      <c r="J219" s="35" t="e">
        <f t="shared" si="18"/>
        <v>#NUM!</v>
      </c>
      <c r="K219" s="35" t="e">
        <f t="shared" si="16"/>
        <v>#NUM!</v>
      </c>
      <c r="L219" s="35"/>
      <c r="M219" s="37">
        <f t="shared" si="17"/>
        <v>0</v>
      </c>
    </row>
    <row r="220" spans="1:13" x14ac:dyDescent="0.25">
      <c r="A220" s="56"/>
      <c r="G220" s="13"/>
      <c r="H220" s="35">
        <v>215</v>
      </c>
      <c r="I220" s="36" t="str">
        <f t="shared" si="15"/>
        <v/>
      </c>
      <c r="J220" s="35" t="e">
        <f t="shared" si="18"/>
        <v>#NUM!</v>
      </c>
      <c r="K220" s="35" t="e">
        <f t="shared" si="16"/>
        <v>#NUM!</v>
      </c>
      <c r="L220" s="35"/>
      <c r="M220" s="37">
        <f t="shared" si="17"/>
        <v>0</v>
      </c>
    </row>
    <row r="221" spans="1:13" x14ac:dyDescent="0.25">
      <c r="A221" s="56"/>
      <c r="G221" s="13"/>
      <c r="H221" s="35">
        <v>216</v>
      </c>
      <c r="I221" s="36" t="str">
        <f t="shared" si="15"/>
        <v/>
      </c>
      <c r="J221" s="35" t="e">
        <f t="shared" si="18"/>
        <v>#NUM!</v>
      </c>
      <c r="K221" s="35" t="e">
        <f t="shared" si="16"/>
        <v>#NUM!</v>
      </c>
      <c r="L221" s="35"/>
      <c r="M221" s="37">
        <f t="shared" si="17"/>
        <v>0</v>
      </c>
    </row>
    <row r="222" spans="1:13" x14ac:dyDescent="0.25">
      <c r="A222" s="56"/>
      <c r="G222" s="13"/>
      <c r="H222" s="35">
        <v>217</v>
      </c>
      <c r="I222" s="36" t="str">
        <f t="shared" si="15"/>
        <v/>
      </c>
      <c r="J222" s="35" t="e">
        <f t="shared" si="18"/>
        <v>#NUM!</v>
      </c>
      <c r="K222" s="35" t="e">
        <f t="shared" si="16"/>
        <v>#NUM!</v>
      </c>
      <c r="L222" s="35"/>
      <c r="M222" s="37">
        <f t="shared" si="17"/>
        <v>0</v>
      </c>
    </row>
    <row r="223" spans="1:13" x14ac:dyDescent="0.25">
      <c r="A223" s="56"/>
      <c r="G223" s="13"/>
      <c r="H223" s="35">
        <v>218</v>
      </c>
      <c r="I223" s="36" t="str">
        <f t="shared" si="15"/>
        <v/>
      </c>
      <c r="J223" s="35" t="e">
        <f t="shared" si="18"/>
        <v>#NUM!</v>
      </c>
      <c r="K223" s="35" t="e">
        <f t="shared" si="16"/>
        <v>#NUM!</v>
      </c>
      <c r="L223" s="35"/>
      <c r="M223" s="37">
        <f t="shared" si="17"/>
        <v>0</v>
      </c>
    </row>
    <row r="224" spans="1:13" x14ac:dyDescent="0.25">
      <c r="A224" s="56"/>
      <c r="G224" s="13"/>
      <c r="H224" s="35">
        <v>219</v>
      </c>
      <c r="I224" s="36" t="str">
        <f t="shared" si="15"/>
        <v/>
      </c>
      <c r="J224" s="35" t="e">
        <f t="shared" si="18"/>
        <v>#NUM!</v>
      </c>
      <c r="K224" s="35" t="e">
        <f t="shared" si="16"/>
        <v>#NUM!</v>
      </c>
      <c r="L224" s="35"/>
      <c r="M224" s="37">
        <f t="shared" si="17"/>
        <v>0</v>
      </c>
    </row>
    <row r="225" spans="1:13" x14ac:dyDescent="0.25">
      <c r="A225" s="56"/>
      <c r="G225" s="13"/>
      <c r="H225" s="35">
        <v>220</v>
      </c>
      <c r="I225" s="36" t="str">
        <f t="shared" si="15"/>
        <v/>
      </c>
      <c r="J225" s="35" t="e">
        <f t="shared" si="18"/>
        <v>#NUM!</v>
      </c>
      <c r="K225" s="35" t="e">
        <f t="shared" si="16"/>
        <v>#NUM!</v>
      </c>
      <c r="L225" s="35"/>
      <c r="M225" s="37">
        <f t="shared" si="17"/>
        <v>0</v>
      </c>
    </row>
    <row r="226" spans="1:13" x14ac:dyDescent="0.25">
      <c r="A226" s="56"/>
      <c r="G226" s="13"/>
      <c r="H226" s="35">
        <v>221</v>
      </c>
      <c r="I226" s="36" t="str">
        <f t="shared" si="15"/>
        <v/>
      </c>
      <c r="J226" s="35" t="e">
        <f t="shared" si="18"/>
        <v>#NUM!</v>
      </c>
      <c r="K226" s="35" t="e">
        <f t="shared" si="16"/>
        <v>#NUM!</v>
      </c>
      <c r="L226" s="35"/>
      <c r="M226" s="37">
        <f t="shared" si="17"/>
        <v>0</v>
      </c>
    </row>
    <row r="227" spans="1:13" x14ac:dyDescent="0.25">
      <c r="A227" s="56"/>
      <c r="G227" s="13"/>
      <c r="H227" s="35">
        <v>222</v>
      </c>
      <c r="I227" s="36" t="str">
        <f t="shared" si="15"/>
        <v/>
      </c>
      <c r="J227" s="35" t="e">
        <f t="shared" si="18"/>
        <v>#NUM!</v>
      </c>
      <c r="K227" s="35" t="e">
        <f t="shared" si="16"/>
        <v>#NUM!</v>
      </c>
      <c r="L227" s="35"/>
      <c r="M227" s="37">
        <f t="shared" si="17"/>
        <v>0</v>
      </c>
    </row>
    <row r="228" spans="1:13" x14ac:dyDescent="0.25">
      <c r="A228" s="56"/>
      <c r="G228" s="13"/>
      <c r="H228" s="35">
        <v>223</v>
      </c>
      <c r="I228" s="36" t="str">
        <f t="shared" si="15"/>
        <v/>
      </c>
      <c r="J228" s="35" t="e">
        <f t="shared" si="18"/>
        <v>#NUM!</v>
      </c>
      <c r="K228" s="35" t="e">
        <f t="shared" si="16"/>
        <v>#NUM!</v>
      </c>
      <c r="L228" s="35"/>
      <c r="M228" s="37">
        <f t="shared" si="17"/>
        <v>0</v>
      </c>
    </row>
    <row r="229" spans="1:13" x14ac:dyDescent="0.25">
      <c r="A229" s="56"/>
      <c r="G229" s="13"/>
      <c r="H229" s="35">
        <v>224</v>
      </c>
      <c r="I229" s="36" t="str">
        <f t="shared" si="15"/>
        <v/>
      </c>
      <c r="J229" s="35" t="e">
        <f t="shared" si="18"/>
        <v>#NUM!</v>
      </c>
      <c r="K229" s="35" t="e">
        <f t="shared" si="16"/>
        <v>#NUM!</v>
      </c>
      <c r="L229" s="35"/>
      <c r="M229" s="37">
        <f t="shared" si="17"/>
        <v>0</v>
      </c>
    </row>
    <row r="230" spans="1:13" x14ac:dyDescent="0.25">
      <c r="A230" s="56"/>
      <c r="G230" s="13"/>
      <c r="H230" s="35">
        <v>225</v>
      </c>
      <c r="I230" s="36" t="str">
        <f t="shared" si="15"/>
        <v/>
      </c>
      <c r="J230" s="35" t="e">
        <f t="shared" si="18"/>
        <v>#NUM!</v>
      </c>
      <c r="K230" s="35" t="e">
        <f t="shared" si="16"/>
        <v>#NUM!</v>
      </c>
      <c r="L230" s="35"/>
      <c r="M230" s="37">
        <f t="shared" si="17"/>
        <v>0</v>
      </c>
    </row>
    <row r="231" spans="1:13" x14ac:dyDescent="0.25">
      <c r="A231" s="56"/>
      <c r="G231" s="13"/>
      <c r="H231" s="35">
        <v>226</v>
      </c>
      <c r="I231" s="36" t="str">
        <f t="shared" si="15"/>
        <v/>
      </c>
      <c r="J231" s="35" t="e">
        <f t="shared" si="18"/>
        <v>#NUM!</v>
      </c>
      <c r="K231" s="35" t="e">
        <f t="shared" si="16"/>
        <v>#NUM!</v>
      </c>
      <c r="L231" s="35"/>
      <c r="M231" s="37">
        <f t="shared" si="17"/>
        <v>0</v>
      </c>
    </row>
    <row r="232" spans="1:13" x14ac:dyDescent="0.25">
      <c r="A232" s="56"/>
      <c r="G232" s="13"/>
      <c r="H232" s="35">
        <v>227</v>
      </c>
      <c r="I232" s="36" t="str">
        <f t="shared" si="15"/>
        <v/>
      </c>
      <c r="J232" s="35" t="e">
        <f t="shared" si="18"/>
        <v>#NUM!</v>
      </c>
      <c r="K232" s="35" t="e">
        <f t="shared" si="16"/>
        <v>#NUM!</v>
      </c>
      <c r="L232" s="35"/>
      <c r="M232" s="37">
        <f t="shared" si="17"/>
        <v>0</v>
      </c>
    </row>
    <row r="233" spans="1:13" x14ac:dyDescent="0.25">
      <c r="A233" s="56"/>
      <c r="G233" s="13"/>
      <c r="H233" s="35">
        <v>228</v>
      </c>
      <c r="I233" s="36" t="str">
        <f t="shared" si="15"/>
        <v/>
      </c>
      <c r="J233" s="35" t="e">
        <f t="shared" si="18"/>
        <v>#NUM!</v>
      </c>
      <c r="K233" s="35" t="e">
        <f t="shared" si="16"/>
        <v>#NUM!</v>
      </c>
      <c r="L233" s="35"/>
      <c r="M233" s="37">
        <f t="shared" si="17"/>
        <v>0</v>
      </c>
    </row>
    <row r="234" spans="1:13" x14ac:dyDescent="0.25">
      <c r="A234" s="56"/>
      <c r="G234" s="13"/>
      <c r="H234" s="35">
        <v>229</v>
      </c>
      <c r="I234" s="36" t="str">
        <f t="shared" si="15"/>
        <v/>
      </c>
      <c r="J234" s="35" t="e">
        <f t="shared" si="18"/>
        <v>#NUM!</v>
      </c>
      <c r="K234" s="35" t="e">
        <f t="shared" si="16"/>
        <v>#NUM!</v>
      </c>
      <c r="L234" s="35"/>
      <c r="M234" s="37">
        <f t="shared" si="17"/>
        <v>0</v>
      </c>
    </row>
    <row r="235" spans="1:13" x14ac:dyDescent="0.25">
      <c r="A235" s="56"/>
      <c r="G235" s="13"/>
      <c r="H235" s="35">
        <v>230</v>
      </c>
      <c r="I235" s="36" t="str">
        <f t="shared" si="15"/>
        <v/>
      </c>
      <c r="J235" s="35" t="e">
        <f t="shared" si="18"/>
        <v>#NUM!</v>
      </c>
      <c r="K235" s="35" t="e">
        <f t="shared" si="16"/>
        <v>#NUM!</v>
      </c>
      <c r="L235" s="35"/>
      <c r="M235" s="37">
        <f t="shared" si="17"/>
        <v>0</v>
      </c>
    </row>
    <row r="236" spans="1:13" x14ac:dyDescent="0.25">
      <c r="A236" s="56"/>
      <c r="G236" s="13"/>
      <c r="H236" s="35">
        <v>231</v>
      </c>
      <c r="I236" s="36" t="str">
        <f t="shared" si="15"/>
        <v/>
      </c>
      <c r="J236" s="35" t="e">
        <f t="shared" si="18"/>
        <v>#NUM!</v>
      </c>
      <c r="K236" s="35" t="e">
        <f t="shared" si="16"/>
        <v>#NUM!</v>
      </c>
      <c r="L236" s="35"/>
      <c r="M236" s="37">
        <f t="shared" si="17"/>
        <v>0</v>
      </c>
    </row>
    <row r="237" spans="1:13" x14ac:dyDescent="0.25">
      <c r="A237" s="56"/>
      <c r="G237" s="13"/>
      <c r="H237" s="35">
        <v>232</v>
      </c>
      <c r="I237" s="36" t="str">
        <f t="shared" si="15"/>
        <v/>
      </c>
      <c r="J237" s="35" t="e">
        <f t="shared" si="18"/>
        <v>#NUM!</v>
      </c>
      <c r="K237" s="35" t="e">
        <f t="shared" si="16"/>
        <v>#NUM!</v>
      </c>
      <c r="L237" s="35"/>
      <c r="M237" s="37">
        <f t="shared" si="17"/>
        <v>0</v>
      </c>
    </row>
    <row r="238" spans="1:13" x14ac:dyDescent="0.25">
      <c r="A238" s="56"/>
      <c r="G238" s="13"/>
      <c r="H238" s="35">
        <v>233</v>
      </c>
      <c r="I238" s="36" t="str">
        <f t="shared" si="15"/>
        <v/>
      </c>
      <c r="J238" s="35" t="e">
        <f t="shared" si="18"/>
        <v>#NUM!</v>
      </c>
      <c r="K238" s="35" t="e">
        <f t="shared" si="16"/>
        <v>#NUM!</v>
      </c>
      <c r="L238" s="35"/>
      <c r="M238" s="37">
        <f t="shared" si="17"/>
        <v>0</v>
      </c>
    </row>
    <row r="239" spans="1:13" x14ac:dyDescent="0.25">
      <c r="A239" s="56"/>
      <c r="G239" s="13"/>
      <c r="H239" s="35">
        <v>234</v>
      </c>
      <c r="I239" s="36" t="str">
        <f t="shared" si="15"/>
        <v/>
      </c>
      <c r="J239" s="35" t="e">
        <f t="shared" si="18"/>
        <v>#NUM!</v>
      </c>
      <c r="K239" s="35" t="e">
        <f t="shared" si="16"/>
        <v>#NUM!</v>
      </c>
      <c r="L239" s="35"/>
      <c r="M239" s="37">
        <f t="shared" si="17"/>
        <v>0</v>
      </c>
    </row>
    <row r="240" spans="1:13" x14ac:dyDescent="0.25">
      <c r="A240" s="56"/>
      <c r="G240" s="13"/>
      <c r="H240" s="35">
        <v>235</v>
      </c>
      <c r="I240" s="36" t="str">
        <f t="shared" si="15"/>
        <v/>
      </c>
      <c r="J240" s="35" t="e">
        <f t="shared" si="18"/>
        <v>#NUM!</v>
      </c>
      <c r="K240" s="35" t="e">
        <f t="shared" si="16"/>
        <v>#NUM!</v>
      </c>
      <c r="L240" s="35"/>
      <c r="M240" s="37">
        <f t="shared" si="17"/>
        <v>0</v>
      </c>
    </row>
    <row r="241" spans="1:13" x14ac:dyDescent="0.25">
      <c r="A241" s="56"/>
      <c r="G241" s="13"/>
      <c r="H241" s="35">
        <v>236</v>
      </c>
      <c r="I241" s="36" t="str">
        <f t="shared" si="15"/>
        <v/>
      </c>
      <c r="J241" s="35" t="e">
        <f t="shared" si="18"/>
        <v>#NUM!</v>
      </c>
      <c r="K241" s="35" t="e">
        <f t="shared" si="16"/>
        <v>#NUM!</v>
      </c>
      <c r="L241" s="35"/>
      <c r="M241" s="37">
        <f t="shared" si="17"/>
        <v>0</v>
      </c>
    </row>
    <row r="242" spans="1:13" x14ac:dyDescent="0.25">
      <c r="A242" s="56"/>
      <c r="G242" s="13"/>
      <c r="H242" s="35">
        <v>237</v>
      </c>
      <c r="I242" s="36" t="str">
        <f t="shared" si="15"/>
        <v/>
      </c>
      <c r="J242" s="35" t="e">
        <f t="shared" si="18"/>
        <v>#NUM!</v>
      </c>
      <c r="K242" s="35" t="e">
        <f t="shared" si="16"/>
        <v>#NUM!</v>
      </c>
      <c r="L242" s="35"/>
      <c r="M242" s="37">
        <f t="shared" si="17"/>
        <v>0</v>
      </c>
    </row>
    <row r="243" spans="1:13" x14ac:dyDescent="0.25">
      <c r="A243" s="56"/>
      <c r="G243" s="13"/>
      <c r="H243" s="35">
        <v>238</v>
      </c>
      <c r="I243" s="36" t="str">
        <f t="shared" si="15"/>
        <v/>
      </c>
      <c r="J243" s="35" t="e">
        <f t="shared" si="18"/>
        <v>#NUM!</v>
      </c>
      <c r="K243" s="35" t="e">
        <f t="shared" si="16"/>
        <v>#NUM!</v>
      </c>
      <c r="L243" s="35"/>
      <c r="M243" s="37">
        <f t="shared" si="17"/>
        <v>0</v>
      </c>
    </row>
    <row r="244" spans="1:13" x14ac:dyDescent="0.25">
      <c r="A244" s="56"/>
      <c r="G244" s="13"/>
      <c r="H244" s="35">
        <v>239</v>
      </c>
      <c r="I244" s="36" t="str">
        <f t="shared" si="15"/>
        <v/>
      </c>
      <c r="J244" s="35" t="e">
        <f t="shared" si="18"/>
        <v>#NUM!</v>
      </c>
      <c r="K244" s="35" t="e">
        <f t="shared" si="16"/>
        <v>#NUM!</v>
      </c>
      <c r="L244" s="35"/>
      <c r="M244" s="37">
        <f t="shared" si="17"/>
        <v>0</v>
      </c>
    </row>
    <row r="245" spans="1:13" x14ac:dyDescent="0.25">
      <c r="A245" s="56"/>
      <c r="G245" s="13"/>
      <c r="H245" s="35">
        <v>240</v>
      </c>
      <c r="I245" s="36" t="str">
        <f t="shared" si="15"/>
        <v/>
      </c>
      <c r="J245" s="35" t="e">
        <f t="shared" si="18"/>
        <v>#NUM!</v>
      </c>
      <c r="K245" s="35" t="e">
        <f t="shared" si="16"/>
        <v>#NUM!</v>
      </c>
      <c r="L245" s="35"/>
      <c r="M245" s="37">
        <f t="shared" si="17"/>
        <v>0</v>
      </c>
    </row>
    <row r="246" spans="1:13" x14ac:dyDescent="0.25">
      <c r="A246" s="56"/>
      <c r="G246" s="13"/>
      <c r="H246" s="35">
        <v>241</v>
      </c>
      <c r="I246" s="36" t="str">
        <f t="shared" si="15"/>
        <v/>
      </c>
      <c r="J246" s="35" t="e">
        <f t="shared" si="18"/>
        <v>#NUM!</v>
      </c>
      <c r="K246" s="35" t="e">
        <f t="shared" si="16"/>
        <v>#NUM!</v>
      </c>
      <c r="L246" s="35"/>
      <c r="M246" s="37">
        <f t="shared" si="17"/>
        <v>0</v>
      </c>
    </row>
    <row r="247" spans="1:13" x14ac:dyDescent="0.25">
      <c r="A247" s="56"/>
      <c r="G247" s="13"/>
      <c r="H247" s="35">
        <v>242</v>
      </c>
      <c r="I247" s="36" t="str">
        <f t="shared" si="15"/>
        <v/>
      </c>
      <c r="J247" s="35" t="e">
        <f t="shared" si="18"/>
        <v>#NUM!</v>
      </c>
      <c r="K247" s="35" t="e">
        <f t="shared" si="16"/>
        <v>#NUM!</v>
      </c>
      <c r="L247" s="35"/>
      <c r="M247" s="37">
        <f t="shared" si="17"/>
        <v>0</v>
      </c>
    </row>
    <row r="248" spans="1:13" x14ac:dyDescent="0.25">
      <c r="A248" s="56"/>
      <c r="G248" s="13"/>
      <c r="H248" s="35">
        <v>243</v>
      </c>
      <c r="I248" s="36" t="str">
        <f t="shared" si="15"/>
        <v/>
      </c>
      <c r="J248" s="35" t="e">
        <f t="shared" si="18"/>
        <v>#NUM!</v>
      </c>
      <c r="K248" s="35" t="e">
        <f t="shared" si="16"/>
        <v>#NUM!</v>
      </c>
      <c r="L248" s="35"/>
      <c r="M248" s="37">
        <f t="shared" si="17"/>
        <v>0</v>
      </c>
    </row>
    <row r="249" spans="1:13" x14ac:dyDescent="0.25">
      <c r="A249" s="56"/>
      <c r="G249" s="13"/>
      <c r="H249" s="35">
        <v>244</v>
      </c>
      <c r="I249" s="36" t="str">
        <f t="shared" si="15"/>
        <v/>
      </c>
      <c r="J249" s="35" t="e">
        <f t="shared" si="18"/>
        <v>#NUM!</v>
      </c>
      <c r="K249" s="35" t="e">
        <f t="shared" si="16"/>
        <v>#NUM!</v>
      </c>
      <c r="L249" s="35"/>
      <c r="M249" s="37">
        <f t="shared" si="17"/>
        <v>0</v>
      </c>
    </row>
    <row r="250" spans="1:13" x14ac:dyDescent="0.25">
      <c r="A250" s="56"/>
      <c r="G250" s="13"/>
      <c r="H250" s="35">
        <v>245</v>
      </c>
      <c r="I250" s="36" t="str">
        <f t="shared" si="15"/>
        <v/>
      </c>
      <c r="J250" s="35" t="e">
        <f t="shared" si="18"/>
        <v>#NUM!</v>
      </c>
      <c r="K250" s="35" t="e">
        <f t="shared" si="16"/>
        <v>#NUM!</v>
      </c>
      <c r="L250" s="35"/>
      <c r="M250" s="37">
        <f t="shared" si="17"/>
        <v>0</v>
      </c>
    </row>
    <row r="251" spans="1:13" x14ac:dyDescent="0.25">
      <c r="A251" s="56"/>
      <c r="G251" s="13"/>
      <c r="H251" s="35">
        <v>246</v>
      </c>
      <c r="I251" s="36" t="str">
        <f t="shared" si="15"/>
        <v/>
      </c>
      <c r="J251" s="35" t="e">
        <f t="shared" si="18"/>
        <v>#NUM!</v>
      </c>
      <c r="K251" s="35" t="e">
        <f t="shared" si="16"/>
        <v>#NUM!</v>
      </c>
      <c r="L251" s="35"/>
      <c r="M251" s="37">
        <f t="shared" si="17"/>
        <v>0</v>
      </c>
    </row>
    <row r="252" spans="1:13" x14ac:dyDescent="0.25">
      <c r="A252" s="56"/>
      <c r="G252" s="13"/>
      <c r="H252" s="35">
        <v>247</v>
      </c>
      <c r="I252" s="36" t="str">
        <f t="shared" si="15"/>
        <v/>
      </c>
      <c r="J252" s="35" t="e">
        <f t="shared" si="18"/>
        <v>#NUM!</v>
      </c>
      <c r="K252" s="35" t="e">
        <f t="shared" si="16"/>
        <v>#NUM!</v>
      </c>
      <c r="L252" s="35"/>
      <c r="M252" s="37">
        <f t="shared" si="17"/>
        <v>0</v>
      </c>
    </row>
    <row r="253" spans="1:13" x14ac:dyDescent="0.25">
      <c r="A253" s="56"/>
      <c r="G253" s="13"/>
      <c r="H253" s="35">
        <v>248</v>
      </c>
      <c r="I253" s="36" t="str">
        <f t="shared" si="15"/>
        <v/>
      </c>
      <c r="J253" s="35" t="e">
        <f t="shared" si="18"/>
        <v>#NUM!</v>
      </c>
      <c r="K253" s="35" t="e">
        <f t="shared" si="16"/>
        <v>#NUM!</v>
      </c>
      <c r="L253" s="35"/>
      <c r="M253" s="37">
        <f t="shared" si="17"/>
        <v>0</v>
      </c>
    </row>
    <row r="254" spans="1:13" x14ac:dyDescent="0.25">
      <c r="A254" s="56"/>
      <c r="G254" s="13"/>
      <c r="H254" s="35">
        <v>249</v>
      </c>
      <c r="I254" s="36" t="str">
        <f t="shared" si="15"/>
        <v/>
      </c>
      <c r="J254" s="35" t="e">
        <f t="shared" si="18"/>
        <v>#NUM!</v>
      </c>
      <c r="K254" s="35" t="e">
        <f t="shared" si="16"/>
        <v>#NUM!</v>
      </c>
      <c r="L254" s="35"/>
      <c r="M254" s="37">
        <f t="shared" si="17"/>
        <v>0</v>
      </c>
    </row>
    <row r="255" spans="1:13" x14ac:dyDescent="0.25">
      <c r="A255" s="56"/>
      <c r="G255" s="13"/>
      <c r="H255" s="35">
        <v>250</v>
      </c>
      <c r="I255" s="36" t="str">
        <f t="shared" si="15"/>
        <v/>
      </c>
      <c r="J255" s="35" t="e">
        <f t="shared" si="18"/>
        <v>#NUM!</v>
      </c>
      <c r="K255" s="35" t="e">
        <f t="shared" si="16"/>
        <v>#NUM!</v>
      </c>
      <c r="L255" s="35"/>
      <c r="M255" s="37">
        <f t="shared" si="17"/>
        <v>0</v>
      </c>
    </row>
    <row r="256" spans="1:13" x14ac:dyDescent="0.25">
      <c r="A256" s="56"/>
      <c r="G256" s="13"/>
      <c r="H256" s="35">
        <v>251</v>
      </c>
      <c r="I256" s="36" t="str">
        <f t="shared" si="15"/>
        <v/>
      </c>
      <c r="J256" s="35" t="e">
        <f t="shared" si="18"/>
        <v>#NUM!</v>
      </c>
      <c r="K256" s="35" t="e">
        <f t="shared" si="16"/>
        <v>#NUM!</v>
      </c>
      <c r="L256" s="35"/>
      <c r="M256" s="37">
        <f t="shared" si="17"/>
        <v>0</v>
      </c>
    </row>
    <row r="257" spans="1:13" x14ac:dyDescent="0.25">
      <c r="A257" s="56"/>
      <c r="G257" s="13"/>
      <c r="H257" s="35">
        <v>252</v>
      </c>
      <c r="I257" s="36" t="str">
        <f t="shared" si="15"/>
        <v/>
      </c>
      <c r="J257" s="35" t="e">
        <f t="shared" si="18"/>
        <v>#NUM!</v>
      </c>
      <c r="K257" s="35" t="e">
        <f t="shared" si="16"/>
        <v>#NUM!</v>
      </c>
      <c r="L257" s="35"/>
      <c r="M257" s="37">
        <f t="shared" si="17"/>
        <v>0</v>
      </c>
    </row>
    <row r="258" spans="1:13" x14ac:dyDescent="0.25">
      <c r="A258" s="56"/>
      <c r="G258" s="13"/>
      <c r="H258" s="35">
        <v>253</v>
      </c>
      <c r="I258" s="36" t="str">
        <f t="shared" si="15"/>
        <v/>
      </c>
      <c r="J258" s="35" t="e">
        <f t="shared" si="18"/>
        <v>#NUM!</v>
      </c>
      <c r="K258" s="35" t="e">
        <f t="shared" si="16"/>
        <v>#NUM!</v>
      </c>
      <c r="L258" s="35"/>
      <c r="M258" s="37">
        <f t="shared" si="17"/>
        <v>0</v>
      </c>
    </row>
    <row r="259" spans="1:13" x14ac:dyDescent="0.25">
      <c r="A259" s="56"/>
      <c r="G259" s="13"/>
      <c r="H259" s="35">
        <v>254</v>
      </c>
      <c r="I259" s="36" t="str">
        <f t="shared" si="15"/>
        <v/>
      </c>
      <c r="J259" s="35" t="e">
        <f t="shared" si="18"/>
        <v>#NUM!</v>
      </c>
      <c r="K259" s="35" t="e">
        <f t="shared" si="16"/>
        <v>#NUM!</v>
      </c>
      <c r="L259" s="35"/>
      <c r="M259" s="37">
        <f t="shared" si="17"/>
        <v>0</v>
      </c>
    </row>
    <row r="260" spans="1:13" x14ac:dyDescent="0.25">
      <c r="A260" s="56"/>
      <c r="G260" s="13"/>
      <c r="H260" s="35">
        <v>255</v>
      </c>
      <c r="I260" s="36" t="str">
        <f t="shared" si="15"/>
        <v/>
      </c>
      <c r="J260" s="35" t="e">
        <f t="shared" si="18"/>
        <v>#NUM!</v>
      </c>
      <c r="K260" s="35" t="e">
        <f t="shared" si="16"/>
        <v>#NUM!</v>
      </c>
      <c r="L260" s="35"/>
      <c r="M260" s="37">
        <f t="shared" si="17"/>
        <v>0</v>
      </c>
    </row>
    <row r="261" spans="1:13" x14ac:dyDescent="0.25">
      <c r="A261" s="56"/>
      <c r="G261" s="13"/>
      <c r="H261" s="35">
        <v>256</v>
      </c>
      <c r="I261" s="36" t="str">
        <f t="shared" si="15"/>
        <v/>
      </c>
      <c r="J261" s="35" t="e">
        <f t="shared" si="18"/>
        <v>#NUM!</v>
      </c>
      <c r="K261" s="35" t="e">
        <f t="shared" si="16"/>
        <v>#NUM!</v>
      </c>
      <c r="L261" s="35"/>
      <c r="M261" s="37">
        <f t="shared" si="17"/>
        <v>0</v>
      </c>
    </row>
    <row r="262" spans="1:13" x14ac:dyDescent="0.25">
      <c r="A262" s="56"/>
      <c r="G262" s="13"/>
      <c r="H262" s="35">
        <v>257</v>
      </c>
      <c r="I262" s="36" t="str">
        <f t="shared" ref="I262:I305" si="19">IF(H262&lt;$H$2+1,($I$2-($I$2-1)*(LOG(H262)/LOG($H$2))),"")</f>
        <v/>
      </c>
      <c r="J262" s="35" t="e">
        <f t="shared" si="18"/>
        <v>#NUM!</v>
      </c>
      <c r="K262" s="35" t="e">
        <f t="shared" ref="K262:K305" si="20">J262*$J$2</f>
        <v>#NUM!</v>
      </c>
      <c r="L262" s="35"/>
      <c r="M262" s="37">
        <f t="shared" ref="M262:M305" si="21">IF(I262&lt;&gt;"",K262+I262+L262,0)</f>
        <v>0</v>
      </c>
    </row>
    <row r="263" spans="1:13" x14ac:dyDescent="0.25">
      <c r="A263" s="56"/>
      <c r="G263" s="13"/>
      <c r="H263" s="35">
        <v>258</v>
      </c>
      <c r="I263" s="36" t="str">
        <f t="shared" si="19"/>
        <v/>
      </c>
      <c r="J263" s="35" t="e">
        <f t="shared" ref="J263:J326" si="22">INT(LOG($H$2,2))-ROUNDUP(LOG(H263,2),0)+IF(OR($H$2=1,$H$2=2,$H$2=4,$H$2=8,$H$2=16,$H$2=32,$H$2=64,$H$2=128,$H$2=256),0,1)</f>
        <v>#NUM!</v>
      </c>
      <c r="K263" s="35" t="e">
        <f t="shared" si="20"/>
        <v>#NUM!</v>
      </c>
      <c r="L263" s="35"/>
      <c r="M263" s="37">
        <f t="shared" si="21"/>
        <v>0</v>
      </c>
    </row>
    <row r="264" spans="1:13" x14ac:dyDescent="0.25">
      <c r="A264" s="56"/>
      <c r="G264" s="13"/>
      <c r="H264" s="35">
        <v>259</v>
      </c>
      <c r="I264" s="36" t="str">
        <f t="shared" si="19"/>
        <v/>
      </c>
      <c r="J264" s="35" t="e">
        <f t="shared" si="22"/>
        <v>#NUM!</v>
      </c>
      <c r="K264" s="35" t="e">
        <f t="shared" si="20"/>
        <v>#NUM!</v>
      </c>
      <c r="L264" s="35"/>
      <c r="M264" s="37">
        <f t="shared" si="21"/>
        <v>0</v>
      </c>
    </row>
    <row r="265" spans="1:13" x14ac:dyDescent="0.25">
      <c r="A265" s="56"/>
      <c r="G265" s="13"/>
      <c r="H265" s="35">
        <v>260</v>
      </c>
      <c r="I265" s="36" t="str">
        <f t="shared" si="19"/>
        <v/>
      </c>
      <c r="J265" s="35" t="e">
        <f t="shared" si="22"/>
        <v>#NUM!</v>
      </c>
      <c r="K265" s="35" t="e">
        <f t="shared" si="20"/>
        <v>#NUM!</v>
      </c>
      <c r="L265" s="35"/>
      <c r="M265" s="37">
        <f t="shared" si="21"/>
        <v>0</v>
      </c>
    </row>
    <row r="266" spans="1:13" x14ac:dyDescent="0.25">
      <c r="A266" s="56"/>
      <c r="G266" s="13"/>
      <c r="H266" s="35">
        <v>261</v>
      </c>
      <c r="I266" s="36" t="str">
        <f t="shared" si="19"/>
        <v/>
      </c>
      <c r="J266" s="35" t="e">
        <f t="shared" si="22"/>
        <v>#NUM!</v>
      </c>
      <c r="K266" s="35" t="e">
        <f t="shared" si="20"/>
        <v>#NUM!</v>
      </c>
      <c r="L266" s="35"/>
      <c r="M266" s="37">
        <f t="shared" si="21"/>
        <v>0</v>
      </c>
    </row>
    <row r="267" spans="1:13" x14ac:dyDescent="0.25">
      <c r="A267" s="56"/>
      <c r="G267" s="13"/>
      <c r="H267" s="35">
        <v>262</v>
      </c>
      <c r="I267" s="36" t="str">
        <f t="shared" si="19"/>
        <v/>
      </c>
      <c r="J267" s="35" t="e">
        <f t="shared" si="22"/>
        <v>#NUM!</v>
      </c>
      <c r="K267" s="35" t="e">
        <f t="shared" si="20"/>
        <v>#NUM!</v>
      </c>
      <c r="L267" s="35"/>
      <c r="M267" s="37">
        <f t="shared" si="21"/>
        <v>0</v>
      </c>
    </row>
    <row r="268" spans="1:13" x14ac:dyDescent="0.25">
      <c r="A268" s="56"/>
      <c r="G268" s="13"/>
      <c r="H268" s="35">
        <v>263</v>
      </c>
      <c r="I268" s="36" t="str">
        <f t="shared" si="19"/>
        <v/>
      </c>
      <c r="J268" s="35" t="e">
        <f t="shared" si="22"/>
        <v>#NUM!</v>
      </c>
      <c r="K268" s="35" t="e">
        <f t="shared" si="20"/>
        <v>#NUM!</v>
      </c>
      <c r="L268" s="35"/>
      <c r="M268" s="37">
        <f t="shared" si="21"/>
        <v>0</v>
      </c>
    </row>
    <row r="269" spans="1:13" x14ac:dyDescent="0.25">
      <c r="A269" s="56"/>
      <c r="G269" s="13"/>
      <c r="H269" s="35">
        <v>264</v>
      </c>
      <c r="I269" s="36" t="str">
        <f t="shared" si="19"/>
        <v/>
      </c>
      <c r="J269" s="35" t="e">
        <f t="shared" si="22"/>
        <v>#NUM!</v>
      </c>
      <c r="K269" s="35" t="e">
        <f t="shared" si="20"/>
        <v>#NUM!</v>
      </c>
      <c r="L269" s="35"/>
      <c r="M269" s="37">
        <f t="shared" si="21"/>
        <v>0</v>
      </c>
    </row>
    <row r="270" spans="1:13" x14ac:dyDescent="0.25">
      <c r="A270" s="56"/>
      <c r="G270" s="13"/>
      <c r="H270" s="35">
        <v>265</v>
      </c>
      <c r="I270" s="36" t="str">
        <f t="shared" si="19"/>
        <v/>
      </c>
      <c r="J270" s="35" t="e">
        <f t="shared" si="22"/>
        <v>#NUM!</v>
      </c>
      <c r="K270" s="35" t="e">
        <f t="shared" si="20"/>
        <v>#NUM!</v>
      </c>
      <c r="L270" s="35"/>
      <c r="M270" s="37">
        <f t="shared" si="21"/>
        <v>0</v>
      </c>
    </row>
    <row r="271" spans="1:13" x14ac:dyDescent="0.25">
      <c r="A271" s="56"/>
      <c r="G271" s="13"/>
      <c r="H271" s="35">
        <v>266</v>
      </c>
      <c r="I271" s="36" t="str">
        <f t="shared" si="19"/>
        <v/>
      </c>
      <c r="J271" s="35" t="e">
        <f t="shared" si="22"/>
        <v>#NUM!</v>
      </c>
      <c r="K271" s="35" t="e">
        <f t="shared" si="20"/>
        <v>#NUM!</v>
      </c>
      <c r="L271" s="35"/>
      <c r="M271" s="37">
        <f t="shared" si="21"/>
        <v>0</v>
      </c>
    </row>
    <row r="272" spans="1:13" x14ac:dyDescent="0.25">
      <c r="A272" s="56"/>
      <c r="G272" s="13"/>
      <c r="H272" s="35">
        <v>267</v>
      </c>
      <c r="I272" s="36" t="str">
        <f t="shared" si="19"/>
        <v/>
      </c>
      <c r="J272" s="35" t="e">
        <f t="shared" si="22"/>
        <v>#NUM!</v>
      </c>
      <c r="K272" s="35" t="e">
        <f t="shared" si="20"/>
        <v>#NUM!</v>
      </c>
      <c r="L272" s="35"/>
      <c r="M272" s="37">
        <f t="shared" si="21"/>
        <v>0</v>
      </c>
    </row>
    <row r="273" spans="1:13" x14ac:dyDescent="0.25">
      <c r="A273" s="56"/>
      <c r="G273" s="13"/>
      <c r="H273" s="35">
        <v>268</v>
      </c>
      <c r="I273" s="36" t="str">
        <f t="shared" si="19"/>
        <v/>
      </c>
      <c r="J273" s="35" t="e">
        <f t="shared" si="22"/>
        <v>#NUM!</v>
      </c>
      <c r="K273" s="35" t="e">
        <f t="shared" si="20"/>
        <v>#NUM!</v>
      </c>
      <c r="L273" s="35"/>
      <c r="M273" s="37">
        <f t="shared" si="21"/>
        <v>0</v>
      </c>
    </row>
    <row r="274" spans="1:13" x14ac:dyDescent="0.25">
      <c r="A274" s="56"/>
      <c r="G274" s="13"/>
      <c r="H274" s="35">
        <v>269</v>
      </c>
      <c r="I274" s="36" t="str">
        <f t="shared" si="19"/>
        <v/>
      </c>
      <c r="J274" s="35" t="e">
        <f t="shared" si="22"/>
        <v>#NUM!</v>
      </c>
      <c r="K274" s="35" t="e">
        <f t="shared" si="20"/>
        <v>#NUM!</v>
      </c>
      <c r="L274" s="35"/>
      <c r="M274" s="37">
        <f t="shared" si="21"/>
        <v>0</v>
      </c>
    </row>
    <row r="275" spans="1:13" x14ac:dyDescent="0.25">
      <c r="A275" s="56"/>
      <c r="G275" s="13"/>
      <c r="H275" s="35">
        <v>270</v>
      </c>
      <c r="I275" s="36" t="str">
        <f t="shared" si="19"/>
        <v/>
      </c>
      <c r="J275" s="35" t="e">
        <f t="shared" si="22"/>
        <v>#NUM!</v>
      </c>
      <c r="K275" s="35" t="e">
        <f t="shared" si="20"/>
        <v>#NUM!</v>
      </c>
      <c r="L275" s="35"/>
      <c r="M275" s="37">
        <f t="shared" si="21"/>
        <v>0</v>
      </c>
    </row>
    <row r="276" spans="1:13" x14ac:dyDescent="0.25">
      <c r="A276" s="56"/>
      <c r="G276" s="13"/>
      <c r="H276" s="35">
        <v>271</v>
      </c>
      <c r="I276" s="36" t="str">
        <f t="shared" si="19"/>
        <v/>
      </c>
      <c r="J276" s="35" t="e">
        <f t="shared" si="22"/>
        <v>#NUM!</v>
      </c>
      <c r="K276" s="35" t="e">
        <f t="shared" si="20"/>
        <v>#NUM!</v>
      </c>
      <c r="L276" s="35"/>
      <c r="M276" s="37">
        <f t="shared" si="21"/>
        <v>0</v>
      </c>
    </row>
    <row r="277" spans="1:13" x14ac:dyDescent="0.25">
      <c r="A277" s="56"/>
      <c r="G277" s="13"/>
      <c r="H277" s="35">
        <v>272</v>
      </c>
      <c r="I277" s="36" t="str">
        <f t="shared" si="19"/>
        <v/>
      </c>
      <c r="J277" s="35" t="e">
        <f t="shared" si="22"/>
        <v>#NUM!</v>
      </c>
      <c r="K277" s="35" t="e">
        <f t="shared" si="20"/>
        <v>#NUM!</v>
      </c>
      <c r="L277" s="35"/>
      <c r="M277" s="37">
        <f t="shared" si="21"/>
        <v>0</v>
      </c>
    </row>
    <row r="278" spans="1:13" x14ac:dyDescent="0.25">
      <c r="A278" s="56"/>
      <c r="G278" s="13"/>
      <c r="H278" s="35">
        <v>273</v>
      </c>
      <c r="I278" s="36" t="str">
        <f t="shared" si="19"/>
        <v/>
      </c>
      <c r="J278" s="35" t="e">
        <f t="shared" si="22"/>
        <v>#NUM!</v>
      </c>
      <c r="K278" s="35" t="e">
        <f t="shared" si="20"/>
        <v>#NUM!</v>
      </c>
      <c r="L278" s="35"/>
      <c r="M278" s="37">
        <f t="shared" si="21"/>
        <v>0</v>
      </c>
    </row>
    <row r="279" spans="1:13" x14ac:dyDescent="0.25">
      <c r="A279" s="56"/>
      <c r="G279" s="13"/>
      <c r="H279" s="35">
        <v>274</v>
      </c>
      <c r="I279" s="36" t="str">
        <f t="shared" si="19"/>
        <v/>
      </c>
      <c r="J279" s="35" t="e">
        <f t="shared" si="22"/>
        <v>#NUM!</v>
      </c>
      <c r="K279" s="35" t="e">
        <f t="shared" si="20"/>
        <v>#NUM!</v>
      </c>
      <c r="L279" s="35"/>
      <c r="M279" s="37">
        <f t="shared" si="21"/>
        <v>0</v>
      </c>
    </row>
    <row r="280" spans="1:13" x14ac:dyDescent="0.25">
      <c r="A280" s="56"/>
      <c r="G280" s="13"/>
      <c r="H280" s="35">
        <v>275</v>
      </c>
      <c r="I280" s="36" t="str">
        <f t="shared" si="19"/>
        <v/>
      </c>
      <c r="J280" s="35" t="e">
        <f t="shared" si="22"/>
        <v>#NUM!</v>
      </c>
      <c r="K280" s="35" t="e">
        <f t="shared" si="20"/>
        <v>#NUM!</v>
      </c>
      <c r="L280" s="35"/>
      <c r="M280" s="37">
        <f t="shared" si="21"/>
        <v>0</v>
      </c>
    </row>
    <row r="281" spans="1:13" x14ac:dyDescent="0.25">
      <c r="A281" s="56"/>
      <c r="G281" s="13"/>
      <c r="H281" s="35">
        <v>276</v>
      </c>
      <c r="I281" s="36" t="str">
        <f t="shared" si="19"/>
        <v/>
      </c>
      <c r="J281" s="35" t="e">
        <f t="shared" si="22"/>
        <v>#NUM!</v>
      </c>
      <c r="K281" s="35" t="e">
        <f t="shared" si="20"/>
        <v>#NUM!</v>
      </c>
      <c r="L281" s="35"/>
      <c r="M281" s="37">
        <f t="shared" si="21"/>
        <v>0</v>
      </c>
    </row>
    <row r="282" spans="1:13" x14ac:dyDescent="0.25">
      <c r="A282" s="56"/>
      <c r="G282" s="13"/>
      <c r="H282" s="35">
        <v>277</v>
      </c>
      <c r="I282" s="36" t="str">
        <f t="shared" si="19"/>
        <v/>
      </c>
      <c r="J282" s="35" t="e">
        <f t="shared" si="22"/>
        <v>#NUM!</v>
      </c>
      <c r="K282" s="35" t="e">
        <f t="shared" si="20"/>
        <v>#NUM!</v>
      </c>
      <c r="L282" s="35"/>
      <c r="M282" s="37">
        <f t="shared" si="21"/>
        <v>0</v>
      </c>
    </row>
    <row r="283" spans="1:13" x14ac:dyDescent="0.25">
      <c r="A283" s="56"/>
      <c r="G283" s="13"/>
      <c r="H283" s="35">
        <v>278</v>
      </c>
      <c r="I283" s="36" t="str">
        <f t="shared" si="19"/>
        <v/>
      </c>
      <c r="J283" s="35" t="e">
        <f t="shared" si="22"/>
        <v>#NUM!</v>
      </c>
      <c r="K283" s="35" t="e">
        <f t="shared" si="20"/>
        <v>#NUM!</v>
      </c>
      <c r="L283" s="35"/>
      <c r="M283" s="37">
        <f t="shared" si="21"/>
        <v>0</v>
      </c>
    </row>
    <row r="284" spans="1:13" x14ac:dyDescent="0.25">
      <c r="A284" s="56"/>
      <c r="G284" s="13"/>
      <c r="H284" s="35">
        <v>279</v>
      </c>
      <c r="I284" s="36" t="str">
        <f t="shared" si="19"/>
        <v/>
      </c>
      <c r="J284" s="35" t="e">
        <f t="shared" si="22"/>
        <v>#NUM!</v>
      </c>
      <c r="K284" s="35" t="e">
        <f t="shared" si="20"/>
        <v>#NUM!</v>
      </c>
      <c r="L284" s="35"/>
      <c r="M284" s="37">
        <f t="shared" si="21"/>
        <v>0</v>
      </c>
    </row>
    <row r="285" spans="1:13" x14ac:dyDescent="0.25">
      <c r="A285" s="56"/>
      <c r="G285" s="13"/>
      <c r="H285" s="35">
        <v>280</v>
      </c>
      <c r="I285" s="36" t="str">
        <f t="shared" si="19"/>
        <v/>
      </c>
      <c r="J285" s="35" t="e">
        <f t="shared" si="22"/>
        <v>#NUM!</v>
      </c>
      <c r="K285" s="35" t="e">
        <f t="shared" si="20"/>
        <v>#NUM!</v>
      </c>
      <c r="L285" s="35"/>
      <c r="M285" s="37">
        <f t="shared" si="21"/>
        <v>0</v>
      </c>
    </row>
    <row r="286" spans="1:13" x14ac:dyDescent="0.25">
      <c r="A286" s="56"/>
      <c r="G286" s="13"/>
      <c r="H286" s="35">
        <v>281</v>
      </c>
      <c r="I286" s="36" t="str">
        <f t="shared" si="19"/>
        <v/>
      </c>
      <c r="J286" s="35" t="e">
        <f t="shared" si="22"/>
        <v>#NUM!</v>
      </c>
      <c r="K286" s="35" t="e">
        <f t="shared" si="20"/>
        <v>#NUM!</v>
      </c>
      <c r="L286" s="35"/>
      <c r="M286" s="37">
        <f t="shared" si="21"/>
        <v>0</v>
      </c>
    </row>
    <row r="287" spans="1:13" x14ac:dyDescent="0.25">
      <c r="A287" s="56"/>
      <c r="G287" s="13"/>
      <c r="H287" s="35">
        <v>282</v>
      </c>
      <c r="I287" s="36" t="str">
        <f t="shared" si="19"/>
        <v/>
      </c>
      <c r="J287" s="35" t="e">
        <f t="shared" si="22"/>
        <v>#NUM!</v>
      </c>
      <c r="K287" s="35" t="e">
        <f t="shared" si="20"/>
        <v>#NUM!</v>
      </c>
      <c r="L287" s="35"/>
      <c r="M287" s="37">
        <f t="shared" si="21"/>
        <v>0</v>
      </c>
    </row>
    <row r="288" spans="1:13" x14ac:dyDescent="0.25">
      <c r="A288" s="56"/>
      <c r="G288" s="13"/>
      <c r="H288" s="35">
        <v>283</v>
      </c>
      <c r="I288" s="36" t="str">
        <f t="shared" si="19"/>
        <v/>
      </c>
      <c r="J288" s="35" t="e">
        <f t="shared" si="22"/>
        <v>#NUM!</v>
      </c>
      <c r="K288" s="35" t="e">
        <f t="shared" si="20"/>
        <v>#NUM!</v>
      </c>
      <c r="L288" s="35"/>
      <c r="M288" s="37">
        <f t="shared" si="21"/>
        <v>0</v>
      </c>
    </row>
    <row r="289" spans="1:13" x14ac:dyDescent="0.25">
      <c r="A289" s="56"/>
      <c r="G289" s="13"/>
      <c r="H289" s="35">
        <v>284</v>
      </c>
      <c r="I289" s="36" t="str">
        <f t="shared" si="19"/>
        <v/>
      </c>
      <c r="J289" s="35" t="e">
        <f t="shared" si="22"/>
        <v>#NUM!</v>
      </c>
      <c r="K289" s="35" t="e">
        <f t="shared" si="20"/>
        <v>#NUM!</v>
      </c>
      <c r="L289" s="35"/>
      <c r="M289" s="37">
        <f t="shared" si="21"/>
        <v>0</v>
      </c>
    </row>
    <row r="290" spans="1:13" x14ac:dyDescent="0.25">
      <c r="A290" s="56"/>
      <c r="G290" s="13"/>
      <c r="H290" s="35">
        <v>285</v>
      </c>
      <c r="I290" s="36" t="str">
        <f t="shared" si="19"/>
        <v/>
      </c>
      <c r="J290" s="35" t="e">
        <f t="shared" si="22"/>
        <v>#NUM!</v>
      </c>
      <c r="K290" s="35" t="e">
        <f t="shared" si="20"/>
        <v>#NUM!</v>
      </c>
      <c r="L290" s="35"/>
      <c r="M290" s="37">
        <f t="shared" si="21"/>
        <v>0</v>
      </c>
    </row>
    <row r="291" spans="1:13" x14ac:dyDescent="0.25">
      <c r="A291" s="56"/>
      <c r="G291" s="13"/>
      <c r="H291" s="35">
        <v>286</v>
      </c>
      <c r="I291" s="36" t="str">
        <f t="shared" si="19"/>
        <v/>
      </c>
      <c r="J291" s="35" t="e">
        <f t="shared" si="22"/>
        <v>#NUM!</v>
      </c>
      <c r="K291" s="35" t="e">
        <f t="shared" si="20"/>
        <v>#NUM!</v>
      </c>
      <c r="L291" s="35"/>
      <c r="M291" s="37">
        <f t="shared" si="21"/>
        <v>0</v>
      </c>
    </row>
    <row r="292" spans="1:13" x14ac:dyDescent="0.25">
      <c r="A292" s="56"/>
      <c r="G292" s="13"/>
      <c r="H292" s="35">
        <v>287</v>
      </c>
      <c r="I292" s="36" t="str">
        <f t="shared" si="19"/>
        <v/>
      </c>
      <c r="J292" s="35" t="e">
        <f t="shared" si="22"/>
        <v>#NUM!</v>
      </c>
      <c r="K292" s="35" t="e">
        <f t="shared" si="20"/>
        <v>#NUM!</v>
      </c>
      <c r="L292" s="35"/>
      <c r="M292" s="37">
        <f t="shared" si="21"/>
        <v>0</v>
      </c>
    </row>
    <row r="293" spans="1:13" x14ac:dyDescent="0.25">
      <c r="A293" s="56"/>
      <c r="G293" s="13"/>
      <c r="H293" s="35">
        <v>288</v>
      </c>
      <c r="I293" s="36" t="str">
        <f t="shared" si="19"/>
        <v/>
      </c>
      <c r="J293" s="35" t="e">
        <f t="shared" si="22"/>
        <v>#NUM!</v>
      </c>
      <c r="K293" s="35" t="e">
        <f t="shared" si="20"/>
        <v>#NUM!</v>
      </c>
      <c r="L293" s="35"/>
      <c r="M293" s="37">
        <f t="shared" si="21"/>
        <v>0</v>
      </c>
    </row>
    <row r="294" spans="1:13" x14ac:dyDescent="0.25">
      <c r="A294" s="56"/>
      <c r="G294" s="13"/>
      <c r="H294" s="35">
        <v>289</v>
      </c>
      <c r="I294" s="36" t="str">
        <f t="shared" si="19"/>
        <v/>
      </c>
      <c r="J294" s="35" t="e">
        <f t="shared" si="22"/>
        <v>#NUM!</v>
      </c>
      <c r="K294" s="35" t="e">
        <f t="shared" si="20"/>
        <v>#NUM!</v>
      </c>
      <c r="L294" s="35"/>
      <c r="M294" s="37">
        <f t="shared" si="21"/>
        <v>0</v>
      </c>
    </row>
    <row r="295" spans="1:13" x14ac:dyDescent="0.25">
      <c r="A295" s="56"/>
      <c r="G295" s="13"/>
      <c r="H295" s="35">
        <v>290</v>
      </c>
      <c r="I295" s="36" t="str">
        <f t="shared" si="19"/>
        <v/>
      </c>
      <c r="J295" s="35" t="e">
        <f t="shared" si="22"/>
        <v>#NUM!</v>
      </c>
      <c r="K295" s="35" t="e">
        <f t="shared" si="20"/>
        <v>#NUM!</v>
      </c>
      <c r="L295" s="35"/>
      <c r="M295" s="37">
        <f t="shared" si="21"/>
        <v>0</v>
      </c>
    </row>
    <row r="296" spans="1:13" x14ac:dyDescent="0.25">
      <c r="A296" s="56"/>
      <c r="G296" s="13"/>
      <c r="H296" s="35">
        <v>291</v>
      </c>
      <c r="I296" s="36" t="str">
        <f t="shared" si="19"/>
        <v/>
      </c>
      <c r="J296" s="35" t="e">
        <f t="shared" si="22"/>
        <v>#NUM!</v>
      </c>
      <c r="K296" s="35" t="e">
        <f t="shared" si="20"/>
        <v>#NUM!</v>
      </c>
      <c r="L296" s="35"/>
      <c r="M296" s="37">
        <f t="shared" si="21"/>
        <v>0</v>
      </c>
    </row>
    <row r="297" spans="1:13" x14ac:dyDescent="0.25">
      <c r="A297" s="56"/>
      <c r="G297" s="13"/>
      <c r="H297" s="35">
        <v>292</v>
      </c>
      <c r="I297" s="36" t="str">
        <f t="shared" si="19"/>
        <v/>
      </c>
      <c r="J297" s="35" t="e">
        <f t="shared" si="22"/>
        <v>#NUM!</v>
      </c>
      <c r="K297" s="35" t="e">
        <f t="shared" si="20"/>
        <v>#NUM!</v>
      </c>
      <c r="L297" s="35"/>
      <c r="M297" s="37">
        <f t="shared" si="21"/>
        <v>0</v>
      </c>
    </row>
    <row r="298" spans="1:13" x14ac:dyDescent="0.25">
      <c r="A298" s="56"/>
      <c r="G298" s="13"/>
      <c r="H298" s="35">
        <v>293</v>
      </c>
      <c r="I298" s="36" t="str">
        <f t="shared" si="19"/>
        <v/>
      </c>
      <c r="J298" s="35" t="e">
        <f t="shared" si="22"/>
        <v>#NUM!</v>
      </c>
      <c r="K298" s="35" t="e">
        <f t="shared" si="20"/>
        <v>#NUM!</v>
      </c>
      <c r="L298" s="35"/>
      <c r="M298" s="37">
        <f t="shared" si="21"/>
        <v>0</v>
      </c>
    </row>
    <row r="299" spans="1:13" x14ac:dyDescent="0.25">
      <c r="A299" s="56"/>
      <c r="G299" s="13"/>
      <c r="H299" s="35">
        <v>294</v>
      </c>
      <c r="I299" s="36" t="str">
        <f t="shared" si="19"/>
        <v/>
      </c>
      <c r="J299" s="35" t="e">
        <f t="shared" si="22"/>
        <v>#NUM!</v>
      </c>
      <c r="K299" s="35" t="e">
        <f t="shared" si="20"/>
        <v>#NUM!</v>
      </c>
      <c r="L299" s="35"/>
      <c r="M299" s="37">
        <f t="shared" si="21"/>
        <v>0</v>
      </c>
    </row>
    <row r="300" spans="1:13" x14ac:dyDescent="0.25">
      <c r="A300" s="56"/>
      <c r="G300" s="13"/>
      <c r="H300" s="35">
        <v>295</v>
      </c>
      <c r="I300" s="36" t="str">
        <f t="shared" si="19"/>
        <v/>
      </c>
      <c r="J300" s="35" t="e">
        <f t="shared" si="22"/>
        <v>#NUM!</v>
      </c>
      <c r="K300" s="35" t="e">
        <f t="shared" si="20"/>
        <v>#NUM!</v>
      </c>
      <c r="L300" s="35"/>
      <c r="M300" s="37">
        <f t="shared" si="21"/>
        <v>0</v>
      </c>
    </row>
    <row r="301" spans="1:13" x14ac:dyDescent="0.25">
      <c r="A301" s="56"/>
      <c r="G301" s="13"/>
      <c r="H301" s="35">
        <v>296</v>
      </c>
      <c r="I301" s="36" t="str">
        <f t="shared" si="19"/>
        <v/>
      </c>
      <c r="J301" s="35" t="e">
        <f t="shared" si="22"/>
        <v>#NUM!</v>
      </c>
      <c r="K301" s="35" t="e">
        <f t="shared" si="20"/>
        <v>#NUM!</v>
      </c>
      <c r="L301" s="35"/>
      <c r="M301" s="37">
        <f t="shared" si="21"/>
        <v>0</v>
      </c>
    </row>
    <row r="302" spans="1:13" x14ac:dyDescent="0.25">
      <c r="A302" s="56"/>
      <c r="G302" s="13"/>
      <c r="H302" s="35">
        <v>297</v>
      </c>
      <c r="I302" s="36" t="str">
        <f t="shared" si="19"/>
        <v/>
      </c>
      <c r="J302" s="35" t="e">
        <f t="shared" si="22"/>
        <v>#NUM!</v>
      </c>
      <c r="K302" s="35" t="e">
        <f t="shared" si="20"/>
        <v>#NUM!</v>
      </c>
      <c r="L302" s="35"/>
      <c r="M302" s="37">
        <f t="shared" si="21"/>
        <v>0</v>
      </c>
    </row>
    <row r="303" spans="1:13" x14ac:dyDescent="0.25">
      <c r="A303" s="56"/>
      <c r="G303" s="13"/>
      <c r="H303" s="35">
        <v>298</v>
      </c>
      <c r="I303" s="36" t="str">
        <f t="shared" si="19"/>
        <v/>
      </c>
      <c r="J303" s="35" t="e">
        <f t="shared" si="22"/>
        <v>#NUM!</v>
      </c>
      <c r="K303" s="35" t="e">
        <f t="shared" si="20"/>
        <v>#NUM!</v>
      </c>
      <c r="L303" s="35"/>
      <c r="M303" s="37">
        <f t="shared" si="21"/>
        <v>0</v>
      </c>
    </row>
    <row r="304" spans="1:13" x14ac:dyDescent="0.25">
      <c r="A304" s="56"/>
      <c r="G304" s="13"/>
      <c r="H304" s="35">
        <v>299</v>
      </c>
      <c r="I304" s="36" t="str">
        <f t="shared" si="19"/>
        <v/>
      </c>
      <c r="J304" s="35" t="e">
        <f t="shared" si="22"/>
        <v>#NUM!</v>
      </c>
      <c r="K304" s="35" t="e">
        <f t="shared" si="20"/>
        <v>#NUM!</v>
      </c>
      <c r="L304" s="35"/>
      <c r="M304" s="37">
        <f t="shared" si="21"/>
        <v>0</v>
      </c>
    </row>
    <row r="305" spans="1:16" x14ac:dyDescent="0.25">
      <c r="A305" s="56"/>
      <c r="G305" s="13"/>
      <c r="H305" s="35">
        <v>300</v>
      </c>
      <c r="I305" s="36" t="str">
        <f t="shared" si="19"/>
        <v/>
      </c>
      <c r="J305" s="35" t="e">
        <f t="shared" si="22"/>
        <v>#NUM!</v>
      </c>
      <c r="K305" s="35" t="e">
        <f t="shared" si="20"/>
        <v>#NUM!</v>
      </c>
      <c r="L305" s="35"/>
      <c r="M305" s="37">
        <f t="shared" si="21"/>
        <v>0</v>
      </c>
    </row>
    <row r="306" spans="1:16" x14ac:dyDescent="0.25">
      <c r="A306" s="58"/>
      <c r="J306" s="59" t="e">
        <f t="shared" si="22"/>
        <v>#NUM!</v>
      </c>
    </row>
    <row r="307" spans="1:16" x14ac:dyDescent="0.25">
      <c r="J307" s="59" t="e">
        <f t="shared" si="22"/>
        <v>#NUM!</v>
      </c>
    </row>
    <row r="308" spans="1:16" x14ac:dyDescent="0.25">
      <c r="J308" s="59" t="e">
        <f t="shared" si="22"/>
        <v>#NUM!</v>
      </c>
    </row>
    <row r="309" spans="1:16" x14ac:dyDescent="0.25">
      <c r="J309" s="59" t="e">
        <f t="shared" si="22"/>
        <v>#NUM!</v>
      </c>
    </row>
    <row r="310" spans="1:16" x14ac:dyDescent="0.25">
      <c r="J310" s="59" t="e">
        <f t="shared" si="22"/>
        <v>#NUM!</v>
      </c>
    </row>
    <row r="311" spans="1:16" x14ac:dyDescent="0.25">
      <c r="J311" s="59" t="e">
        <f t="shared" si="22"/>
        <v>#NUM!</v>
      </c>
    </row>
    <row r="312" spans="1:16" x14ac:dyDescent="0.25">
      <c r="J312" s="59" t="e">
        <f t="shared" si="22"/>
        <v>#NUM!</v>
      </c>
    </row>
    <row r="313" spans="1:16" x14ac:dyDescent="0.25">
      <c r="J313" s="59" t="e">
        <f t="shared" si="22"/>
        <v>#NUM!</v>
      </c>
    </row>
    <row r="314" spans="1:16" x14ac:dyDescent="0.25">
      <c r="J314" s="59" t="e">
        <f t="shared" si="22"/>
        <v>#NUM!</v>
      </c>
      <c r="L314" s="61"/>
      <c r="P314" s="51"/>
    </row>
    <row r="315" spans="1:16" x14ac:dyDescent="0.25">
      <c r="J315" s="59" t="e">
        <f t="shared" si="22"/>
        <v>#NUM!</v>
      </c>
      <c r="L315" s="61"/>
      <c r="P315" s="51"/>
    </row>
    <row r="316" spans="1:16" x14ac:dyDescent="0.25">
      <c r="J316" s="59" t="e">
        <f t="shared" si="22"/>
        <v>#NUM!</v>
      </c>
      <c r="L316" s="61"/>
      <c r="P316" s="51"/>
    </row>
    <row r="317" spans="1:16" x14ac:dyDescent="0.25">
      <c r="J317" s="59" t="e">
        <f t="shared" si="22"/>
        <v>#NUM!</v>
      </c>
      <c r="L317" s="61"/>
      <c r="P317" s="51"/>
    </row>
    <row r="318" spans="1:16" x14ac:dyDescent="0.25">
      <c r="J318" s="59" t="e">
        <f t="shared" si="22"/>
        <v>#NUM!</v>
      </c>
    </row>
    <row r="319" spans="1:16" x14ac:dyDescent="0.25">
      <c r="J319" s="59" t="e">
        <f t="shared" si="22"/>
        <v>#NUM!</v>
      </c>
    </row>
    <row r="320" spans="1:16" x14ac:dyDescent="0.25">
      <c r="J320" s="59" t="e">
        <f t="shared" si="22"/>
        <v>#NUM!</v>
      </c>
    </row>
    <row r="321" spans="10:10" x14ac:dyDescent="0.25">
      <c r="J321" s="59" t="e">
        <f t="shared" si="22"/>
        <v>#NUM!</v>
      </c>
    </row>
    <row r="322" spans="10:10" x14ac:dyDescent="0.25">
      <c r="J322" s="59" t="e">
        <f t="shared" si="22"/>
        <v>#NUM!</v>
      </c>
    </row>
    <row r="323" spans="10:10" x14ac:dyDescent="0.25">
      <c r="J323" s="59" t="e">
        <f t="shared" si="22"/>
        <v>#NUM!</v>
      </c>
    </row>
    <row r="324" spans="10:10" x14ac:dyDescent="0.25">
      <c r="J324" s="59" t="e">
        <f t="shared" si="22"/>
        <v>#NUM!</v>
      </c>
    </row>
    <row r="325" spans="10:10" x14ac:dyDescent="0.25">
      <c r="J325" s="59" t="e">
        <f t="shared" si="22"/>
        <v>#NUM!</v>
      </c>
    </row>
    <row r="326" spans="10:10" x14ac:dyDescent="0.25">
      <c r="J326" s="59" t="e">
        <f t="shared" si="22"/>
        <v>#NUM!</v>
      </c>
    </row>
    <row r="327" spans="10:10" x14ac:dyDescent="0.25">
      <c r="J327" s="59" t="e">
        <f t="shared" ref="J327:J374" si="23">INT(LOG($H$2,2))-ROUNDUP(LOG(H327,2),0)+IF(OR($H$2=1,$H$2=2,$H$2=4,$H$2=8,$H$2=16,$H$2=32,$H$2=64,$H$2=128,$H$2=256),0,1)</f>
        <v>#NUM!</v>
      </c>
    </row>
    <row r="328" spans="10:10" x14ac:dyDescent="0.25">
      <c r="J328" s="59" t="e">
        <f t="shared" si="23"/>
        <v>#NUM!</v>
      </c>
    </row>
    <row r="329" spans="10:10" x14ac:dyDescent="0.25">
      <c r="J329" s="59" t="e">
        <f t="shared" si="23"/>
        <v>#NUM!</v>
      </c>
    </row>
    <row r="330" spans="10:10" x14ac:dyDescent="0.25">
      <c r="J330" s="59" t="e">
        <f t="shared" si="23"/>
        <v>#NUM!</v>
      </c>
    </row>
    <row r="331" spans="10:10" x14ac:dyDescent="0.25">
      <c r="J331" s="59" t="e">
        <f t="shared" si="23"/>
        <v>#NUM!</v>
      </c>
    </row>
    <row r="332" spans="10:10" x14ac:dyDescent="0.25">
      <c r="J332" s="59" t="e">
        <f t="shared" si="23"/>
        <v>#NUM!</v>
      </c>
    </row>
    <row r="333" spans="10:10" x14ac:dyDescent="0.25">
      <c r="J333" s="59" t="e">
        <f t="shared" si="23"/>
        <v>#NUM!</v>
      </c>
    </row>
    <row r="334" spans="10:10" x14ac:dyDescent="0.25">
      <c r="J334" s="59" t="e">
        <f t="shared" si="23"/>
        <v>#NUM!</v>
      </c>
    </row>
    <row r="335" spans="10:10" x14ac:dyDescent="0.25">
      <c r="J335" s="59" t="e">
        <f t="shared" si="23"/>
        <v>#NUM!</v>
      </c>
    </row>
    <row r="336" spans="10:10" x14ac:dyDescent="0.25">
      <c r="J336" s="59" t="e">
        <f t="shared" si="23"/>
        <v>#NUM!</v>
      </c>
    </row>
    <row r="337" spans="10:10" x14ac:dyDescent="0.25">
      <c r="J337" s="59" t="e">
        <f t="shared" si="23"/>
        <v>#NUM!</v>
      </c>
    </row>
    <row r="338" spans="10:10" x14ac:dyDescent="0.25">
      <c r="J338" s="59" t="e">
        <f t="shared" si="23"/>
        <v>#NUM!</v>
      </c>
    </row>
    <row r="339" spans="10:10" x14ac:dyDescent="0.25">
      <c r="J339" s="59" t="e">
        <f t="shared" si="23"/>
        <v>#NUM!</v>
      </c>
    </row>
    <row r="340" spans="10:10" x14ac:dyDescent="0.25">
      <c r="J340" s="59" t="e">
        <f t="shared" si="23"/>
        <v>#NUM!</v>
      </c>
    </row>
    <row r="341" spans="10:10" x14ac:dyDescent="0.25">
      <c r="J341" s="59" t="e">
        <f t="shared" si="23"/>
        <v>#NUM!</v>
      </c>
    </row>
    <row r="342" spans="10:10" x14ac:dyDescent="0.25">
      <c r="J342" s="59" t="e">
        <f t="shared" si="23"/>
        <v>#NUM!</v>
      </c>
    </row>
    <row r="343" spans="10:10" x14ac:dyDescent="0.25">
      <c r="J343" s="59" t="e">
        <f t="shared" si="23"/>
        <v>#NUM!</v>
      </c>
    </row>
    <row r="344" spans="10:10" x14ac:dyDescent="0.25">
      <c r="J344" s="59" t="e">
        <f t="shared" si="23"/>
        <v>#NUM!</v>
      </c>
    </row>
    <row r="345" spans="10:10" x14ac:dyDescent="0.25">
      <c r="J345" s="59" t="e">
        <f t="shared" si="23"/>
        <v>#NUM!</v>
      </c>
    </row>
    <row r="346" spans="10:10" x14ac:dyDescent="0.25">
      <c r="J346" s="59" t="e">
        <f t="shared" si="23"/>
        <v>#NUM!</v>
      </c>
    </row>
    <row r="347" spans="10:10" x14ac:dyDescent="0.25">
      <c r="J347" s="59" t="e">
        <f t="shared" si="23"/>
        <v>#NUM!</v>
      </c>
    </row>
    <row r="348" spans="10:10" x14ac:dyDescent="0.25">
      <c r="J348" s="59" t="e">
        <f t="shared" si="23"/>
        <v>#NUM!</v>
      </c>
    </row>
    <row r="349" spans="10:10" x14ac:dyDescent="0.25">
      <c r="J349" s="59" t="e">
        <f t="shared" si="23"/>
        <v>#NUM!</v>
      </c>
    </row>
    <row r="350" spans="10:10" x14ac:dyDescent="0.25">
      <c r="J350" s="59" t="e">
        <f t="shared" si="23"/>
        <v>#NUM!</v>
      </c>
    </row>
    <row r="351" spans="10:10" x14ac:dyDescent="0.25">
      <c r="J351" s="59" t="e">
        <f t="shared" si="23"/>
        <v>#NUM!</v>
      </c>
    </row>
    <row r="352" spans="10:10" x14ac:dyDescent="0.25">
      <c r="J352" s="59" t="e">
        <f t="shared" si="23"/>
        <v>#NUM!</v>
      </c>
    </row>
    <row r="353" spans="10:10" x14ac:dyDescent="0.25">
      <c r="J353" s="59" t="e">
        <f t="shared" si="23"/>
        <v>#NUM!</v>
      </c>
    </row>
    <row r="354" spans="10:10" x14ac:dyDescent="0.25">
      <c r="J354" s="59" t="e">
        <f t="shared" si="23"/>
        <v>#NUM!</v>
      </c>
    </row>
    <row r="355" spans="10:10" x14ac:dyDescent="0.25">
      <c r="J355" s="59" t="e">
        <f t="shared" si="23"/>
        <v>#NUM!</v>
      </c>
    </row>
    <row r="356" spans="10:10" x14ac:dyDescent="0.25">
      <c r="J356" s="59" t="e">
        <f t="shared" si="23"/>
        <v>#NUM!</v>
      </c>
    </row>
    <row r="357" spans="10:10" x14ac:dyDescent="0.25">
      <c r="J357" s="59" t="e">
        <f t="shared" si="23"/>
        <v>#NUM!</v>
      </c>
    </row>
    <row r="358" spans="10:10" x14ac:dyDescent="0.25">
      <c r="J358" s="59" t="e">
        <f t="shared" si="23"/>
        <v>#NUM!</v>
      </c>
    </row>
    <row r="359" spans="10:10" x14ac:dyDescent="0.25">
      <c r="J359" s="59" t="e">
        <f t="shared" si="23"/>
        <v>#NUM!</v>
      </c>
    </row>
    <row r="360" spans="10:10" x14ac:dyDescent="0.25">
      <c r="J360" s="59" t="e">
        <f t="shared" si="23"/>
        <v>#NUM!</v>
      </c>
    </row>
    <row r="361" spans="10:10" x14ac:dyDescent="0.25">
      <c r="J361" s="59" t="e">
        <f t="shared" si="23"/>
        <v>#NUM!</v>
      </c>
    </row>
    <row r="362" spans="10:10" x14ac:dyDescent="0.25">
      <c r="J362" s="59" t="e">
        <f t="shared" si="23"/>
        <v>#NUM!</v>
      </c>
    </row>
    <row r="363" spans="10:10" x14ac:dyDescent="0.25">
      <c r="J363" s="59" t="e">
        <f t="shared" si="23"/>
        <v>#NUM!</v>
      </c>
    </row>
    <row r="364" spans="10:10" x14ac:dyDescent="0.25">
      <c r="J364" s="59" t="e">
        <f t="shared" si="23"/>
        <v>#NUM!</v>
      </c>
    </row>
    <row r="365" spans="10:10" x14ac:dyDescent="0.25">
      <c r="J365" s="59" t="e">
        <f t="shared" si="23"/>
        <v>#NUM!</v>
      </c>
    </row>
    <row r="366" spans="10:10" x14ac:dyDescent="0.25">
      <c r="J366" s="59" t="e">
        <f t="shared" si="23"/>
        <v>#NUM!</v>
      </c>
    </row>
    <row r="367" spans="10:10" x14ac:dyDescent="0.25">
      <c r="J367" s="59" t="e">
        <f t="shared" si="23"/>
        <v>#NUM!</v>
      </c>
    </row>
    <row r="368" spans="10:10" x14ac:dyDescent="0.25">
      <c r="J368" s="59" t="e">
        <f t="shared" si="23"/>
        <v>#NUM!</v>
      </c>
    </row>
    <row r="369" spans="10:10" x14ac:dyDescent="0.25">
      <c r="J369" s="59" t="e">
        <f t="shared" si="23"/>
        <v>#NUM!</v>
      </c>
    </row>
    <row r="370" spans="10:10" x14ac:dyDescent="0.25">
      <c r="J370" s="59" t="e">
        <f t="shared" si="23"/>
        <v>#NUM!</v>
      </c>
    </row>
    <row r="371" spans="10:10" x14ac:dyDescent="0.25">
      <c r="J371" s="59" t="e">
        <f t="shared" si="23"/>
        <v>#NUM!</v>
      </c>
    </row>
    <row r="372" spans="10:10" x14ac:dyDescent="0.25">
      <c r="J372" s="59" t="e">
        <f t="shared" si="23"/>
        <v>#NUM!</v>
      </c>
    </row>
    <row r="373" spans="10:10" x14ac:dyDescent="0.25">
      <c r="J373" s="59" t="e">
        <f t="shared" si="23"/>
        <v>#NUM!</v>
      </c>
    </row>
    <row r="374" spans="10:10" x14ac:dyDescent="0.25">
      <c r="J374" s="59" t="e">
        <f t="shared" si="23"/>
        <v>#NUM!</v>
      </c>
    </row>
  </sheetData>
  <mergeCells count="2">
    <mergeCell ref="C2:D2"/>
    <mergeCell ref="C3:D3"/>
  </mergeCells>
  <conditionalFormatting sqref="J9:K305">
    <cfRule type="cellIs" dxfId="34" priority="1" operator="lessThanOrEqual">
      <formula>0</formula>
    </cfRule>
  </conditionalFormatting>
  <hyperlinks>
    <hyperlink ref="C2:D2" r:id="rId1" location="today" display="PABIANICE" xr:uid="{483785BE-5C78-4E07-987E-2E4B17749D44}"/>
  </hyperlinks>
  <pageMargins left="0.7" right="0.7" top="0.75" bottom="0.75" header="0.3" footer="0.3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AAE054-A628-4039-BEF0-905FF98FCB9C}">
  <sheetPr>
    <tabColor rgb="FF92D050"/>
  </sheetPr>
  <dimension ref="A1:AL317"/>
  <sheetViews>
    <sheetView workbookViewId="0">
      <selection activeCell="C12" sqref="C12"/>
    </sheetView>
  </sheetViews>
  <sheetFormatPr defaultColWidth="8.875" defaultRowHeight="14.3" x14ac:dyDescent="0.25"/>
  <cols>
    <col min="1" max="1" width="8" style="57" customWidth="1"/>
    <col min="2" max="2" width="8.25" style="57" customWidth="1"/>
    <col min="3" max="3" width="34.75" style="57" customWidth="1"/>
    <col min="4" max="4" width="11.25" style="57" customWidth="1"/>
    <col min="5" max="6" width="8.875" style="57"/>
    <col min="7" max="7" width="0.875" style="57" customWidth="1"/>
    <col min="8" max="8" width="8.875" style="59"/>
    <col min="9" max="9" width="11" style="59" customWidth="1"/>
    <col min="10" max="10" width="15.25" style="59" customWidth="1"/>
    <col min="11" max="11" width="8.75" style="59" customWidth="1"/>
    <col min="12" max="12" width="11" style="59" customWidth="1"/>
    <col min="13" max="13" width="12.25" style="60" customWidth="1"/>
    <col min="14" max="14" width="13.875" style="13" customWidth="1"/>
    <col min="15" max="15" width="9.125" style="138" bestFit="1" customWidth="1"/>
    <col min="16" max="16" width="16.625" style="138" bestFit="1" customWidth="1"/>
    <col min="17" max="17" width="2.875" style="138" customWidth="1"/>
    <col min="18" max="18" width="11" style="138" customWidth="1"/>
    <col min="19" max="19" width="15.375" style="138" customWidth="1"/>
    <col min="20" max="20" width="8.625" style="138" customWidth="1"/>
    <col min="21" max="21" width="11" style="138" customWidth="1"/>
    <col min="22" max="22" width="12.375" style="139" customWidth="1"/>
    <col min="23" max="38" width="8.875" style="18"/>
    <col min="39" max="16384" width="8.875" style="57"/>
  </cols>
  <sheetData>
    <row r="1" spans="1:36" x14ac:dyDescent="0.25">
      <c r="A1" s="13"/>
      <c r="B1" s="13"/>
      <c r="C1" s="13"/>
      <c r="D1" s="13"/>
      <c r="E1" s="13"/>
      <c r="F1" s="13"/>
      <c r="G1" s="13"/>
      <c r="H1" s="14" t="s">
        <v>20</v>
      </c>
      <c r="I1" s="15" t="s">
        <v>21</v>
      </c>
      <c r="J1" s="15" t="s">
        <v>22</v>
      </c>
      <c r="K1" s="16" t="s">
        <v>23</v>
      </c>
      <c r="L1" s="17"/>
      <c r="M1" s="17"/>
      <c r="O1" s="128" t="s">
        <v>48</v>
      </c>
      <c r="P1" s="129"/>
      <c r="Q1" s="129"/>
      <c r="R1" s="130"/>
      <c r="S1" s="128"/>
      <c r="T1" s="128" t="s">
        <v>23</v>
      </c>
      <c r="U1" s="131"/>
      <c r="V1" s="131"/>
    </row>
    <row r="2" spans="1:36" x14ac:dyDescent="0.25">
      <c r="A2" s="13"/>
      <c r="B2" s="19" t="s">
        <v>24</v>
      </c>
      <c r="C2" s="277" t="s">
        <v>49</v>
      </c>
      <c r="D2" s="277"/>
      <c r="E2" s="20"/>
      <c r="F2" s="20"/>
      <c r="G2" s="20"/>
      <c r="H2" s="21">
        <v>1</v>
      </c>
      <c r="I2" s="22">
        <v>50</v>
      </c>
      <c r="J2" s="22">
        <v>10</v>
      </c>
      <c r="K2" s="23">
        <f>3*H2^(1/3)</f>
        <v>3</v>
      </c>
      <c r="L2" s="17"/>
      <c r="M2" s="17"/>
      <c r="O2" s="131">
        <v>4</v>
      </c>
      <c r="P2" s="129"/>
      <c r="Q2" s="129"/>
      <c r="R2" s="130"/>
      <c r="S2" s="131"/>
      <c r="T2" s="132">
        <f>3*O2^(1/3)</f>
        <v>4.7622031559045981</v>
      </c>
      <c r="U2" s="131"/>
      <c r="V2" s="131"/>
    </row>
    <row r="3" spans="1:36" x14ac:dyDescent="0.25">
      <c r="A3" s="13"/>
      <c r="B3" s="24" t="s">
        <v>26</v>
      </c>
      <c r="C3" s="278" t="s">
        <v>50</v>
      </c>
      <c r="D3" s="278"/>
      <c r="E3" s="25"/>
      <c r="F3" s="25"/>
      <c r="G3" s="25"/>
      <c r="H3" s="17"/>
      <c r="I3" s="17"/>
      <c r="J3" s="26"/>
      <c r="K3" s="17"/>
      <c r="L3" s="17"/>
      <c r="M3" s="17"/>
      <c r="O3" s="131"/>
      <c r="P3" s="131"/>
      <c r="Q3" s="131"/>
      <c r="R3" s="131"/>
      <c r="S3" s="132"/>
      <c r="T3" s="131"/>
      <c r="U3" s="131"/>
      <c r="V3" s="131"/>
    </row>
    <row r="4" spans="1:36" ht="10.199999999999999" customHeight="1" x14ac:dyDescent="0.25">
      <c r="A4" s="27"/>
      <c r="B4" s="25"/>
      <c r="C4" s="27"/>
      <c r="D4" s="27"/>
      <c r="E4" s="27"/>
      <c r="F4" s="27"/>
      <c r="G4" s="27"/>
      <c r="H4" s="17"/>
      <c r="I4" s="17"/>
      <c r="J4" s="26"/>
      <c r="K4" s="17"/>
      <c r="L4" s="17"/>
      <c r="M4" s="17"/>
      <c r="O4" s="279" t="s">
        <v>51</v>
      </c>
      <c r="P4" s="279"/>
      <c r="Q4" s="279"/>
      <c r="R4" s="279"/>
      <c r="S4" s="279"/>
      <c r="T4" s="279"/>
      <c r="U4" s="279"/>
      <c r="V4" s="279"/>
    </row>
    <row r="5" spans="1:36" ht="34.65" x14ac:dyDescent="0.25">
      <c r="A5" s="1" t="s">
        <v>28</v>
      </c>
      <c r="B5" s="28" t="s">
        <v>29</v>
      </c>
      <c r="C5" s="1" t="s">
        <v>30</v>
      </c>
      <c r="D5" s="1" t="s">
        <v>31</v>
      </c>
      <c r="E5" s="1" t="s">
        <v>32</v>
      </c>
      <c r="F5" s="1" t="s">
        <v>33</v>
      </c>
      <c r="G5" s="27"/>
      <c r="H5" s="29" t="s">
        <v>34</v>
      </c>
      <c r="I5" s="30" t="s">
        <v>35</v>
      </c>
      <c r="J5" s="31" t="s">
        <v>36</v>
      </c>
      <c r="K5" s="30" t="s">
        <v>37</v>
      </c>
      <c r="L5" s="30" t="s">
        <v>38</v>
      </c>
      <c r="M5" s="29" t="s">
        <v>39</v>
      </c>
      <c r="O5" s="133" t="s">
        <v>34</v>
      </c>
      <c r="P5" s="133" t="s">
        <v>52</v>
      </c>
      <c r="Q5" s="133"/>
      <c r="R5" s="133" t="s">
        <v>35</v>
      </c>
      <c r="S5" s="134" t="s">
        <v>36</v>
      </c>
      <c r="T5" s="133" t="s">
        <v>37</v>
      </c>
      <c r="U5" s="133" t="s">
        <v>38</v>
      </c>
      <c r="V5" s="133" t="s">
        <v>39</v>
      </c>
    </row>
    <row r="6" spans="1:36" ht="14.45" customHeight="1" x14ac:dyDescent="0.25">
      <c r="A6" s="32">
        <f t="shared" ref="A6:A37" si="0">M6</f>
        <v>59</v>
      </c>
      <c r="B6" s="33">
        <v>1</v>
      </c>
      <c r="C6" s="34" t="s">
        <v>19</v>
      </c>
      <c r="D6" s="34"/>
      <c r="E6" s="34"/>
      <c r="F6" s="34"/>
      <c r="G6" s="27"/>
      <c r="H6" s="35">
        <v>1</v>
      </c>
      <c r="I6" s="36">
        <f>IF(H2=1,50,IF(H6&lt;$H$2+1,($I$2-($I$2-1)*(LOG(H6)/LOG($H$2))),""))</f>
        <v>50</v>
      </c>
      <c r="J6" s="35">
        <f>INT(LOG($H$2,2))-ROUNDUP(LOG(H6,2),0)+IF(OR($H$2=1,$H$2=2,$H$2=4,$H$2=8,$H$2=16,$H$2=32,$H$2=64,$H$2=128,$H$2=256),0,1)</f>
        <v>0</v>
      </c>
      <c r="K6" s="35">
        <f t="shared" ref="K6:K69" si="1">J6*$J$2</f>
        <v>0</v>
      </c>
      <c r="L6" s="37">
        <f>3*K2</f>
        <v>9</v>
      </c>
      <c r="M6" s="37">
        <f t="shared" ref="M6:M69" si="2">IF(I6&lt;&gt;"",K6+I6+L6,0)</f>
        <v>59</v>
      </c>
      <c r="O6" s="131">
        <v>1</v>
      </c>
      <c r="P6" s="137" t="s">
        <v>53</v>
      </c>
      <c r="Q6" s="131"/>
      <c r="R6" s="135">
        <f>IF(O2=1,50,IF(O6&lt;$O$2+1,($I$2-($I$2-1)*(LOG(O6)/LOG($O$2))),""))</f>
        <v>50</v>
      </c>
      <c r="S6" s="131">
        <f t="shared" ref="S6:S69" si="3">INT(LOG($O$2,2))-ROUNDUP(LOG(O6,2),0)+IF(OR($O$2=1,$O$2=2,$O$2=4,$O$2=8,$O$2=16,$O$2=32,$O$2=64,$O$2=128,$O$2=256),0,1)</f>
        <v>2</v>
      </c>
      <c r="T6" s="131">
        <f t="shared" ref="T6:T69" si="4">S6*$J$2</f>
        <v>20</v>
      </c>
      <c r="U6" s="136">
        <f>3*T2</f>
        <v>14.286609467713795</v>
      </c>
      <c r="V6" s="136">
        <f t="shared" ref="V6:V69" si="5">IF(R6&lt;&gt;"",T6+R6+U6,0)</f>
        <v>84.286609467713788</v>
      </c>
    </row>
    <row r="7" spans="1:36" ht="14.45" customHeight="1" x14ac:dyDescent="0.25">
      <c r="A7" s="38">
        <f t="shared" si="0"/>
        <v>0</v>
      </c>
      <c r="B7" s="39" t="str">
        <f t="shared" ref="B7:B13" si="6">IF(H7&gt;$H$2,"",(ROW()-5))</f>
        <v/>
      </c>
      <c r="C7" s="40"/>
      <c r="D7" s="40"/>
      <c r="E7" s="40"/>
      <c r="F7" s="40"/>
      <c r="G7" s="27"/>
      <c r="H7" s="41">
        <v>2</v>
      </c>
      <c r="I7" s="42" t="str">
        <f t="shared" ref="I7:I69" si="7">IF(H7&lt;$H$2+1,($I$2-($I$2-1)*(LOG(H7)/LOG($H$2))),"")</f>
        <v/>
      </c>
      <c r="J7" s="41">
        <f t="shared" ref="J7:J70" si="8">INT(LOG($H$2,2))-ROUNDUP(LOG(H7,2),0)+IF(OR($H$2=1,$H$2=2,$H$2=4,$H$2=8,$H$2=16,$H$2=32,$H$2=64,$H$2=128,$H$2=256),0,1)</f>
        <v>-1</v>
      </c>
      <c r="K7" s="41">
        <f t="shared" si="1"/>
        <v>-10</v>
      </c>
      <c r="L7" s="43">
        <f>2*K2</f>
        <v>6</v>
      </c>
      <c r="M7" s="43">
        <f t="shared" si="2"/>
        <v>0</v>
      </c>
      <c r="O7" s="131">
        <v>2</v>
      </c>
      <c r="P7" s="137" t="s">
        <v>54</v>
      </c>
      <c r="Q7" s="131"/>
      <c r="R7" s="135">
        <f t="shared" ref="R7:R70" si="9">IF(O7&lt;$O$2+1,($I$2-($I$2-1)*(LOG(O7)/LOG($O$2))),"")</f>
        <v>25.5</v>
      </c>
      <c r="S7" s="131">
        <f t="shared" si="3"/>
        <v>1</v>
      </c>
      <c r="T7" s="131">
        <f t="shared" si="4"/>
        <v>10</v>
      </c>
      <c r="U7" s="136">
        <f>2*T2</f>
        <v>9.5244063118091962</v>
      </c>
      <c r="V7" s="136">
        <f t="shared" si="5"/>
        <v>45.024406311809194</v>
      </c>
    </row>
    <row r="8" spans="1:36" ht="14.45" customHeight="1" x14ac:dyDescent="0.25">
      <c r="A8" s="32">
        <f t="shared" si="0"/>
        <v>0</v>
      </c>
      <c r="B8" s="33" t="str">
        <f t="shared" si="6"/>
        <v/>
      </c>
      <c r="C8" s="34"/>
      <c r="D8" s="34"/>
      <c r="E8" s="34"/>
      <c r="F8" s="34"/>
      <c r="G8" s="27"/>
      <c r="H8" s="35">
        <v>3</v>
      </c>
      <c r="I8" s="36" t="str">
        <f t="shared" si="7"/>
        <v/>
      </c>
      <c r="J8" s="35">
        <f t="shared" si="8"/>
        <v>-2</v>
      </c>
      <c r="K8" s="35">
        <f t="shared" si="1"/>
        <v>-20</v>
      </c>
      <c r="L8" s="37">
        <f>K2</f>
        <v>3</v>
      </c>
      <c r="M8" s="37">
        <f t="shared" si="2"/>
        <v>0</v>
      </c>
      <c r="O8" s="131">
        <v>3</v>
      </c>
      <c r="P8" s="137" t="s">
        <v>55</v>
      </c>
      <c r="Q8" s="131"/>
      <c r="R8" s="135">
        <f t="shared" si="9"/>
        <v>11.168418732331673</v>
      </c>
      <c r="S8" s="131">
        <f t="shared" si="3"/>
        <v>0</v>
      </c>
      <c r="T8" s="131">
        <f t="shared" si="4"/>
        <v>0</v>
      </c>
      <c r="U8" s="136">
        <f>T2</f>
        <v>4.7622031559045981</v>
      </c>
      <c r="V8" s="136">
        <f t="shared" si="5"/>
        <v>15.930621888236271</v>
      </c>
    </row>
    <row r="9" spans="1:36" ht="14.45" customHeight="1" x14ac:dyDescent="0.25">
      <c r="A9" s="38">
        <f t="shared" si="0"/>
        <v>0</v>
      </c>
      <c r="B9" s="39" t="str">
        <f t="shared" si="6"/>
        <v/>
      </c>
      <c r="C9" s="40"/>
      <c r="D9" s="40"/>
      <c r="E9" s="40"/>
      <c r="F9" s="40"/>
      <c r="G9" s="27"/>
      <c r="H9" s="41">
        <v>4</v>
      </c>
      <c r="I9" s="42" t="str">
        <f t="shared" si="7"/>
        <v/>
      </c>
      <c r="J9" s="41">
        <f t="shared" si="8"/>
        <v>-2</v>
      </c>
      <c r="K9" s="41">
        <f t="shared" si="1"/>
        <v>-20</v>
      </c>
      <c r="L9" s="43"/>
      <c r="M9" s="43">
        <f t="shared" si="2"/>
        <v>0</v>
      </c>
      <c r="O9" s="131">
        <v>4</v>
      </c>
      <c r="P9" s="131" t="s">
        <v>19</v>
      </c>
      <c r="Q9" s="131"/>
      <c r="R9" s="135">
        <f t="shared" si="9"/>
        <v>1</v>
      </c>
      <c r="S9" s="131">
        <f t="shared" si="3"/>
        <v>0</v>
      </c>
      <c r="T9" s="131">
        <f t="shared" si="4"/>
        <v>0</v>
      </c>
      <c r="U9" s="136"/>
      <c r="V9" s="136">
        <f t="shared" si="5"/>
        <v>1</v>
      </c>
      <c r="Z9" s="45"/>
      <c r="AA9" s="45"/>
      <c r="AG9" s="46"/>
      <c r="AH9" s="18" t="s">
        <v>40</v>
      </c>
      <c r="AI9" s="18">
        <v>23</v>
      </c>
    </row>
    <row r="10" spans="1:36" ht="14.45" customHeight="1" x14ac:dyDescent="0.25">
      <c r="A10" s="32">
        <f t="shared" si="0"/>
        <v>0</v>
      </c>
      <c r="B10" s="33" t="str">
        <f t="shared" si="6"/>
        <v/>
      </c>
      <c r="C10" s="34"/>
      <c r="D10" s="34"/>
      <c r="E10" s="34"/>
      <c r="F10" s="34"/>
      <c r="G10" s="27"/>
      <c r="H10" s="35">
        <v>5</v>
      </c>
      <c r="I10" s="36" t="str">
        <f t="shared" si="7"/>
        <v/>
      </c>
      <c r="J10" s="35">
        <f t="shared" si="8"/>
        <v>-3</v>
      </c>
      <c r="K10" s="35">
        <f t="shared" si="1"/>
        <v>-30</v>
      </c>
      <c r="L10" s="35"/>
      <c r="M10" s="37">
        <f t="shared" si="2"/>
        <v>0</v>
      </c>
      <c r="O10" s="131">
        <v>5</v>
      </c>
      <c r="P10" s="137"/>
      <c r="Q10" s="131"/>
      <c r="R10" s="135" t="str">
        <f t="shared" si="9"/>
        <v/>
      </c>
      <c r="S10" s="131">
        <f t="shared" si="3"/>
        <v>-1</v>
      </c>
      <c r="T10" s="131">
        <f t="shared" si="4"/>
        <v>-10</v>
      </c>
      <c r="U10" s="136"/>
      <c r="V10" s="136">
        <f t="shared" si="5"/>
        <v>0</v>
      </c>
      <c r="Z10" s="45"/>
      <c r="AA10" s="45"/>
      <c r="AG10" s="46"/>
      <c r="AH10" s="18" t="s">
        <v>41</v>
      </c>
      <c r="AI10" s="18">
        <v>45</v>
      </c>
    </row>
    <row r="11" spans="1:36" ht="14.45" customHeight="1" x14ac:dyDescent="0.25">
      <c r="A11" s="38">
        <f t="shared" si="0"/>
        <v>0</v>
      </c>
      <c r="B11" s="39" t="str">
        <f t="shared" si="6"/>
        <v/>
      </c>
      <c r="C11" s="40"/>
      <c r="D11" s="40"/>
      <c r="E11" s="40"/>
      <c r="F11" s="40"/>
      <c r="G11" s="27"/>
      <c r="H11" s="41">
        <v>6</v>
      </c>
      <c r="I11" s="42" t="str">
        <f t="shared" si="7"/>
        <v/>
      </c>
      <c r="J11" s="41">
        <f t="shared" si="8"/>
        <v>-3</v>
      </c>
      <c r="K11" s="41">
        <f t="shared" si="1"/>
        <v>-30</v>
      </c>
      <c r="L11" s="41"/>
      <c r="M11" s="43">
        <f t="shared" si="2"/>
        <v>0</v>
      </c>
      <c r="O11" s="131">
        <v>6</v>
      </c>
      <c r="P11" s="131"/>
      <c r="Q11" s="131"/>
      <c r="R11" s="135" t="str">
        <f t="shared" si="9"/>
        <v/>
      </c>
      <c r="S11" s="131">
        <f t="shared" si="3"/>
        <v>-1</v>
      </c>
      <c r="T11" s="131">
        <f t="shared" si="4"/>
        <v>-10</v>
      </c>
      <c r="U11" s="136"/>
      <c r="V11" s="136">
        <f t="shared" si="5"/>
        <v>0</v>
      </c>
      <c r="Z11" s="45"/>
      <c r="AA11" s="45"/>
      <c r="AG11" s="46"/>
      <c r="AH11" s="18" t="s">
        <v>42</v>
      </c>
      <c r="AI11" s="18">
        <v>50</v>
      </c>
    </row>
    <row r="12" spans="1:36" ht="14.45" customHeight="1" x14ac:dyDescent="0.25">
      <c r="A12" s="32">
        <f t="shared" si="0"/>
        <v>0</v>
      </c>
      <c r="B12" s="33" t="str">
        <f t="shared" si="6"/>
        <v/>
      </c>
      <c r="C12" s="34"/>
      <c r="D12" s="34"/>
      <c r="E12" s="34"/>
      <c r="F12" s="34"/>
      <c r="G12" s="27"/>
      <c r="H12" s="35">
        <v>7</v>
      </c>
      <c r="I12" s="36" t="str">
        <f t="shared" si="7"/>
        <v/>
      </c>
      <c r="J12" s="35">
        <f t="shared" si="8"/>
        <v>-3</v>
      </c>
      <c r="K12" s="35">
        <f t="shared" si="1"/>
        <v>-30</v>
      </c>
      <c r="L12" s="35"/>
      <c r="M12" s="37">
        <f t="shared" si="2"/>
        <v>0</v>
      </c>
      <c r="O12" s="131">
        <v>7</v>
      </c>
      <c r="P12" s="131"/>
      <c r="Q12" s="131"/>
      <c r="R12" s="135" t="str">
        <f t="shared" si="9"/>
        <v/>
      </c>
      <c r="S12" s="131">
        <f t="shared" si="3"/>
        <v>-1</v>
      </c>
      <c r="T12" s="131">
        <f t="shared" si="4"/>
        <v>-10</v>
      </c>
      <c r="U12" s="136"/>
      <c r="V12" s="136">
        <f t="shared" si="5"/>
        <v>0</v>
      </c>
      <c r="Z12" s="45"/>
      <c r="AA12" s="45"/>
      <c r="AG12" s="46"/>
      <c r="AH12" s="18" t="s">
        <v>43</v>
      </c>
      <c r="AI12" s="18">
        <f>AI11-1</f>
        <v>49</v>
      </c>
    </row>
    <row r="13" spans="1:36" ht="14.45" customHeight="1" x14ac:dyDescent="0.25">
      <c r="A13" s="48">
        <f t="shared" si="0"/>
        <v>0</v>
      </c>
      <c r="B13" s="39" t="str">
        <f t="shared" si="6"/>
        <v/>
      </c>
      <c r="C13" s="40"/>
      <c r="D13" s="40"/>
      <c r="E13" s="40"/>
      <c r="F13" s="40"/>
      <c r="G13" s="27"/>
      <c r="H13" s="41">
        <v>8</v>
      </c>
      <c r="I13" s="42" t="str">
        <f t="shared" si="7"/>
        <v/>
      </c>
      <c r="J13" s="41">
        <f t="shared" si="8"/>
        <v>-3</v>
      </c>
      <c r="K13" s="41">
        <f t="shared" si="1"/>
        <v>-30</v>
      </c>
      <c r="L13" s="41"/>
      <c r="M13" s="43">
        <f t="shared" si="2"/>
        <v>0</v>
      </c>
      <c r="O13" s="131">
        <v>8</v>
      </c>
      <c r="P13" s="131"/>
      <c r="Q13" s="131"/>
      <c r="R13" s="135" t="str">
        <f t="shared" si="9"/>
        <v/>
      </c>
      <c r="S13" s="131">
        <f t="shared" si="3"/>
        <v>-1</v>
      </c>
      <c r="T13" s="131">
        <f t="shared" si="4"/>
        <v>-10</v>
      </c>
      <c r="U13" s="136"/>
      <c r="V13" s="136">
        <f t="shared" si="5"/>
        <v>0</v>
      </c>
      <c r="X13" s="44"/>
      <c r="AG13" s="46"/>
      <c r="AH13" s="18" t="s">
        <v>44</v>
      </c>
      <c r="AI13" s="18">
        <f>LOG(AI9)</f>
        <v>1.3617278360175928</v>
      </c>
    </row>
    <row r="14" spans="1:36" x14ac:dyDescent="0.25">
      <c r="A14" s="49">
        <f t="shared" si="0"/>
        <v>0</v>
      </c>
      <c r="B14" s="33" t="str">
        <f>IF(H14&gt;$H$2,"",(ROW()-5))</f>
        <v/>
      </c>
      <c r="C14" s="34"/>
      <c r="D14" s="34"/>
      <c r="E14" s="34"/>
      <c r="F14" s="34"/>
      <c r="G14" s="27"/>
      <c r="H14" s="35">
        <v>9</v>
      </c>
      <c r="I14" s="36" t="str">
        <f t="shared" si="7"/>
        <v/>
      </c>
      <c r="J14" s="35">
        <f t="shared" si="8"/>
        <v>-4</v>
      </c>
      <c r="K14" s="35">
        <f t="shared" si="1"/>
        <v>-40</v>
      </c>
      <c r="L14" s="35"/>
      <c r="M14" s="37">
        <f t="shared" si="2"/>
        <v>0</v>
      </c>
      <c r="O14" s="131">
        <v>9</v>
      </c>
      <c r="P14" s="131"/>
      <c r="Q14" s="131"/>
      <c r="R14" s="135" t="str">
        <f t="shared" si="9"/>
        <v/>
      </c>
      <c r="S14" s="131">
        <f t="shared" si="3"/>
        <v>-2</v>
      </c>
      <c r="T14" s="131">
        <f t="shared" si="4"/>
        <v>-20</v>
      </c>
      <c r="U14" s="136"/>
      <c r="V14" s="136">
        <f t="shared" si="5"/>
        <v>0</v>
      </c>
      <c r="X14" s="50"/>
      <c r="Z14" s="45"/>
      <c r="AA14" s="45"/>
      <c r="AG14" s="46"/>
      <c r="AH14" s="18" t="s">
        <v>45</v>
      </c>
      <c r="AI14" s="18">
        <f>LOG(AI10)</f>
        <v>1.6532125137753437</v>
      </c>
    </row>
    <row r="15" spans="1:36" x14ac:dyDescent="0.25">
      <c r="A15" s="48">
        <f t="shared" si="0"/>
        <v>0</v>
      </c>
      <c r="B15" s="39" t="str">
        <f t="shared" ref="B15:B65" si="10">IF(H15&gt;$H$2,"",(ROW()-5))</f>
        <v/>
      </c>
      <c r="C15" s="40"/>
      <c r="D15" s="40"/>
      <c r="E15" s="40"/>
      <c r="F15" s="40"/>
      <c r="G15" s="27"/>
      <c r="H15" s="41">
        <v>10</v>
      </c>
      <c r="I15" s="42" t="str">
        <f t="shared" si="7"/>
        <v/>
      </c>
      <c r="J15" s="41">
        <f t="shared" si="8"/>
        <v>-4</v>
      </c>
      <c r="K15" s="41">
        <f t="shared" si="1"/>
        <v>-40</v>
      </c>
      <c r="L15" s="41"/>
      <c r="M15" s="43">
        <f t="shared" si="2"/>
        <v>0</v>
      </c>
      <c r="O15" s="131">
        <v>10</v>
      </c>
      <c r="P15" s="131"/>
      <c r="Q15" s="131"/>
      <c r="R15" s="135" t="str">
        <f t="shared" si="9"/>
        <v/>
      </c>
      <c r="S15" s="131">
        <f t="shared" si="3"/>
        <v>-2</v>
      </c>
      <c r="T15" s="131">
        <f t="shared" si="4"/>
        <v>-20</v>
      </c>
      <c r="U15" s="136"/>
      <c r="V15" s="136">
        <f t="shared" si="5"/>
        <v>0</v>
      </c>
      <c r="X15" s="44"/>
      <c r="Z15" s="45"/>
      <c r="AA15" s="45"/>
    </row>
    <row r="16" spans="1:36" x14ac:dyDescent="0.25">
      <c r="A16" s="49">
        <f t="shared" si="0"/>
        <v>0</v>
      </c>
      <c r="B16" s="33" t="str">
        <f t="shared" si="10"/>
        <v/>
      </c>
      <c r="C16" s="34"/>
      <c r="D16" s="34"/>
      <c r="E16" s="34"/>
      <c r="F16" s="34"/>
      <c r="G16" s="27"/>
      <c r="H16" s="35">
        <v>11</v>
      </c>
      <c r="I16" s="36" t="str">
        <f t="shared" si="7"/>
        <v/>
      </c>
      <c r="J16" s="35">
        <f t="shared" si="8"/>
        <v>-4</v>
      </c>
      <c r="K16" s="35">
        <f t="shared" si="1"/>
        <v>-40</v>
      </c>
      <c r="L16" s="35"/>
      <c r="M16" s="37">
        <f t="shared" si="2"/>
        <v>0</v>
      </c>
      <c r="O16" s="131">
        <v>11</v>
      </c>
      <c r="P16" s="131"/>
      <c r="Q16" s="131"/>
      <c r="R16" s="135" t="str">
        <f t="shared" si="9"/>
        <v/>
      </c>
      <c r="S16" s="131">
        <f t="shared" si="3"/>
        <v>-2</v>
      </c>
      <c r="T16" s="131">
        <f t="shared" si="4"/>
        <v>-20</v>
      </c>
      <c r="U16" s="136"/>
      <c r="V16" s="136">
        <f t="shared" si="5"/>
        <v>0</v>
      </c>
      <c r="Z16" s="45"/>
      <c r="AA16" s="45"/>
      <c r="AH16" s="52" t="s">
        <v>46</v>
      </c>
      <c r="AI16" s="18">
        <f>AI11-AI12*AI13/AI14</f>
        <v>9.6393909380186855</v>
      </c>
      <c r="AJ16" s="18" t="s">
        <v>47</v>
      </c>
    </row>
    <row r="17" spans="1:22" x14ac:dyDescent="0.25">
      <c r="A17" s="48">
        <f t="shared" si="0"/>
        <v>0</v>
      </c>
      <c r="B17" s="39" t="str">
        <f t="shared" si="10"/>
        <v/>
      </c>
      <c r="C17" s="40"/>
      <c r="D17" s="40"/>
      <c r="E17" s="40"/>
      <c r="F17" s="40"/>
      <c r="G17" s="27"/>
      <c r="H17" s="41">
        <v>12</v>
      </c>
      <c r="I17" s="42" t="str">
        <f t="shared" si="7"/>
        <v/>
      </c>
      <c r="J17" s="41">
        <f t="shared" si="8"/>
        <v>-4</v>
      </c>
      <c r="K17" s="41">
        <f t="shared" si="1"/>
        <v>-40</v>
      </c>
      <c r="L17" s="41"/>
      <c r="M17" s="43">
        <f t="shared" si="2"/>
        <v>0</v>
      </c>
      <c r="O17" s="131">
        <v>12</v>
      </c>
      <c r="P17" s="131"/>
      <c r="Q17" s="131"/>
      <c r="R17" s="135" t="str">
        <f t="shared" si="9"/>
        <v/>
      </c>
      <c r="S17" s="131">
        <f t="shared" si="3"/>
        <v>-2</v>
      </c>
      <c r="T17" s="131">
        <f t="shared" si="4"/>
        <v>-20</v>
      </c>
      <c r="U17" s="136"/>
      <c r="V17" s="136">
        <f t="shared" si="5"/>
        <v>0</v>
      </c>
    </row>
    <row r="18" spans="1:22" x14ac:dyDescent="0.25">
      <c r="A18" s="49">
        <f t="shared" si="0"/>
        <v>0</v>
      </c>
      <c r="B18" s="33" t="str">
        <f t="shared" si="10"/>
        <v/>
      </c>
      <c r="C18" s="34"/>
      <c r="D18" s="34"/>
      <c r="E18" s="34"/>
      <c r="F18" s="34"/>
      <c r="G18" s="27"/>
      <c r="H18" s="35">
        <v>13</v>
      </c>
      <c r="I18" s="36" t="str">
        <f t="shared" si="7"/>
        <v/>
      </c>
      <c r="J18" s="35">
        <f t="shared" si="8"/>
        <v>-4</v>
      </c>
      <c r="K18" s="35">
        <f t="shared" si="1"/>
        <v>-40</v>
      </c>
      <c r="L18" s="35"/>
      <c r="M18" s="37">
        <f t="shared" si="2"/>
        <v>0</v>
      </c>
      <c r="O18" s="131">
        <v>13</v>
      </c>
      <c r="P18" s="131"/>
      <c r="Q18" s="131"/>
      <c r="R18" s="135" t="str">
        <f t="shared" si="9"/>
        <v/>
      </c>
      <c r="S18" s="131">
        <f t="shared" si="3"/>
        <v>-2</v>
      </c>
      <c r="T18" s="131">
        <f t="shared" si="4"/>
        <v>-20</v>
      </c>
      <c r="U18" s="136"/>
      <c r="V18" s="136">
        <f t="shared" si="5"/>
        <v>0</v>
      </c>
    </row>
    <row r="19" spans="1:22" x14ac:dyDescent="0.25">
      <c r="A19" s="48">
        <f t="shared" si="0"/>
        <v>0</v>
      </c>
      <c r="B19" s="39" t="str">
        <f t="shared" si="10"/>
        <v/>
      </c>
      <c r="C19" s="40"/>
      <c r="D19" s="40"/>
      <c r="E19" s="40"/>
      <c r="F19" s="40"/>
      <c r="G19" s="27"/>
      <c r="H19" s="41">
        <v>14</v>
      </c>
      <c r="I19" s="42" t="str">
        <f t="shared" si="7"/>
        <v/>
      </c>
      <c r="J19" s="41">
        <f t="shared" si="8"/>
        <v>-4</v>
      </c>
      <c r="K19" s="41">
        <f t="shared" si="1"/>
        <v>-40</v>
      </c>
      <c r="L19" s="41"/>
      <c r="M19" s="43">
        <f t="shared" si="2"/>
        <v>0</v>
      </c>
      <c r="O19" s="131">
        <v>14</v>
      </c>
      <c r="P19" s="131"/>
      <c r="Q19" s="131"/>
      <c r="R19" s="135" t="str">
        <f t="shared" si="9"/>
        <v/>
      </c>
      <c r="S19" s="131">
        <f t="shared" si="3"/>
        <v>-2</v>
      </c>
      <c r="T19" s="131">
        <f t="shared" si="4"/>
        <v>-20</v>
      </c>
      <c r="U19" s="136"/>
      <c r="V19" s="136">
        <f t="shared" si="5"/>
        <v>0</v>
      </c>
    </row>
    <row r="20" spans="1:22" x14ac:dyDescent="0.25">
      <c r="A20" s="49">
        <f t="shared" si="0"/>
        <v>0</v>
      </c>
      <c r="B20" s="33" t="str">
        <f t="shared" si="10"/>
        <v/>
      </c>
      <c r="C20" s="34"/>
      <c r="D20" s="34"/>
      <c r="E20" s="34"/>
      <c r="F20" s="34"/>
      <c r="G20" s="27"/>
      <c r="H20" s="35">
        <v>15</v>
      </c>
      <c r="I20" s="36" t="str">
        <f t="shared" si="7"/>
        <v/>
      </c>
      <c r="J20" s="35">
        <f t="shared" si="8"/>
        <v>-4</v>
      </c>
      <c r="K20" s="35">
        <f t="shared" si="1"/>
        <v>-40</v>
      </c>
      <c r="L20" s="35"/>
      <c r="M20" s="37">
        <f t="shared" si="2"/>
        <v>0</v>
      </c>
      <c r="O20" s="131">
        <v>15</v>
      </c>
      <c r="P20" s="131"/>
      <c r="Q20" s="131"/>
      <c r="R20" s="135" t="str">
        <f t="shared" si="9"/>
        <v/>
      </c>
      <c r="S20" s="131">
        <f t="shared" si="3"/>
        <v>-2</v>
      </c>
      <c r="T20" s="131">
        <f t="shared" si="4"/>
        <v>-20</v>
      </c>
      <c r="U20" s="136"/>
      <c r="V20" s="136">
        <f t="shared" si="5"/>
        <v>0</v>
      </c>
    </row>
    <row r="21" spans="1:22" x14ac:dyDescent="0.25">
      <c r="A21" s="48">
        <f t="shared" si="0"/>
        <v>0</v>
      </c>
      <c r="B21" s="39" t="str">
        <f t="shared" si="10"/>
        <v/>
      </c>
      <c r="C21" s="40"/>
      <c r="D21" s="40"/>
      <c r="E21" s="40"/>
      <c r="F21" s="40"/>
      <c r="G21" s="27"/>
      <c r="H21" s="41">
        <v>16</v>
      </c>
      <c r="I21" s="42" t="str">
        <f t="shared" si="7"/>
        <v/>
      </c>
      <c r="J21" s="41">
        <f t="shared" si="8"/>
        <v>-4</v>
      </c>
      <c r="K21" s="41">
        <f t="shared" si="1"/>
        <v>-40</v>
      </c>
      <c r="L21" s="41"/>
      <c r="M21" s="43">
        <f t="shared" si="2"/>
        <v>0</v>
      </c>
      <c r="O21" s="131">
        <v>16</v>
      </c>
      <c r="P21" s="131"/>
      <c r="Q21" s="131"/>
      <c r="R21" s="135" t="str">
        <f t="shared" si="9"/>
        <v/>
      </c>
      <c r="S21" s="131">
        <f t="shared" si="3"/>
        <v>-2</v>
      </c>
      <c r="T21" s="131">
        <f t="shared" si="4"/>
        <v>-20</v>
      </c>
      <c r="U21" s="136"/>
      <c r="V21" s="136">
        <f t="shared" si="5"/>
        <v>0</v>
      </c>
    </row>
    <row r="22" spans="1:22" x14ac:dyDescent="0.25">
      <c r="A22" s="49">
        <f t="shared" si="0"/>
        <v>0</v>
      </c>
      <c r="B22" s="33" t="str">
        <f t="shared" si="10"/>
        <v/>
      </c>
      <c r="C22" s="34"/>
      <c r="D22" s="34"/>
      <c r="E22" s="34"/>
      <c r="F22" s="34"/>
      <c r="G22" s="27"/>
      <c r="H22" s="35">
        <v>17</v>
      </c>
      <c r="I22" s="36" t="str">
        <f t="shared" si="7"/>
        <v/>
      </c>
      <c r="J22" s="35">
        <f t="shared" si="8"/>
        <v>-5</v>
      </c>
      <c r="K22" s="35">
        <f t="shared" si="1"/>
        <v>-50</v>
      </c>
      <c r="L22" s="35"/>
      <c r="M22" s="37">
        <f t="shared" si="2"/>
        <v>0</v>
      </c>
      <c r="O22" s="131">
        <v>17</v>
      </c>
      <c r="P22" s="131"/>
      <c r="Q22" s="131"/>
      <c r="R22" s="135" t="str">
        <f t="shared" si="9"/>
        <v/>
      </c>
      <c r="S22" s="131">
        <f t="shared" si="3"/>
        <v>-3</v>
      </c>
      <c r="T22" s="131">
        <f t="shared" si="4"/>
        <v>-30</v>
      </c>
      <c r="U22" s="136"/>
      <c r="V22" s="136">
        <f t="shared" si="5"/>
        <v>0</v>
      </c>
    </row>
    <row r="23" spans="1:22" x14ac:dyDescent="0.25">
      <c r="A23" s="48">
        <f t="shared" si="0"/>
        <v>0</v>
      </c>
      <c r="B23" s="39" t="str">
        <f t="shared" si="10"/>
        <v/>
      </c>
      <c r="C23" s="40"/>
      <c r="D23" s="40"/>
      <c r="E23" s="40"/>
      <c r="F23" s="40"/>
      <c r="G23" s="27"/>
      <c r="H23" s="41">
        <v>18</v>
      </c>
      <c r="I23" s="42" t="str">
        <f t="shared" si="7"/>
        <v/>
      </c>
      <c r="J23" s="41">
        <f t="shared" si="8"/>
        <v>-5</v>
      </c>
      <c r="K23" s="41">
        <f t="shared" si="1"/>
        <v>-50</v>
      </c>
      <c r="L23" s="41"/>
      <c r="M23" s="43">
        <f t="shared" si="2"/>
        <v>0</v>
      </c>
      <c r="O23" s="131">
        <v>18</v>
      </c>
      <c r="P23" s="131"/>
      <c r="Q23" s="131"/>
      <c r="R23" s="135" t="str">
        <f t="shared" si="9"/>
        <v/>
      </c>
      <c r="S23" s="131">
        <f t="shared" si="3"/>
        <v>-3</v>
      </c>
      <c r="T23" s="131">
        <f t="shared" si="4"/>
        <v>-30</v>
      </c>
      <c r="U23" s="136"/>
      <c r="V23" s="136">
        <f t="shared" si="5"/>
        <v>0</v>
      </c>
    </row>
    <row r="24" spans="1:22" x14ac:dyDescent="0.25">
      <c r="A24" s="49">
        <f t="shared" si="0"/>
        <v>0</v>
      </c>
      <c r="B24" s="33" t="str">
        <f t="shared" si="10"/>
        <v/>
      </c>
      <c r="C24" s="34"/>
      <c r="D24" s="34"/>
      <c r="E24" s="34"/>
      <c r="F24" s="34"/>
      <c r="G24" s="27"/>
      <c r="H24" s="35">
        <v>19</v>
      </c>
      <c r="I24" s="36" t="str">
        <f t="shared" si="7"/>
        <v/>
      </c>
      <c r="J24" s="35">
        <f t="shared" si="8"/>
        <v>-5</v>
      </c>
      <c r="K24" s="35">
        <f t="shared" si="1"/>
        <v>-50</v>
      </c>
      <c r="L24" s="35"/>
      <c r="M24" s="37">
        <f t="shared" si="2"/>
        <v>0</v>
      </c>
      <c r="O24" s="131">
        <v>19</v>
      </c>
      <c r="P24" s="131"/>
      <c r="Q24" s="131"/>
      <c r="R24" s="135" t="str">
        <f t="shared" si="9"/>
        <v/>
      </c>
      <c r="S24" s="131">
        <f t="shared" si="3"/>
        <v>-3</v>
      </c>
      <c r="T24" s="131">
        <f t="shared" si="4"/>
        <v>-30</v>
      </c>
      <c r="U24" s="136"/>
      <c r="V24" s="136">
        <f t="shared" si="5"/>
        <v>0</v>
      </c>
    </row>
    <row r="25" spans="1:22" x14ac:dyDescent="0.25">
      <c r="A25" s="48">
        <f t="shared" si="0"/>
        <v>0</v>
      </c>
      <c r="B25" s="39" t="str">
        <f t="shared" si="10"/>
        <v/>
      </c>
      <c r="C25" s="40"/>
      <c r="D25" s="40"/>
      <c r="E25" s="40"/>
      <c r="F25" s="40"/>
      <c r="G25" s="27"/>
      <c r="H25" s="41">
        <v>20</v>
      </c>
      <c r="I25" s="42" t="str">
        <f t="shared" si="7"/>
        <v/>
      </c>
      <c r="J25" s="41">
        <f t="shared" si="8"/>
        <v>-5</v>
      </c>
      <c r="K25" s="41">
        <f t="shared" si="1"/>
        <v>-50</v>
      </c>
      <c r="L25" s="41"/>
      <c r="M25" s="43">
        <f t="shared" si="2"/>
        <v>0</v>
      </c>
      <c r="O25" s="131">
        <v>20</v>
      </c>
      <c r="P25" s="131"/>
      <c r="Q25" s="131"/>
      <c r="R25" s="135" t="str">
        <f t="shared" si="9"/>
        <v/>
      </c>
      <c r="S25" s="131">
        <f t="shared" si="3"/>
        <v>-3</v>
      </c>
      <c r="T25" s="131">
        <f t="shared" si="4"/>
        <v>-30</v>
      </c>
      <c r="U25" s="136"/>
      <c r="V25" s="136">
        <f t="shared" si="5"/>
        <v>0</v>
      </c>
    </row>
    <row r="26" spans="1:22" x14ac:dyDescent="0.25">
      <c r="A26" s="49">
        <f t="shared" si="0"/>
        <v>0</v>
      </c>
      <c r="B26" s="33" t="str">
        <f t="shared" si="10"/>
        <v/>
      </c>
      <c r="C26" s="34"/>
      <c r="D26" s="34"/>
      <c r="E26" s="34"/>
      <c r="F26" s="34"/>
      <c r="G26" s="27"/>
      <c r="H26" s="35">
        <v>21</v>
      </c>
      <c r="I26" s="36" t="str">
        <f t="shared" si="7"/>
        <v/>
      </c>
      <c r="J26" s="35">
        <f t="shared" si="8"/>
        <v>-5</v>
      </c>
      <c r="K26" s="35">
        <f t="shared" si="1"/>
        <v>-50</v>
      </c>
      <c r="L26" s="35"/>
      <c r="M26" s="37">
        <f t="shared" si="2"/>
        <v>0</v>
      </c>
      <c r="O26" s="131">
        <v>21</v>
      </c>
      <c r="P26" s="131"/>
      <c r="Q26" s="131"/>
      <c r="R26" s="135" t="str">
        <f t="shared" si="9"/>
        <v/>
      </c>
      <c r="S26" s="131">
        <f t="shared" si="3"/>
        <v>-3</v>
      </c>
      <c r="T26" s="131">
        <f t="shared" si="4"/>
        <v>-30</v>
      </c>
      <c r="U26" s="136"/>
      <c r="V26" s="136">
        <f t="shared" si="5"/>
        <v>0</v>
      </c>
    </row>
    <row r="27" spans="1:22" x14ac:dyDescent="0.25">
      <c r="A27" s="48">
        <f t="shared" si="0"/>
        <v>0</v>
      </c>
      <c r="B27" s="39" t="str">
        <f t="shared" si="10"/>
        <v/>
      </c>
      <c r="C27" s="40"/>
      <c r="D27" s="40"/>
      <c r="E27" s="40"/>
      <c r="F27" s="40"/>
      <c r="G27" s="27"/>
      <c r="H27" s="41">
        <v>22</v>
      </c>
      <c r="I27" s="42" t="str">
        <f t="shared" si="7"/>
        <v/>
      </c>
      <c r="J27" s="41">
        <f t="shared" si="8"/>
        <v>-5</v>
      </c>
      <c r="K27" s="41">
        <f t="shared" si="1"/>
        <v>-50</v>
      </c>
      <c r="L27" s="41"/>
      <c r="M27" s="43">
        <f t="shared" si="2"/>
        <v>0</v>
      </c>
      <c r="O27" s="131">
        <v>22</v>
      </c>
      <c r="P27" s="131"/>
      <c r="Q27" s="131"/>
      <c r="R27" s="135" t="str">
        <f t="shared" si="9"/>
        <v/>
      </c>
      <c r="S27" s="131">
        <f t="shared" si="3"/>
        <v>-3</v>
      </c>
      <c r="T27" s="131">
        <f t="shared" si="4"/>
        <v>-30</v>
      </c>
      <c r="U27" s="136"/>
      <c r="V27" s="136">
        <f t="shared" si="5"/>
        <v>0</v>
      </c>
    </row>
    <row r="28" spans="1:22" x14ac:dyDescent="0.25">
      <c r="A28" s="49">
        <f t="shared" si="0"/>
        <v>0</v>
      </c>
      <c r="B28" s="33" t="str">
        <f t="shared" si="10"/>
        <v/>
      </c>
      <c r="C28" s="34"/>
      <c r="D28" s="34"/>
      <c r="E28" s="34"/>
      <c r="F28" s="34"/>
      <c r="G28" s="27"/>
      <c r="H28" s="35">
        <v>23</v>
      </c>
      <c r="I28" s="36" t="str">
        <f t="shared" si="7"/>
        <v/>
      </c>
      <c r="J28" s="35">
        <f t="shared" si="8"/>
        <v>-5</v>
      </c>
      <c r="K28" s="35">
        <f t="shared" si="1"/>
        <v>-50</v>
      </c>
      <c r="L28" s="35"/>
      <c r="M28" s="37">
        <f t="shared" si="2"/>
        <v>0</v>
      </c>
      <c r="O28" s="131">
        <v>23</v>
      </c>
      <c r="P28" s="131"/>
      <c r="Q28" s="131"/>
      <c r="R28" s="135" t="str">
        <f t="shared" si="9"/>
        <v/>
      </c>
      <c r="S28" s="131">
        <f t="shared" si="3"/>
        <v>-3</v>
      </c>
      <c r="T28" s="131">
        <f t="shared" si="4"/>
        <v>-30</v>
      </c>
      <c r="U28" s="136"/>
      <c r="V28" s="136">
        <f t="shared" si="5"/>
        <v>0</v>
      </c>
    </row>
    <row r="29" spans="1:22" x14ac:dyDescent="0.25">
      <c r="A29" s="48">
        <f t="shared" si="0"/>
        <v>0</v>
      </c>
      <c r="B29" s="39" t="str">
        <f t="shared" si="10"/>
        <v/>
      </c>
      <c r="C29" s="40"/>
      <c r="D29" s="40"/>
      <c r="E29" s="40"/>
      <c r="F29" s="40"/>
      <c r="G29" s="13"/>
      <c r="H29" s="41">
        <v>24</v>
      </c>
      <c r="I29" s="42" t="str">
        <f t="shared" si="7"/>
        <v/>
      </c>
      <c r="J29" s="41">
        <f t="shared" si="8"/>
        <v>-5</v>
      </c>
      <c r="K29" s="41">
        <f t="shared" si="1"/>
        <v>-50</v>
      </c>
      <c r="L29" s="41"/>
      <c r="M29" s="43">
        <f t="shared" si="2"/>
        <v>0</v>
      </c>
      <c r="O29" s="131">
        <v>24</v>
      </c>
      <c r="P29" s="131"/>
      <c r="Q29" s="131"/>
      <c r="R29" s="135" t="str">
        <f t="shared" si="9"/>
        <v/>
      </c>
      <c r="S29" s="131">
        <f t="shared" si="3"/>
        <v>-3</v>
      </c>
      <c r="T29" s="131">
        <f t="shared" si="4"/>
        <v>-30</v>
      </c>
      <c r="U29" s="136"/>
      <c r="V29" s="136">
        <f t="shared" si="5"/>
        <v>0</v>
      </c>
    </row>
    <row r="30" spans="1:22" x14ac:dyDescent="0.25">
      <c r="A30" s="49">
        <f t="shared" si="0"/>
        <v>0</v>
      </c>
      <c r="B30" s="33" t="str">
        <f t="shared" si="10"/>
        <v/>
      </c>
      <c r="C30" s="34"/>
      <c r="D30" s="34"/>
      <c r="E30" s="34"/>
      <c r="F30" s="34"/>
      <c r="G30" s="13"/>
      <c r="H30" s="35">
        <v>25</v>
      </c>
      <c r="I30" s="36" t="str">
        <f t="shared" si="7"/>
        <v/>
      </c>
      <c r="J30" s="35">
        <f t="shared" si="8"/>
        <v>-5</v>
      </c>
      <c r="K30" s="35">
        <f t="shared" si="1"/>
        <v>-50</v>
      </c>
      <c r="L30" s="35"/>
      <c r="M30" s="37">
        <f t="shared" si="2"/>
        <v>0</v>
      </c>
      <c r="O30" s="131">
        <v>25</v>
      </c>
      <c r="P30" s="131"/>
      <c r="Q30" s="131"/>
      <c r="R30" s="135" t="str">
        <f t="shared" si="9"/>
        <v/>
      </c>
      <c r="S30" s="131">
        <f t="shared" si="3"/>
        <v>-3</v>
      </c>
      <c r="T30" s="131">
        <f t="shared" si="4"/>
        <v>-30</v>
      </c>
      <c r="U30" s="136"/>
      <c r="V30" s="136">
        <f t="shared" si="5"/>
        <v>0</v>
      </c>
    </row>
    <row r="31" spans="1:22" x14ac:dyDescent="0.25">
      <c r="A31" s="48">
        <f t="shared" si="0"/>
        <v>0</v>
      </c>
      <c r="B31" s="39" t="str">
        <f t="shared" si="10"/>
        <v/>
      </c>
      <c r="C31" s="40"/>
      <c r="D31" s="40"/>
      <c r="E31" s="40"/>
      <c r="F31" s="40"/>
      <c r="G31" s="13"/>
      <c r="H31" s="41">
        <v>26</v>
      </c>
      <c r="I31" s="42" t="str">
        <f t="shared" si="7"/>
        <v/>
      </c>
      <c r="J31" s="41">
        <f t="shared" si="8"/>
        <v>-5</v>
      </c>
      <c r="K31" s="41">
        <f t="shared" si="1"/>
        <v>-50</v>
      </c>
      <c r="L31" s="41"/>
      <c r="M31" s="43">
        <f t="shared" si="2"/>
        <v>0</v>
      </c>
      <c r="O31" s="131">
        <v>26</v>
      </c>
      <c r="P31" s="131"/>
      <c r="Q31" s="131"/>
      <c r="R31" s="135" t="str">
        <f t="shared" si="9"/>
        <v/>
      </c>
      <c r="S31" s="131">
        <f t="shared" si="3"/>
        <v>-3</v>
      </c>
      <c r="T31" s="131">
        <f t="shared" si="4"/>
        <v>-30</v>
      </c>
      <c r="U31" s="136"/>
      <c r="V31" s="136">
        <f t="shared" si="5"/>
        <v>0</v>
      </c>
    </row>
    <row r="32" spans="1:22" x14ac:dyDescent="0.25">
      <c r="A32" s="49">
        <f t="shared" si="0"/>
        <v>0</v>
      </c>
      <c r="B32" s="33" t="str">
        <f t="shared" si="10"/>
        <v/>
      </c>
      <c r="C32" s="34"/>
      <c r="D32" s="34"/>
      <c r="E32" s="34"/>
      <c r="F32" s="34"/>
      <c r="G32" s="13"/>
      <c r="H32" s="35">
        <v>27</v>
      </c>
      <c r="I32" s="36" t="str">
        <f t="shared" si="7"/>
        <v/>
      </c>
      <c r="J32" s="35">
        <f t="shared" si="8"/>
        <v>-5</v>
      </c>
      <c r="K32" s="35">
        <f t="shared" si="1"/>
        <v>-50</v>
      </c>
      <c r="L32" s="35"/>
      <c r="M32" s="37">
        <f t="shared" si="2"/>
        <v>0</v>
      </c>
      <c r="O32" s="131">
        <v>27</v>
      </c>
      <c r="P32" s="131"/>
      <c r="Q32" s="131"/>
      <c r="R32" s="135" t="str">
        <f t="shared" si="9"/>
        <v/>
      </c>
      <c r="S32" s="131">
        <f t="shared" si="3"/>
        <v>-3</v>
      </c>
      <c r="T32" s="131">
        <f t="shared" si="4"/>
        <v>-30</v>
      </c>
      <c r="U32" s="136"/>
      <c r="V32" s="136">
        <f t="shared" si="5"/>
        <v>0</v>
      </c>
    </row>
    <row r="33" spans="1:22" x14ac:dyDescent="0.25">
      <c r="A33" s="48">
        <f t="shared" si="0"/>
        <v>0</v>
      </c>
      <c r="B33" s="39" t="str">
        <f t="shared" si="10"/>
        <v/>
      </c>
      <c r="C33" s="40"/>
      <c r="D33" s="40"/>
      <c r="E33" s="40"/>
      <c r="F33" s="40"/>
      <c r="G33" s="13"/>
      <c r="H33" s="41">
        <v>28</v>
      </c>
      <c r="I33" s="42" t="str">
        <f t="shared" si="7"/>
        <v/>
      </c>
      <c r="J33" s="41">
        <f t="shared" si="8"/>
        <v>-5</v>
      </c>
      <c r="K33" s="41">
        <f t="shared" si="1"/>
        <v>-50</v>
      </c>
      <c r="L33" s="41"/>
      <c r="M33" s="43">
        <f t="shared" si="2"/>
        <v>0</v>
      </c>
      <c r="O33" s="131">
        <v>28</v>
      </c>
      <c r="P33" s="131"/>
      <c r="Q33" s="131"/>
      <c r="R33" s="135" t="str">
        <f t="shared" si="9"/>
        <v/>
      </c>
      <c r="S33" s="131">
        <f t="shared" si="3"/>
        <v>-3</v>
      </c>
      <c r="T33" s="131">
        <f t="shared" si="4"/>
        <v>-30</v>
      </c>
      <c r="U33" s="136"/>
      <c r="V33" s="136">
        <f t="shared" si="5"/>
        <v>0</v>
      </c>
    </row>
    <row r="34" spans="1:22" x14ac:dyDescent="0.25">
      <c r="A34" s="49">
        <f t="shared" si="0"/>
        <v>0</v>
      </c>
      <c r="B34" s="33" t="str">
        <f t="shared" si="10"/>
        <v/>
      </c>
      <c r="C34" s="34"/>
      <c r="D34" s="34"/>
      <c r="E34" s="34"/>
      <c r="F34" s="34"/>
      <c r="G34" s="13"/>
      <c r="H34" s="35">
        <v>29</v>
      </c>
      <c r="I34" s="36" t="str">
        <f t="shared" si="7"/>
        <v/>
      </c>
      <c r="J34" s="35">
        <f t="shared" si="8"/>
        <v>-5</v>
      </c>
      <c r="K34" s="35">
        <f t="shared" si="1"/>
        <v>-50</v>
      </c>
      <c r="L34" s="35"/>
      <c r="M34" s="37">
        <f t="shared" si="2"/>
        <v>0</v>
      </c>
      <c r="O34" s="131">
        <v>29</v>
      </c>
      <c r="P34" s="131"/>
      <c r="Q34" s="131"/>
      <c r="R34" s="135" t="str">
        <f t="shared" si="9"/>
        <v/>
      </c>
      <c r="S34" s="131">
        <f t="shared" si="3"/>
        <v>-3</v>
      </c>
      <c r="T34" s="131">
        <f t="shared" si="4"/>
        <v>-30</v>
      </c>
      <c r="U34" s="136"/>
      <c r="V34" s="136">
        <f t="shared" si="5"/>
        <v>0</v>
      </c>
    </row>
    <row r="35" spans="1:22" x14ac:dyDescent="0.25">
      <c r="A35" s="48">
        <f t="shared" si="0"/>
        <v>0</v>
      </c>
      <c r="B35" s="39" t="str">
        <f t="shared" si="10"/>
        <v/>
      </c>
      <c r="C35" s="40"/>
      <c r="D35" s="40"/>
      <c r="E35" s="40"/>
      <c r="F35" s="40"/>
      <c r="G35" s="13"/>
      <c r="H35" s="41">
        <v>30</v>
      </c>
      <c r="I35" s="42" t="str">
        <f t="shared" si="7"/>
        <v/>
      </c>
      <c r="J35" s="41">
        <f t="shared" si="8"/>
        <v>-5</v>
      </c>
      <c r="K35" s="41">
        <f t="shared" si="1"/>
        <v>-50</v>
      </c>
      <c r="L35" s="41"/>
      <c r="M35" s="43">
        <f t="shared" si="2"/>
        <v>0</v>
      </c>
      <c r="O35" s="131">
        <v>30</v>
      </c>
      <c r="P35" s="131"/>
      <c r="Q35" s="131"/>
      <c r="R35" s="135" t="str">
        <f t="shared" si="9"/>
        <v/>
      </c>
      <c r="S35" s="131">
        <f t="shared" si="3"/>
        <v>-3</v>
      </c>
      <c r="T35" s="131">
        <f t="shared" si="4"/>
        <v>-30</v>
      </c>
      <c r="U35" s="136"/>
      <c r="V35" s="136">
        <f t="shared" si="5"/>
        <v>0</v>
      </c>
    </row>
    <row r="36" spans="1:22" x14ac:dyDescent="0.25">
      <c r="A36" s="49">
        <f t="shared" si="0"/>
        <v>0</v>
      </c>
      <c r="B36" s="33" t="str">
        <f t="shared" si="10"/>
        <v/>
      </c>
      <c r="C36" s="34"/>
      <c r="D36" s="34"/>
      <c r="E36" s="34"/>
      <c r="F36" s="34"/>
      <c r="G36" s="13"/>
      <c r="H36" s="35">
        <v>31</v>
      </c>
      <c r="I36" s="36" t="str">
        <f t="shared" si="7"/>
        <v/>
      </c>
      <c r="J36" s="35">
        <f t="shared" si="8"/>
        <v>-5</v>
      </c>
      <c r="K36" s="35">
        <f t="shared" si="1"/>
        <v>-50</v>
      </c>
      <c r="L36" s="35"/>
      <c r="M36" s="37">
        <f t="shared" si="2"/>
        <v>0</v>
      </c>
      <c r="O36" s="131">
        <v>31</v>
      </c>
      <c r="P36" s="131"/>
      <c r="Q36" s="131"/>
      <c r="R36" s="135" t="str">
        <f t="shared" si="9"/>
        <v/>
      </c>
      <c r="S36" s="131">
        <f t="shared" si="3"/>
        <v>-3</v>
      </c>
      <c r="T36" s="131">
        <f t="shared" si="4"/>
        <v>-30</v>
      </c>
      <c r="U36" s="136"/>
      <c r="V36" s="136">
        <f t="shared" si="5"/>
        <v>0</v>
      </c>
    </row>
    <row r="37" spans="1:22" x14ac:dyDescent="0.25">
      <c r="A37" s="48">
        <f t="shared" si="0"/>
        <v>0</v>
      </c>
      <c r="B37" s="39" t="str">
        <f t="shared" si="10"/>
        <v/>
      </c>
      <c r="C37" s="40"/>
      <c r="D37" s="40"/>
      <c r="E37" s="40"/>
      <c r="F37" s="40"/>
      <c r="G37" s="13"/>
      <c r="H37" s="41">
        <v>32</v>
      </c>
      <c r="I37" s="42" t="str">
        <f t="shared" si="7"/>
        <v/>
      </c>
      <c r="J37" s="41">
        <f t="shared" si="8"/>
        <v>-5</v>
      </c>
      <c r="K37" s="41">
        <f t="shared" si="1"/>
        <v>-50</v>
      </c>
      <c r="L37" s="41"/>
      <c r="M37" s="43">
        <f t="shared" si="2"/>
        <v>0</v>
      </c>
      <c r="O37" s="131">
        <v>32</v>
      </c>
      <c r="P37" s="131"/>
      <c r="Q37" s="131"/>
      <c r="R37" s="135" t="str">
        <f t="shared" si="9"/>
        <v/>
      </c>
      <c r="S37" s="131">
        <f t="shared" si="3"/>
        <v>-3</v>
      </c>
      <c r="T37" s="131">
        <f t="shared" si="4"/>
        <v>-30</v>
      </c>
      <c r="U37" s="136"/>
      <c r="V37" s="136">
        <f t="shared" si="5"/>
        <v>0</v>
      </c>
    </row>
    <row r="38" spans="1:22" x14ac:dyDescent="0.25">
      <c r="A38" s="49"/>
      <c r="B38" s="33" t="str">
        <f t="shared" si="10"/>
        <v/>
      </c>
      <c r="C38" s="34"/>
      <c r="D38" s="34"/>
      <c r="E38" s="34"/>
      <c r="F38" s="34"/>
      <c r="G38" s="13"/>
      <c r="H38" s="35">
        <v>33</v>
      </c>
      <c r="I38" s="36" t="str">
        <f t="shared" si="7"/>
        <v/>
      </c>
      <c r="J38" s="35">
        <f t="shared" si="8"/>
        <v>-6</v>
      </c>
      <c r="K38" s="35">
        <f t="shared" si="1"/>
        <v>-60</v>
      </c>
      <c r="L38" s="35"/>
      <c r="M38" s="37">
        <f t="shared" si="2"/>
        <v>0</v>
      </c>
      <c r="O38" s="131">
        <v>33</v>
      </c>
      <c r="P38" s="131"/>
      <c r="Q38" s="131"/>
      <c r="R38" s="135" t="str">
        <f t="shared" si="9"/>
        <v/>
      </c>
      <c r="S38" s="131">
        <f t="shared" si="3"/>
        <v>-4</v>
      </c>
      <c r="T38" s="131">
        <f t="shared" si="4"/>
        <v>-40</v>
      </c>
      <c r="U38" s="136"/>
      <c r="V38" s="136">
        <f t="shared" si="5"/>
        <v>0</v>
      </c>
    </row>
    <row r="39" spans="1:22" x14ac:dyDescent="0.25">
      <c r="A39" s="48"/>
      <c r="B39" s="39" t="str">
        <f t="shared" si="10"/>
        <v/>
      </c>
      <c r="C39" s="40"/>
      <c r="D39" s="40"/>
      <c r="E39" s="40"/>
      <c r="F39" s="40"/>
      <c r="G39" s="13"/>
      <c r="H39" s="41">
        <v>34</v>
      </c>
      <c r="I39" s="42" t="str">
        <f t="shared" si="7"/>
        <v/>
      </c>
      <c r="J39" s="41">
        <f t="shared" si="8"/>
        <v>-6</v>
      </c>
      <c r="K39" s="41">
        <f t="shared" si="1"/>
        <v>-60</v>
      </c>
      <c r="L39" s="41"/>
      <c r="M39" s="43">
        <f t="shared" si="2"/>
        <v>0</v>
      </c>
      <c r="O39" s="131">
        <v>34</v>
      </c>
      <c r="P39" s="131"/>
      <c r="Q39" s="131"/>
      <c r="R39" s="135" t="str">
        <f t="shared" si="9"/>
        <v/>
      </c>
      <c r="S39" s="131">
        <f t="shared" si="3"/>
        <v>-4</v>
      </c>
      <c r="T39" s="131">
        <f t="shared" si="4"/>
        <v>-40</v>
      </c>
      <c r="U39" s="136"/>
      <c r="V39" s="136">
        <f t="shared" si="5"/>
        <v>0</v>
      </c>
    </row>
    <row r="40" spans="1:22" x14ac:dyDescent="0.25">
      <c r="A40" s="49"/>
      <c r="B40" s="33" t="str">
        <f t="shared" si="10"/>
        <v/>
      </c>
      <c r="C40" s="34"/>
      <c r="D40" s="34"/>
      <c r="E40" s="34"/>
      <c r="F40" s="34"/>
      <c r="G40" s="13"/>
      <c r="H40" s="35">
        <v>35</v>
      </c>
      <c r="I40" s="36" t="str">
        <f t="shared" si="7"/>
        <v/>
      </c>
      <c r="J40" s="35">
        <f t="shared" si="8"/>
        <v>-6</v>
      </c>
      <c r="K40" s="35">
        <f t="shared" si="1"/>
        <v>-60</v>
      </c>
      <c r="L40" s="35"/>
      <c r="M40" s="37">
        <f t="shared" si="2"/>
        <v>0</v>
      </c>
      <c r="O40" s="131">
        <v>35</v>
      </c>
      <c r="P40" s="131"/>
      <c r="Q40" s="131"/>
      <c r="R40" s="135" t="str">
        <f t="shared" si="9"/>
        <v/>
      </c>
      <c r="S40" s="131">
        <f t="shared" si="3"/>
        <v>-4</v>
      </c>
      <c r="T40" s="131">
        <f t="shared" si="4"/>
        <v>-40</v>
      </c>
      <c r="U40" s="136"/>
      <c r="V40" s="136">
        <f t="shared" si="5"/>
        <v>0</v>
      </c>
    </row>
    <row r="41" spans="1:22" x14ac:dyDescent="0.25">
      <c r="A41" s="48"/>
      <c r="B41" s="39" t="str">
        <f t="shared" si="10"/>
        <v/>
      </c>
      <c r="C41" s="40"/>
      <c r="D41" s="40"/>
      <c r="E41" s="40"/>
      <c r="F41" s="40"/>
      <c r="G41" s="13"/>
      <c r="H41" s="41">
        <v>36</v>
      </c>
      <c r="I41" s="42" t="str">
        <f t="shared" si="7"/>
        <v/>
      </c>
      <c r="J41" s="41">
        <f t="shared" si="8"/>
        <v>-6</v>
      </c>
      <c r="K41" s="41">
        <f t="shared" si="1"/>
        <v>-60</v>
      </c>
      <c r="L41" s="41"/>
      <c r="M41" s="43">
        <f t="shared" si="2"/>
        <v>0</v>
      </c>
      <c r="O41" s="131">
        <v>36</v>
      </c>
      <c r="P41" s="131"/>
      <c r="Q41" s="131"/>
      <c r="R41" s="135" t="str">
        <f t="shared" si="9"/>
        <v/>
      </c>
      <c r="S41" s="131">
        <f t="shared" si="3"/>
        <v>-4</v>
      </c>
      <c r="T41" s="131">
        <f t="shared" si="4"/>
        <v>-40</v>
      </c>
      <c r="U41" s="136"/>
      <c r="V41" s="136">
        <f t="shared" si="5"/>
        <v>0</v>
      </c>
    </row>
    <row r="42" spans="1:22" x14ac:dyDescent="0.25">
      <c r="A42" s="49"/>
      <c r="B42" s="33" t="str">
        <f t="shared" si="10"/>
        <v/>
      </c>
      <c r="C42" s="34"/>
      <c r="D42" s="34"/>
      <c r="E42" s="34"/>
      <c r="F42" s="34"/>
      <c r="G42" s="13"/>
      <c r="H42" s="35">
        <v>37</v>
      </c>
      <c r="I42" s="36" t="str">
        <f t="shared" si="7"/>
        <v/>
      </c>
      <c r="J42" s="35">
        <f t="shared" si="8"/>
        <v>-6</v>
      </c>
      <c r="K42" s="35">
        <f t="shared" si="1"/>
        <v>-60</v>
      </c>
      <c r="L42" s="35"/>
      <c r="M42" s="37">
        <f t="shared" si="2"/>
        <v>0</v>
      </c>
      <c r="O42" s="131">
        <v>37</v>
      </c>
      <c r="P42" s="131"/>
      <c r="Q42" s="131"/>
      <c r="R42" s="135" t="str">
        <f t="shared" si="9"/>
        <v/>
      </c>
      <c r="S42" s="131">
        <f t="shared" si="3"/>
        <v>-4</v>
      </c>
      <c r="T42" s="131">
        <f t="shared" si="4"/>
        <v>-40</v>
      </c>
      <c r="U42" s="136"/>
      <c r="V42" s="136">
        <f t="shared" si="5"/>
        <v>0</v>
      </c>
    </row>
    <row r="43" spans="1:22" x14ac:dyDescent="0.25">
      <c r="A43" s="48"/>
      <c r="B43" s="39" t="str">
        <f t="shared" si="10"/>
        <v/>
      </c>
      <c r="C43" s="40"/>
      <c r="D43" s="40"/>
      <c r="E43" s="40"/>
      <c r="F43" s="40"/>
      <c r="G43" s="13"/>
      <c r="H43" s="41">
        <v>38</v>
      </c>
      <c r="I43" s="42" t="str">
        <f t="shared" si="7"/>
        <v/>
      </c>
      <c r="J43" s="41">
        <f t="shared" si="8"/>
        <v>-6</v>
      </c>
      <c r="K43" s="41">
        <f t="shared" si="1"/>
        <v>-60</v>
      </c>
      <c r="L43" s="41"/>
      <c r="M43" s="43">
        <f t="shared" si="2"/>
        <v>0</v>
      </c>
      <c r="O43" s="131">
        <v>38</v>
      </c>
      <c r="P43" s="131"/>
      <c r="Q43" s="131"/>
      <c r="R43" s="135" t="str">
        <f t="shared" si="9"/>
        <v/>
      </c>
      <c r="S43" s="131">
        <f t="shared" si="3"/>
        <v>-4</v>
      </c>
      <c r="T43" s="131">
        <f t="shared" si="4"/>
        <v>-40</v>
      </c>
      <c r="U43" s="136"/>
      <c r="V43" s="136">
        <f t="shared" si="5"/>
        <v>0</v>
      </c>
    </row>
    <row r="44" spans="1:22" x14ac:dyDescent="0.25">
      <c r="A44" s="49"/>
      <c r="B44" s="33" t="str">
        <f t="shared" si="10"/>
        <v/>
      </c>
      <c r="C44" s="34"/>
      <c r="D44" s="34"/>
      <c r="E44" s="34"/>
      <c r="F44" s="34"/>
      <c r="G44" s="13"/>
      <c r="H44" s="35">
        <v>39</v>
      </c>
      <c r="I44" s="36" t="str">
        <f t="shared" si="7"/>
        <v/>
      </c>
      <c r="J44" s="35">
        <f t="shared" si="8"/>
        <v>-6</v>
      </c>
      <c r="K44" s="35">
        <f t="shared" si="1"/>
        <v>-60</v>
      </c>
      <c r="L44" s="35"/>
      <c r="M44" s="37">
        <f t="shared" si="2"/>
        <v>0</v>
      </c>
      <c r="O44" s="131">
        <v>39</v>
      </c>
      <c r="P44" s="131"/>
      <c r="Q44" s="131"/>
      <c r="R44" s="135" t="str">
        <f t="shared" si="9"/>
        <v/>
      </c>
      <c r="S44" s="131">
        <f t="shared" si="3"/>
        <v>-4</v>
      </c>
      <c r="T44" s="131">
        <f t="shared" si="4"/>
        <v>-40</v>
      </c>
      <c r="U44" s="136"/>
      <c r="V44" s="136">
        <f t="shared" si="5"/>
        <v>0</v>
      </c>
    </row>
    <row r="45" spans="1:22" x14ac:dyDescent="0.25">
      <c r="A45" s="48"/>
      <c r="B45" s="39" t="str">
        <f t="shared" si="10"/>
        <v/>
      </c>
      <c r="C45" s="40"/>
      <c r="D45" s="40"/>
      <c r="E45" s="40"/>
      <c r="F45" s="40"/>
      <c r="G45" s="13"/>
      <c r="H45" s="41">
        <v>40</v>
      </c>
      <c r="I45" s="42" t="str">
        <f t="shared" si="7"/>
        <v/>
      </c>
      <c r="J45" s="41">
        <f t="shared" si="8"/>
        <v>-6</v>
      </c>
      <c r="K45" s="41">
        <f t="shared" si="1"/>
        <v>-60</v>
      </c>
      <c r="L45" s="41"/>
      <c r="M45" s="43">
        <f t="shared" si="2"/>
        <v>0</v>
      </c>
      <c r="O45" s="131">
        <v>40</v>
      </c>
      <c r="P45" s="131"/>
      <c r="Q45" s="131"/>
      <c r="R45" s="135" t="str">
        <f t="shared" si="9"/>
        <v/>
      </c>
      <c r="S45" s="131">
        <f t="shared" si="3"/>
        <v>-4</v>
      </c>
      <c r="T45" s="131">
        <f t="shared" si="4"/>
        <v>-40</v>
      </c>
      <c r="U45" s="136"/>
      <c r="V45" s="136">
        <f t="shared" si="5"/>
        <v>0</v>
      </c>
    </row>
    <row r="46" spans="1:22" x14ac:dyDescent="0.25">
      <c r="A46" s="49"/>
      <c r="B46" s="33" t="str">
        <f t="shared" si="10"/>
        <v/>
      </c>
      <c r="C46" s="34"/>
      <c r="D46" s="34"/>
      <c r="E46" s="34"/>
      <c r="F46" s="34"/>
      <c r="G46" s="13"/>
      <c r="H46" s="35">
        <v>41</v>
      </c>
      <c r="I46" s="36" t="str">
        <f t="shared" si="7"/>
        <v/>
      </c>
      <c r="J46" s="35">
        <f t="shared" si="8"/>
        <v>-6</v>
      </c>
      <c r="K46" s="35">
        <f t="shared" si="1"/>
        <v>-60</v>
      </c>
      <c r="L46" s="35"/>
      <c r="M46" s="37">
        <f t="shared" si="2"/>
        <v>0</v>
      </c>
      <c r="O46" s="131">
        <v>41</v>
      </c>
      <c r="P46" s="131"/>
      <c r="Q46" s="131"/>
      <c r="R46" s="135" t="str">
        <f t="shared" si="9"/>
        <v/>
      </c>
      <c r="S46" s="131">
        <f t="shared" si="3"/>
        <v>-4</v>
      </c>
      <c r="T46" s="131">
        <f t="shared" si="4"/>
        <v>-40</v>
      </c>
      <c r="U46" s="136"/>
      <c r="V46" s="136">
        <f t="shared" si="5"/>
        <v>0</v>
      </c>
    </row>
    <row r="47" spans="1:22" x14ac:dyDescent="0.25">
      <c r="A47" s="48"/>
      <c r="B47" s="39" t="str">
        <f t="shared" si="10"/>
        <v/>
      </c>
      <c r="C47" s="40"/>
      <c r="D47" s="40"/>
      <c r="E47" s="40"/>
      <c r="F47" s="40"/>
      <c r="G47" s="13"/>
      <c r="H47" s="41">
        <v>42</v>
      </c>
      <c r="I47" s="42" t="str">
        <f t="shared" si="7"/>
        <v/>
      </c>
      <c r="J47" s="41">
        <f t="shared" si="8"/>
        <v>-6</v>
      </c>
      <c r="K47" s="41">
        <f t="shared" si="1"/>
        <v>-60</v>
      </c>
      <c r="L47" s="41"/>
      <c r="M47" s="43">
        <f t="shared" si="2"/>
        <v>0</v>
      </c>
      <c r="O47" s="131">
        <v>42</v>
      </c>
      <c r="P47" s="131"/>
      <c r="Q47" s="131"/>
      <c r="R47" s="135" t="str">
        <f t="shared" si="9"/>
        <v/>
      </c>
      <c r="S47" s="131">
        <f t="shared" si="3"/>
        <v>-4</v>
      </c>
      <c r="T47" s="131">
        <f t="shared" si="4"/>
        <v>-40</v>
      </c>
      <c r="U47" s="136"/>
      <c r="V47" s="136">
        <f t="shared" si="5"/>
        <v>0</v>
      </c>
    </row>
    <row r="48" spans="1:22" x14ac:dyDescent="0.25">
      <c r="A48" s="49"/>
      <c r="B48" s="33" t="str">
        <f t="shared" si="10"/>
        <v/>
      </c>
      <c r="C48" s="34"/>
      <c r="D48" s="34"/>
      <c r="E48" s="34"/>
      <c r="F48" s="34"/>
      <c r="G48" s="13"/>
      <c r="H48" s="35">
        <v>43</v>
      </c>
      <c r="I48" s="36" t="str">
        <f t="shared" si="7"/>
        <v/>
      </c>
      <c r="J48" s="35">
        <f t="shared" si="8"/>
        <v>-6</v>
      </c>
      <c r="K48" s="35">
        <f t="shared" si="1"/>
        <v>-60</v>
      </c>
      <c r="L48" s="35"/>
      <c r="M48" s="37">
        <f t="shared" si="2"/>
        <v>0</v>
      </c>
      <c r="O48" s="131">
        <v>43</v>
      </c>
      <c r="P48" s="131"/>
      <c r="Q48" s="131"/>
      <c r="R48" s="135" t="str">
        <f t="shared" si="9"/>
        <v/>
      </c>
      <c r="S48" s="131">
        <f t="shared" si="3"/>
        <v>-4</v>
      </c>
      <c r="T48" s="131">
        <f t="shared" si="4"/>
        <v>-40</v>
      </c>
      <c r="U48" s="136"/>
      <c r="V48" s="136">
        <f t="shared" si="5"/>
        <v>0</v>
      </c>
    </row>
    <row r="49" spans="1:22" x14ac:dyDescent="0.25">
      <c r="A49" s="48"/>
      <c r="B49" s="39" t="str">
        <f t="shared" si="10"/>
        <v/>
      </c>
      <c r="C49" s="40"/>
      <c r="D49" s="40"/>
      <c r="E49" s="40"/>
      <c r="F49" s="40"/>
      <c r="G49" s="13"/>
      <c r="H49" s="41">
        <v>44</v>
      </c>
      <c r="I49" s="42" t="str">
        <f t="shared" si="7"/>
        <v/>
      </c>
      <c r="J49" s="41">
        <f t="shared" si="8"/>
        <v>-6</v>
      </c>
      <c r="K49" s="41">
        <f t="shared" si="1"/>
        <v>-60</v>
      </c>
      <c r="L49" s="41"/>
      <c r="M49" s="43">
        <f t="shared" si="2"/>
        <v>0</v>
      </c>
      <c r="O49" s="131">
        <v>44</v>
      </c>
      <c r="P49" s="131"/>
      <c r="Q49" s="131"/>
      <c r="R49" s="135" t="str">
        <f t="shared" si="9"/>
        <v/>
      </c>
      <c r="S49" s="131">
        <f t="shared" si="3"/>
        <v>-4</v>
      </c>
      <c r="T49" s="131">
        <f t="shared" si="4"/>
        <v>-40</v>
      </c>
      <c r="U49" s="136"/>
      <c r="V49" s="136">
        <f t="shared" si="5"/>
        <v>0</v>
      </c>
    </row>
    <row r="50" spans="1:22" x14ac:dyDescent="0.25">
      <c r="A50" s="49"/>
      <c r="B50" s="33" t="str">
        <f t="shared" si="10"/>
        <v/>
      </c>
      <c r="C50" s="34"/>
      <c r="D50" s="34"/>
      <c r="E50" s="34"/>
      <c r="F50" s="34"/>
      <c r="G50" s="13"/>
      <c r="H50" s="35">
        <v>45</v>
      </c>
      <c r="I50" s="36" t="str">
        <f t="shared" si="7"/>
        <v/>
      </c>
      <c r="J50" s="35">
        <f t="shared" si="8"/>
        <v>-6</v>
      </c>
      <c r="K50" s="35">
        <f t="shared" si="1"/>
        <v>-60</v>
      </c>
      <c r="L50" s="35"/>
      <c r="M50" s="37">
        <f t="shared" si="2"/>
        <v>0</v>
      </c>
      <c r="O50" s="131">
        <v>45</v>
      </c>
      <c r="P50" s="131"/>
      <c r="Q50" s="131"/>
      <c r="R50" s="135" t="str">
        <f t="shared" si="9"/>
        <v/>
      </c>
      <c r="S50" s="131">
        <f t="shared" si="3"/>
        <v>-4</v>
      </c>
      <c r="T50" s="131">
        <f t="shared" si="4"/>
        <v>-40</v>
      </c>
      <c r="U50" s="136"/>
      <c r="V50" s="136">
        <f t="shared" si="5"/>
        <v>0</v>
      </c>
    </row>
    <row r="51" spans="1:22" x14ac:dyDescent="0.25">
      <c r="A51" s="48"/>
      <c r="B51" s="39" t="str">
        <f t="shared" si="10"/>
        <v/>
      </c>
      <c r="C51" s="40"/>
      <c r="D51" s="40"/>
      <c r="E51" s="40"/>
      <c r="F51" s="40"/>
      <c r="G51" s="13"/>
      <c r="H51" s="41">
        <v>46</v>
      </c>
      <c r="I51" s="42" t="str">
        <f t="shared" si="7"/>
        <v/>
      </c>
      <c r="J51" s="41">
        <f t="shared" si="8"/>
        <v>-6</v>
      </c>
      <c r="K51" s="41">
        <f t="shared" si="1"/>
        <v>-60</v>
      </c>
      <c r="L51" s="41"/>
      <c r="M51" s="43">
        <f t="shared" si="2"/>
        <v>0</v>
      </c>
      <c r="O51" s="131">
        <v>46</v>
      </c>
      <c r="P51" s="131"/>
      <c r="Q51" s="131"/>
      <c r="R51" s="135" t="str">
        <f t="shared" si="9"/>
        <v/>
      </c>
      <c r="S51" s="131">
        <f t="shared" si="3"/>
        <v>-4</v>
      </c>
      <c r="T51" s="131">
        <f t="shared" si="4"/>
        <v>-40</v>
      </c>
      <c r="U51" s="136"/>
      <c r="V51" s="136">
        <f t="shared" si="5"/>
        <v>0</v>
      </c>
    </row>
    <row r="52" spans="1:22" x14ac:dyDescent="0.25">
      <c r="A52" s="49"/>
      <c r="B52" s="33" t="str">
        <f t="shared" si="10"/>
        <v/>
      </c>
      <c r="C52" s="34"/>
      <c r="D52" s="34"/>
      <c r="E52" s="34"/>
      <c r="F52" s="34"/>
      <c r="G52" s="13"/>
      <c r="H52" s="35">
        <v>47</v>
      </c>
      <c r="I52" s="36" t="str">
        <f t="shared" si="7"/>
        <v/>
      </c>
      <c r="J52" s="35">
        <f t="shared" si="8"/>
        <v>-6</v>
      </c>
      <c r="K52" s="35">
        <f t="shared" si="1"/>
        <v>-60</v>
      </c>
      <c r="L52" s="35"/>
      <c r="M52" s="37">
        <f t="shared" si="2"/>
        <v>0</v>
      </c>
      <c r="O52" s="131">
        <v>47</v>
      </c>
      <c r="P52" s="131"/>
      <c r="Q52" s="131"/>
      <c r="R52" s="135" t="str">
        <f t="shared" si="9"/>
        <v/>
      </c>
      <c r="S52" s="131">
        <f t="shared" si="3"/>
        <v>-4</v>
      </c>
      <c r="T52" s="131">
        <f t="shared" si="4"/>
        <v>-40</v>
      </c>
      <c r="U52" s="136"/>
      <c r="V52" s="136">
        <f t="shared" si="5"/>
        <v>0</v>
      </c>
    </row>
    <row r="53" spans="1:22" x14ac:dyDescent="0.25">
      <c r="A53" s="48"/>
      <c r="B53" s="39" t="str">
        <f t="shared" si="10"/>
        <v/>
      </c>
      <c r="C53" s="40"/>
      <c r="D53" s="40"/>
      <c r="E53" s="40"/>
      <c r="F53" s="40"/>
      <c r="G53" s="13"/>
      <c r="H53" s="41">
        <v>48</v>
      </c>
      <c r="I53" s="42" t="str">
        <f t="shared" si="7"/>
        <v/>
      </c>
      <c r="J53" s="41">
        <f t="shared" si="8"/>
        <v>-6</v>
      </c>
      <c r="K53" s="41">
        <f t="shared" si="1"/>
        <v>-60</v>
      </c>
      <c r="L53" s="41"/>
      <c r="M53" s="43">
        <f t="shared" si="2"/>
        <v>0</v>
      </c>
      <c r="O53" s="131">
        <v>48</v>
      </c>
      <c r="P53" s="131"/>
      <c r="Q53" s="131"/>
      <c r="R53" s="135" t="str">
        <f t="shared" si="9"/>
        <v/>
      </c>
      <c r="S53" s="131">
        <f t="shared" si="3"/>
        <v>-4</v>
      </c>
      <c r="T53" s="131">
        <f t="shared" si="4"/>
        <v>-40</v>
      </c>
      <c r="U53" s="136"/>
      <c r="V53" s="136">
        <f t="shared" si="5"/>
        <v>0</v>
      </c>
    </row>
    <row r="54" spans="1:22" x14ac:dyDescent="0.25">
      <c r="A54" s="49"/>
      <c r="B54" s="33" t="str">
        <f t="shared" si="10"/>
        <v/>
      </c>
      <c r="C54" s="34"/>
      <c r="D54" s="34"/>
      <c r="E54" s="34"/>
      <c r="F54" s="34"/>
      <c r="G54" s="13"/>
      <c r="H54" s="35">
        <v>49</v>
      </c>
      <c r="I54" s="36" t="str">
        <f t="shared" si="7"/>
        <v/>
      </c>
      <c r="J54" s="35">
        <f t="shared" si="8"/>
        <v>-6</v>
      </c>
      <c r="K54" s="35">
        <f t="shared" si="1"/>
        <v>-60</v>
      </c>
      <c r="L54" s="35"/>
      <c r="M54" s="37">
        <f t="shared" si="2"/>
        <v>0</v>
      </c>
      <c r="O54" s="131">
        <v>49</v>
      </c>
      <c r="P54" s="131"/>
      <c r="Q54" s="131"/>
      <c r="R54" s="135" t="str">
        <f t="shared" si="9"/>
        <v/>
      </c>
      <c r="S54" s="131">
        <f t="shared" si="3"/>
        <v>-4</v>
      </c>
      <c r="T54" s="131">
        <f t="shared" si="4"/>
        <v>-40</v>
      </c>
      <c r="U54" s="136"/>
      <c r="V54" s="136">
        <f t="shared" si="5"/>
        <v>0</v>
      </c>
    </row>
    <row r="55" spans="1:22" x14ac:dyDescent="0.25">
      <c r="A55" s="48"/>
      <c r="B55" s="39" t="str">
        <f t="shared" si="10"/>
        <v/>
      </c>
      <c r="C55" s="40"/>
      <c r="D55" s="40"/>
      <c r="E55" s="40"/>
      <c r="F55" s="40"/>
      <c r="G55" s="13"/>
      <c r="H55" s="41">
        <v>50</v>
      </c>
      <c r="I55" s="42" t="str">
        <f t="shared" si="7"/>
        <v/>
      </c>
      <c r="J55" s="41">
        <f t="shared" si="8"/>
        <v>-6</v>
      </c>
      <c r="K55" s="41">
        <f t="shared" si="1"/>
        <v>-60</v>
      </c>
      <c r="L55" s="41"/>
      <c r="M55" s="43">
        <f t="shared" si="2"/>
        <v>0</v>
      </c>
      <c r="O55" s="131">
        <v>50</v>
      </c>
      <c r="P55" s="131"/>
      <c r="Q55" s="131"/>
      <c r="R55" s="135" t="str">
        <f t="shared" si="9"/>
        <v/>
      </c>
      <c r="S55" s="131">
        <f t="shared" si="3"/>
        <v>-4</v>
      </c>
      <c r="T55" s="131">
        <f t="shared" si="4"/>
        <v>-40</v>
      </c>
      <c r="U55" s="136"/>
      <c r="V55" s="136">
        <f t="shared" si="5"/>
        <v>0</v>
      </c>
    </row>
    <row r="56" spans="1:22" x14ac:dyDescent="0.25">
      <c r="A56" s="49"/>
      <c r="B56" s="33" t="str">
        <f t="shared" si="10"/>
        <v/>
      </c>
      <c r="C56" s="34"/>
      <c r="D56" s="34"/>
      <c r="E56" s="34"/>
      <c r="F56" s="34"/>
      <c r="G56" s="13"/>
      <c r="H56" s="35">
        <v>51</v>
      </c>
      <c r="I56" s="36" t="str">
        <f t="shared" si="7"/>
        <v/>
      </c>
      <c r="J56" s="35">
        <f t="shared" si="8"/>
        <v>-6</v>
      </c>
      <c r="K56" s="35">
        <f t="shared" si="1"/>
        <v>-60</v>
      </c>
      <c r="L56" s="35"/>
      <c r="M56" s="37">
        <f t="shared" si="2"/>
        <v>0</v>
      </c>
      <c r="O56" s="131">
        <v>51</v>
      </c>
      <c r="P56" s="131"/>
      <c r="Q56" s="131"/>
      <c r="R56" s="135" t="str">
        <f t="shared" si="9"/>
        <v/>
      </c>
      <c r="S56" s="131">
        <f t="shared" si="3"/>
        <v>-4</v>
      </c>
      <c r="T56" s="131">
        <f t="shared" si="4"/>
        <v>-40</v>
      </c>
      <c r="U56" s="136"/>
      <c r="V56" s="136">
        <f t="shared" si="5"/>
        <v>0</v>
      </c>
    </row>
    <row r="57" spans="1:22" x14ac:dyDescent="0.25">
      <c r="A57" s="48"/>
      <c r="B57" s="39" t="str">
        <f t="shared" si="10"/>
        <v/>
      </c>
      <c r="C57" s="40"/>
      <c r="D57" s="40"/>
      <c r="E57" s="40"/>
      <c r="F57" s="40"/>
      <c r="G57" s="13"/>
      <c r="H57" s="41">
        <v>52</v>
      </c>
      <c r="I57" s="42" t="str">
        <f t="shared" si="7"/>
        <v/>
      </c>
      <c r="J57" s="41">
        <f t="shared" si="8"/>
        <v>-6</v>
      </c>
      <c r="K57" s="41">
        <f t="shared" si="1"/>
        <v>-60</v>
      </c>
      <c r="L57" s="41"/>
      <c r="M57" s="43">
        <f t="shared" si="2"/>
        <v>0</v>
      </c>
      <c r="O57" s="131">
        <v>52</v>
      </c>
      <c r="P57" s="131"/>
      <c r="Q57" s="131"/>
      <c r="R57" s="135" t="str">
        <f t="shared" si="9"/>
        <v/>
      </c>
      <c r="S57" s="131">
        <f t="shared" si="3"/>
        <v>-4</v>
      </c>
      <c r="T57" s="131">
        <f t="shared" si="4"/>
        <v>-40</v>
      </c>
      <c r="U57" s="136"/>
      <c r="V57" s="136">
        <f t="shared" si="5"/>
        <v>0</v>
      </c>
    </row>
    <row r="58" spans="1:22" x14ac:dyDescent="0.25">
      <c r="A58" s="49"/>
      <c r="B58" s="33" t="str">
        <f t="shared" si="10"/>
        <v/>
      </c>
      <c r="C58" s="34"/>
      <c r="D58" s="34"/>
      <c r="E58" s="34"/>
      <c r="F58" s="34"/>
      <c r="G58" s="13"/>
      <c r="H58" s="35">
        <v>53</v>
      </c>
      <c r="I58" s="36" t="str">
        <f t="shared" si="7"/>
        <v/>
      </c>
      <c r="J58" s="35">
        <f t="shared" si="8"/>
        <v>-6</v>
      </c>
      <c r="K58" s="35">
        <f t="shared" si="1"/>
        <v>-60</v>
      </c>
      <c r="L58" s="35"/>
      <c r="M58" s="37">
        <f t="shared" si="2"/>
        <v>0</v>
      </c>
      <c r="O58" s="131">
        <v>53</v>
      </c>
      <c r="P58" s="131"/>
      <c r="Q58" s="131"/>
      <c r="R58" s="135" t="str">
        <f t="shared" si="9"/>
        <v/>
      </c>
      <c r="S58" s="131">
        <f t="shared" si="3"/>
        <v>-4</v>
      </c>
      <c r="T58" s="131">
        <f t="shared" si="4"/>
        <v>-40</v>
      </c>
      <c r="U58" s="136"/>
      <c r="V58" s="136">
        <f t="shared" si="5"/>
        <v>0</v>
      </c>
    </row>
    <row r="59" spans="1:22" x14ac:dyDescent="0.25">
      <c r="A59" s="48"/>
      <c r="B59" s="39" t="str">
        <f t="shared" si="10"/>
        <v/>
      </c>
      <c r="C59" s="40"/>
      <c r="D59" s="40"/>
      <c r="E59" s="40"/>
      <c r="F59" s="40"/>
      <c r="G59" s="13"/>
      <c r="H59" s="41">
        <v>54</v>
      </c>
      <c r="I59" s="42" t="str">
        <f t="shared" si="7"/>
        <v/>
      </c>
      <c r="J59" s="41">
        <f t="shared" si="8"/>
        <v>-6</v>
      </c>
      <c r="K59" s="41">
        <f t="shared" si="1"/>
        <v>-60</v>
      </c>
      <c r="L59" s="41"/>
      <c r="M59" s="43">
        <f t="shared" si="2"/>
        <v>0</v>
      </c>
      <c r="O59" s="131">
        <v>54</v>
      </c>
      <c r="P59" s="131"/>
      <c r="Q59" s="131"/>
      <c r="R59" s="135" t="str">
        <f t="shared" si="9"/>
        <v/>
      </c>
      <c r="S59" s="131">
        <f t="shared" si="3"/>
        <v>-4</v>
      </c>
      <c r="T59" s="131">
        <f t="shared" si="4"/>
        <v>-40</v>
      </c>
      <c r="U59" s="136"/>
      <c r="V59" s="136">
        <f t="shared" si="5"/>
        <v>0</v>
      </c>
    </row>
    <row r="60" spans="1:22" x14ac:dyDescent="0.25">
      <c r="A60" s="49"/>
      <c r="B60" s="33" t="str">
        <f t="shared" si="10"/>
        <v/>
      </c>
      <c r="C60" s="34"/>
      <c r="D60" s="34"/>
      <c r="E60" s="34"/>
      <c r="F60" s="34"/>
      <c r="G60" s="13"/>
      <c r="H60" s="35">
        <v>55</v>
      </c>
      <c r="I60" s="36" t="str">
        <f t="shared" si="7"/>
        <v/>
      </c>
      <c r="J60" s="35">
        <f t="shared" si="8"/>
        <v>-6</v>
      </c>
      <c r="K60" s="35">
        <f t="shared" si="1"/>
        <v>-60</v>
      </c>
      <c r="L60" s="35"/>
      <c r="M60" s="37">
        <f t="shared" si="2"/>
        <v>0</v>
      </c>
      <c r="O60" s="131">
        <v>55</v>
      </c>
      <c r="P60" s="131"/>
      <c r="Q60" s="131"/>
      <c r="R60" s="135" t="str">
        <f t="shared" si="9"/>
        <v/>
      </c>
      <c r="S60" s="131">
        <f t="shared" si="3"/>
        <v>-4</v>
      </c>
      <c r="T60" s="131">
        <f t="shared" si="4"/>
        <v>-40</v>
      </c>
      <c r="U60" s="136"/>
      <c r="V60" s="136">
        <f t="shared" si="5"/>
        <v>0</v>
      </c>
    </row>
    <row r="61" spans="1:22" x14ac:dyDescent="0.25">
      <c r="A61" s="48"/>
      <c r="B61" s="39" t="str">
        <f t="shared" si="10"/>
        <v/>
      </c>
      <c r="C61" s="40"/>
      <c r="D61" s="40"/>
      <c r="E61" s="40"/>
      <c r="F61" s="40"/>
      <c r="G61" s="13"/>
      <c r="H61" s="41">
        <v>56</v>
      </c>
      <c r="I61" s="42" t="str">
        <f t="shared" si="7"/>
        <v/>
      </c>
      <c r="J61" s="41">
        <f t="shared" si="8"/>
        <v>-6</v>
      </c>
      <c r="K61" s="41">
        <f t="shared" si="1"/>
        <v>-60</v>
      </c>
      <c r="L61" s="41"/>
      <c r="M61" s="43">
        <f t="shared" si="2"/>
        <v>0</v>
      </c>
      <c r="O61" s="131">
        <v>56</v>
      </c>
      <c r="P61" s="131"/>
      <c r="Q61" s="131"/>
      <c r="R61" s="135" t="str">
        <f t="shared" si="9"/>
        <v/>
      </c>
      <c r="S61" s="131">
        <f t="shared" si="3"/>
        <v>-4</v>
      </c>
      <c r="T61" s="131">
        <f t="shared" si="4"/>
        <v>-40</v>
      </c>
      <c r="U61" s="136"/>
      <c r="V61" s="136">
        <f t="shared" si="5"/>
        <v>0</v>
      </c>
    </row>
    <row r="62" spans="1:22" x14ac:dyDescent="0.25">
      <c r="A62" s="49"/>
      <c r="B62" s="33" t="str">
        <f t="shared" si="10"/>
        <v/>
      </c>
      <c r="C62" s="34"/>
      <c r="D62" s="34"/>
      <c r="E62" s="34"/>
      <c r="F62" s="34"/>
      <c r="G62" s="13"/>
      <c r="H62" s="35">
        <v>57</v>
      </c>
      <c r="I62" s="36" t="str">
        <f t="shared" si="7"/>
        <v/>
      </c>
      <c r="J62" s="35">
        <f t="shared" si="8"/>
        <v>-6</v>
      </c>
      <c r="K62" s="35">
        <f t="shared" si="1"/>
        <v>-60</v>
      </c>
      <c r="L62" s="35"/>
      <c r="M62" s="37">
        <f t="shared" si="2"/>
        <v>0</v>
      </c>
      <c r="O62" s="131">
        <v>57</v>
      </c>
      <c r="P62" s="131"/>
      <c r="Q62" s="131"/>
      <c r="R62" s="135" t="str">
        <f t="shared" si="9"/>
        <v/>
      </c>
      <c r="S62" s="131">
        <f t="shared" si="3"/>
        <v>-4</v>
      </c>
      <c r="T62" s="131">
        <f t="shared" si="4"/>
        <v>-40</v>
      </c>
      <c r="U62" s="136"/>
      <c r="V62" s="136">
        <f t="shared" si="5"/>
        <v>0</v>
      </c>
    </row>
    <row r="63" spans="1:22" x14ac:dyDescent="0.25">
      <c r="A63" s="48"/>
      <c r="B63" s="39" t="str">
        <f t="shared" si="10"/>
        <v/>
      </c>
      <c r="C63" s="40"/>
      <c r="D63" s="40"/>
      <c r="E63" s="40"/>
      <c r="F63" s="40"/>
      <c r="G63" s="13"/>
      <c r="H63" s="41">
        <v>58</v>
      </c>
      <c r="I63" s="42" t="str">
        <f t="shared" si="7"/>
        <v/>
      </c>
      <c r="J63" s="41">
        <f t="shared" si="8"/>
        <v>-6</v>
      </c>
      <c r="K63" s="41">
        <f t="shared" si="1"/>
        <v>-60</v>
      </c>
      <c r="L63" s="41"/>
      <c r="M63" s="43">
        <f t="shared" si="2"/>
        <v>0</v>
      </c>
      <c r="O63" s="131">
        <v>58</v>
      </c>
      <c r="P63" s="131"/>
      <c r="Q63" s="131"/>
      <c r="R63" s="135" t="str">
        <f t="shared" si="9"/>
        <v/>
      </c>
      <c r="S63" s="131">
        <f t="shared" si="3"/>
        <v>-4</v>
      </c>
      <c r="T63" s="131">
        <f t="shared" si="4"/>
        <v>-40</v>
      </c>
      <c r="U63" s="136"/>
      <c r="V63" s="136">
        <f t="shared" si="5"/>
        <v>0</v>
      </c>
    </row>
    <row r="64" spans="1:22" x14ac:dyDescent="0.25">
      <c r="A64" s="49"/>
      <c r="B64" s="33" t="str">
        <f t="shared" si="10"/>
        <v/>
      </c>
      <c r="C64" s="34"/>
      <c r="D64" s="34"/>
      <c r="E64" s="34"/>
      <c r="F64" s="34"/>
      <c r="G64" s="13"/>
      <c r="H64" s="35">
        <v>59</v>
      </c>
      <c r="I64" s="36" t="str">
        <f t="shared" si="7"/>
        <v/>
      </c>
      <c r="J64" s="35">
        <f t="shared" si="8"/>
        <v>-6</v>
      </c>
      <c r="K64" s="35">
        <f t="shared" si="1"/>
        <v>-60</v>
      </c>
      <c r="L64" s="35"/>
      <c r="M64" s="37">
        <f t="shared" si="2"/>
        <v>0</v>
      </c>
      <c r="O64" s="131">
        <v>59</v>
      </c>
      <c r="P64" s="131"/>
      <c r="Q64" s="131"/>
      <c r="R64" s="135" t="str">
        <f t="shared" si="9"/>
        <v/>
      </c>
      <c r="S64" s="131">
        <f t="shared" si="3"/>
        <v>-4</v>
      </c>
      <c r="T64" s="131">
        <f t="shared" si="4"/>
        <v>-40</v>
      </c>
      <c r="U64" s="136"/>
      <c r="V64" s="136">
        <f t="shared" si="5"/>
        <v>0</v>
      </c>
    </row>
    <row r="65" spans="1:22" x14ac:dyDescent="0.25">
      <c r="A65" s="48"/>
      <c r="B65" s="39" t="str">
        <f t="shared" si="10"/>
        <v/>
      </c>
      <c r="C65" s="40"/>
      <c r="D65" s="40"/>
      <c r="E65" s="40"/>
      <c r="F65" s="40"/>
      <c r="G65" s="13"/>
      <c r="H65" s="41">
        <v>60</v>
      </c>
      <c r="I65" s="42" t="str">
        <f t="shared" si="7"/>
        <v/>
      </c>
      <c r="J65" s="41">
        <f t="shared" si="8"/>
        <v>-6</v>
      </c>
      <c r="K65" s="41">
        <f t="shared" si="1"/>
        <v>-60</v>
      </c>
      <c r="L65" s="41"/>
      <c r="M65" s="43">
        <f t="shared" si="2"/>
        <v>0</v>
      </c>
      <c r="O65" s="131">
        <v>60</v>
      </c>
      <c r="P65" s="131"/>
      <c r="Q65" s="131"/>
      <c r="R65" s="135" t="str">
        <f t="shared" si="9"/>
        <v/>
      </c>
      <c r="S65" s="131">
        <f t="shared" si="3"/>
        <v>-4</v>
      </c>
      <c r="T65" s="131">
        <f t="shared" si="4"/>
        <v>-40</v>
      </c>
      <c r="U65" s="136"/>
      <c r="V65" s="136">
        <f t="shared" si="5"/>
        <v>0</v>
      </c>
    </row>
    <row r="66" spans="1:22" x14ac:dyDescent="0.25">
      <c r="A66" s="56"/>
      <c r="B66" s="33"/>
      <c r="G66" s="13"/>
      <c r="H66" s="35">
        <v>61</v>
      </c>
      <c r="I66" s="36" t="str">
        <f t="shared" si="7"/>
        <v/>
      </c>
      <c r="J66" s="35">
        <f t="shared" si="8"/>
        <v>-6</v>
      </c>
      <c r="K66" s="35">
        <f t="shared" si="1"/>
        <v>-60</v>
      </c>
      <c r="L66" s="35"/>
      <c r="M66" s="37">
        <f t="shared" si="2"/>
        <v>0</v>
      </c>
      <c r="O66" s="131">
        <v>61</v>
      </c>
      <c r="P66" s="131"/>
      <c r="Q66" s="131"/>
      <c r="R66" s="135" t="str">
        <f t="shared" si="9"/>
        <v/>
      </c>
      <c r="S66" s="131">
        <f t="shared" si="3"/>
        <v>-4</v>
      </c>
      <c r="T66" s="131">
        <f t="shared" si="4"/>
        <v>-40</v>
      </c>
      <c r="U66" s="136"/>
      <c r="V66" s="136">
        <f t="shared" si="5"/>
        <v>0</v>
      </c>
    </row>
    <row r="67" spans="1:22" x14ac:dyDescent="0.25">
      <c r="A67" s="56"/>
      <c r="B67" s="39"/>
      <c r="G67" s="13"/>
      <c r="H67" s="35">
        <v>62</v>
      </c>
      <c r="I67" s="36" t="str">
        <f t="shared" si="7"/>
        <v/>
      </c>
      <c r="J67" s="35">
        <f t="shared" si="8"/>
        <v>-6</v>
      </c>
      <c r="K67" s="35">
        <f t="shared" si="1"/>
        <v>-60</v>
      </c>
      <c r="L67" s="35"/>
      <c r="M67" s="37">
        <f t="shared" si="2"/>
        <v>0</v>
      </c>
      <c r="O67" s="131">
        <v>62</v>
      </c>
      <c r="P67" s="131"/>
      <c r="Q67" s="131"/>
      <c r="R67" s="135" t="str">
        <f t="shared" si="9"/>
        <v/>
      </c>
      <c r="S67" s="131">
        <f t="shared" si="3"/>
        <v>-4</v>
      </c>
      <c r="T67" s="131">
        <f t="shared" si="4"/>
        <v>-40</v>
      </c>
      <c r="U67" s="136"/>
      <c r="V67" s="136">
        <f t="shared" si="5"/>
        <v>0</v>
      </c>
    </row>
    <row r="68" spans="1:22" x14ac:dyDescent="0.25">
      <c r="A68" s="56"/>
      <c r="B68" s="33"/>
      <c r="G68" s="13"/>
      <c r="H68" s="35">
        <v>63</v>
      </c>
      <c r="I68" s="36" t="str">
        <f t="shared" si="7"/>
        <v/>
      </c>
      <c r="J68" s="35">
        <f t="shared" si="8"/>
        <v>-6</v>
      </c>
      <c r="K68" s="35">
        <f t="shared" si="1"/>
        <v>-60</v>
      </c>
      <c r="L68" s="35"/>
      <c r="M68" s="37">
        <f t="shared" si="2"/>
        <v>0</v>
      </c>
      <c r="O68" s="131">
        <v>63</v>
      </c>
      <c r="P68" s="131"/>
      <c r="Q68" s="131"/>
      <c r="R68" s="135" t="str">
        <f t="shared" si="9"/>
        <v/>
      </c>
      <c r="S68" s="131">
        <f t="shared" si="3"/>
        <v>-4</v>
      </c>
      <c r="T68" s="131">
        <f t="shared" si="4"/>
        <v>-40</v>
      </c>
      <c r="U68" s="136"/>
      <c r="V68" s="136">
        <f t="shared" si="5"/>
        <v>0</v>
      </c>
    </row>
    <row r="69" spans="1:22" x14ac:dyDescent="0.25">
      <c r="A69" s="56"/>
      <c r="B69" s="39"/>
      <c r="G69" s="13"/>
      <c r="H69" s="35">
        <v>64</v>
      </c>
      <c r="I69" s="36" t="str">
        <f t="shared" si="7"/>
        <v/>
      </c>
      <c r="J69" s="35">
        <f t="shared" si="8"/>
        <v>-6</v>
      </c>
      <c r="K69" s="35">
        <f t="shared" si="1"/>
        <v>-60</v>
      </c>
      <c r="L69" s="35"/>
      <c r="M69" s="37">
        <f t="shared" si="2"/>
        <v>0</v>
      </c>
      <c r="O69" s="131">
        <v>64</v>
      </c>
      <c r="P69" s="131"/>
      <c r="Q69" s="131"/>
      <c r="R69" s="135" t="str">
        <f t="shared" si="9"/>
        <v/>
      </c>
      <c r="S69" s="131">
        <f t="shared" si="3"/>
        <v>-4</v>
      </c>
      <c r="T69" s="131">
        <f t="shared" si="4"/>
        <v>-40</v>
      </c>
      <c r="U69" s="136"/>
      <c r="V69" s="136">
        <f t="shared" si="5"/>
        <v>0</v>
      </c>
    </row>
    <row r="70" spans="1:22" x14ac:dyDescent="0.25">
      <c r="A70" s="56"/>
      <c r="G70" s="13"/>
      <c r="H70" s="35">
        <v>65</v>
      </c>
      <c r="I70" s="36" t="str">
        <f t="shared" ref="I70:I133" si="11">IF(H70&lt;$H$2+1,($I$2-($I$2-1)*(LOG(H70)/LOG($H$2))),"")</f>
        <v/>
      </c>
      <c r="J70" s="35">
        <f t="shared" si="8"/>
        <v>-7</v>
      </c>
      <c r="K70" s="35">
        <f t="shared" ref="K70:K133" si="12">J70*$J$2</f>
        <v>-70</v>
      </c>
      <c r="L70" s="35"/>
      <c r="M70" s="37">
        <f t="shared" ref="M70:M133" si="13">IF(I70&lt;&gt;"",K70+I70+L70,0)</f>
        <v>0</v>
      </c>
      <c r="O70" s="131">
        <v>65</v>
      </c>
      <c r="P70" s="131"/>
      <c r="Q70" s="131"/>
      <c r="R70" s="135" t="str">
        <f t="shared" si="9"/>
        <v/>
      </c>
      <c r="S70" s="131">
        <f t="shared" ref="S70:S133" si="14">INT(LOG($O$2,2))-ROUNDUP(LOG(O70,2),0)+IF(OR($O$2=1,$O$2=2,$O$2=4,$O$2=8,$O$2=16,$O$2=32,$O$2=64,$O$2=128,$O$2=256),0,1)</f>
        <v>-5</v>
      </c>
      <c r="T70" s="131">
        <f t="shared" ref="T70:T133" si="15">S70*$J$2</f>
        <v>-50</v>
      </c>
      <c r="U70" s="136"/>
      <c r="V70" s="136">
        <f t="shared" ref="V70:V133" si="16">IF(R70&lt;&gt;"",T70+R70+U70,0)</f>
        <v>0</v>
      </c>
    </row>
    <row r="71" spans="1:22" x14ac:dyDescent="0.25">
      <c r="A71" s="56"/>
      <c r="G71" s="13"/>
      <c r="H71" s="35">
        <v>66</v>
      </c>
      <c r="I71" s="36" t="str">
        <f t="shared" si="11"/>
        <v/>
      </c>
      <c r="J71" s="35">
        <f t="shared" ref="J71:J134" si="17">INT(LOG($H$2,2))-ROUNDUP(LOG(H71,2),0)+IF(OR($H$2=1,$H$2=2,$H$2=4,$H$2=8,$H$2=16,$H$2=32,$H$2=64,$H$2=128,$H$2=256),0,1)</f>
        <v>-7</v>
      </c>
      <c r="K71" s="35">
        <f t="shared" si="12"/>
        <v>-70</v>
      </c>
      <c r="L71" s="35"/>
      <c r="M71" s="37">
        <f t="shared" si="13"/>
        <v>0</v>
      </c>
      <c r="O71" s="131">
        <v>66</v>
      </c>
      <c r="P71" s="131"/>
      <c r="Q71" s="131"/>
      <c r="R71" s="135" t="str">
        <f t="shared" ref="R71:R134" si="18">IF(O71&lt;$O$2+1,($I$2-($I$2-1)*(LOG(O71)/LOG($O$2))),"")</f>
        <v/>
      </c>
      <c r="S71" s="131">
        <f t="shared" si="14"/>
        <v>-5</v>
      </c>
      <c r="T71" s="131">
        <f t="shared" si="15"/>
        <v>-50</v>
      </c>
      <c r="U71" s="136"/>
      <c r="V71" s="136">
        <f t="shared" si="16"/>
        <v>0</v>
      </c>
    </row>
    <row r="72" spans="1:22" x14ac:dyDescent="0.25">
      <c r="A72" s="56"/>
      <c r="G72" s="13"/>
      <c r="H72" s="35">
        <v>67</v>
      </c>
      <c r="I72" s="36" t="str">
        <f t="shared" si="11"/>
        <v/>
      </c>
      <c r="J72" s="35">
        <f t="shared" si="17"/>
        <v>-7</v>
      </c>
      <c r="K72" s="35">
        <f t="shared" si="12"/>
        <v>-70</v>
      </c>
      <c r="L72" s="35"/>
      <c r="M72" s="37">
        <f t="shared" si="13"/>
        <v>0</v>
      </c>
      <c r="O72" s="131">
        <v>67</v>
      </c>
      <c r="P72" s="131"/>
      <c r="Q72" s="131"/>
      <c r="R72" s="135" t="str">
        <f t="shared" si="18"/>
        <v/>
      </c>
      <c r="S72" s="131">
        <f t="shared" si="14"/>
        <v>-5</v>
      </c>
      <c r="T72" s="131">
        <f t="shared" si="15"/>
        <v>-50</v>
      </c>
      <c r="U72" s="136"/>
      <c r="V72" s="136">
        <f t="shared" si="16"/>
        <v>0</v>
      </c>
    </row>
    <row r="73" spans="1:22" x14ac:dyDescent="0.25">
      <c r="A73" s="56"/>
      <c r="G73" s="13"/>
      <c r="H73" s="35">
        <v>68</v>
      </c>
      <c r="I73" s="36" t="str">
        <f t="shared" si="11"/>
        <v/>
      </c>
      <c r="J73" s="35">
        <f t="shared" si="17"/>
        <v>-7</v>
      </c>
      <c r="K73" s="35">
        <f t="shared" si="12"/>
        <v>-70</v>
      </c>
      <c r="L73" s="35"/>
      <c r="M73" s="37">
        <f t="shared" si="13"/>
        <v>0</v>
      </c>
      <c r="O73" s="131">
        <v>68</v>
      </c>
      <c r="P73" s="131"/>
      <c r="Q73" s="131"/>
      <c r="R73" s="135" t="str">
        <f t="shared" si="18"/>
        <v/>
      </c>
      <c r="S73" s="131">
        <f t="shared" si="14"/>
        <v>-5</v>
      </c>
      <c r="T73" s="131">
        <f t="shared" si="15"/>
        <v>-50</v>
      </c>
      <c r="U73" s="136"/>
      <c r="V73" s="136">
        <f t="shared" si="16"/>
        <v>0</v>
      </c>
    </row>
    <row r="74" spans="1:22" x14ac:dyDescent="0.25">
      <c r="A74" s="56"/>
      <c r="G74" s="13"/>
      <c r="H74" s="35">
        <v>69</v>
      </c>
      <c r="I74" s="36" t="str">
        <f t="shared" si="11"/>
        <v/>
      </c>
      <c r="J74" s="35">
        <f t="shared" si="17"/>
        <v>-7</v>
      </c>
      <c r="K74" s="35">
        <f t="shared" si="12"/>
        <v>-70</v>
      </c>
      <c r="L74" s="35"/>
      <c r="M74" s="37">
        <f t="shared" si="13"/>
        <v>0</v>
      </c>
      <c r="O74" s="131">
        <v>69</v>
      </c>
      <c r="P74" s="131"/>
      <c r="Q74" s="131"/>
      <c r="R74" s="135" t="str">
        <f t="shared" si="18"/>
        <v/>
      </c>
      <c r="S74" s="131">
        <f t="shared" si="14"/>
        <v>-5</v>
      </c>
      <c r="T74" s="131">
        <f t="shared" si="15"/>
        <v>-50</v>
      </c>
      <c r="U74" s="136"/>
      <c r="V74" s="136">
        <f t="shared" si="16"/>
        <v>0</v>
      </c>
    </row>
    <row r="75" spans="1:22" x14ac:dyDescent="0.25">
      <c r="A75" s="56"/>
      <c r="G75" s="13"/>
      <c r="H75" s="35">
        <v>70</v>
      </c>
      <c r="I75" s="36" t="str">
        <f t="shared" si="11"/>
        <v/>
      </c>
      <c r="J75" s="35">
        <f t="shared" si="17"/>
        <v>-7</v>
      </c>
      <c r="K75" s="35">
        <f t="shared" si="12"/>
        <v>-70</v>
      </c>
      <c r="L75" s="35"/>
      <c r="M75" s="37">
        <f t="shared" si="13"/>
        <v>0</v>
      </c>
      <c r="O75" s="131">
        <v>70</v>
      </c>
      <c r="P75" s="131"/>
      <c r="Q75" s="131"/>
      <c r="R75" s="135" t="str">
        <f t="shared" si="18"/>
        <v/>
      </c>
      <c r="S75" s="131">
        <f t="shared" si="14"/>
        <v>-5</v>
      </c>
      <c r="T75" s="131">
        <f t="shared" si="15"/>
        <v>-50</v>
      </c>
      <c r="U75" s="136"/>
      <c r="V75" s="136">
        <f t="shared" si="16"/>
        <v>0</v>
      </c>
    </row>
    <row r="76" spans="1:22" x14ac:dyDescent="0.25">
      <c r="A76" s="56"/>
      <c r="G76" s="13"/>
      <c r="H76" s="35">
        <v>71</v>
      </c>
      <c r="I76" s="36" t="str">
        <f t="shared" si="11"/>
        <v/>
      </c>
      <c r="J76" s="35">
        <f t="shared" si="17"/>
        <v>-7</v>
      </c>
      <c r="K76" s="35">
        <f t="shared" si="12"/>
        <v>-70</v>
      </c>
      <c r="L76" s="35"/>
      <c r="M76" s="37">
        <f t="shared" si="13"/>
        <v>0</v>
      </c>
      <c r="O76" s="131">
        <v>71</v>
      </c>
      <c r="P76" s="131"/>
      <c r="Q76" s="131"/>
      <c r="R76" s="135" t="str">
        <f t="shared" si="18"/>
        <v/>
      </c>
      <c r="S76" s="131">
        <f t="shared" si="14"/>
        <v>-5</v>
      </c>
      <c r="T76" s="131">
        <f t="shared" si="15"/>
        <v>-50</v>
      </c>
      <c r="U76" s="136"/>
      <c r="V76" s="136">
        <f t="shared" si="16"/>
        <v>0</v>
      </c>
    </row>
    <row r="77" spans="1:22" x14ac:dyDescent="0.25">
      <c r="A77" s="56"/>
      <c r="G77" s="13"/>
      <c r="H77" s="35">
        <v>72</v>
      </c>
      <c r="I77" s="36" t="str">
        <f t="shared" si="11"/>
        <v/>
      </c>
      <c r="J77" s="35">
        <f t="shared" si="17"/>
        <v>-7</v>
      </c>
      <c r="K77" s="35">
        <f t="shared" si="12"/>
        <v>-70</v>
      </c>
      <c r="L77" s="35"/>
      <c r="M77" s="37">
        <f t="shared" si="13"/>
        <v>0</v>
      </c>
      <c r="O77" s="131">
        <v>72</v>
      </c>
      <c r="P77" s="131"/>
      <c r="Q77" s="131"/>
      <c r="R77" s="135" t="str">
        <f t="shared" si="18"/>
        <v/>
      </c>
      <c r="S77" s="131">
        <f t="shared" si="14"/>
        <v>-5</v>
      </c>
      <c r="T77" s="131">
        <f t="shared" si="15"/>
        <v>-50</v>
      </c>
      <c r="U77" s="136"/>
      <c r="V77" s="136">
        <f t="shared" si="16"/>
        <v>0</v>
      </c>
    </row>
    <row r="78" spans="1:22" x14ac:dyDescent="0.25">
      <c r="A78" s="56"/>
      <c r="G78" s="13"/>
      <c r="H78" s="35">
        <v>73</v>
      </c>
      <c r="I78" s="36" t="str">
        <f t="shared" si="11"/>
        <v/>
      </c>
      <c r="J78" s="35">
        <f t="shared" si="17"/>
        <v>-7</v>
      </c>
      <c r="K78" s="35">
        <f t="shared" si="12"/>
        <v>-70</v>
      </c>
      <c r="L78" s="35"/>
      <c r="M78" s="37">
        <f t="shared" si="13"/>
        <v>0</v>
      </c>
      <c r="O78" s="131">
        <v>73</v>
      </c>
      <c r="P78" s="131"/>
      <c r="Q78" s="131"/>
      <c r="R78" s="135" t="str">
        <f t="shared" si="18"/>
        <v/>
      </c>
      <c r="S78" s="131">
        <f t="shared" si="14"/>
        <v>-5</v>
      </c>
      <c r="T78" s="131">
        <f t="shared" si="15"/>
        <v>-50</v>
      </c>
      <c r="U78" s="136"/>
      <c r="V78" s="136">
        <f t="shared" si="16"/>
        <v>0</v>
      </c>
    </row>
    <row r="79" spans="1:22" x14ac:dyDescent="0.25">
      <c r="A79" s="56"/>
      <c r="G79" s="13"/>
      <c r="H79" s="35">
        <v>74</v>
      </c>
      <c r="I79" s="36" t="str">
        <f t="shared" si="11"/>
        <v/>
      </c>
      <c r="J79" s="35">
        <f t="shared" si="17"/>
        <v>-7</v>
      </c>
      <c r="K79" s="35">
        <f t="shared" si="12"/>
        <v>-70</v>
      </c>
      <c r="L79" s="35"/>
      <c r="M79" s="37">
        <f t="shared" si="13"/>
        <v>0</v>
      </c>
      <c r="O79" s="131">
        <v>74</v>
      </c>
      <c r="P79" s="131"/>
      <c r="Q79" s="131"/>
      <c r="R79" s="135" t="str">
        <f t="shared" si="18"/>
        <v/>
      </c>
      <c r="S79" s="131">
        <f t="shared" si="14"/>
        <v>-5</v>
      </c>
      <c r="T79" s="131">
        <f t="shared" si="15"/>
        <v>-50</v>
      </c>
      <c r="U79" s="136"/>
      <c r="V79" s="136">
        <f t="shared" si="16"/>
        <v>0</v>
      </c>
    </row>
    <row r="80" spans="1:22" x14ac:dyDescent="0.25">
      <c r="A80" s="56"/>
      <c r="G80" s="13"/>
      <c r="H80" s="35">
        <v>75</v>
      </c>
      <c r="I80" s="36" t="str">
        <f t="shared" si="11"/>
        <v/>
      </c>
      <c r="J80" s="35">
        <f t="shared" si="17"/>
        <v>-7</v>
      </c>
      <c r="K80" s="35">
        <f t="shared" si="12"/>
        <v>-70</v>
      </c>
      <c r="L80" s="35"/>
      <c r="M80" s="37">
        <f t="shared" si="13"/>
        <v>0</v>
      </c>
      <c r="O80" s="131">
        <v>75</v>
      </c>
      <c r="P80" s="131"/>
      <c r="Q80" s="131"/>
      <c r="R80" s="135" t="str">
        <f t="shared" si="18"/>
        <v/>
      </c>
      <c r="S80" s="131">
        <f t="shared" si="14"/>
        <v>-5</v>
      </c>
      <c r="T80" s="131">
        <f t="shared" si="15"/>
        <v>-50</v>
      </c>
      <c r="U80" s="136"/>
      <c r="V80" s="136">
        <f t="shared" si="16"/>
        <v>0</v>
      </c>
    </row>
    <row r="81" spans="1:22" x14ac:dyDescent="0.25">
      <c r="A81" s="56"/>
      <c r="G81" s="13"/>
      <c r="H81" s="35">
        <v>76</v>
      </c>
      <c r="I81" s="36" t="str">
        <f t="shared" si="11"/>
        <v/>
      </c>
      <c r="J81" s="35">
        <f t="shared" si="17"/>
        <v>-7</v>
      </c>
      <c r="K81" s="35">
        <f t="shared" si="12"/>
        <v>-70</v>
      </c>
      <c r="L81" s="35"/>
      <c r="M81" s="37">
        <f t="shared" si="13"/>
        <v>0</v>
      </c>
      <c r="O81" s="131">
        <v>76</v>
      </c>
      <c r="P81" s="131"/>
      <c r="Q81" s="131"/>
      <c r="R81" s="135" t="str">
        <f t="shared" si="18"/>
        <v/>
      </c>
      <c r="S81" s="131">
        <f t="shared" si="14"/>
        <v>-5</v>
      </c>
      <c r="T81" s="131">
        <f t="shared" si="15"/>
        <v>-50</v>
      </c>
      <c r="U81" s="136"/>
      <c r="V81" s="136">
        <f t="shared" si="16"/>
        <v>0</v>
      </c>
    </row>
    <row r="82" spans="1:22" x14ac:dyDescent="0.25">
      <c r="A82" s="56"/>
      <c r="G82" s="13"/>
      <c r="H82" s="35">
        <v>77</v>
      </c>
      <c r="I82" s="36" t="str">
        <f t="shared" si="11"/>
        <v/>
      </c>
      <c r="J82" s="35">
        <f t="shared" si="17"/>
        <v>-7</v>
      </c>
      <c r="K82" s="35">
        <f t="shared" si="12"/>
        <v>-70</v>
      </c>
      <c r="L82" s="35"/>
      <c r="M82" s="37">
        <f t="shared" si="13"/>
        <v>0</v>
      </c>
      <c r="O82" s="131">
        <v>77</v>
      </c>
      <c r="P82" s="131"/>
      <c r="Q82" s="131"/>
      <c r="R82" s="135" t="str">
        <f t="shared" si="18"/>
        <v/>
      </c>
      <c r="S82" s="131">
        <f t="shared" si="14"/>
        <v>-5</v>
      </c>
      <c r="T82" s="131">
        <f t="shared" si="15"/>
        <v>-50</v>
      </c>
      <c r="U82" s="136"/>
      <c r="V82" s="136">
        <f t="shared" si="16"/>
        <v>0</v>
      </c>
    </row>
    <row r="83" spans="1:22" x14ac:dyDescent="0.25">
      <c r="A83" s="56"/>
      <c r="G83" s="13"/>
      <c r="H83" s="35">
        <v>78</v>
      </c>
      <c r="I83" s="36" t="str">
        <f t="shared" si="11"/>
        <v/>
      </c>
      <c r="J83" s="35">
        <f t="shared" si="17"/>
        <v>-7</v>
      </c>
      <c r="K83" s="35">
        <f t="shared" si="12"/>
        <v>-70</v>
      </c>
      <c r="L83" s="35"/>
      <c r="M83" s="37">
        <f t="shared" si="13"/>
        <v>0</v>
      </c>
      <c r="O83" s="131">
        <v>78</v>
      </c>
      <c r="P83" s="131"/>
      <c r="Q83" s="131"/>
      <c r="R83" s="135" t="str">
        <f t="shared" si="18"/>
        <v/>
      </c>
      <c r="S83" s="131">
        <f t="shared" si="14"/>
        <v>-5</v>
      </c>
      <c r="T83" s="131">
        <f t="shared" si="15"/>
        <v>-50</v>
      </c>
      <c r="U83" s="136"/>
      <c r="V83" s="136">
        <f t="shared" si="16"/>
        <v>0</v>
      </c>
    </row>
    <row r="84" spans="1:22" x14ac:dyDescent="0.25">
      <c r="A84" s="56"/>
      <c r="G84" s="13"/>
      <c r="H84" s="35">
        <v>79</v>
      </c>
      <c r="I84" s="36" t="str">
        <f t="shared" si="11"/>
        <v/>
      </c>
      <c r="J84" s="35">
        <f t="shared" si="17"/>
        <v>-7</v>
      </c>
      <c r="K84" s="35">
        <f t="shared" si="12"/>
        <v>-70</v>
      </c>
      <c r="L84" s="35"/>
      <c r="M84" s="37">
        <f t="shared" si="13"/>
        <v>0</v>
      </c>
      <c r="O84" s="131">
        <v>79</v>
      </c>
      <c r="P84" s="131"/>
      <c r="Q84" s="131"/>
      <c r="R84" s="135" t="str">
        <f t="shared" si="18"/>
        <v/>
      </c>
      <c r="S84" s="131">
        <f t="shared" si="14"/>
        <v>-5</v>
      </c>
      <c r="T84" s="131">
        <f t="shared" si="15"/>
        <v>-50</v>
      </c>
      <c r="U84" s="136"/>
      <c r="V84" s="136">
        <f t="shared" si="16"/>
        <v>0</v>
      </c>
    </row>
    <row r="85" spans="1:22" x14ac:dyDescent="0.25">
      <c r="A85" s="56"/>
      <c r="G85" s="13"/>
      <c r="H85" s="35">
        <v>80</v>
      </c>
      <c r="I85" s="36" t="str">
        <f t="shared" si="11"/>
        <v/>
      </c>
      <c r="J85" s="35">
        <f t="shared" si="17"/>
        <v>-7</v>
      </c>
      <c r="K85" s="35">
        <f t="shared" si="12"/>
        <v>-70</v>
      </c>
      <c r="L85" s="35"/>
      <c r="M85" s="37">
        <f t="shared" si="13"/>
        <v>0</v>
      </c>
      <c r="O85" s="131">
        <v>80</v>
      </c>
      <c r="P85" s="131"/>
      <c r="Q85" s="131"/>
      <c r="R85" s="135" t="str">
        <f t="shared" si="18"/>
        <v/>
      </c>
      <c r="S85" s="131">
        <f t="shared" si="14"/>
        <v>-5</v>
      </c>
      <c r="T85" s="131">
        <f t="shared" si="15"/>
        <v>-50</v>
      </c>
      <c r="U85" s="136"/>
      <c r="V85" s="136">
        <f t="shared" si="16"/>
        <v>0</v>
      </c>
    </row>
    <row r="86" spans="1:22" x14ac:dyDescent="0.25">
      <c r="A86" s="56"/>
      <c r="G86" s="13"/>
      <c r="H86" s="35">
        <v>81</v>
      </c>
      <c r="I86" s="36" t="str">
        <f t="shared" si="11"/>
        <v/>
      </c>
      <c r="J86" s="35">
        <f t="shared" si="17"/>
        <v>-7</v>
      </c>
      <c r="K86" s="35">
        <f t="shared" si="12"/>
        <v>-70</v>
      </c>
      <c r="L86" s="35"/>
      <c r="M86" s="37">
        <f t="shared" si="13"/>
        <v>0</v>
      </c>
      <c r="O86" s="131">
        <v>81</v>
      </c>
      <c r="P86" s="131"/>
      <c r="Q86" s="131"/>
      <c r="R86" s="135" t="str">
        <f t="shared" si="18"/>
        <v/>
      </c>
      <c r="S86" s="131">
        <f t="shared" si="14"/>
        <v>-5</v>
      </c>
      <c r="T86" s="131">
        <f t="shared" si="15"/>
        <v>-50</v>
      </c>
      <c r="U86" s="136"/>
      <c r="V86" s="136">
        <f t="shared" si="16"/>
        <v>0</v>
      </c>
    </row>
    <row r="87" spans="1:22" x14ac:dyDescent="0.25">
      <c r="A87" s="56"/>
      <c r="G87" s="13"/>
      <c r="H87" s="35">
        <v>82</v>
      </c>
      <c r="I87" s="36" t="str">
        <f t="shared" si="11"/>
        <v/>
      </c>
      <c r="J87" s="35">
        <f t="shared" si="17"/>
        <v>-7</v>
      </c>
      <c r="K87" s="35">
        <f t="shared" si="12"/>
        <v>-70</v>
      </c>
      <c r="L87" s="35"/>
      <c r="M87" s="37">
        <f t="shared" si="13"/>
        <v>0</v>
      </c>
      <c r="O87" s="131">
        <v>82</v>
      </c>
      <c r="P87" s="131"/>
      <c r="Q87" s="131"/>
      <c r="R87" s="135" t="str">
        <f t="shared" si="18"/>
        <v/>
      </c>
      <c r="S87" s="131">
        <f t="shared" si="14"/>
        <v>-5</v>
      </c>
      <c r="T87" s="131">
        <f t="shared" si="15"/>
        <v>-50</v>
      </c>
      <c r="U87" s="136"/>
      <c r="V87" s="136">
        <f t="shared" si="16"/>
        <v>0</v>
      </c>
    </row>
    <row r="88" spans="1:22" x14ac:dyDescent="0.25">
      <c r="A88" s="56"/>
      <c r="G88" s="13"/>
      <c r="H88" s="35">
        <v>83</v>
      </c>
      <c r="I88" s="36" t="str">
        <f t="shared" si="11"/>
        <v/>
      </c>
      <c r="J88" s="35">
        <f t="shared" si="17"/>
        <v>-7</v>
      </c>
      <c r="K88" s="35">
        <f t="shared" si="12"/>
        <v>-70</v>
      </c>
      <c r="L88" s="35"/>
      <c r="M88" s="37">
        <f t="shared" si="13"/>
        <v>0</v>
      </c>
      <c r="O88" s="131">
        <v>83</v>
      </c>
      <c r="P88" s="131"/>
      <c r="Q88" s="131"/>
      <c r="R88" s="135" t="str">
        <f t="shared" si="18"/>
        <v/>
      </c>
      <c r="S88" s="131">
        <f t="shared" si="14"/>
        <v>-5</v>
      </c>
      <c r="T88" s="131">
        <f t="shared" si="15"/>
        <v>-50</v>
      </c>
      <c r="U88" s="136"/>
      <c r="V88" s="136">
        <f t="shared" si="16"/>
        <v>0</v>
      </c>
    </row>
    <row r="89" spans="1:22" x14ac:dyDescent="0.25">
      <c r="A89" s="56"/>
      <c r="G89" s="13"/>
      <c r="H89" s="35">
        <v>84</v>
      </c>
      <c r="I89" s="36" t="str">
        <f t="shared" si="11"/>
        <v/>
      </c>
      <c r="J89" s="35">
        <f t="shared" si="17"/>
        <v>-7</v>
      </c>
      <c r="K89" s="35">
        <f t="shared" si="12"/>
        <v>-70</v>
      </c>
      <c r="L89" s="35"/>
      <c r="M89" s="37">
        <f t="shared" si="13"/>
        <v>0</v>
      </c>
      <c r="O89" s="131">
        <v>84</v>
      </c>
      <c r="P89" s="131"/>
      <c r="Q89" s="131"/>
      <c r="R89" s="135" t="str">
        <f t="shared" si="18"/>
        <v/>
      </c>
      <c r="S89" s="131">
        <f t="shared" si="14"/>
        <v>-5</v>
      </c>
      <c r="T89" s="131">
        <f t="shared" si="15"/>
        <v>-50</v>
      </c>
      <c r="U89" s="136"/>
      <c r="V89" s="136">
        <f t="shared" si="16"/>
        <v>0</v>
      </c>
    </row>
    <row r="90" spans="1:22" x14ac:dyDescent="0.25">
      <c r="A90" s="56"/>
      <c r="G90" s="13"/>
      <c r="H90" s="35">
        <v>85</v>
      </c>
      <c r="I90" s="36" t="str">
        <f t="shared" si="11"/>
        <v/>
      </c>
      <c r="J90" s="35">
        <f t="shared" si="17"/>
        <v>-7</v>
      </c>
      <c r="K90" s="35">
        <f t="shared" si="12"/>
        <v>-70</v>
      </c>
      <c r="L90" s="35"/>
      <c r="M90" s="37">
        <f t="shared" si="13"/>
        <v>0</v>
      </c>
      <c r="O90" s="131">
        <v>85</v>
      </c>
      <c r="P90" s="131"/>
      <c r="Q90" s="131"/>
      <c r="R90" s="135" t="str">
        <f t="shared" si="18"/>
        <v/>
      </c>
      <c r="S90" s="131">
        <f t="shared" si="14"/>
        <v>-5</v>
      </c>
      <c r="T90" s="131">
        <f t="shared" si="15"/>
        <v>-50</v>
      </c>
      <c r="U90" s="136"/>
      <c r="V90" s="136">
        <f t="shared" si="16"/>
        <v>0</v>
      </c>
    </row>
    <row r="91" spans="1:22" x14ac:dyDescent="0.25">
      <c r="A91" s="56"/>
      <c r="G91" s="13"/>
      <c r="H91" s="35">
        <v>86</v>
      </c>
      <c r="I91" s="36" t="str">
        <f t="shared" si="11"/>
        <v/>
      </c>
      <c r="J91" s="35">
        <f t="shared" si="17"/>
        <v>-7</v>
      </c>
      <c r="K91" s="35">
        <f t="shared" si="12"/>
        <v>-70</v>
      </c>
      <c r="L91" s="35"/>
      <c r="M91" s="37">
        <f t="shared" si="13"/>
        <v>0</v>
      </c>
      <c r="O91" s="131">
        <v>86</v>
      </c>
      <c r="P91" s="131"/>
      <c r="Q91" s="131"/>
      <c r="R91" s="135" t="str">
        <f t="shared" si="18"/>
        <v/>
      </c>
      <c r="S91" s="131">
        <f t="shared" si="14"/>
        <v>-5</v>
      </c>
      <c r="T91" s="131">
        <f t="shared" si="15"/>
        <v>-50</v>
      </c>
      <c r="U91" s="136"/>
      <c r="V91" s="136">
        <f t="shared" si="16"/>
        <v>0</v>
      </c>
    </row>
    <row r="92" spans="1:22" x14ac:dyDescent="0.25">
      <c r="A92" s="56"/>
      <c r="G92" s="13"/>
      <c r="H92" s="35">
        <v>87</v>
      </c>
      <c r="I92" s="36" t="str">
        <f t="shared" si="11"/>
        <v/>
      </c>
      <c r="J92" s="35">
        <f t="shared" si="17"/>
        <v>-7</v>
      </c>
      <c r="K92" s="35">
        <f t="shared" si="12"/>
        <v>-70</v>
      </c>
      <c r="L92" s="35"/>
      <c r="M92" s="37">
        <f t="shared" si="13"/>
        <v>0</v>
      </c>
      <c r="O92" s="131">
        <v>87</v>
      </c>
      <c r="P92" s="131"/>
      <c r="Q92" s="131"/>
      <c r="R92" s="135" t="str">
        <f t="shared" si="18"/>
        <v/>
      </c>
      <c r="S92" s="131">
        <f t="shared" si="14"/>
        <v>-5</v>
      </c>
      <c r="T92" s="131">
        <f t="shared" si="15"/>
        <v>-50</v>
      </c>
      <c r="U92" s="136"/>
      <c r="V92" s="136">
        <f t="shared" si="16"/>
        <v>0</v>
      </c>
    </row>
    <row r="93" spans="1:22" x14ac:dyDescent="0.25">
      <c r="A93" s="56"/>
      <c r="G93" s="13"/>
      <c r="H93" s="35">
        <v>88</v>
      </c>
      <c r="I93" s="36" t="str">
        <f t="shared" si="11"/>
        <v/>
      </c>
      <c r="J93" s="35">
        <f t="shared" si="17"/>
        <v>-7</v>
      </c>
      <c r="K93" s="35">
        <f t="shared" si="12"/>
        <v>-70</v>
      </c>
      <c r="L93" s="35"/>
      <c r="M93" s="37">
        <f t="shared" si="13"/>
        <v>0</v>
      </c>
      <c r="O93" s="131">
        <v>88</v>
      </c>
      <c r="P93" s="131"/>
      <c r="Q93" s="131"/>
      <c r="R93" s="135" t="str">
        <f t="shared" si="18"/>
        <v/>
      </c>
      <c r="S93" s="131">
        <f t="shared" si="14"/>
        <v>-5</v>
      </c>
      <c r="T93" s="131">
        <f t="shared" si="15"/>
        <v>-50</v>
      </c>
      <c r="U93" s="136"/>
      <c r="V93" s="136">
        <f t="shared" si="16"/>
        <v>0</v>
      </c>
    </row>
    <row r="94" spans="1:22" x14ac:dyDescent="0.25">
      <c r="A94" s="56"/>
      <c r="G94" s="13"/>
      <c r="H94" s="35">
        <v>89</v>
      </c>
      <c r="I94" s="36" t="str">
        <f t="shared" si="11"/>
        <v/>
      </c>
      <c r="J94" s="35">
        <f t="shared" si="17"/>
        <v>-7</v>
      </c>
      <c r="K94" s="35">
        <f t="shared" si="12"/>
        <v>-70</v>
      </c>
      <c r="L94" s="35"/>
      <c r="M94" s="37">
        <f t="shared" si="13"/>
        <v>0</v>
      </c>
      <c r="O94" s="131">
        <v>89</v>
      </c>
      <c r="P94" s="131"/>
      <c r="Q94" s="131"/>
      <c r="R94" s="135" t="str">
        <f t="shared" si="18"/>
        <v/>
      </c>
      <c r="S94" s="131">
        <f t="shared" si="14"/>
        <v>-5</v>
      </c>
      <c r="T94" s="131">
        <f t="shared" si="15"/>
        <v>-50</v>
      </c>
      <c r="U94" s="136"/>
      <c r="V94" s="136">
        <f t="shared" si="16"/>
        <v>0</v>
      </c>
    </row>
    <row r="95" spans="1:22" x14ac:dyDescent="0.25">
      <c r="A95" s="56"/>
      <c r="G95" s="13"/>
      <c r="H95" s="35">
        <v>90</v>
      </c>
      <c r="I95" s="36" t="str">
        <f t="shared" si="11"/>
        <v/>
      </c>
      <c r="J95" s="35">
        <f t="shared" si="17"/>
        <v>-7</v>
      </c>
      <c r="K95" s="35">
        <f t="shared" si="12"/>
        <v>-70</v>
      </c>
      <c r="L95" s="35"/>
      <c r="M95" s="37">
        <f t="shared" si="13"/>
        <v>0</v>
      </c>
      <c r="O95" s="131">
        <v>90</v>
      </c>
      <c r="P95" s="131"/>
      <c r="Q95" s="131"/>
      <c r="R95" s="135" t="str">
        <f t="shared" si="18"/>
        <v/>
      </c>
      <c r="S95" s="131">
        <f t="shared" si="14"/>
        <v>-5</v>
      </c>
      <c r="T95" s="131">
        <f t="shared" si="15"/>
        <v>-50</v>
      </c>
      <c r="U95" s="136"/>
      <c r="V95" s="136">
        <f t="shared" si="16"/>
        <v>0</v>
      </c>
    </row>
    <row r="96" spans="1:22" x14ac:dyDescent="0.25">
      <c r="A96" s="56"/>
      <c r="G96" s="13"/>
      <c r="H96" s="35">
        <v>91</v>
      </c>
      <c r="I96" s="36" t="str">
        <f t="shared" si="11"/>
        <v/>
      </c>
      <c r="J96" s="35">
        <f t="shared" si="17"/>
        <v>-7</v>
      </c>
      <c r="K96" s="35">
        <f t="shared" si="12"/>
        <v>-70</v>
      </c>
      <c r="L96" s="35"/>
      <c r="M96" s="37">
        <f t="shared" si="13"/>
        <v>0</v>
      </c>
      <c r="O96" s="131">
        <v>91</v>
      </c>
      <c r="P96" s="131"/>
      <c r="Q96" s="131"/>
      <c r="R96" s="135" t="str">
        <f t="shared" si="18"/>
        <v/>
      </c>
      <c r="S96" s="131">
        <f t="shared" si="14"/>
        <v>-5</v>
      </c>
      <c r="T96" s="131">
        <f t="shared" si="15"/>
        <v>-50</v>
      </c>
      <c r="U96" s="136"/>
      <c r="V96" s="136">
        <f t="shared" si="16"/>
        <v>0</v>
      </c>
    </row>
    <row r="97" spans="1:22" x14ac:dyDescent="0.25">
      <c r="A97" s="56"/>
      <c r="G97" s="13"/>
      <c r="H97" s="35">
        <v>92</v>
      </c>
      <c r="I97" s="36" t="str">
        <f t="shared" si="11"/>
        <v/>
      </c>
      <c r="J97" s="35">
        <f t="shared" si="17"/>
        <v>-7</v>
      </c>
      <c r="K97" s="35">
        <f t="shared" si="12"/>
        <v>-70</v>
      </c>
      <c r="L97" s="35"/>
      <c r="M97" s="37">
        <f t="shared" si="13"/>
        <v>0</v>
      </c>
      <c r="O97" s="131">
        <v>92</v>
      </c>
      <c r="P97" s="131"/>
      <c r="Q97" s="131"/>
      <c r="R97" s="135" t="str">
        <f t="shared" si="18"/>
        <v/>
      </c>
      <c r="S97" s="131">
        <f t="shared" si="14"/>
        <v>-5</v>
      </c>
      <c r="T97" s="131">
        <f t="shared" si="15"/>
        <v>-50</v>
      </c>
      <c r="U97" s="136"/>
      <c r="V97" s="136">
        <f t="shared" si="16"/>
        <v>0</v>
      </c>
    </row>
    <row r="98" spans="1:22" x14ac:dyDescent="0.25">
      <c r="A98" s="56"/>
      <c r="G98" s="13"/>
      <c r="H98" s="35">
        <v>93</v>
      </c>
      <c r="I98" s="36" t="str">
        <f t="shared" si="11"/>
        <v/>
      </c>
      <c r="J98" s="35">
        <f t="shared" si="17"/>
        <v>-7</v>
      </c>
      <c r="K98" s="35">
        <f t="shared" si="12"/>
        <v>-70</v>
      </c>
      <c r="L98" s="35"/>
      <c r="M98" s="37">
        <f t="shared" si="13"/>
        <v>0</v>
      </c>
      <c r="O98" s="131">
        <v>93</v>
      </c>
      <c r="P98" s="131"/>
      <c r="Q98" s="131"/>
      <c r="R98" s="135" t="str">
        <f t="shared" si="18"/>
        <v/>
      </c>
      <c r="S98" s="131">
        <f t="shared" si="14"/>
        <v>-5</v>
      </c>
      <c r="T98" s="131">
        <f t="shared" si="15"/>
        <v>-50</v>
      </c>
      <c r="U98" s="136"/>
      <c r="V98" s="136">
        <f t="shared" si="16"/>
        <v>0</v>
      </c>
    </row>
    <row r="99" spans="1:22" x14ac:dyDescent="0.25">
      <c r="A99" s="56"/>
      <c r="G99" s="13"/>
      <c r="H99" s="35">
        <v>94</v>
      </c>
      <c r="I99" s="36" t="str">
        <f t="shared" si="11"/>
        <v/>
      </c>
      <c r="J99" s="35">
        <f t="shared" si="17"/>
        <v>-7</v>
      </c>
      <c r="K99" s="35">
        <f t="shared" si="12"/>
        <v>-70</v>
      </c>
      <c r="L99" s="35"/>
      <c r="M99" s="37">
        <f t="shared" si="13"/>
        <v>0</v>
      </c>
      <c r="O99" s="131">
        <v>94</v>
      </c>
      <c r="P99" s="131"/>
      <c r="Q99" s="131"/>
      <c r="R99" s="135" t="str">
        <f t="shared" si="18"/>
        <v/>
      </c>
      <c r="S99" s="131">
        <f t="shared" si="14"/>
        <v>-5</v>
      </c>
      <c r="T99" s="131">
        <f t="shared" si="15"/>
        <v>-50</v>
      </c>
      <c r="U99" s="136"/>
      <c r="V99" s="136">
        <f t="shared" si="16"/>
        <v>0</v>
      </c>
    </row>
    <row r="100" spans="1:22" x14ac:dyDescent="0.25">
      <c r="A100" s="56"/>
      <c r="G100" s="13"/>
      <c r="H100" s="35">
        <v>95</v>
      </c>
      <c r="I100" s="36" t="str">
        <f t="shared" si="11"/>
        <v/>
      </c>
      <c r="J100" s="35">
        <f t="shared" si="17"/>
        <v>-7</v>
      </c>
      <c r="K100" s="35">
        <f t="shared" si="12"/>
        <v>-70</v>
      </c>
      <c r="L100" s="35"/>
      <c r="M100" s="37">
        <f t="shared" si="13"/>
        <v>0</v>
      </c>
      <c r="O100" s="131">
        <v>95</v>
      </c>
      <c r="P100" s="131"/>
      <c r="Q100" s="131"/>
      <c r="R100" s="135" t="str">
        <f t="shared" si="18"/>
        <v/>
      </c>
      <c r="S100" s="131">
        <f t="shared" si="14"/>
        <v>-5</v>
      </c>
      <c r="T100" s="131">
        <f t="shared" si="15"/>
        <v>-50</v>
      </c>
      <c r="U100" s="136"/>
      <c r="V100" s="136">
        <f t="shared" si="16"/>
        <v>0</v>
      </c>
    </row>
    <row r="101" spans="1:22" x14ac:dyDescent="0.25">
      <c r="A101" s="56"/>
      <c r="G101" s="13"/>
      <c r="H101" s="35">
        <v>96</v>
      </c>
      <c r="I101" s="36" t="str">
        <f t="shared" si="11"/>
        <v/>
      </c>
      <c r="J101" s="35">
        <f t="shared" si="17"/>
        <v>-7</v>
      </c>
      <c r="K101" s="35">
        <f t="shared" si="12"/>
        <v>-70</v>
      </c>
      <c r="L101" s="35"/>
      <c r="M101" s="37">
        <f t="shared" si="13"/>
        <v>0</v>
      </c>
      <c r="O101" s="131">
        <v>96</v>
      </c>
      <c r="P101" s="131"/>
      <c r="Q101" s="131"/>
      <c r="R101" s="135" t="str">
        <f t="shared" si="18"/>
        <v/>
      </c>
      <c r="S101" s="131">
        <f t="shared" si="14"/>
        <v>-5</v>
      </c>
      <c r="T101" s="131">
        <f t="shared" si="15"/>
        <v>-50</v>
      </c>
      <c r="U101" s="136"/>
      <c r="V101" s="136">
        <f t="shared" si="16"/>
        <v>0</v>
      </c>
    </row>
    <row r="102" spans="1:22" x14ac:dyDescent="0.25">
      <c r="A102" s="56"/>
      <c r="G102" s="13"/>
      <c r="H102" s="35">
        <v>97</v>
      </c>
      <c r="I102" s="36" t="str">
        <f t="shared" si="11"/>
        <v/>
      </c>
      <c r="J102" s="35">
        <f t="shared" si="17"/>
        <v>-7</v>
      </c>
      <c r="K102" s="35">
        <f t="shared" si="12"/>
        <v>-70</v>
      </c>
      <c r="L102" s="35"/>
      <c r="M102" s="37">
        <f t="shared" si="13"/>
        <v>0</v>
      </c>
      <c r="O102" s="131">
        <v>97</v>
      </c>
      <c r="P102" s="131"/>
      <c r="Q102" s="131"/>
      <c r="R102" s="135" t="str">
        <f t="shared" si="18"/>
        <v/>
      </c>
      <c r="S102" s="131">
        <f t="shared" si="14"/>
        <v>-5</v>
      </c>
      <c r="T102" s="131">
        <f t="shared" si="15"/>
        <v>-50</v>
      </c>
      <c r="U102" s="136"/>
      <c r="V102" s="136">
        <f t="shared" si="16"/>
        <v>0</v>
      </c>
    </row>
    <row r="103" spans="1:22" x14ac:dyDescent="0.25">
      <c r="A103" s="56"/>
      <c r="G103" s="13"/>
      <c r="H103" s="35">
        <v>98</v>
      </c>
      <c r="I103" s="36" t="str">
        <f t="shared" si="11"/>
        <v/>
      </c>
      <c r="J103" s="35">
        <f t="shared" si="17"/>
        <v>-7</v>
      </c>
      <c r="K103" s="35">
        <f t="shared" si="12"/>
        <v>-70</v>
      </c>
      <c r="L103" s="35"/>
      <c r="M103" s="37">
        <f t="shared" si="13"/>
        <v>0</v>
      </c>
      <c r="O103" s="131">
        <v>98</v>
      </c>
      <c r="P103" s="131"/>
      <c r="Q103" s="131"/>
      <c r="R103" s="135" t="str">
        <f t="shared" si="18"/>
        <v/>
      </c>
      <c r="S103" s="131">
        <f t="shared" si="14"/>
        <v>-5</v>
      </c>
      <c r="T103" s="131">
        <f t="shared" si="15"/>
        <v>-50</v>
      </c>
      <c r="U103" s="136"/>
      <c r="V103" s="136">
        <f t="shared" si="16"/>
        <v>0</v>
      </c>
    </row>
    <row r="104" spans="1:22" x14ac:dyDescent="0.25">
      <c r="A104" s="56"/>
      <c r="G104" s="13"/>
      <c r="H104" s="35">
        <v>99</v>
      </c>
      <c r="I104" s="36" t="str">
        <f t="shared" si="11"/>
        <v/>
      </c>
      <c r="J104" s="35">
        <f t="shared" si="17"/>
        <v>-7</v>
      </c>
      <c r="K104" s="35">
        <f t="shared" si="12"/>
        <v>-70</v>
      </c>
      <c r="L104" s="35"/>
      <c r="M104" s="37">
        <f t="shared" si="13"/>
        <v>0</v>
      </c>
      <c r="O104" s="131">
        <v>99</v>
      </c>
      <c r="P104" s="131"/>
      <c r="Q104" s="131"/>
      <c r="R104" s="135" t="str">
        <f t="shared" si="18"/>
        <v/>
      </c>
      <c r="S104" s="131">
        <f t="shared" si="14"/>
        <v>-5</v>
      </c>
      <c r="T104" s="131">
        <f t="shared" si="15"/>
        <v>-50</v>
      </c>
      <c r="U104" s="136"/>
      <c r="V104" s="136">
        <f t="shared" si="16"/>
        <v>0</v>
      </c>
    </row>
    <row r="105" spans="1:22" x14ac:dyDescent="0.25">
      <c r="A105" s="56"/>
      <c r="G105" s="13"/>
      <c r="H105" s="35">
        <v>100</v>
      </c>
      <c r="I105" s="36" t="str">
        <f t="shared" si="11"/>
        <v/>
      </c>
      <c r="J105" s="35">
        <f t="shared" si="17"/>
        <v>-7</v>
      </c>
      <c r="K105" s="35">
        <f t="shared" si="12"/>
        <v>-70</v>
      </c>
      <c r="L105" s="35"/>
      <c r="M105" s="37">
        <f t="shared" si="13"/>
        <v>0</v>
      </c>
      <c r="O105" s="131">
        <v>100</v>
      </c>
      <c r="P105" s="131"/>
      <c r="Q105" s="131"/>
      <c r="R105" s="135" t="str">
        <f t="shared" si="18"/>
        <v/>
      </c>
      <c r="S105" s="131">
        <f t="shared" si="14"/>
        <v>-5</v>
      </c>
      <c r="T105" s="131">
        <f t="shared" si="15"/>
        <v>-50</v>
      </c>
      <c r="U105" s="136"/>
      <c r="V105" s="136">
        <f t="shared" si="16"/>
        <v>0</v>
      </c>
    </row>
    <row r="106" spans="1:22" x14ac:dyDescent="0.25">
      <c r="A106" s="56"/>
      <c r="G106" s="13"/>
      <c r="H106" s="35">
        <v>101</v>
      </c>
      <c r="I106" s="36" t="str">
        <f t="shared" si="11"/>
        <v/>
      </c>
      <c r="J106" s="35">
        <f t="shared" si="17"/>
        <v>-7</v>
      </c>
      <c r="K106" s="35">
        <f t="shared" si="12"/>
        <v>-70</v>
      </c>
      <c r="L106" s="35"/>
      <c r="M106" s="37">
        <f t="shared" si="13"/>
        <v>0</v>
      </c>
      <c r="O106" s="131">
        <v>101</v>
      </c>
      <c r="P106" s="131"/>
      <c r="Q106" s="131"/>
      <c r="R106" s="135" t="str">
        <f t="shared" si="18"/>
        <v/>
      </c>
      <c r="S106" s="131">
        <f t="shared" si="14"/>
        <v>-5</v>
      </c>
      <c r="T106" s="131">
        <f t="shared" si="15"/>
        <v>-50</v>
      </c>
      <c r="U106" s="136"/>
      <c r="V106" s="136">
        <f t="shared" si="16"/>
        <v>0</v>
      </c>
    </row>
    <row r="107" spans="1:22" x14ac:dyDescent="0.25">
      <c r="A107" s="56"/>
      <c r="G107" s="13"/>
      <c r="H107" s="35">
        <v>102</v>
      </c>
      <c r="I107" s="36" t="str">
        <f t="shared" si="11"/>
        <v/>
      </c>
      <c r="J107" s="35">
        <f t="shared" si="17"/>
        <v>-7</v>
      </c>
      <c r="K107" s="35">
        <f t="shared" si="12"/>
        <v>-70</v>
      </c>
      <c r="L107" s="35"/>
      <c r="M107" s="37">
        <f t="shared" si="13"/>
        <v>0</v>
      </c>
      <c r="O107" s="131">
        <v>102</v>
      </c>
      <c r="P107" s="131"/>
      <c r="Q107" s="131"/>
      <c r="R107" s="135" t="str">
        <f t="shared" si="18"/>
        <v/>
      </c>
      <c r="S107" s="131">
        <f t="shared" si="14"/>
        <v>-5</v>
      </c>
      <c r="T107" s="131">
        <f t="shared" si="15"/>
        <v>-50</v>
      </c>
      <c r="U107" s="136"/>
      <c r="V107" s="136">
        <f t="shared" si="16"/>
        <v>0</v>
      </c>
    </row>
    <row r="108" spans="1:22" x14ac:dyDescent="0.25">
      <c r="A108" s="56"/>
      <c r="G108" s="13"/>
      <c r="H108" s="35">
        <v>103</v>
      </c>
      <c r="I108" s="36" t="str">
        <f t="shared" si="11"/>
        <v/>
      </c>
      <c r="J108" s="35">
        <f t="shared" si="17"/>
        <v>-7</v>
      </c>
      <c r="K108" s="35">
        <f t="shared" si="12"/>
        <v>-70</v>
      </c>
      <c r="L108" s="35"/>
      <c r="M108" s="37">
        <f t="shared" si="13"/>
        <v>0</v>
      </c>
      <c r="O108" s="131">
        <v>103</v>
      </c>
      <c r="P108" s="131"/>
      <c r="Q108" s="131"/>
      <c r="R108" s="135" t="str">
        <f t="shared" si="18"/>
        <v/>
      </c>
      <c r="S108" s="131">
        <f t="shared" si="14"/>
        <v>-5</v>
      </c>
      <c r="T108" s="131">
        <f t="shared" si="15"/>
        <v>-50</v>
      </c>
      <c r="U108" s="136"/>
      <c r="V108" s="136">
        <f t="shared" si="16"/>
        <v>0</v>
      </c>
    </row>
    <row r="109" spans="1:22" x14ac:dyDescent="0.25">
      <c r="A109" s="56"/>
      <c r="G109" s="13"/>
      <c r="H109" s="35">
        <v>104</v>
      </c>
      <c r="I109" s="36" t="str">
        <f t="shared" si="11"/>
        <v/>
      </c>
      <c r="J109" s="35">
        <f t="shared" si="17"/>
        <v>-7</v>
      </c>
      <c r="K109" s="35">
        <f t="shared" si="12"/>
        <v>-70</v>
      </c>
      <c r="L109" s="35"/>
      <c r="M109" s="37">
        <f t="shared" si="13"/>
        <v>0</v>
      </c>
      <c r="O109" s="131">
        <v>104</v>
      </c>
      <c r="P109" s="131"/>
      <c r="Q109" s="131"/>
      <c r="R109" s="135" t="str">
        <f t="shared" si="18"/>
        <v/>
      </c>
      <c r="S109" s="131">
        <f t="shared" si="14"/>
        <v>-5</v>
      </c>
      <c r="T109" s="131">
        <f t="shared" si="15"/>
        <v>-50</v>
      </c>
      <c r="U109" s="136"/>
      <c r="V109" s="136">
        <f t="shared" si="16"/>
        <v>0</v>
      </c>
    </row>
    <row r="110" spans="1:22" x14ac:dyDescent="0.25">
      <c r="A110" s="56"/>
      <c r="G110" s="13"/>
      <c r="H110" s="35">
        <v>105</v>
      </c>
      <c r="I110" s="36" t="str">
        <f t="shared" si="11"/>
        <v/>
      </c>
      <c r="J110" s="35">
        <f t="shared" si="17"/>
        <v>-7</v>
      </c>
      <c r="K110" s="35">
        <f t="shared" si="12"/>
        <v>-70</v>
      </c>
      <c r="L110" s="35"/>
      <c r="M110" s="37">
        <f t="shared" si="13"/>
        <v>0</v>
      </c>
      <c r="O110" s="131">
        <v>105</v>
      </c>
      <c r="P110" s="131"/>
      <c r="Q110" s="131"/>
      <c r="R110" s="135" t="str">
        <f t="shared" si="18"/>
        <v/>
      </c>
      <c r="S110" s="131">
        <f t="shared" si="14"/>
        <v>-5</v>
      </c>
      <c r="T110" s="131">
        <f t="shared" si="15"/>
        <v>-50</v>
      </c>
      <c r="U110" s="136"/>
      <c r="V110" s="136">
        <f t="shared" si="16"/>
        <v>0</v>
      </c>
    </row>
    <row r="111" spans="1:22" x14ac:dyDescent="0.25">
      <c r="A111" s="56"/>
      <c r="G111" s="13"/>
      <c r="H111" s="35">
        <v>106</v>
      </c>
      <c r="I111" s="36" t="str">
        <f t="shared" si="11"/>
        <v/>
      </c>
      <c r="J111" s="35">
        <f t="shared" si="17"/>
        <v>-7</v>
      </c>
      <c r="K111" s="35">
        <f t="shared" si="12"/>
        <v>-70</v>
      </c>
      <c r="L111" s="35"/>
      <c r="M111" s="37">
        <f t="shared" si="13"/>
        <v>0</v>
      </c>
      <c r="O111" s="131">
        <v>106</v>
      </c>
      <c r="P111" s="131"/>
      <c r="Q111" s="131"/>
      <c r="R111" s="135" t="str">
        <f t="shared" si="18"/>
        <v/>
      </c>
      <c r="S111" s="131">
        <f t="shared" si="14"/>
        <v>-5</v>
      </c>
      <c r="T111" s="131">
        <f t="shared" si="15"/>
        <v>-50</v>
      </c>
      <c r="U111" s="136"/>
      <c r="V111" s="136">
        <f t="shared" si="16"/>
        <v>0</v>
      </c>
    </row>
    <row r="112" spans="1:22" x14ac:dyDescent="0.25">
      <c r="A112" s="56"/>
      <c r="G112" s="13"/>
      <c r="H112" s="35">
        <v>107</v>
      </c>
      <c r="I112" s="36" t="str">
        <f t="shared" si="11"/>
        <v/>
      </c>
      <c r="J112" s="35">
        <f t="shared" si="17"/>
        <v>-7</v>
      </c>
      <c r="K112" s="35">
        <f t="shared" si="12"/>
        <v>-70</v>
      </c>
      <c r="L112" s="35"/>
      <c r="M112" s="37">
        <f t="shared" si="13"/>
        <v>0</v>
      </c>
      <c r="O112" s="131">
        <v>107</v>
      </c>
      <c r="P112" s="131"/>
      <c r="Q112" s="131"/>
      <c r="R112" s="135" t="str">
        <f t="shared" si="18"/>
        <v/>
      </c>
      <c r="S112" s="131">
        <f t="shared" si="14"/>
        <v>-5</v>
      </c>
      <c r="T112" s="131">
        <f t="shared" si="15"/>
        <v>-50</v>
      </c>
      <c r="U112" s="136"/>
      <c r="V112" s="136">
        <f t="shared" si="16"/>
        <v>0</v>
      </c>
    </row>
    <row r="113" spans="1:22" x14ac:dyDescent="0.25">
      <c r="A113" s="56"/>
      <c r="G113" s="13"/>
      <c r="H113" s="35">
        <v>108</v>
      </c>
      <c r="I113" s="36" t="str">
        <f t="shared" si="11"/>
        <v/>
      </c>
      <c r="J113" s="35">
        <f t="shared" si="17"/>
        <v>-7</v>
      </c>
      <c r="K113" s="35">
        <f t="shared" si="12"/>
        <v>-70</v>
      </c>
      <c r="L113" s="35"/>
      <c r="M113" s="37">
        <f t="shared" si="13"/>
        <v>0</v>
      </c>
      <c r="O113" s="131">
        <v>108</v>
      </c>
      <c r="P113" s="131"/>
      <c r="Q113" s="131"/>
      <c r="R113" s="135" t="str">
        <f t="shared" si="18"/>
        <v/>
      </c>
      <c r="S113" s="131">
        <f t="shared" si="14"/>
        <v>-5</v>
      </c>
      <c r="T113" s="131">
        <f t="shared" si="15"/>
        <v>-50</v>
      </c>
      <c r="U113" s="136"/>
      <c r="V113" s="136">
        <f t="shared" si="16"/>
        <v>0</v>
      </c>
    </row>
    <row r="114" spans="1:22" x14ac:dyDescent="0.25">
      <c r="A114" s="56"/>
      <c r="G114" s="13"/>
      <c r="H114" s="35">
        <v>109</v>
      </c>
      <c r="I114" s="36" t="str">
        <f t="shared" si="11"/>
        <v/>
      </c>
      <c r="J114" s="35">
        <f t="shared" si="17"/>
        <v>-7</v>
      </c>
      <c r="K114" s="35">
        <f t="shared" si="12"/>
        <v>-70</v>
      </c>
      <c r="L114" s="35"/>
      <c r="M114" s="37">
        <f t="shared" si="13"/>
        <v>0</v>
      </c>
      <c r="O114" s="131">
        <v>109</v>
      </c>
      <c r="P114" s="131"/>
      <c r="Q114" s="131"/>
      <c r="R114" s="135" t="str">
        <f t="shared" si="18"/>
        <v/>
      </c>
      <c r="S114" s="131">
        <f t="shared" si="14"/>
        <v>-5</v>
      </c>
      <c r="T114" s="131">
        <f t="shared" si="15"/>
        <v>-50</v>
      </c>
      <c r="U114" s="136"/>
      <c r="V114" s="136">
        <f t="shared" si="16"/>
        <v>0</v>
      </c>
    </row>
    <row r="115" spans="1:22" x14ac:dyDescent="0.25">
      <c r="A115" s="56"/>
      <c r="G115" s="13"/>
      <c r="H115" s="35">
        <v>110</v>
      </c>
      <c r="I115" s="36" t="str">
        <f t="shared" si="11"/>
        <v/>
      </c>
      <c r="J115" s="35">
        <f t="shared" si="17"/>
        <v>-7</v>
      </c>
      <c r="K115" s="35">
        <f t="shared" si="12"/>
        <v>-70</v>
      </c>
      <c r="L115" s="35"/>
      <c r="M115" s="37">
        <f t="shared" si="13"/>
        <v>0</v>
      </c>
      <c r="O115" s="131">
        <v>110</v>
      </c>
      <c r="P115" s="131"/>
      <c r="Q115" s="131"/>
      <c r="R115" s="135" t="str">
        <f t="shared" si="18"/>
        <v/>
      </c>
      <c r="S115" s="131">
        <f t="shared" si="14"/>
        <v>-5</v>
      </c>
      <c r="T115" s="131">
        <f t="shared" si="15"/>
        <v>-50</v>
      </c>
      <c r="U115" s="136"/>
      <c r="V115" s="136">
        <f t="shared" si="16"/>
        <v>0</v>
      </c>
    </row>
    <row r="116" spans="1:22" x14ac:dyDescent="0.25">
      <c r="A116" s="56"/>
      <c r="G116" s="13"/>
      <c r="H116" s="35">
        <v>111</v>
      </c>
      <c r="I116" s="36" t="str">
        <f t="shared" si="11"/>
        <v/>
      </c>
      <c r="J116" s="35">
        <f t="shared" si="17"/>
        <v>-7</v>
      </c>
      <c r="K116" s="35">
        <f t="shared" si="12"/>
        <v>-70</v>
      </c>
      <c r="L116" s="35"/>
      <c r="M116" s="37">
        <f t="shared" si="13"/>
        <v>0</v>
      </c>
      <c r="O116" s="131">
        <v>111</v>
      </c>
      <c r="P116" s="131"/>
      <c r="Q116" s="131"/>
      <c r="R116" s="135" t="str">
        <f t="shared" si="18"/>
        <v/>
      </c>
      <c r="S116" s="131">
        <f t="shared" si="14"/>
        <v>-5</v>
      </c>
      <c r="T116" s="131">
        <f t="shared" si="15"/>
        <v>-50</v>
      </c>
      <c r="U116" s="136"/>
      <c r="V116" s="136">
        <f t="shared" si="16"/>
        <v>0</v>
      </c>
    </row>
    <row r="117" spans="1:22" x14ac:dyDescent="0.25">
      <c r="A117" s="56"/>
      <c r="G117" s="13"/>
      <c r="H117" s="35">
        <v>112</v>
      </c>
      <c r="I117" s="36" t="str">
        <f t="shared" si="11"/>
        <v/>
      </c>
      <c r="J117" s="35">
        <f t="shared" si="17"/>
        <v>-7</v>
      </c>
      <c r="K117" s="35">
        <f t="shared" si="12"/>
        <v>-70</v>
      </c>
      <c r="L117" s="35"/>
      <c r="M117" s="37">
        <f t="shared" si="13"/>
        <v>0</v>
      </c>
      <c r="O117" s="131">
        <v>112</v>
      </c>
      <c r="P117" s="131"/>
      <c r="Q117" s="131"/>
      <c r="R117" s="135" t="str">
        <f t="shared" si="18"/>
        <v/>
      </c>
      <c r="S117" s="131">
        <f t="shared" si="14"/>
        <v>-5</v>
      </c>
      <c r="T117" s="131">
        <f t="shared" si="15"/>
        <v>-50</v>
      </c>
      <c r="U117" s="136"/>
      <c r="V117" s="136">
        <f t="shared" si="16"/>
        <v>0</v>
      </c>
    </row>
    <row r="118" spans="1:22" x14ac:dyDescent="0.25">
      <c r="A118" s="56"/>
      <c r="G118" s="13"/>
      <c r="H118" s="35">
        <v>113</v>
      </c>
      <c r="I118" s="36" t="str">
        <f t="shared" si="11"/>
        <v/>
      </c>
      <c r="J118" s="35">
        <f t="shared" si="17"/>
        <v>-7</v>
      </c>
      <c r="K118" s="35">
        <f t="shared" si="12"/>
        <v>-70</v>
      </c>
      <c r="L118" s="35"/>
      <c r="M118" s="37">
        <f t="shared" si="13"/>
        <v>0</v>
      </c>
      <c r="O118" s="131">
        <v>113</v>
      </c>
      <c r="P118" s="131"/>
      <c r="Q118" s="131"/>
      <c r="R118" s="135" t="str">
        <f t="shared" si="18"/>
        <v/>
      </c>
      <c r="S118" s="131">
        <f t="shared" si="14"/>
        <v>-5</v>
      </c>
      <c r="T118" s="131">
        <f t="shared" si="15"/>
        <v>-50</v>
      </c>
      <c r="U118" s="136"/>
      <c r="V118" s="136">
        <f t="shared" si="16"/>
        <v>0</v>
      </c>
    </row>
    <row r="119" spans="1:22" x14ac:dyDescent="0.25">
      <c r="A119" s="56"/>
      <c r="G119" s="13"/>
      <c r="H119" s="35">
        <v>114</v>
      </c>
      <c r="I119" s="36" t="str">
        <f t="shared" si="11"/>
        <v/>
      </c>
      <c r="J119" s="35">
        <f t="shared" si="17"/>
        <v>-7</v>
      </c>
      <c r="K119" s="35">
        <f t="shared" si="12"/>
        <v>-70</v>
      </c>
      <c r="L119" s="35"/>
      <c r="M119" s="37">
        <f t="shared" si="13"/>
        <v>0</v>
      </c>
      <c r="O119" s="131">
        <v>114</v>
      </c>
      <c r="P119" s="131"/>
      <c r="Q119" s="131"/>
      <c r="R119" s="135" t="str">
        <f t="shared" si="18"/>
        <v/>
      </c>
      <c r="S119" s="131">
        <f t="shared" si="14"/>
        <v>-5</v>
      </c>
      <c r="T119" s="131">
        <f t="shared" si="15"/>
        <v>-50</v>
      </c>
      <c r="U119" s="136"/>
      <c r="V119" s="136">
        <f t="shared" si="16"/>
        <v>0</v>
      </c>
    </row>
    <row r="120" spans="1:22" x14ac:dyDescent="0.25">
      <c r="A120" s="56"/>
      <c r="G120" s="13"/>
      <c r="H120" s="35">
        <v>115</v>
      </c>
      <c r="I120" s="36" t="str">
        <f t="shared" si="11"/>
        <v/>
      </c>
      <c r="J120" s="35">
        <f t="shared" si="17"/>
        <v>-7</v>
      </c>
      <c r="K120" s="35">
        <f t="shared" si="12"/>
        <v>-70</v>
      </c>
      <c r="L120" s="35"/>
      <c r="M120" s="37">
        <f t="shared" si="13"/>
        <v>0</v>
      </c>
      <c r="O120" s="131">
        <v>115</v>
      </c>
      <c r="P120" s="131"/>
      <c r="Q120" s="131"/>
      <c r="R120" s="135" t="str">
        <f t="shared" si="18"/>
        <v/>
      </c>
      <c r="S120" s="131">
        <f t="shared" si="14"/>
        <v>-5</v>
      </c>
      <c r="T120" s="131">
        <f t="shared" si="15"/>
        <v>-50</v>
      </c>
      <c r="U120" s="136"/>
      <c r="V120" s="136">
        <f t="shared" si="16"/>
        <v>0</v>
      </c>
    </row>
    <row r="121" spans="1:22" x14ac:dyDescent="0.25">
      <c r="A121" s="56"/>
      <c r="G121" s="13"/>
      <c r="H121" s="35">
        <v>116</v>
      </c>
      <c r="I121" s="36" t="str">
        <f t="shared" si="11"/>
        <v/>
      </c>
      <c r="J121" s="35">
        <f t="shared" si="17"/>
        <v>-7</v>
      </c>
      <c r="K121" s="35">
        <f t="shared" si="12"/>
        <v>-70</v>
      </c>
      <c r="L121" s="35"/>
      <c r="M121" s="37">
        <f t="shared" si="13"/>
        <v>0</v>
      </c>
      <c r="O121" s="131">
        <v>116</v>
      </c>
      <c r="P121" s="131"/>
      <c r="Q121" s="131"/>
      <c r="R121" s="135" t="str">
        <f t="shared" si="18"/>
        <v/>
      </c>
      <c r="S121" s="131">
        <f t="shared" si="14"/>
        <v>-5</v>
      </c>
      <c r="T121" s="131">
        <f t="shared" si="15"/>
        <v>-50</v>
      </c>
      <c r="U121" s="136"/>
      <c r="V121" s="136">
        <f t="shared" si="16"/>
        <v>0</v>
      </c>
    </row>
    <row r="122" spans="1:22" x14ac:dyDescent="0.25">
      <c r="A122" s="56"/>
      <c r="G122" s="13"/>
      <c r="H122" s="35">
        <v>117</v>
      </c>
      <c r="I122" s="36" t="str">
        <f t="shared" si="11"/>
        <v/>
      </c>
      <c r="J122" s="35">
        <f t="shared" si="17"/>
        <v>-7</v>
      </c>
      <c r="K122" s="35">
        <f t="shared" si="12"/>
        <v>-70</v>
      </c>
      <c r="L122" s="35"/>
      <c r="M122" s="37">
        <f t="shared" si="13"/>
        <v>0</v>
      </c>
      <c r="O122" s="131">
        <v>117</v>
      </c>
      <c r="P122" s="131"/>
      <c r="Q122" s="131"/>
      <c r="R122" s="135" t="str">
        <f t="shared" si="18"/>
        <v/>
      </c>
      <c r="S122" s="131">
        <f t="shared" si="14"/>
        <v>-5</v>
      </c>
      <c r="T122" s="131">
        <f t="shared" si="15"/>
        <v>-50</v>
      </c>
      <c r="U122" s="136"/>
      <c r="V122" s="136">
        <f t="shared" si="16"/>
        <v>0</v>
      </c>
    </row>
    <row r="123" spans="1:22" x14ac:dyDescent="0.25">
      <c r="A123" s="56"/>
      <c r="G123" s="13"/>
      <c r="H123" s="35">
        <v>118</v>
      </c>
      <c r="I123" s="36" t="str">
        <f t="shared" si="11"/>
        <v/>
      </c>
      <c r="J123" s="35">
        <f t="shared" si="17"/>
        <v>-7</v>
      </c>
      <c r="K123" s="35">
        <f t="shared" si="12"/>
        <v>-70</v>
      </c>
      <c r="L123" s="35"/>
      <c r="M123" s="37">
        <f t="shared" si="13"/>
        <v>0</v>
      </c>
      <c r="O123" s="131">
        <v>118</v>
      </c>
      <c r="P123" s="131"/>
      <c r="Q123" s="131"/>
      <c r="R123" s="135" t="str">
        <f t="shared" si="18"/>
        <v/>
      </c>
      <c r="S123" s="131">
        <f t="shared" si="14"/>
        <v>-5</v>
      </c>
      <c r="T123" s="131">
        <f t="shared" si="15"/>
        <v>-50</v>
      </c>
      <c r="U123" s="136"/>
      <c r="V123" s="136">
        <f t="shared" si="16"/>
        <v>0</v>
      </c>
    </row>
    <row r="124" spans="1:22" x14ac:dyDescent="0.25">
      <c r="A124" s="56"/>
      <c r="G124" s="13"/>
      <c r="H124" s="35">
        <v>119</v>
      </c>
      <c r="I124" s="36" t="str">
        <f t="shared" si="11"/>
        <v/>
      </c>
      <c r="J124" s="35">
        <f t="shared" si="17"/>
        <v>-7</v>
      </c>
      <c r="K124" s="35">
        <f t="shared" si="12"/>
        <v>-70</v>
      </c>
      <c r="L124" s="35"/>
      <c r="M124" s="37">
        <f t="shared" si="13"/>
        <v>0</v>
      </c>
      <c r="O124" s="131">
        <v>119</v>
      </c>
      <c r="P124" s="131"/>
      <c r="Q124" s="131"/>
      <c r="R124" s="135" t="str">
        <f t="shared" si="18"/>
        <v/>
      </c>
      <c r="S124" s="131">
        <f t="shared" si="14"/>
        <v>-5</v>
      </c>
      <c r="T124" s="131">
        <f t="shared" si="15"/>
        <v>-50</v>
      </c>
      <c r="U124" s="136"/>
      <c r="V124" s="136">
        <f t="shared" si="16"/>
        <v>0</v>
      </c>
    </row>
    <row r="125" spans="1:22" x14ac:dyDescent="0.25">
      <c r="A125" s="56"/>
      <c r="G125" s="13"/>
      <c r="H125" s="35">
        <v>120</v>
      </c>
      <c r="I125" s="36" t="str">
        <f t="shared" si="11"/>
        <v/>
      </c>
      <c r="J125" s="35">
        <f t="shared" si="17"/>
        <v>-7</v>
      </c>
      <c r="K125" s="35">
        <f t="shared" si="12"/>
        <v>-70</v>
      </c>
      <c r="L125" s="35"/>
      <c r="M125" s="37">
        <f t="shared" si="13"/>
        <v>0</v>
      </c>
      <c r="O125" s="131">
        <v>120</v>
      </c>
      <c r="P125" s="131"/>
      <c r="Q125" s="131"/>
      <c r="R125" s="135" t="str">
        <f t="shared" si="18"/>
        <v/>
      </c>
      <c r="S125" s="131">
        <f t="shared" si="14"/>
        <v>-5</v>
      </c>
      <c r="T125" s="131">
        <f t="shared" si="15"/>
        <v>-50</v>
      </c>
      <c r="U125" s="136"/>
      <c r="V125" s="136">
        <f t="shared" si="16"/>
        <v>0</v>
      </c>
    </row>
    <row r="126" spans="1:22" x14ac:dyDescent="0.25">
      <c r="A126" s="56"/>
      <c r="G126" s="13"/>
      <c r="H126" s="35">
        <v>121</v>
      </c>
      <c r="I126" s="36" t="str">
        <f t="shared" si="11"/>
        <v/>
      </c>
      <c r="J126" s="35">
        <f t="shared" si="17"/>
        <v>-7</v>
      </c>
      <c r="K126" s="35">
        <f t="shared" si="12"/>
        <v>-70</v>
      </c>
      <c r="L126" s="35"/>
      <c r="M126" s="37">
        <f t="shared" si="13"/>
        <v>0</v>
      </c>
      <c r="O126" s="131">
        <v>121</v>
      </c>
      <c r="P126" s="131"/>
      <c r="Q126" s="131"/>
      <c r="R126" s="135" t="str">
        <f t="shared" si="18"/>
        <v/>
      </c>
      <c r="S126" s="131">
        <f t="shared" si="14"/>
        <v>-5</v>
      </c>
      <c r="T126" s="131">
        <f t="shared" si="15"/>
        <v>-50</v>
      </c>
      <c r="U126" s="136"/>
      <c r="V126" s="136">
        <f t="shared" si="16"/>
        <v>0</v>
      </c>
    </row>
    <row r="127" spans="1:22" x14ac:dyDescent="0.25">
      <c r="A127" s="56"/>
      <c r="G127" s="13"/>
      <c r="H127" s="35">
        <v>122</v>
      </c>
      <c r="I127" s="36" t="str">
        <f t="shared" si="11"/>
        <v/>
      </c>
      <c r="J127" s="35">
        <f t="shared" si="17"/>
        <v>-7</v>
      </c>
      <c r="K127" s="35">
        <f t="shared" si="12"/>
        <v>-70</v>
      </c>
      <c r="L127" s="35"/>
      <c r="M127" s="37">
        <f t="shared" si="13"/>
        <v>0</v>
      </c>
      <c r="O127" s="131">
        <v>122</v>
      </c>
      <c r="P127" s="131"/>
      <c r="Q127" s="131"/>
      <c r="R127" s="135" t="str">
        <f t="shared" si="18"/>
        <v/>
      </c>
      <c r="S127" s="131">
        <f t="shared" si="14"/>
        <v>-5</v>
      </c>
      <c r="T127" s="131">
        <f t="shared" si="15"/>
        <v>-50</v>
      </c>
      <c r="U127" s="136"/>
      <c r="V127" s="136">
        <f t="shared" si="16"/>
        <v>0</v>
      </c>
    </row>
    <row r="128" spans="1:22" x14ac:dyDescent="0.25">
      <c r="A128" s="56"/>
      <c r="G128" s="13"/>
      <c r="H128" s="35">
        <v>123</v>
      </c>
      <c r="I128" s="36" t="str">
        <f t="shared" si="11"/>
        <v/>
      </c>
      <c r="J128" s="35">
        <f t="shared" si="17"/>
        <v>-7</v>
      </c>
      <c r="K128" s="35">
        <f t="shared" si="12"/>
        <v>-70</v>
      </c>
      <c r="L128" s="35"/>
      <c r="M128" s="37">
        <f t="shared" si="13"/>
        <v>0</v>
      </c>
      <c r="O128" s="131">
        <v>123</v>
      </c>
      <c r="P128" s="131"/>
      <c r="Q128" s="131"/>
      <c r="R128" s="135" t="str">
        <f t="shared" si="18"/>
        <v/>
      </c>
      <c r="S128" s="131">
        <f t="shared" si="14"/>
        <v>-5</v>
      </c>
      <c r="T128" s="131">
        <f t="shared" si="15"/>
        <v>-50</v>
      </c>
      <c r="U128" s="136"/>
      <c r="V128" s="136">
        <f t="shared" si="16"/>
        <v>0</v>
      </c>
    </row>
    <row r="129" spans="1:22" x14ac:dyDescent="0.25">
      <c r="A129" s="56"/>
      <c r="G129" s="13"/>
      <c r="H129" s="35">
        <v>124</v>
      </c>
      <c r="I129" s="36" t="str">
        <f t="shared" si="11"/>
        <v/>
      </c>
      <c r="J129" s="35">
        <f t="shared" si="17"/>
        <v>-7</v>
      </c>
      <c r="K129" s="35">
        <f t="shared" si="12"/>
        <v>-70</v>
      </c>
      <c r="L129" s="35"/>
      <c r="M129" s="37">
        <f t="shared" si="13"/>
        <v>0</v>
      </c>
      <c r="O129" s="131">
        <v>124</v>
      </c>
      <c r="P129" s="131"/>
      <c r="Q129" s="131"/>
      <c r="R129" s="135" t="str">
        <f t="shared" si="18"/>
        <v/>
      </c>
      <c r="S129" s="131">
        <f t="shared" si="14"/>
        <v>-5</v>
      </c>
      <c r="T129" s="131">
        <f t="shared" si="15"/>
        <v>-50</v>
      </c>
      <c r="U129" s="136"/>
      <c r="V129" s="136">
        <f t="shared" si="16"/>
        <v>0</v>
      </c>
    </row>
    <row r="130" spans="1:22" x14ac:dyDescent="0.25">
      <c r="A130" s="56"/>
      <c r="G130" s="13"/>
      <c r="H130" s="35">
        <v>125</v>
      </c>
      <c r="I130" s="36" t="str">
        <f t="shared" si="11"/>
        <v/>
      </c>
      <c r="J130" s="35">
        <f t="shared" si="17"/>
        <v>-7</v>
      </c>
      <c r="K130" s="35">
        <f t="shared" si="12"/>
        <v>-70</v>
      </c>
      <c r="L130" s="35"/>
      <c r="M130" s="37">
        <f t="shared" si="13"/>
        <v>0</v>
      </c>
      <c r="O130" s="131">
        <v>125</v>
      </c>
      <c r="P130" s="131"/>
      <c r="Q130" s="131"/>
      <c r="R130" s="135" t="str">
        <f t="shared" si="18"/>
        <v/>
      </c>
      <c r="S130" s="131">
        <f t="shared" si="14"/>
        <v>-5</v>
      </c>
      <c r="T130" s="131">
        <f t="shared" si="15"/>
        <v>-50</v>
      </c>
      <c r="U130" s="136"/>
      <c r="V130" s="136">
        <f t="shared" si="16"/>
        <v>0</v>
      </c>
    </row>
    <row r="131" spans="1:22" x14ac:dyDescent="0.25">
      <c r="A131" s="56"/>
      <c r="G131" s="13"/>
      <c r="H131" s="35">
        <v>126</v>
      </c>
      <c r="I131" s="36" t="str">
        <f t="shared" si="11"/>
        <v/>
      </c>
      <c r="J131" s="35">
        <f t="shared" si="17"/>
        <v>-7</v>
      </c>
      <c r="K131" s="35">
        <f t="shared" si="12"/>
        <v>-70</v>
      </c>
      <c r="L131" s="35"/>
      <c r="M131" s="37">
        <f t="shared" si="13"/>
        <v>0</v>
      </c>
      <c r="O131" s="131">
        <v>126</v>
      </c>
      <c r="P131" s="131"/>
      <c r="Q131" s="131"/>
      <c r="R131" s="135" t="str">
        <f t="shared" si="18"/>
        <v/>
      </c>
      <c r="S131" s="131">
        <f t="shared" si="14"/>
        <v>-5</v>
      </c>
      <c r="T131" s="131">
        <f t="shared" si="15"/>
        <v>-50</v>
      </c>
      <c r="U131" s="136"/>
      <c r="V131" s="136">
        <f t="shared" si="16"/>
        <v>0</v>
      </c>
    </row>
    <row r="132" spans="1:22" x14ac:dyDescent="0.25">
      <c r="A132" s="56"/>
      <c r="G132" s="13"/>
      <c r="H132" s="35">
        <v>127</v>
      </c>
      <c r="I132" s="36" t="str">
        <f t="shared" si="11"/>
        <v/>
      </c>
      <c r="J132" s="35">
        <f t="shared" si="17"/>
        <v>-7</v>
      </c>
      <c r="K132" s="35">
        <f t="shared" si="12"/>
        <v>-70</v>
      </c>
      <c r="L132" s="35"/>
      <c r="M132" s="37">
        <f t="shared" si="13"/>
        <v>0</v>
      </c>
      <c r="O132" s="131">
        <v>127</v>
      </c>
      <c r="P132" s="131"/>
      <c r="Q132" s="131"/>
      <c r="R132" s="135" t="str">
        <f t="shared" si="18"/>
        <v/>
      </c>
      <c r="S132" s="131">
        <f t="shared" si="14"/>
        <v>-5</v>
      </c>
      <c r="T132" s="131">
        <f t="shared" si="15"/>
        <v>-50</v>
      </c>
      <c r="U132" s="136"/>
      <c r="V132" s="136">
        <f t="shared" si="16"/>
        <v>0</v>
      </c>
    </row>
    <row r="133" spans="1:22" x14ac:dyDescent="0.25">
      <c r="A133" s="56"/>
      <c r="G133" s="13"/>
      <c r="H133" s="35">
        <v>128</v>
      </c>
      <c r="I133" s="36" t="str">
        <f t="shared" si="11"/>
        <v/>
      </c>
      <c r="J133" s="35">
        <f t="shared" si="17"/>
        <v>-7</v>
      </c>
      <c r="K133" s="35">
        <f t="shared" si="12"/>
        <v>-70</v>
      </c>
      <c r="L133" s="35"/>
      <c r="M133" s="37">
        <f t="shared" si="13"/>
        <v>0</v>
      </c>
      <c r="O133" s="131">
        <v>128</v>
      </c>
      <c r="P133" s="131"/>
      <c r="Q133" s="131"/>
      <c r="R133" s="135" t="str">
        <f t="shared" si="18"/>
        <v/>
      </c>
      <c r="S133" s="131">
        <f t="shared" si="14"/>
        <v>-5</v>
      </c>
      <c r="T133" s="131">
        <f t="shared" si="15"/>
        <v>-50</v>
      </c>
      <c r="U133" s="136"/>
      <c r="V133" s="136">
        <f t="shared" si="16"/>
        <v>0</v>
      </c>
    </row>
    <row r="134" spans="1:22" x14ac:dyDescent="0.25">
      <c r="A134" s="56"/>
      <c r="G134" s="13"/>
      <c r="H134" s="35">
        <v>129</v>
      </c>
      <c r="I134" s="36" t="str">
        <f t="shared" ref="I134:I197" si="19">IF(H134&lt;$H$2+1,($I$2-($I$2-1)*(LOG(H134)/LOG($H$2))),"")</f>
        <v/>
      </c>
      <c r="J134" s="35">
        <f t="shared" si="17"/>
        <v>-8</v>
      </c>
      <c r="K134" s="35">
        <f t="shared" ref="K134:K197" si="20">J134*$J$2</f>
        <v>-80</v>
      </c>
      <c r="L134" s="35"/>
      <c r="M134" s="37">
        <f t="shared" ref="M134:M197" si="21">IF(I134&lt;&gt;"",K134+I134+L134,0)</f>
        <v>0</v>
      </c>
      <c r="O134" s="131">
        <v>129</v>
      </c>
      <c r="P134" s="131"/>
      <c r="Q134" s="131"/>
      <c r="R134" s="135" t="str">
        <f t="shared" si="18"/>
        <v/>
      </c>
      <c r="S134" s="131">
        <f t="shared" ref="S134:S197" si="22">INT(LOG($O$2,2))-ROUNDUP(LOG(O134,2),0)+IF(OR($O$2=1,$O$2=2,$O$2=4,$O$2=8,$O$2=16,$O$2=32,$O$2=64,$O$2=128,$O$2=256),0,1)</f>
        <v>-6</v>
      </c>
      <c r="T134" s="131">
        <f t="shared" ref="T134:T197" si="23">S134*$J$2</f>
        <v>-60</v>
      </c>
      <c r="U134" s="136"/>
      <c r="V134" s="136">
        <f t="shared" ref="V134:V197" si="24">IF(R134&lt;&gt;"",T134+R134+U134,0)</f>
        <v>0</v>
      </c>
    </row>
    <row r="135" spans="1:22" x14ac:dyDescent="0.25">
      <c r="A135" s="56"/>
      <c r="G135" s="13"/>
      <c r="H135" s="35">
        <v>130</v>
      </c>
      <c r="I135" s="36" t="str">
        <f t="shared" si="19"/>
        <v/>
      </c>
      <c r="J135" s="35">
        <f t="shared" ref="J135:J198" si="25">INT(LOG($H$2,2))-ROUNDUP(LOG(H135,2),0)+IF(OR($H$2=1,$H$2=2,$H$2=4,$H$2=8,$H$2=16,$H$2=32,$H$2=64,$H$2=128,$H$2=256),0,1)</f>
        <v>-8</v>
      </c>
      <c r="K135" s="35">
        <f t="shared" si="20"/>
        <v>-80</v>
      </c>
      <c r="L135" s="35"/>
      <c r="M135" s="37">
        <f t="shared" si="21"/>
        <v>0</v>
      </c>
      <c r="O135" s="131">
        <v>130</v>
      </c>
      <c r="P135" s="131"/>
      <c r="Q135" s="131"/>
      <c r="R135" s="135" t="str">
        <f t="shared" ref="R135:R198" si="26">IF(O135&lt;$O$2+1,($I$2-($I$2-1)*(LOG(O135)/LOG($O$2))),"")</f>
        <v/>
      </c>
      <c r="S135" s="131">
        <f t="shared" si="22"/>
        <v>-6</v>
      </c>
      <c r="T135" s="131">
        <f t="shared" si="23"/>
        <v>-60</v>
      </c>
      <c r="U135" s="136"/>
      <c r="V135" s="136">
        <f t="shared" si="24"/>
        <v>0</v>
      </c>
    </row>
    <row r="136" spans="1:22" x14ac:dyDescent="0.25">
      <c r="A136" s="56"/>
      <c r="G136" s="13"/>
      <c r="H136" s="35">
        <v>131</v>
      </c>
      <c r="I136" s="36" t="str">
        <f t="shared" si="19"/>
        <v/>
      </c>
      <c r="J136" s="35">
        <f t="shared" si="25"/>
        <v>-8</v>
      </c>
      <c r="K136" s="35">
        <f t="shared" si="20"/>
        <v>-80</v>
      </c>
      <c r="L136" s="35"/>
      <c r="M136" s="37">
        <f t="shared" si="21"/>
        <v>0</v>
      </c>
      <c r="O136" s="131">
        <v>131</v>
      </c>
      <c r="P136" s="131"/>
      <c r="Q136" s="131"/>
      <c r="R136" s="135" t="str">
        <f t="shared" si="26"/>
        <v/>
      </c>
      <c r="S136" s="131">
        <f t="shared" si="22"/>
        <v>-6</v>
      </c>
      <c r="T136" s="131">
        <f t="shared" si="23"/>
        <v>-60</v>
      </c>
      <c r="U136" s="136"/>
      <c r="V136" s="136">
        <f t="shared" si="24"/>
        <v>0</v>
      </c>
    </row>
    <row r="137" spans="1:22" x14ac:dyDescent="0.25">
      <c r="A137" s="56"/>
      <c r="G137" s="13"/>
      <c r="H137" s="35">
        <v>132</v>
      </c>
      <c r="I137" s="36" t="str">
        <f t="shared" si="19"/>
        <v/>
      </c>
      <c r="J137" s="35">
        <f t="shared" si="25"/>
        <v>-8</v>
      </c>
      <c r="K137" s="35">
        <f t="shared" si="20"/>
        <v>-80</v>
      </c>
      <c r="L137" s="35"/>
      <c r="M137" s="37">
        <f t="shared" si="21"/>
        <v>0</v>
      </c>
      <c r="O137" s="131">
        <v>132</v>
      </c>
      <c r="P137" s="131"/>
      <c r="Q137" s="131"/>
      <c r="R137" s="135" t="str">
        <f t="shared" si="26"/>
        <v/>
      </c>
      <c r="S137" s="131">
        <f t="shared" si="22"/>
        <v>-6</v>
      </c>
      <c r="T137" s="131">
        <f t="shared" si="23"/>
        <v>-60</v>
      </c>
      <c r="U137" s="136"/>
      <c r="V137" s="136">
        <f t="shared" si="24"/>
        <v>0</v>
      </c>
    </row>
    <row r="138" spans="1:22" x14ac:dyDescent="0.25">
      <c r="A138" s="56"/>
      <c r="G138" s="13"/>
      <c r="H138" s="35">
        <v>133</v>
      </c>
      <c r="I138" s="36" t="str">
        <f t="shared" si="19"/>
        <v/>
      </c>
      <c r="J138" s="35">
        <f t="shared" si="25"/>
        <v>-8</v>
      </c>
      <c r="K138" s="35">
        <f t="shared" si="20"/>
        <v>-80</v>
      </c>
      <c r="L138" s="35"/>
      <c r="M138" s="37">
        <f t="shared" si="21"/>
        <v>0</v>
      </c>
      <c r="O138" s="131">
        <v>133</v>
      </c>
      <c r="P138" s="131"/>
      <c r="Q138" s="131"/>
      <c r="R138" s="135" t="str">
        <f t="shared" si="26"/>
        <v/>
      </c>
      <c r="S138" s="131">
        <f t="shared" si="22"/>
        <v>-6</v>
      </c>
      <c r="T138" s="131">
        <f t="shared" si="23"/>
        <v>-60</v>
      </c>
      <c r="U138" s="136"/>
      <c r="V138" s="136">
        <f t="shared" si="24"/>
        <v>0</v>
      </c>
    </row>
    <row r="139" spans="1:22" x14ac:dyDescent="0.25">
      <c r="A139" s="56"/>
      <c r="G139" s="13"/>
      <c r="H139" s="35">
        <v>134</v>
      </c>
      <c r="I139" s="36" t="str">
        <f t="shared" si="19"/>
        <v/>
      </c>
      <c r="J139" s="35">
        <f t="shared" si="25"/>
        <v>-8</v>
      </c>
      <c r="K139" s="35">
        <f t="shared" si="20"/>
        <v>-80</v>
      </c>
      <c r="L139" s="35"/>
      <c r="M139" s="37">
        <f t="shared" si="21"/>
        <v>0</v>
      </c>
      <c r="O139" s="131">
        <v>134</v>
      </c>
      <c r="P139" s="131"/>
      <c r="Q139" s="131"/>
      <c r="R139" s="135" t="str">
        <f t="shared" si="26"/>
        <v/>
      </c>
      <c r="S139" s="131">
        <f t="shared" si="22"/>
        <v>-6</v>
      </c>
      <c r="T139" s="131">
        <f t="shared" si="23"/>
        <v>-60</v>
      </c>
      <c r="U139" s="136"/>
      <c r="V139" s="136">
        <f t="shared" si="24"/>
        <v>0</v>
      </c>
    </row>
    <row r="140" spans="1:22" x14ac:dyDescent="0.25">
      <c r="A140" s="56"/>
      <c r="G140" s="13"/>
      <c r="H140" s="35">
        <v>135</v>
      </c>
      <c r="I140" s="36" t="str">
        <f t="shared" si="19"/>
        <v/>
      </c>
      <c r="J140" s="35">
        <f t="shared" si="25"/>
        <v>-8</v>
      </c>
      <c r="K140" s="35">
        <f t="shared" si="20"/>
        <v>-80</v>
      </c>
      <c r="L140" s="35"/>
      <c r="M140" s="37">
        <f t="shared" si="21"/>
        <v>0</v>
      </c>
      <c r="O140" s="131">
        <v>135</v>
      </c>
      <c r="P140" s="131"/>
      <c r="Q140" s="131"/>
      <c r="R140" s="135" t="str">
        <f t="shared" si="26"/>
        <v/>
      </c>
      <c r="S140" s="131">
        <f t="shared" si="22"/>
        <v>-6</v>
      </c>
      <c r="T140" s="131">
        <f t="shared" si="23"/>
        <v>-60</v>
      </c>
      <c r="U140" s="136"/>
      <c r="V140" s="136">
        <f t="shared" si="24"/>
        <v>0</v>
      </c>
    </row>
    <row r="141" spans="1:22" x14ac:dyDescent="0.25">
      <c r="A141" s="56"/>
      <c r="G141" s="13"/>
      <c r="H141" s="35">
        <v>136</v>
      </c>
      <c r="I141" s="36" t="str">
        <f t="shared" si="19"/>
        <v/>
      </c>
      <c r="J141" s="35">
        <f t="shared" si="25"/>
        <v>-8</v>
      </c>
      <c r="K141" s="35">
        <f t="shared" si="20"/>
        <v>-80</v>
      </c>
      <c r="L141" s="35"/>
      <c r="M141" s="37">
        <f t="shared" si="21"/>
        <v>0</v>
      </c>
      <c r="O141" s="131">
        <v>136</v>
      </c>
      <c r="P141" s="131"/>
      <c r="Q141" s="131"/>
      <c r="R141" s="135" t="str">
        <f t="shared" si="26"/>
        <v/>
      </c>
      <c r="S141" s="131">
        <f t="shared" si="22"/>
        <v>-6</v>
      </c>
      <c r="T141" s="131">
        <f t="shared" si="23"/>
        <v>-60</v>
      </c>
      <c r="U141" s="136"/>
      <c r="V141" s="136">
        <f t="shared" si="24"/>
        <v>0</v>
      </c>
    </row>
    <row r="142" spans="1:22" x14ac:dyDescent="0.25">
      <c r="A142" s="56"/>
      <c r="G142" s="13"/>
      <c r="H142" s="35">
        <v>137</v>
      </c>
      <c r="I142" s="36" t="str">
        <f t="shared" si="19"/>
        <v/>
      </c>
      <c r="J142" s="35">
        <f t="shared" si="25"/>
        <v>-8</v>
      </c>
      <c r="K142" s="35">
        <f t="shared" si="20"/>
        <v>-80</v>
      </c>
      <c r="L142" s="35"/>
      <c r="M142" s="37">
        <f t="shared" si="21"/>
        <v>0</v>
      </c>
      <c r="O142" s="131">
        <v>137</v>
      </c>
      <c r="P142" s="131"/>
      <c r="Q142" s="131"/>
      <c r="R142" s="135" t="str">
        <f t="shared" si="26"/>
        <v/>
      </c>
      <c r="S142" s="131">
        <f t="shared" si="22"/>
        <v>-6</v>
      </c>
      <c r="T142" s="131">
        <f t="shared" si="23"/>
        <v>-60</v>
      </c>
      <c r="U142" s="136"/>
      <c r="V142" s="136">
        <f t="shared" si="24"/>
        <v>0</v>
      </c>
    </row>
    <row r="143" spans="1:22" x14ac:dyDescent="0.25">
      <c r="A143" s="56"/>
      <c r="G143" s="13"/>
      <c r="H143" s="35">
        <v>138</v>
      </c>
      <c r="I143" s="36" t="str">
        <f t="shared" si="19"/>
        <v/>
      </c>
      <c r="J143" s="35">
        <f t="shared" si="25"/>
        <v>-8</v>
      </c>
      <c r="K143" s="35">
        <f t="shared" si="20"/>
        <v>-80</v>
      </c>
      <c r="L143" s="35"/>
      <c r="M143" s="37">
        <f t="shared" si="21"/>
        <v>0</v>
      </c>
      <c r="O143" s="131">
        <v>138</v>
      </c>
      <c r="P143" s="131"/>
      <c r="Q143" s="131"/>
      <c r="R143" s="135" t="str">
        <f t="shared" si="26"/>
        <v/>
      </c>
      <c r="S143" s="131">
        <f t="shared" si="22"/>
        <v>-6</v>
      </c>
      <c r="T143" s="131">
        <f t="shared" si="23"/>
        <v>-60</v>
      </c>
      <c r="U143" s="136"/>
      <c r="V143" s="136">
        <f t="shared" si="24"/>
        <v>0</v>
      </c>
    </row>
    <row r="144" spans="1:22" x14ac:dyDescent="0.25">
      <c r="A144" s="56"/>
      <c r="G144" s="13"/>
      <c r="H144" s="35">
        <v>139</v>
      </c>
      <c r="I144" s="36" t="str">
        <f t="shared" si="19"/>
        <v/>
      </c>
      <c r="J144" s="35">
        <f t="shared" si="25"/>
        <v>-8</v>
      </c>
      <c r="K144" s="35">
        <f t="shared" si="20"/>
        <v>-80</v>
      </c>
      <c r="L144" s="35"/>
      <c r="M144" s="37">
        <f t="shared" si="21"/>
        <v>0</v>
      </c>
      <c r="O144" s="131">
        <v>139</v>
      </c>
      <c r="P144" s="131"/>
      <c r="Q144" s="131"/>
      <c r="R144" s="135" t="str">
        <f t="shared" si="26"/>
        <v/>
      </c>
      <c r="S144" s="131">
        <f t="shared" si="22"/>
        <v>-6</v>
      </c>
      <c r="T144" s="131">
        <f t="shared" si="23"/>
        <v>-60</v>
      </c>
      <c r="U144" s="136"/>
      <c r="V144" s="136">
        <f t="shared" si="24"/>
        <v>0</v>
      </c>
    </row>
    <row r="145" spans="1:22" x14ac:dyDescent="0.25">
      <c r="A145" s="56"/>
      <c r="G145" s="13"/>
      <c r="H145" s="35">
        <v>140</v>
      </c>
      <c r="I145" s="36" t="str">
        <f t="shared" si="19"/>
        <v/>
      </c>
      <c r="J145" s="35">
        <f t="shared" si="25"/>
        <v>-8</v>
      </c>
      <c r="K145" s="35">
        <f t="shared" si="20"/>
        <v>-80</v>
      </c>
      <c r="L145" s="35"/>
      <c r="M145" s="37">
        <f t="shared" si="21"/>
        <v>0</v>
      </c>
      <c r="O145" s="131">
        <v>140</v>
      </c>
      <c r="P145" s="131"/>
      <c r="Q145" s="131"/>
      <c r="R145" s="135" t="str">
        <f t="shared" si="26"/>
        <v/>
      </c>
      <c r="S145" s="131">
        <f t="shared" si="22"/>
        <v>-6</v>
      </c>
      <c r="T145" s="131">
        <f t="shared" si="23"/>
        <v>-60</v>
      </c>
      <c r="U145" s="136"/>
      <c r="V145" s="136">
        <f t="shared" si="24"/>
        <v>0</v>
      </c>
    </row>
    <row r="146" spans="1:22" x14ac:dyDescent="0.25">
      <c r="A146" s="56"/>
      <c r="G146" s="13"/>
      <c r="H146" s="35">
        <v>141</v>
      </c>
      <c r="I146" s="36" t="str">
        <f t="shared" si="19"/>
        <v/>
      </c>
      <c r="J146" s="35">
        <f t="shared" si="25"/>
        <v>-8</v>
      </c>
      <c r="K146" s="35">
        <f t="shared" si="20"/>
        <v>-80</v>
      </c>
      <c r="L146" s="35"/>
      <c r="M146" s="37">
        <f t="shared" si="21"/>
        <v>0</v>
      </c>
      <c r="O146" s="131">
        <v>141</v>
      </c>
      <c r="P146" s="131"/>
      <c r="Q146" s="131"/>
      <c r="R146" s="135" t="str">
        <f t="shared" si="26"/>
        <v/>
      </c>
      <c r="S146" s="131">
        <f t="shared" si="22"/>
        <v>-6</v>
      </c>
      <c r="T146" s="131">
        <f t="shared" si="23"/>
        <v>-60</v>
      </c>
      <c r="U146" s="136"/>
      <c r="V146" s="136">
        <f t="shared" si="24"/>
        <v>0</v>
      </c>
    </row>
    <row r="147" spans="1:22" x14ac:dyDescent="0.25">
      <c r="A147" s="56"/>
      <c r="G147" s="13"/>
      <c r="H147" s="35">
        <v>142</v>
      </c>
      <c r="I147" s="36" t="str">
        <f t="shared" si="19"/>
        <v/>
      </c>
      <c r="J147" s="35">
        <f t="shared" si="25"/>
        <v>-8</v>
      </c>
      <c r="K147" s="35">
        <f t="shared" si="20"/>
        <v>-80</v>
      </c>
      <c r="L147" s="35"/>
      <c r="M147" s="37">
        <f t="shared" si="21"/>
        <v>0</v>
      </c>
      <c r="O147" s="131">
        <v>142</v>
      </c>
      <c r="P147" s="131"/>
      <c r="Q147" s="131"/>
      <c r="R147" s="135" t="str">
        <f t="shared" si="26"/>
        <v/>
      </c>
      <c r="S147" s="131">
        <f t="shared" si="22"/>
        <v>-6</v>
      </c>
      <c r="T147" s="131">
        <f t="shared" si="23"/>
        <v>-60</v>
      </c>
      <c r="U147" s="136"/>
      <c r="V147" s="136">
        <f t="shared" si="24"/>
        <v>0</v>
      </c>
    </row>
    <row r="148" spans="1:22" x14ac:dyDescent="0.25">
      <c r="A148" s="56"/>
      <c r="G148" s="13"/>
      <c r="H148" s="35">
        <v>143</v>
      </c>
      <c r="I148" s="36" t="str">
        <f t="shared" si="19"/>
        <v/>
      </c>
      <c r="J148" s="35">
        <f t="shared" si="25"/>
        <v>-8</v>
      </c>
      <c r="K148" s="35">
        <f t="shared" si="20"/>
        <v>-80</v>
      </c>
      <c r="L148" s="35"/>
      <c r="M148" s="37">
        <f t="shared" si="21"/>
        <v>0</v>
      </c>
      <c r="O148" s="131">
        <v>143</v>
      </c>
      <c r="P148" s="131"/>
      <c r="Q148" s="131"/>
      <c r="R148" s="135" t="str">
        <f t="shared" si="26"/>
        <v/>
      </c>
      <c r="S148" s="131">
        <f t="shared" si="22"/>
        <v>-6</v>
      </c>
      <c r="T148" s="131">
        <f t="shared" si="23"/>
        <v>-60</v>
      </c>
      <c r="U148" s="136"/>
      <c r="V148" s="136">
        <f t="shared" si="24"/>
        <v>0</v>
      </c>
    </row>
    <row r="149" spans="1:22" x14ac:dyDescent="0.25">
      <c r="A149" s="56"/>
      <c r="G149" s="13"/>
      <c r="H149" s="35">
        <v>144</v>
      </c>
      <c r="I149" s="36" t="str">
        <f t="shared" si="19"/>
        <v/>
      </c>
      <c r="J149" s="35">
        <f t="shared" si="25"/>
        <v>-8</v>
      </c>
      <c r="K149" s="35">
        <f t="shared" si="20"/>
        <v>-80</v>
      </c>
      <c r="L149" s="35"/>
      <c r="M149" s="37">
        <f t="shared" si="21"/>
        <v>0</v>
      </c>
      <c r="O149" s="131">
        <v>144</v>
      </c>
      <c r="P149" s="131"/>
      <c r="Q149" s="131"/>
      <c r="R149" s="135" t="str">
        <f t="shared" si="26"/>
        <v/>
      </c>
      <c r="S149" s="131">
        <f t="shared" si="22"/>
        <v>-6</v>
      </c>
      <c r="T149" s="131">
        <f t="shared" si="23"/>
        <v>-60</v>
      </c>
      <c r="U149" s="136"/>
      <c r="V149" s="136">
        <f t="shared" si="24"/>
        <v>0</v>
      </c>
    </row>
    <row r="150" spans="1:22" x14ac:dyDescent="0.25">
      <c r="A150" s="56"/>
      <c r="G150" s="13"/>
      <c r="H150" s="35">
        <v>145</v>
      </c>
      <c r="I150" s="36" t="str">
        <f t="shared" si="19"/>
        <v/>
      </c>
      <c r="J150" s="35">
        <f t="shared" si="25"/>
        <v>-8</v>
      </c>
      <c r="K150" s="35">
        <f t="shared" si="20"/>
        <v>-80</v>
      </c>
      <c r="L150" s="35"/>
      <c r="M150" s="37">
        <f t="shared" si="21"/>
        <v>0</v>
      </c>
      <c r="O150" s="131">
        <v>145</v>
      </c>
      <c r="P150" s="131"/>
      <c r="Q150" s="131"/>
      <c r="R150" s="135" t="str">
        <f t="shared" si="26"/>
        <v/>
      </c>
      <c r="S150" s="131">
        <f t="shared" si="22"/>
        <v>-6</v>
      </c>
      <c r="T150" s="131">
        <f t="shared" si="23"/>
        <v>-60</v>
      </c>
      <c r="U150" s="136"/>
      <c r="V150" s="136">
        <f t="shared" si="24"/>
        <v>0</v>
      </c>
    </row>
    <row r="151" spans="1:22" x14ac:dyDescent="0.25">
      <c r="A151" s="56"/>
      <c r="G151" s="13"/>
      <c r="H151" s="35">
        <v>146</v>
      </c>
      <c r="I151" s="36" t="str">
        <f t="shared" si="19"/>
        <v/>
      </c>
      <c r="J151" s="35">
        <f t="shared" si="25"/>
        <v>-8</v>
      </c>
      <c r="K151" s="35">
        <f t="shared" si="20"/>
        <v>-80</v>
      </c>
      <c r="L151" s="35"/>
      <c r="M151" s="37">
        <f t="shared" si="21"/>
        <v>0</v>
      </c>
      <c r="O151" s="131">
        <v>146</v>
      </c>
      <c r="P151" s="131"/>
      <c r="Q151" s="131"/>
      <c r="R151" s="135" t="str">
        <f t="shared" si="26"/>
        <v/>
      </c>
      <c r="S151" s="131">
        <f t="shared" si="22"/>
        <v>-6</v>
      </c>
      <c r="T151" s="131">
        <f t="shared" si="23"/>
        <v>-60</v>
      </c>
      <c r="U151" s="136"/>
      <c r="V151" s="136">
        <f t="shared" si="24"/>
        <v>0</v>
      </c>
    </row>
    <row r="152" spans="1:22" x14ac:dyDescent="0.25">
      <c r="A152" s="56"/>
      <c r="G152" s="13"/>
      <c r="H152" s="35">
        <v>147</v>
      </c>
      <c r="I152" s="36" t="str">
        <f t="shared" si="19"/>
        <v/>
      </c>
      <c r="J152" s="35">
        <f t="shared" si="25"/>
        <v>-8</v>
      </c>
      <c r="K152" s="35">
        <f t="shared" si="20"/>
        <v>-80</v>
      </c>
      <c r="L152" s="35"/>
      <c r="M152" s="37">
        <f t="shared" si="21"/>
        <v>0</v>
      </c>
      <c r="O152" s="131">
        <v>147</v>
      </c>
      <c r="P152" s="131"/>
      <c r="Q152" s="131"/>
      <c r="R152" s="135" t="str">
        <f t="shared" si="26"/>
        <v/>
      </c>
      <c r="S152" s="131">
        <f t="shared" si="22"/>
        <v>-6</v>
      </c>
      <c r="T152" s="131">
        <f t="shared" si="23"/>
        <v>-60</v>
      </c>
      <c r="U152" s="136"/>
      <c r="V152" s="136">
        <f t="shared" si="24"/>
        <v>0</v>
      </c>
    </row>
    <row r="153" spans="1:22" x14ac:dyDescent="0.25">
      <c r="A153" s="56"/>
      <c r="G153" s="13"/>
      <c r="H153" s="35">
        <v>148</v>
      </c>
      <c r="I153" s="36" t="str">
        <f t="shared" si="19"/>
        <v/>
      </c>
      <c r="J153" s="35">
        <f t="shared" si="25"/>
        <v>-8</v>
      </c>
      <c r="K153" s="35">
        <f t="shared" si="20"/>
        <v>-80</v>
      </c>
      <c r="L153" s="35"/>
      <c r="M153" s="37">
        <f t="shared" si="21"/>
        <v>0</v>
      </c>
      <c r="O153" s="131">
        <v>148</v>
      </c>
      <c r="P153" s="131"/>
      <c r="Q153" s="131"/>
      <c r="R153" s="135" t="str">
        <f t="shared" si="26"/>
        <v/>
      </c>
      <c r="S153" s="131">
        <f t="shared" si="22"/>
        <v>-6</v>
      </c>
      <c r="T153" s="131">
        <f t="shared" si="23"/>
        <v>-60</v>
      </c>
      <c r="U153" s="136"/>
      <c r="V153" s="136">
        <f t="shared" si="24"/>
        <v>0</v>
      </c>
    </row>
    <row r="154" spans="1:22" x14ac:dyDescent="0.25">
      <c r="A154" s="56"/>
      <c r="G154" s="13"/>
      <c r="H154" s="35">
        <v>149</v>
      </c>
      <c r="I154" s="36" t="str">
        <f t="shared" si="19"/>
        <v/>
      </c>
      <c r="J154" s="35">
        <f t="shared" si="25"/>
        <v>-8</v>
      </c>
      <c r="K154" s="35">
        <f t="shared" si="20"/>
        <v>-80</v>
      </c>
      <c r="L154" s="35"/>
      <c r="M154" s="37">
        <f t="shared" si="21"/>
        <v>0</v>
      </c>
      <c r="O154" s="131">
        <v>149</v>
      </c>
      <c r="P154" s="131"/>
      <c r="Q154" s="131"/>
      <c r="R154" s="135" t="str">
        <f t="shared" si="26"/>
        <v/>
      </c>
      <c r="S154" s="131">
        <f t="shared" si="22"/>
        <v>-6</v>
      </c>
      <c r="T154" s="131">
        <f t="shared" si="23"/>
        <v>-60</v>
      </c>
      <c r="U154" s="136"/>
      <c r="V154" s="136">
        <f t="shared" si="24"/>
        <v>0</v>
      </c>
    </row>
    <row r="155" spans="1:22" x14ac:dyDescent="0.25">
      <c r="A155" s="56"/>
      <c r="G155" s="13"/>
      <c r="H155" s="35">
        <v>150</v>
      </c>
      <c r="I155" s="36" t="str">
        <f t="shared" si="19"/>
        <v/>
      </c>
      <c r="J155" s="35">
        <f t="shared" si="25"/>
        <v>-8</v>
      </c>
      <c r="K155" s="35">
        <f t="shared" si="20"/>
        <v>-80</v>
      </c>
      <c r="L155" s="35"/>
      <c r="M155" s="37">
        <f t="shared" si="21"/>
        <v>0</v>
      </c>
      <c r="O155" s="131">
        <v>150</v>
      </c>
      <c r="P155" s="131"/>
      <c r="Q155" s="131"/>
      <c r="R155" s="135" t="str">
        <f t="shared" si="26"/>
        <v/>
      </c>
      <c r="S155" s="131">
        <f t="shared" si="22"/>
        <v>-6</v>
      </c>
      <c r="T155" s="131">
        <f t="shared" si="23"/>
        <v>-60</v>
      </c>
      <c r="U155" s="136"/>
      <c r="V155" s="136">
        <f t="shared" si="24"/>
        <v>0</v>
      </c>
    </row>
    <row r="156" spans="1:22" x14ac:dyDescent="0.25">
      <c r="A156" s="56"/>
      <c r="G156" s="13"/>
      <c r="H156" s="35">
        <v>151</v>
      </c>
      <c r="I156" s="36" t="str">
        <f t="shared" si="19"/>
        <v/>
      </c>
      <c r="J156" s="35">
        <f t="shared" si="25"/>
        <v>-8</v>
      </c>
      <c r="K156" s="35">
        <f t="shared" si="20"/>
        <v>-80</v>
      </c>
      <c r="L156" s="35"/>
      <c r="M156" s="37">
        <f t="shared" si="21"/>
        <v>0</v>
      </c>
      <c r="O156" s="131">
        <v>151</v>
      </c>
      <c r="P156" s="131"/>
      <c r="Q156" s="131"/>
      <c r="R156" s="135" t="str">
        <f t="shared" si="26"/>
        <v/>
      </c>
      <c r="S156" s="131">
        <f t="shared" si="22"/>
        <v>-6</v>
      </c>
      <c r="T156" s="131">
        <f t="shared" si="23"/>
        <v>-60</v>
      </c>
      <c r="U156" s="136"/>
      <c r="V156" s="136">
        <f t="shared" si="24"/>
        <v>0</v>
      </c>
    </row>
    <row r="157" spans="1:22" x14ac:dyDescent="0.25">
      <c r="A157" s="56"/>
      <c r="G157" s="13"/>
      <c r="H157" s="35">
        <v>152</v>
      </c>
      <c r="I157" s="36" t="str">
        <f t="shared" si="19"/>
        <v/>
      </c>
      <c r="J157" s="35">
        <f t="shared" si="25"/>
        <v>-8</v>
      </c>
      <c r="K157" s="35">
        <f t="shared" si="20"/>
        <v>-80</v>
      </c>
      <c r="L157" s="35"/>
      <c r="M157" s="37">
        <f t="shared" si="21"/>
        <v>0</v>
      </c>
      <c r="O157" s="131">
        <v>152</v>
      </c>
      <c r="P157" s="131"/>
      <c r="Q157" s="131"/>
      <c r="R157" s="135" t="str">
        <f t="shared" si="26"/>
        <v/>
      </c>
      <c r="S157" s="131">
        <f t="shared" si="22"/>
        <v>-6</v>
      </c>
      <c r="T157" s="131">
        <f t="shared" si="23"/>
        <v>-60</v>
      </c>
      <c r="U157" s="136"/>
      <c r="V157" s="136">
        <f t="shared" si="24"/>
        <v>0</v>
      </c>
    </row>
    <row r="158" spans="1:22" x14ac:dyDescent="0.25">
      <c r="A158" s="56"/>
      <c r="G158" s="13"/>
      <c r="H158" s="35">
        <v>153</v>
      </c>
      <c r="I158" s="36" t="str">
        <f t="shared" si="19"/>
        <v/>
      </c>
      <c r="J158" s="35">
        <f t="shared" si="25"/>
        <v>-8</v>
      </c>
      <c r="K158" s="35">
        <f t="shared" si="20"/>
        <v>-80</v>
      </c>
      <c r="L158" s="35"/>
      <c r="M158" s="37">
        <f t="shared" si="21"/>
        <v>0</v>
      </c>
      <c r="O158" s="131">
        <v>153</v>
      </c>
      <c r="P158" s="131"/>
      <c r="Q158" s="131"/>
      <c r="R158" s="135" t="str">
        <f t="shared" si="26"/>
        <v/>
      </c>
      <c r="S158" s="131">
        <f t="shared" si="22"/>
        <v>-6</v>
      </c>
      <c r="T158" s="131">
        <f t="shared" si="23"/>
        <v>-60</v>
      </c>
      <c r="U158" s="136"/>
      <c r="V158" s="136">
        <f t="shared" si="24"/>
        <v>0</v>
      </c>
    </row>
    <row r="159" spans="1:22" x14ac:dyDescent="0.25">
      <c r="A159" s="56"/>
      <c r="G159" s="13"/>
      <c r="H159" s="35">
        <v>154</v>
      </c>
      <c r="I159" s="36" t="str">
        <f t="shared" si="19"/>
        <v/>
      </c>
      <c r="J159" s="35">
        <f t="shared" si="25"/>
        <v>-8</v>
      </c>
      <c r="K159" s="35">
        <f t="shared" si="20"/>
        <v>-80</v>
      </c>
      <c r="L159" s="35"/>
      <c r="M159" s="37">
        <f t="shared" si="21"/>
        <v>0</v>
      </c>
      <c r="O159" s="131">
        <v>154</v>
      </c>
      <c r="P159" s="131"/>
      <c r="Q159" s="131"/>
      <c r="R159" s="135" t="str">
        <f t="shared" si="26"/>
        <v/>
      </c>
      <c r="S159" s="131">
        <f t="shared" si="22"/>
        <v>-6</v>
      </c>
      <c r="T159" s="131">
        <f t="shared" si="23"/>
        <v>-60</v>
      </c>
      <c r="U159" s="136"/>
      <c r="V159" s="136">
        <f t="shared" si="24"/>
        <v>0</v>
      </c>
    </row>
    <row r="160" spans="1:22" x14ac:dyDescent="0.25">
      <c r="A160" s="56"/>
      <c r="G160" s="13"/>
      <c r="H160" s="35">
        <v>155</v>
      </c>
      <c r="I160" s="36" t="str">
        <f t="shared" si="19"/>
        <v/>
      </c>
      <c r="J160" s="35">
        <f t="shared" si="25"/>
        <v>-8</v>
      </c>
      <c r="K160" s="35">
        <f t="shared" si="20"/>
        <v>-80</v>
      </c>
      <c r="L160" s="35"/>
      <c r="M160" s="37">
        <f t="shared" si="21"/>
        <v>0</v>
      </c>
      <c r="O160" s="131">
        <v>155</v>
      </c>
      <c r="P160" s="131"/>
      <c r="Q160" s="131"/>
      <c r="R160" s="135" t="str">
        <f t="shared" si="26"/>
        <v/>
      </c>
      <c r="S160" s="131">
        <f t="shared" si="22"/>
        <v>-6</v>
      </c>
      <c r="T160" s="131">
        <f t="shared" si="23"/>
        <v>-60</v>
      </c>
      <c r="U160" s="136"/>
      <c r="V160" s="136">
        <f t="shared" si="24"/>
        <v>0</v>
      </c>
    </row>
    <row r="161" spans="1:22" x14ac:dyDescent="0.25">
      <c r="A161" s="56"/>
      <c r="G161" s="13"/>
      <c r="H161" s="35">
        <v>156</v>
      </c>
      <c r="I161" s="36" t="str">
        <f t="shared" si="19"/>
        <v/>
      </c>
      <c r="J161" s="35">
        <f t="shared" si="25"/>
        <v>-8</v>
      </c>
      <c r="K161" s="35">
        <f t="shared" si="20"/>
        <v>-80</v>
      </c>
      <c r="L161" s="35"/>
      <c r="M161" s="37">
        <f t="shared" si="21"/>
        <v>0</v>
      </c>
      <c r="O161" s="131">
        <v>156</v>
      </c>
      <c r="P161" s="131"/>
      <c r="Q161" s="131"/>
      <c r="R161" s="135" t="str">
        <f t="shared" si="26"/>
        <v/>
      </c>
      <c r="S161" s="131">
        <f t="shared" si="22"/>
        <v>-6</v>
      </c>
      <c r="T161" s="131">
        <f t="shared" si="23"/>
        <v>-60</v>
      </c>
      <c r="U161" s="136"/>
      <c r="V161" s="136">
        <f t="shared" si="24"/>
        <v>0</v>
      </c>
    </row>
    <row r="162" spans="1:22" x14ac:dyDescent="0.25">
      <c r="A162" s="56"/>
      <c r="G162" s="13"/>
      <c r="H162" s="35">
        <v>157</v>
      </c>
      <c r="I162" s="36" t="str">
        <f t="shared" si="19"/>
        <v/>
      </c>
      <c r="J162" s="35">
        <f t="shared" si="25"/>
        <v>-8</v>
      </c>
      <c r="K162" s="35">
        <f t="shared" si="20"/>
        <v>-80</v>
      </c>
      <c r="L162" s="35"/>
      <c r="M162" s="37">
        <f t="shared" si="21"/>
        <v>0</v>
      </c>
      <c r="O162" s="131">
        <v>157</v>
      </c>
      <c r="P162" s="131"/>
      <c r="Q162" s="131"/>
      <c r="R162" s="135" t="str">
        <f t="shared" si="26"/>
        <v/>
      </c>
      <c r="S162" s="131">
        <f t="shared" si="22"/>
        <v>-6</v>
      </c>
      <c r="T162" s="131">
        <f t="shared" si="23"/>
        <v>-60</v>
      </c>
      <c r="U162" s="136"/>
      <c r="V162" s="136">
        <f t="shared" si="24"/>
        <v>0</v>
      </c>
    </row>
    <row r="163" spans="1:22" x14ac:dyDescent="0.25">
      <c r="A163" s="56"/>
      <c r="G163" s="13"/>
      <c r="H163" s="35">
        <v>158</v>
      </c>
      <c r="I163" s="36" t="str">
        <f t="shared" si="19"/>
        <v/>
      </c>
      <c r="J163" s="35">
        <f t="shared" si="25"/>
        <v>-8</v>
      </c>
      <c r="K163" s="35">
        <f t="shared" si="20"/>
        <v>-80</v>
      </c>
      <c r="L163" s="35"/>
      <c r="M163" s="37">
        <f t="shared" si="21"/>
        <v>0</v>
      </c>
      <c r="O163" s="131">
        <v>158</v>
      </c>
      <c r="P163" s="131"/>
      <c r="Q163" s="131"/>
      <c r="R163" s="135" t="str">
        <f t="shared" si="26"/>
        <v/>
      </c>
      <c r="S163" s="131">
        <f t="shared" si="22"/>
        <v>-6</v>
      </c>
      <c r="T163" s="131">
        <f t="shared" si="23"/>
        <v>-60</v>
      </c>
      <c r="U163" s="136"/>
      <c r="V163" s="136">
        <f t="shared" si="24"/>
        <v>0</v>
      </c>
    </row>
    <row r="164" spans="1:22" x14ac:dyDescent="0.25">
      <c r="A164" s="56"/>
      <c r="G164" s="13"/>
      <c r="H164" s="35">
        <v>159</v>
      </c>
      <c r="I164" s="36" t="str">
        <f t="shared" si="19"/>
        <v/>
      </c>
      <c r="J164" s="35">
        <f t="shared" si="25"/>
        <v>-8</v>
      </c>
      <c r="K164" s="35">
        <f t="shared" si="20"/>
        <v>-80</v>
      </c>
      <c r="L164" s="35"/>
      <c r="M164" s="37">
        <f t="shared" si="21"/>
        <v>0</v>
      </c>
      <c r="O164" s="131">
        <v>159</v>
      </c>
      <c r="P164" s="131"/>
      <c r="Q164" s="131"/>
      <c r="R164" s="135" t="str">
        <f t="shared" si="26"/>
        <v/>
      </c>
      <c r="S164" s="131">
        <f t="shared" si="22"/>
        <v>-6</v>
      </c>
      <c r="T164" s="131">
        <f t="shared" si="23"/>
        <v>-60</v>
      </c>
      <c r="U164" s="136"/>
      <c r="V164" s="136">
        <f t="shared" si="24"/>
        <v>0</v>
      </c>
    </row>
    <row r="165" spans="1:22" x14ac:dyDescent="0.25">
      <c r="A165" s="56"/>
      <c r="G165" s="13"/>
      <c r="H165" s="35">
        <v>160</v>
      </c>
      <c r="I165" s="36" t="str">
        <f t="shared" si="19"/>
        <v/>
      </c>
      <c r="J165" s="35">
        <f t="shared" si="25"/>
        <v>-8</v>
      </c>
      <c r="K165" s="35">
        <f t="shared" si="20"/>
        <v>-80</v>
      </c>
      <c r="L165" s="35"/>
      <c r="M165" s="37">
        <f t="shared" si="21"/>
        <v>0</v>
      </c>
      <c r="O165" s="131">
        <v>160</v>
      </c>
      <c r="P165" s="131"/>
      <c r="Q165" s="131"/>
      <c r="R165" s="135" t="str">
        <f t="shared" si="26"/>
        <v/>
      </c>
      <c r="S165" s="131">
        <f t="shared" si="22"/>
        <v>-6</v>
      </c>
      <c r="T165" s="131">
        <f t="shared" si="23"/>
        <v>-60</v>
      </c>
      <c r="U165" s="136"/>
      <c r="V165" s="136">
        <f t="shared" si="24"/>
        <v>0</v>
      </c>
    </row>
    <row r="166" spans="1:22" x14ac:dyDescent="0.25">
      <c r="A166" s="56"/>
      <c r="G166" s="13"/>
      <c r="H166" s="35">
        <v>161</v>
      </c>
      <c r="I166" s="36" t="str">
        <f t="shared" si="19"/>
        <v/>
      </c>
      <c r="J166" s="35">
        <f t="shared" si="25"/>
        <v>-8</v>
      </c>
      <c r="K166" s="35">
        <f t="shared" si="20"/>
        <v>-80</v>
      </c>
      <c r="L166" s="35"/>
      <c r="M166" s="37">
        <f t="shared" si="21"/>
        <v>0</v>
      </c>
      <c r="O166" s="131">
        <v>161</v>
      </c>
      <c r="P166" s="131"/>
      <c r="Q166" s="131"/>
      <c r="R166" s="135" t="str">
        <f t="shared" si="26"/>
        <v/>
      </c>
      <c r="S166" s="131">
        <f t="shared" si="22"/>
        <v>-6</v>
      </c>
      <c r="T166" s="131">
        <f t="shared" si="23"/>
        <v>-60</v>
      </c>
      <c r="U166" s="136"/>
      <c r="V166" s="136">
        <f t="shared" si="24"/>
        <v>0</v>
      </c>
    </row>
    <row r="167" spans="1:22" x14ac:dyDescent="0.25">
      <c r="A167" s="56"/>
      <c r="G167" s="13"/>
      <c r="H167" s="35">
        <v>162</v>
      </c>
      <c r="I167" s="36" t="str">
        <f t="shared" si="19"/>
        <v/>
      </c>
      <c r="J167" s="35">
        <f t="shared" si="25"/>
        <v>-8</v>
      </c>
      <c r="K167" s="35">
        <f t="shared" si="20"/>
        <v>-80</v>
      </c>
      <c r="L167" s="35"/>
      <c r="M167" s="37">
        <f t="shared" si="21"/>
        <v>0</v>
      </c>
      <c r="O167" s="131">
        <v>162</v>
      </c>
      <c r="P167" s="131"/>
      <c r="Q167" s="131"/>
      <c r="R167" s="135" t="str">
        <f t="shared" si="26"/>
        <v/>
      </c>
      <c r="S167" s="131">
        <f t="shared" si="22"/>
        <v>-6</v>
      </c>
      <c r="T167" s="131">
        <f t="shared" si="23"/>
        <v>-60</v>
      </c>
      <c r="U167" s="136"/>
      <c r="V167" s="136">
        <f t="shared" si="24"/>
        <v>0</v>
      </c>
    </row>
    <row r="168" spans="1:22" x14ac:dyDescent="0.25">
      <c r="A168" s="56"/>
      <c r="G168" s="13"/>
      <c r="H168" s="35">
        <v>163</v>
      </c>
      <c r="I168" s="36" t="str">
        <f t="shared" si="19"/>
        <v/>
      </c>
      <c r="J168" s="35">
        <f t="shared" si="25"/>
        <v>-8</v>
      </c>
      <c r="K168" s="35">
        <f t="shared" si="20"/>
        <v>-80</v>
      </c>
      <c r="L168" s="35"/>
      <c r="M168" s="37">
        <f t="shared" si="21"/>
        <v>0</v>
      </c>
      <c r="O168" s="131">
        <v>163</v>
      </c>
      <c r="P168" s="131"/>
      <c r="Q168" s="131"/>
      <c r="R168" s="135" t="str">
        <f t="shared" si="26"/>
        <v/>
      </c>
      <c r="S168" s="131">
        <f t="shared" si="22"/>
        <v>-6</v>
      </c>
      <c r="T168" s="131">
        <f t="shared" si="23"/>
        <v>-60</v>
      </c>
      <c r="U168" s="136"/>
      <c r="V168" s="136">
        <f t="shared" si="24"/>
        <v>0</v>
      </c>
    </row>
    <row r="169" spans="1:22" x14ac:dyDescent="0.25">
      <c r="A169" s="56"/>
      <c r="G169" s="13"/>
      <c r="H169" s="35">
        <v>164</v>
      </c>
      <c r="I169" s="36" t="str">
        <f t="shared" si="19"/>
        <v/>
      </c>
      <c r="J169" s="35">
        <f t="shared" si="25"/>
        <v>-8</v>
      </c>
      <c r="K169" s="35">
        <f t="shared" si="20"/>
        <v>-80</v>
      </c>
      <c r="L169" s="35"/>
      <c r="M169" s="37">
        <f t="shared" si="21"/>
        <v>0</v>
      </c>
      <c r="O169" s="131">
        <v>164</v>
      </c>
      <c r="P169" s="131"/>
      <c r="Q169" s="131"/>
      <c r="R169" s="135" t="str">
        <f t="shared" si="26"/>
        <v/>
      </c>
      <c r="S169" s="131">
        <f t="shared" si="22"/>
        <v>-6</v>
      </c>
      <c r="T169" s="131">
        <f t="shared" si="23"/>
        <v>-60</v>
      </c>
      <c r="U169" s="136"/>
      <c r="V169" s="136">
        <f t="shared" si="24"/>
        <v>0</v>
      </c>
    </row>
    <row r="170" spans="1:22" x14ac:dyDescent="0.25">
      <c r="A170" s="56"/>
      <c r="G170" s="13"/>
      <c r="H170" s="35">
        <v>165</v>
      </c>
      <c r="I170" s="36" t="str">
        <f t="shared" si="19"/>
        <v/>
      </c>
      <c r="J170" s="35">
        <f t="shared" si="25"/>
        <v>-8</v>
      </c>
      <c r="K170" s="35">
        <f t="shared" si="20"/>
        <v>-80</v>
      </c>
      <c r="L170" s="35"/>
      <c r="M170" s="37">
        <f t="shared" si="21"/>
        <v>0</v>
      </c>
      <c r="O170" s="131">
        <v>165</v>
      </c>
      <c r="P170" s="131"/>
      <c r="Q170" s="131"/>
      <c r="R170" s="135" t="str">
        <f t="shared" si="26"/>
        <v/>
      </c>
      <c r="S170" s="131">
        <f t="shared" si="22"/>
        <v>-6</v>
      </c>
      <c r="T170" s="131">
        <f t="shared" si="23"/>
        <v>-60</v>
      </c>
      <c r="U170" s="136"/>
      <c r="V170" s="136">
        <f t="shared" si="24"/>
        <v>0</v>
      </c>
    </row>
    <row r="171" spans="1:22" x14ac:dyDescent="0.25">
      <c r="A171" s="56"/>
      <c r="G171" s="13"/>
      <c r="H171" s="35">
        <v>166</v>
      </c>
      <c r="I171" s="36" t="str">
        <f t="shared" si="19"/>
        <v/>
      </c>
      <c r="J171" s="35">
        <f t="shared" si="25"/>
        <v>-8</v>
      </c>
      <c r="K171" s="35">
        <f t="shared" si="20"/>
        <v>-80</v>
      </c>
      <c r="L171" s="35"/>
      <c r="M171" s="37">
        <f t="shared" si="21"/>
        <v>0</v>
      </c>
      <c r="O171" s="131">
        <v>166</v>
      </c>
      <c r="P171" s="131"/>
      <c r="Q171" s="131"/>
      <c r="R171" s="135" t="str">
        <f t="shared" si="26"/>
        <v/>
      </c>
      <c r="S171" s="131">
        <f t="shared" si="22"/>
        <v>-6</v>
      </c>
      <c r="T171" s="131">
        <f t="shared" si="23"/>
        <v>-60</v>
      </c>
      <c r="U171" s="136"/>
      <c r="V171" s="136">
        <f t="shared" si="24"/>
        <v>0</v>
      </c>
    </row>
    <row r="172" spans="1:22" x14ac:dyDescent="0.25">
      <c r="A172" s="56"/>
      <c r="G172" s="13"/>
      <c r="H172" s="35">
        <v>167</v>
      </c>
      <c r="I172" s="36" t="str">
        <f t="shared" si="19"/>
        <v/>
      </c>
      <c r="J172" s="35">
        <f t="shared" si="25"/>
        <v>-8</v>
      </c>
      <c r="K172" s="35">
        <f t="shared" si="20"/>
        <v>-80</v>
      </c>
      <c r="L172" s="35"/>
      <c r="M172" s="37">
        <f t="shared" si="21"/>
        <v>0</v>
      </c>
      <c r="O172" s="131">
        <v>167</v>
      </c>
      <c r="P172" s="131"/>
      <c r="Q172" s="131"/>
      <c r="R172" s="135" t="str">
        <f t="shared" si="26"/>
        <v/>
      </c>
      <c r="S172" s="131">
        <f t="shared" si="22"/>
        <v>-6</v>
      </c>
      <c r="T172" s="131">
        <f t="shared" si="23"/>
        <v>-60</v>
      </c>
      <c r="U172" s="136"/>
      <c r="V172" s="136">
        <f t="shared" si="24"/>
        <v>0</v>
      </c>
    </row>
    <row r="173" spans="1:22" x14ac:dyDescent="0.25">
      <c r="A173" s="56"/>
      <c r="G173" s="13"/>
      <c r="H173" s="35">
        <v>168</v>
      </c>
      <c r="I173" s="36" t="str">
        <f t="shared" si="19"/>
        <v/>
      </c>
      <c r="J173" s="35">
        <f t="shared" si="25"/>
        <v>-8</v>
      </c>
      <c r="K173" s="35">
        <f t="shared" si="20"/>
        <v>-80</v>
      </c>
      <c r="L173" s="35"/>
      <c r="M173" s="37">
        <f t="shared" si="21"/>
        <v>0</v>
      </c>
      <c r="O173" s="131">
        <v>168</v>
      </c>
      <c r="P173" s="131"/>
      <c r="Q173" s="131"/>
      <c r="R173" s="135" t="str">
        <f t="shared" si="26"/>
        <v/>
      </c>
      <c r="S173" s="131">
        <f t="shared" si="22"/>
        <v>-6</v>
      </c>
      <c r="T173" s="131">
        <f t="shared" si="23"/>
        <v>-60</v>
      </c>
      <c r="U173" s="136"/>
      <c r="V173" s="136">
        <f t="shared" si="24"/>
        <v>0</v>
      </c>
    </row>
    <row r="174" spans="1:22" x14ac:dyDescent="0.25">
      <c r="A174" s="56"/>
      <c r="G174" s="13"/>
      <c r="H174" s="35">
        <v>169</v>
      </c>
      <c r="I174" s="36" t="str">
        <f t="shared" si="19"/>
        <v/>
      </c>
      <c r="J174" s="35">
        <f t="shared" si="25"/>
        <v>-8</v>
      </c>
      <c r="K174" s="35">
        <f t="shared" si="20"/>
        <v>-80</v>
      </c>
      <c r="L174" s="35"/>
      <c r="M174" s="37">
        <f t="shared" si="21"/>
        <v>0</v>
      </c>
      <c r="O174" s="131">
        <v>169</v>
      </c>
      <c r="P174" s="131"/>
      <c r="Q174" s="131"/>
      <c r="R174" s="135" t="str">
        <f t="shared" si="26"/>
        <v/>
      </c>
      <c r="S174" s="131">
        <f t="shared" si="22"/>
        <v>-6</v>
      </c>
      <c r="T174" s="131">
        <f t="shared" si="23"/>
        <v>-60</v>
      </c>
      <c r="U174" s="136"/>
      <c r="V174" s="136">
        <f t="shared" si="24"/>
        <v>0</v>
      </c>
    </row>
    <row r="175" spans="1:22" x14ac:dyDescent="0.25">
      <c r="A175" s="56"/>
      <c r="G175" s="13"/>
      <c r="H175" s="35">
        <v>170</v>
      </c>
      <c r="I175" s="36" t="str">
        <f t="shared" si="19"/>
        <v/>
      </c>
      <c r="J175" s="35">
        <f t="shared" si="25"/>
        <v>-8</v>
      </c>
      <c r="K175" s="35">
        <f t="shared" si="20"/>
        <v>-80</v>
      </c>
      <c r="L175" s="35"/>
      <c r="M175" s="37">
        <f t="shared" si="21"/>
        <v>0</v>
      </c>
      <c r="O175" s="131">
        <v>170</v>
      </c>
      <c r="P175" s="131"/>
      <c r="Q175" s="131"/>
      <c r="R175" s="135" t="str">
        <f t="shared" si="26"/>
        <v/>
      </c>
      <c r="S175" s="131">
        <f t="shared" si="22"/>
        <v>-6</v>
      </c>
      <c r="T175" s="131">
        <f t="shared" si="23"/>
        <v>-60</v>
      </c>
      <c r="U175" s="136"/>
      <c r="V175" s="136">
        <f t="shared" si="24"/>
        <v>0</v>
      </c>
    </row>
    <row r="176" spans="1:22" x14ac:dyDescent="0.25">
      <c r="A176" s="56"/>
      <c r="G176" s="13"/>
      <c r="H176" s="35">
        <v>171</v>
      </c>
      <c r="I176" s="36" t="str">
        <f t="shared" si="19"/>
        <v/>
      </c>
      <c r="J176" s="35">
        <f t="shared" si="25"/>
        <v>-8</v>
      </c>
      <c r="K176" s="35">
        <f t="shared" si="20"/>
        <v>-80</v>
      </c>
      <c r="L176" s="35"/>
      <c r="M176" s="37">
        <f t="shared" si="21"/>
        <v>0</v>
      </c>
      <c r="O176" s="131">
        <v>171</v>
      </c>
      <c r="P176" s="131"/>
      <c r="Q176" s="131"/>
      <c r="R176" s="135" t="str">
        <f t="shared" si="26"/>
        <v/>
      </c>
      <c r="S176" s="131">
        <f t="shared" si="22"/>
        <v>-6</v>
      </c>
      <c r="T176" s="131">
        <f t="shared" si="23"/>
        <v>-60</v>
      </c>
      <c r="U176" s="136"/>
      <c r="V176" s="136">
        <f t="shared" si="24"/>
        <v>0</v>
      </c>
    </row>
    <row r="177" spans="1:22" x14ac:dyDescent="0.25">
      <c r="A177" s="56"/>
      <c r="G177" s="13"/>
      <c r="H177" s="35">
        <v>172</v>
      </c>
      <c r="I177" s="36" t="str">
        <f t="shared" si="19"/>
        <v/>
      </c>
      <c r="J177" s="35">
        <f t="shared" si="25"/>
        <v>-8</v>
      </c>
      <c r="K177" s="35">
        <f t="shared" si="20"/>
        <v>-80</v>
      </c>
      <c r="L177" s="35"/>
      <c r="M177" s="37">
        <f t="shared" si="21"/>
        <v>0</v>
      </c>
      <c r="O177" s="131">
        <v>172</v>
      </c>
      <c r="P177" s="131"/>
      <c r="Q177" s="131"/>
      <c r="R177" s="135" t="str">
        <f t="shared" si="26"/>
        <v/>
      </c>
      <c r="S177" s="131">
        <f t="shared" si="22"/>
        <v>-6</v>
      </c>
      <c r="T177" s="131">
        <f t="shared" si="23"/>
        <v>-60</v>
      </c>
      <c r="U177" s="136"/>
      <c r="V177" s="136">
        <f t="shared" si="24"/>
        <v>0</v>
      </c>
    </row>
    <row r="178" spans="1:22" x14ac:dyDescent="0.25">
      <c r="A178" s="56"/>
      <c r="G178" s="13"/>
      <c r="H178" s="35">
        <v>173</v>
      </c>
      <c r="I178" s="36" t="str">
        <f t="shared" si="19"/>
        <v/>
      </c>
      <c r="J178" s="35">
        <f t="shared" si="25"/>
        <v>-8</v>
      </c>
      <c r="K178" s="35">
        <f t="shared" si="20"/>
        <v>-80</v>
      </c>
      <c r="L178" s="35"/>
      <c r="M178" s="37">
        <f t="shared" si="21"/>
        <v>0</v>
      </c>
      <c r="O178" s="131">
        <v>173</v>
      </c>
      <c r="P178" s="131"/>
      <c r="Q178" s="131"/>
      <c r="R178" s="135" t="str">
        <f t="shared" si="26"/>
        <v/>
      </c>
      <c r="S178" s="131">
        <f t="shared" si="22"/>
        <v>-6</v>
      </c>
      <c r="T178" s="131">
        <f t="shared" si="23"/>
        <v>-60</v>
      </c>
      <c r="U178" s="136"/>
      <c r="V178" s="136">
        <f t="shared" si="24"/>
        <v>0</v>
      </c>
    </row>
    <row r="179" spans="1:22" x14ac:dyDescent="0.25">
      <c r="A179" s="56"/>
      <c r="G179" s="13"/>
      <c r="H179" s="35">
        <v>174</v>
      </c>
      <c r="I179" s="36" t="str">
        <f t="shared" si="19"/>
        <v/>
      </c>
      <c r="J179" s="35">
        <f t="shared" si="25"/>
        <v>-8</v>
      </c>
      <c r="K179" s="35">
        <f t="shared" si="20"/>
        <v>-80</v>
      </c>
      <c r="L179" s="35"/>
      <c r="M179" s="37">
        <f t="shared" si="21"/>
        <v>0</v>
      </c>
      <c r="O179" s="131">
        <v>174</v>
      </c>
      <c r="P179" s="131"/>
      <c r="Q179" s="131"/>
      <c r="R179" s="135" t="str">
        <f t="shared" si="26"/>
        <v/>
      </c>
      <c r="S179" s="131">
        <f t="shared" si="22"/>
        <v>-6</v>
      </c>
      <c r="T179" s="131">
        <f t="shared" si="23"/>
        <v>-60</v>
      </c>
      <c r="U179" s="136"/>
      <c r="V179" s="136">
        <f t="shared" si="24"/>
        <v>0</v>
      </c>
    </row>
    <row r="180" spans="1:22" x14ac:dyDescent="0.25">
      <c r="A180" s="56"/>
      <c r="G180" s="13"/>
      <c r="H180" s="35">
        <v>175</v>
      </c>
      <c r="I180" s="36" t="str">
        <f t="shared" si="19"/>
        <v/>
      </c>
      <c r="J180" s="35">
        <f t="shared" si="25"/>
        <v>-8</v>
      </c>
      <c r="K180" s="35">
        <f t="shared" si="20"/>
        <v>-80</v>
      </c>
      <c r="L180" s="35"/>
      <c r="M180" s="37">
        <f t="shared" si="21"/>
        <v>0</v>
      </c>
      <c r="O180" s="131">
        <v>175</v>
      </c>
      <c r="P180" s="131"/>
      <c r="Q180" s="131"/>
      <c r="R180" s="135" t="str">
        <f t="shared" si="26"/>
        <v/>
      </c>
      <c r="S180" s="131">
        <f t="shared" si="22"/>
        <v>-6</v>
      </c>
      <c r="T180" s="131">
        <f t="shared" si="23"/>
        <v>-60</v>
      </c>
      <c r="U180" s="136"/>
      <c r="V180" s="136">
        <f t="shared" si="24"/>
        <v>0</v>
      </c>
    </row>
    <row r="181" spans="1:22" x14ac:dyDescent="0.25">
      <c r="A181" s="56"/>
      <c r="G181" s="13"/>
      <c r="H181" s="35">
        <v>176</v>
      </c>
      <c r="I181" s="36" t="str">
        <f t="shared" si="19"/>
        <v/>
      </c>
      <c r="J181" s="35">
        <f t="shared" si="25"/>
        <v>-8</v>
      </c>
      <c r="K181" s="35">
        <f t="shared" si="20"/>
        <v>-80</v>
      </c>
      <c r="L181" s="35"/>
      <c r="M181" s="37">
        <f t="shared" si="21"/>
        <v>0</v>
      </c>
      <c r="O181" s="131">
        <v>176</v>
      </c>
      <c r="P181" s="131"/>
      <c r="Q181" s="131"/>
      <c r="R181" s="135" t="str">
        <f t="shared" si="26"/>
        <v/>
      </c>
      <c r="S181" s="131">
        <f t="shared" si="22"/>
        <v>-6</v>
      </c>
      <c r="T181" s="131">
        <f t="shared" si="23"/>
        <v>-60</v>
      </c>
      <c r="U181" s="136"/>
      <c r="V181" s="136">
        <f t="shared" si="24"/>
        <v>0</v>
      </c>
    </row>
    <row r="182" spans="1:22" x14ac:dyDescent="0.25">
      <c r="A182" s="56"/>
      <c r="G182" s="13"/>
      <c r="H182" s="35">
        <v>177</v>
      </c>
      <c r="I182" s="36" t="str">
        <f t="shared" si="19"/>
        <v/>
      </c>
      <c r="J182" s="35">
        <f t="shared" si="25"/>
        <v>-8</v>
      </c>
      <c r="K182" s="35">
        <f t="shared" si="20"/>
        <v>-80</v>
      </c>
      <c r="L182" s="35"/>
      <c r="M182" s="37">
        <f t="shared" si="21"/>
        <v>0</v>
      </c>
      <c r="O182" s="131">
        <v>177</v>
      </c>
      <c r="P182" s="131"/>
      <c r="Q182" s="131"/>
      <c r="R182" s="135" t="str">
        <f t="shared" si="26"/>
        <v/>
      </c>
      <c r="S182" s="131">
        <f t="shared" si="22"/>
        <v>-6</v>
      </c>
      <c r="T182" s="131">
        <f t="shared" si="23"/>
        <v>-60</v>
      </c>
      <c r="U182" s="136"/>
      <c r="V182" s="136">
        <f t="shared" si="24"/>
        <v>0</v>
      </c>
    </row>
    <row r="183" spans="1:22" x14ac:dyDescent="0.25">
      <c r="A183" s="56"/>
      <c r="G183" s="13"/>
      <c r="H183" s="35">
        <v>178</v>
      </c>
      <c r="I183" s="36" t="str">
        <f t="shared" si="19"/>
        <v/>
      </c>
      <c r="J183" s="35">
        <f t="shared" si="25"/>
        <v>-8</v>
      </c>
      <c r="K183" s="35">
        <f t="shared" si="20"/>
        <v>-80</v>
      </c>
      <c r="L183" s="35"/>
      <c r="M183" s="37">
        <f t="shared" si="21"/>
        <v>0</v>
      </c>
      <c r="O183" s="131">
        <v>178</v>
      </c>
      <c r="P183" s="131"/>
      <c r="Q183" s="131"/>
      <c r="R183" s="135" t="str">
        <f t="shared" si="26"/>
        <v/>
      </c>
      <c r="S183" s="131">
        <f t="shared" si="22"/>
        <v>-6</v>
      </c>
      <c r="T183" s="131">
        <f t="shared" si="23"/>
        <v>-60</v>
      </c>
      <c r="U183" s="136"/>
      <c r="V183" s="136">
        <f t="shared" si="24"/>
        <v>0</v>
      </c>
    </row>
    <row r="184" spans="1:22" x14ac:dyDescent="0.25">
      <c r="A184" s="56"/>
      <c r="G184" s="13"/>
      <c r="H184" s="35">
        <v>179</v>
      </c>
      <c r="I184" s="36" t="str">
        <f t="shared" si="19"/>
        <v/>
      </c>
      <c r="J184" s="35">
        <f t="shared" si="25"/>
        <v>-8</v>
      </c>
      <c r="K184" s="35">
        <f t="shared" si="20"/>
        <v>-80</v>
      </c>
      <c r="L184" s="35"/>
      <c r="M184" s="37">
        <f t="shared" si="21"/>
        <v>0</v>
      </c>
      <c r="O184" s="131">
        <v>179</v>
      </c>
      <c r="P184" s="131"/>
      <c r="Q184" s="131"/>
      <c r="R184" s="135" t="str">
        <f t="shared" si="26"/>
        <v/>
      </c>
      <c r="S184" s="131">
        <f t="shared" si="22"/>
        <v>-6</v>
      </c>
      <c r="T184" s="131">
        <f t="shared" si="23"/>
        <v>-60</v>
      </c>
      <c r="U184" s="136"/>
      <c r="V184" s="136">
        <f t="shared" si="24"/>
        <v>0</v>
      </c>
    </row>
    <row r="185" spans="1:22" x14ac:dyDescent="0.25">
      <c r="A185" s="56"/>
      <c r="G185" s="13"/>
      <c r="H185" s="35">
        <v>180</v>
      </c>
      <c r="I185" s="36" t="str">
        <f t="shared" si="19"/>
        <v/>
      </c>
      <c r="J185" s="35">
        <f t="shared" si="25"/>
        <v>-8</v>
      </c>
      <c r="K185" s="35">
        <f t="shared" si="20"/>
        <v>-80</v>
      </c>
      <c r="L185" s="35"/>
      <c r="M185" s="37">
        <f t="shared" si="21"/>
        <v>0</v>
      </c>
      <c r="O185" s="131">
        <v>180</v>
      </c>
      <c r="P185" s="131"/>
      <c r="Q185" s="131"/>
      <c r="R185" s="135" t="str">
        <f t="shared" si="26"/>
        <v/>
      </c>
      <c r="S185" s="131">
        <f t="shared" si="22"/>
        <v>-6</v>
      </c>
      <c r="T185" s="131">
        <f t="shared" si="23"/>
        <v>-60</v>
      </c>
      <c r="U185" s="136"/>
      <c r="V185" s="136">
        <f t="shared" si="24"/>
        <v>0</v>
      </c>
    </row>
    <row r="186" spans="1:22" x14ac:dyDescent="0.25">
      <c r="A186" s="56"/>
      <c r="G186" s="13"/>
      <c r="H186" s="35">
        <v>181</v>
      </c>
      <c r="I186" s="36" t="str">
        <f t="shared" si="19"/>
        <v/>
      </c>
      <c r="J186" s="35">
        <f t="shared" si="25"/>
        <v>-8</v>
      </c>
      <c r="K186" s="35">
        <f t="shared" si="20"/>
        <v>-80</v>
      </c>
      <c r="L186" s="35"/>
      <c r="M186" s="37">
        <f t="shared" si="21"/>
        <v>0</v>
      </c>
      <c r="O186" s="131">
        <v>181</v>
      </c>
      <c r="P186" s="131"/>
      <c r="Q186" s="131"/>
      <c r="R186" s="135" t="str">
        <f t="shared" si="26"/>
        <v/>
      </c>
      <c r="S186" s="131">
        <f t="shared" si="22"/>
        <v>-6</v>
      </c>
      <c r="T186" s="131">
        <f t="shared" si="23"/>
        <v>-60</v>
      </c>
      <c r="U186" s="136"/>
      <c r="V186" s="136">
        <f t="shared" si="24"/>
        <v>0</v>
      </c>
    </row>
    <row r="187" spans="1:22" x14ac:dyDescent="0.25">
      <c r="A187" s="56"/>
      <c r="G187" s="13"/>
      <c r="H187" s="35">
        <v>182</v>
      </c>
      <c r="I187" s="36" t="str">
        <f t="shared" si="19"/>
        <v/>
      </c>
      <c r="J187" s="35">
        <f t="shared" si="25"/>
        <v>-8</v>
      </c>
      <c r="K187" s="35">
        <f t="shared" si="20"/>
        <v>-80</v>
      </c>
      <c r="L187" s="35"/>
      <c r="M187" s="37">
        <f t="shared" si="21"/>
        <v>0</v>
      </c>
      <c r="O187" s="131">
        <v>182</v>
      </c>
      <c r="P187" s="131"/>
      <c r="Q187" s="131"/>
      <c r="R187" s="135" t="str">
        <f t="shared" si="26"/>
        <v/>
      </c>
      <c r="S187" s="131">
        <f t="shared" si="22"/>
        <v>-6</v>
      </c>
      <c r="T187" s="131">
        <f t="shared" si="23"/>
        <v>-60</v>
      </c>
      <c r="U187" s="136"/>
      <c r="V187" s="136">
        <f t="shared" si="24"/>
        <v>0</v>
      </c>
    </row>
    <row r="188" spans="1:22" x14ac:dyDescent="0.25">
      <c r="A188" s="56"/>
      <c r="G188" s="13"/>
      <c r="H188" s="35">
        <v>183</v>
      </c>
      <c r="I188" s="36" t="str">
        <f t="shared" si="19"/>
        <v/>
      </c>
      <c r="J188" s="35">
        <f t="shared" si="25"/>
        <v>-8</v>
      </c>
      <c r="K188" s="35">
        <f t="shared" si="20"/>
        <v>-80</v>
      </c>
      <c r="L188" s="35"/>
      <c r="M188" s="37">
        <f t="shared" si="21"/>
        <v>0</v>
      </c>
      <c r="O188" s="131">
        <v>183</v>
      </c>
      <c r="P188" s="131"/>
      <c r="Q188" s="131"/>
      <c r="R188" s="135" t="str">
        <f t="shared" si="26"/>
        <v/>
      </c>
      <c r="S188" s="131">
        <f t="shared" si="22"/>
        <v>-6</v>
      </c>
      <c r="T188" s="131">
        <f t="shared" si="23"/>
        <v>-60</v>
      </c>
      <c r="U188" s="136"/>
      <c r="V188" s="136">
        <f t="shared" si="24"/>
        <v>0</v>
      </c>
    </row>
    <row r="189" spans="1:22" x14ac:dyDescent="0.25">
      <c r="A189" s="56"/>
      <c r="G189" s="13"/>
      <c r="H189" s="35">
        <v>184</v>
      </c>
      <c r="I189" s="36" t="str">
        <f t="shared" si="19"/>
        <v/>
      </c>
      <c r="J189" s="35">
        <f t="shared" si="25"/>
        <v>-8</v>
      </c>
      <c r="K189" s="35">
        <f t="shared" si="20"/>
        <v>-80</v>
      </c>
      <c r="L189" s="35"/>
      <c r="M189" s="37">
        <f t="shared" si="21"/>
        <v>0</v>
      </c>
      <c r="O189" s="131">
        <v>184</v>
      </c>
      <c r="P189" s="131"/>
      <c r="Q189" s="131"/>
      <c r="R189" s="135" t="str">
        <f t="shared" si="26"/>
        <v/>
      </c>
      <c r="S189" s="131">
        <f t="shared" si="22"/>
        <v>-6</v>
      </c>
      <c r="T189" s="131">
        <f t="shared" si="23"/>
        <v>-60</v>
      </c>
      <c r="U189" s="136"/>
      <c r="V189" s="136">
        <f t="shared" si="24"/>
        <v>0</v>
      </c>
    </row>
    <row r="190" spans="1:22" x14ac:dyDescent="0.25">
      <c r="A190" s="56"/>
      <c r="G190" s="13"/>
      <c r="H190" s="35">
        <v>185</v>
      </c>
      <c r="I190" s="36" t="str">
        <f t="shared" si="19"/>
        <v/>
      </c>
      <c r="J190" s="35">
        <f t="shared" si="25"/>
        <v>-8</v>
      </c>
      <c r="K190" s="35">
        <f t="shared" si="20"/>
        <v>-80</v>
      </c>
      <c r="L190" s="35"/>
      <c r="M190" s="37">
        <f t="shared" si="21"/>
        <v>0</v>
      </c>
      <c r="O190" s="131">
        <v>185</v>
      </c>
      <c r="P190" s="131"/>
      <c r="Q190" s="131"/>
      <c r="R190" s="135" t="str">
        <f t="shared" si="26"/>
        <v/>
      </c>
      <c r="S190" s="131">
        <f t="shared" si="22"/>
        <v>-6</v>
      </c>
      <c r="T190" s="131">
        <f t="shared" si="23"/>
        <v>-60</v>
      </c>
      <c r="U190" s="136"/>
      <c r="V190" s="136">
        <f t="shared" si="24"/>
        <v>0</v>
      </c>
    </row>
    <row r="191" spans="1:22" x14ac:dyDescent="0.25">
      <c r="A191" s="56"/>
      <c r="G191" s="13"/>
      <c r="H191" s="35">
        <v>186</v>
      </c>
      <c r="I191" s="36" t="str">
        <f t="shared" si="19"/>
        <v/>
      </c>
      <c r="J191" s="35">
        <f t="shared" si="25"/>
        <v>-8</v>
      </c>
      <c r="K191" s="35">
        <f t="shared" si="20"/>
        <v>-80</v>
      </c>
      <c r="L191" s="35"/>
      <c r="M191" s="37">
        <f t="shared" si="21"/>
        <v>0</v>
      </c>
      <c r="O191" s="131">
        <v>186</v>
      </c>
      <c r="P191" s="131"/>
      <c r="Q191" s="131"/>
      <c r="R191" s="135" t="str">
        <f t="shared" si="26"/>
        <v/>
      </c>
      <c r="S191" s="131">
        <f t="shared" si="22"/>
        <v>-6</v>
      </c>
      <c r="T191" s="131">
        <f t="shared" si="23"/>
        <v>-60</v>
      </c>
      <c r="U191" s="136"/>
      <c r="V191" s="136">
        <f t="shared" si="24"/>
        <v>0</v>
      </c>
    </row>
    <row r="192" spans="1:22" x14ac:dyDescent="0.25">
      <c r="A192" s="56"/>
      <c r="G192" s="13"/>
      <c r="H192" s="35">
        <v>187</v>
      </c>
      <c r="I192" s="36" t="str">
        <f t="shared" si="19"/>
        <v/>
      </c>
      <c r="J192" s="35">
        <f t="shared" si="25"/>
        <v>-8</v>
      </c>
      <c r="K192" s="35">
        <f t="shared" si="20"/>
        <v>-80</v>
      </c>
      <c r="L192" s="35"/>
      <c r="M192" s="37">
        <f t="shared" si="21"/>
        <v>0</v>
      </c>
      <c r="O192" s="131">
        <v>187</v>
      </c>
      <c r="P192" s="131"/>
      <c r="Q192" s="131"/>
      <c r="R192" s="135" t="str">
        <f t="shared" si="26"/>
        <v/>
      </c>
      <c r="S192" s="131">
        <f t="shared" si="22"/>
        <v>-6</v>
      </c>
      <c r="T192" s="131">
        <f t="shared" si="23"/>
        <v>-60</v>
      </c>
      <c r="U192" s="136"/>
      <c r="V192" s="136">
        <f t="shared" si="24"/>
        <v>0</v>
      </c>
    </row>
    <row r="193" spans="1:22" x14ac:dyDescent="0.25">
      <c r="A193" s="56"/>
      <c r="G193" s="13"/>
      <c r="H193" s="35">
        <v>188</v>
      </c>
      <c r="I193" s="36" t="str">
        <f t="shared" si="19"/>
        <v/>
      </c>
      <c r="J193" s="35">
        <f t="shared" si="25"/>
        <v>-8</v>
      </c>
      <c r="K193" s="35">
        <f t="shared" si="20"/>
        <v>-80</v>
      </c>
      <c r="L193" s="35"/>
      <c r="M193" s="37">
        <f t="shared" si="21"/>
        <v>0</v>
      </c>
      <c r="O193" s="131">
        <v>188</v>
      </c>
      <c r="P193" s="131"/>
      <c r="Q193" s="131"/>
      <c r="R193" s="135" t="str">
        <f t="shared" si="26"/>
        <v/>
      </c>
      <c r="S193" s="131">
        <f t="shared" si="22"/>
        <v>-6</v>
      </c>
      <c r="T193" s="131">
        <f t="shared" si="23"/>
        <v>-60</v>
      </c>
      <c r="U193" s="136"/>
      <c r="V193" s="136">
        <f t="shared" si="24"/>
        <v>0</v>
      </c>
    </row>
    <row r="194" spans="1:22" x14ac:dyDescent="0.25">
      <c r="A194" s="56"/>
      <c r="G194" s="13"/>
      <c r="H194" s="35">
        <v>189</v>
      </c>
      <c r="I194" s="36" t="str">
        <f t="shared" si="19"/>
        <v/>
      </c>
      <c r="J194" s="35">
        <f t="shared" si="25"/>
        <v>-8</v>
      </c>
      <c r="K194" s="35">
        <f t="shared" si="20"/>
        <v>-80</v>
      </c>
      <c r="L194" s="35"/>
      <c r="M194" s="37">
        <f t="shared" si="21"/>
        <v>0</v>
      </c>
      <c r="O194" s="131">
        <v>189</v>
      </c>
      <c r="P194" s="131"/>
      <c r="Q194" s="131"/>
      <c r="R194" s="135" t="str">
        <f t="shared" si="26"/>
        <v/>
      </c>
      <c r="S194" s="131">
        <f t="shared" si="22"/>
        <v>-6</v>
      </c>
      <c r="T194" s="131">
        <f t="shared" si="23"/>
        <v>-60</v>
      </c>
      <c r="U194" s="136"/>
      <c r="V194" s="136">
        <f t="shared" si="24"/>
        <v>0</v>
      </c>
    </row>
    <row r="195" spans="1:22" x14ac:dyDescent="0.25">
      <c r="A195" s="56"/>
      <c r="G195" s="13"/>
      <c r="H195" s="35">
        <v>190</v>
      </c>
      <c r="I195" s="36" t="str">
        <f t="shared" si="19"/>
        <v/>
      </c>
      <c r="J195" s="35">
        <f t="shared" si="25"/>
        <v>-8</v>
      </c>
      <c r="K195" s="35">
        <f t="shared" si="20"/>
        <v>-80</v>
      </c>
      <c r="L195" s="35"/>
      <c r="M195" s="37">
        <f t="shared" si="21"/>
        <v>0</v>
      </c>
      <c r="O195" s="131">
        <v>190</v>
      </c>
      <c r="P195" s="131"/>
      <c r="Q195" s="131"/>
      <c r="R195" s="135" t="str">
        <f t="shared" si="26"/>
        <v/>
      </c>
      <c r="S195" s="131">
        <f t="shared" si="22"/>
        <v>-6</v>
      </c>
      <c r="T195" s="131">
        <f t="shared" si="23"/>
        <v>-60</v>
      </c>
      <c r="U195" s="136"/>
      <c r="V195" s="136">
        <f t="shared" si="24"/>
        <v>0</v>
      </c>
    </row>
    <row r="196" spans="1:22" x14ac:dyDescent="0.25">
      <c r="A196" s="56"/>
      <c r="G196" s="13"/>
      <c r="H196" s="35">
        <v>191</v>
      </c>
      <c r="I196" s="36" t="str">
        <f t="shared" si="19"/>
        <v/>
      </c>
      <c r="J196" s="35">
        <f t="shared" si="25"/>
        <v>-8</v>
      </c>
      <c r="K196" s="35">
        <f t="shared" si="20"/>
        <v>-80</v>
      </c>
      <c r="L196" s="35"/>
      <c r="M196" s="37">
        <f t="shared" si="21"/>
        <v>0</v>
      </c>
      <c r="O196" s="131">
        <v>191</v>
      </c>
      <c r="P196" s="131"/>
      <c r="Q196" s="131"/>
      <c r="R196" s="135" t="str">
        <f t="shared" si="26"/>
        <v/>
      </c>
      <c r="S196" s="131">
        <f t="shared" si="22"/>
        <v>-6</v>
      </c>
      <c r="T196" s="131">
        <f t="shared" si="23"/>
        <v>-60</v>
      </c>
      <c r="U196" s="136"/>
      <c r="V196" s="136">
        <f t="shared" si="24"/>
        <v>0</v>
      </c>
    </row>
    <row r="197" spans="1:22" x14ac:dyDescent="0.25">
      <c r="A197" s="56"/>
      <c r="G197" s="13"/>
      <c r="H197" s="35">
        <v>192</v>
      </c>
      <c r="I197" s="36" t="str">
        <f t="shared" si="19"/>
        <v/>
      </c>
      <c r="J197" s="35">
        <f t="shared" si="25"/>
        <v>-8</v>
      </c>
      <c r="K197" s="35">
        <f t="shared" si="20"/>
        <v>-80</v>
      </c>
      <c r="L197" s="35"/>
      <c r="M197" s="37">
        <f t="shared" si="21"/>
        <v>0</v>
      </c>
      <c r="O197" s="131">
        <v>192</v>
      </c>
      <c r="P197" s="131"/>
      <c r="Q197" s="131"/>
      <c r="R197" s="135" t="str">
        <f t="shared" si="26"/>
        <v/>
      </c>
      <c r="S197" s="131">
        <f t="shared" si="22"/>
        <v>-6</v>
      </c>
      <c r="T197" s="131">
        <f t="shared" si="23"/>
        <v>-60</v>
      </c>
      <c r="U197" s="136"/>
      <c r="V197" s="136">
        <f t="shared" si="24"/>
        <v>0</v>
      </c>
    </row>
    <row r="198" spans="1:22" x14ac:dyDescent="0.25">
      <c r="A198" s="56"/>
      <c r="G198" s="13"/>
      <c r="H198" s="35">
        <v>193</v>
      </c>
      <c r="I198" s="36" t="str">
        <f t="shared" ref="I198:I261" si="27">IF(H198&lt;$H$2+1,($I$2-($I$2-1)*(LOG(H198)/LOG($H$2))),"")</f>
        <v/>
      </c>
      <c r="J198" s="35">
        <f t="shared" si="25"/>
        <v>-8</v>
      </c>
      <c r="K198" s="35">
        <f t="shared" ref="K198:K261" si="28">J198*$J$2</f>
        <v>-80</v>
      </c>
      <c r="L198" s="35"/>
      <c r="M198" s="37">
        <f t="shared" ref="M198:M261" si="29">IF(I198&lt;&gt;"",K198+I198+L198,0)</f>
        <v>0</v>
      </c>
      <c r="O198" s="131">
        <v>193</v>
      </c>
      <c r="P198" s="131"/>
      <c r="Q198" s="131"/>
      <c r="R198" s="135" t="str">
        <f t="shared" si="26"/>
        <v/>
      </c>
      <c r="S198" s="131">
        <f t="shared" ref="S198:S261" si="30">INT(LOG($O$2,2))-ROUNDUP(LOG(O198,2),0)+IF(OR($O$2=1,$O$2=2,$O$2=4,$O$2=8,$O$2=16,$O$2=32,$O$2=64,$O$2=128,$O$2=256),0,1)</f>
        <v>-6</v>
      </c>
      <c r="T198" s="131">
        <f t="shared" ref="T198:T261" si="31">S198*$J$2</f>
        <v>-60</v>
      </c>
      <c r="U198" s="136"/>
      <c r="V198" s="136">
        <f t="shared" ref="V198:V261" si="32">IF(R198&lt;&gt;"",T198+R198+U198,0)</f>
        <v>0</v>
      </c>
    </row>
    <row r="199" spans="1:22" x14ac:dyDescent="0.25">
      <c r="A199" s="56"/>
      <c r="G199" s="13"/>
      <c r="H199" s="35">
        <v>194</v>
      </c>
      <c r="I199" s="36" t="str">
        <f t="shared" si="27"/>
        <v/>
      </c>
      <c r="J199" s="35">
        <f t="shared" ref="J199:J262" si="33">INT(LOG($H$2,2))-ROUNDUP(LOG(H199,2),0)+IF(OR($H$2=1,$H$2=2,$H$2=4,$H$2=8,$H$2=16,$H$2=32,$H$2=64,$H$2=128,$H$2=256),0,1)</f>
        <v>-8</v>
      </c>
      <c r="K199" s="35">
        <f t="shared" si="28"/>
        <v>-80</v>
      </c>
      <c r="L199" s="35"/>
      <c r="M199" s="37">
        <f t="shared" si="29"/>
        <v>0</v>
      </c>
      <c r="O199" s="131">
        <v>194</v>
      </c>
      <c r="P199" s="131"/>
      <c r="Q199" s="131"/>
      <c r="R199" s="135" t="str">
        <f t="shared" ref="R199:R262" si="34">IF(O199&lt;$O$2+1,($I$2-($I$2-1)*(LOG(O199)/LOG($O$2))),"")</f>
        <v/>
      </c>
      <c r="S199" s="131">
        <f t="shared" si="30"/>
        <v>-6</v>
      </c>
      <c r="T199" s="131">
        <f t="shared" si="31"/>
        <v>-60</v>
      </c>
      <c r="U199" s="136"/>
      <c r="V199" s="136">
        <f t="shared" si="32"/>
        <v>0</v>
      </c>
    </row>
    <row r="200" spans="1:22" x14ac:dyDescent="0.25">
      <c r="A200" s="56"/>
      <c r="G200" s="13"/>
      <c r="H200" s="35">
        <v>195</v>
      </c>
      <c r="I200" s="36" t="str">
        <f t="shared" si="27"/>
        <v/>
      </c>
      <c r="J200" s="35">
        <f t="shared" si="33"/>
        <v>-8</v>
      </c>
      <c r="K200" s="35">
        <f t="shared" si="28"/>
        <v>-80</v>
      </c>
      <c r="L200" s="35"/>
      <c r="M200" s="37">
        <f t="shared" si="29"/>
        <v>0</v>
      </c>
      <c r="O200" s="131">
        <v>195</v>
      </c>
      <c r="P200" s="131"/>
      <c r="Q200" s="131"/>
      <c r="R200" s="135" t="str">
        <f t="shared" si="34"/>
        <v/>
      </c>
      <c r="S200" s="131">
        <f t="shared" si="30"/>
        <v>-6</v>
      </c>
      <c r="T200" s="131">
        <f t="shared" si="31"/>
        <v>-60</v>
      </c>
      <c r="U200" s="136"/>
      <c r="V200" s="136">
        <f t="shared" si="32"/>
        <v>0</v>
      </c>
    </row>
    <row r="201" spans="1:22" x14ac:dyDescent="0.25">
      <c r="A201" s="56"/>
      <c r="G201" s="13"/>
      <c r="H201" s="35">
        <v>196</v>
      </c>
      <c r="I201" s="36" t="str">
        <f t="shared" si="27"/>
        <v/>
      </c>
      <c r="J201" s="35">
        <f t="shared" si="33"/>
        <v>-8</v>
      </c>
      <c r="K201" s="35">
        <f t="shared" si="28"/>
        <v>-80</v>
      </c>
      <c r="L201" s="35"/>
      <c r="M201" s="37">
        <f t="shared" si="29"/>
        <v>0</v>
      </c>
      <c r="O201" s="131">
        <v>196</v>
      </c>
      <c r="P201" s="131"/>
      <c r="Q201" s="131"/>
      <c r="R201" s="135" t="str">
        <f t="shared" si="34"/>
        <v/>
      </c>
      <c r="S201" s="131">
        <f t="shared" si="30"/>
        <v>-6</v>
      </c>
      <c r="T201" s="131">
        <f t="shared" si="31"/>
        <v>-60</v>
      </c>
      <c r="U201" s="136"/>
      <c r="V201" s="136">
        <f t="shared" si="32"/>
        <v>0</v>
      </c>
    </row>
    <row r="202" spans="1:22" x14ac:dyDescent="0.25">
      <c r="A202" s="56"/>
      <c r="G202" s="13"/>
      <c r="H202" s="35">
        <v>197</v>
      </c>
      <c r="I202" s="36" t="str">
        <f t="shared" si="27"/>
        <v/>
      </c>
      <c r="J202" s="35">
        <f t="shared" si="33"/>
        <v>-8</v>
      </c>
      <c r="K202" s="35">
        <f t="shared" si="28"/>
        <v>-80</v>
      </c>
      <c r="L202" s="35"/>
      <c r="M202" s="37">
        <f t="shared" si="29"/>
        <v>0</v>
      </c>
      <c r="O202" s="131">
        <v>197</v>
      </c>
      <c r="P202" s="131"/>
      <c r="Q202" s="131"/>
      <c r="R202" s="135" t="str">
        <f t="shared" si="34"/>
        <v/>
      </c>
      <c r="S202" s="131">
        <f t="shared" si="30"/>
        <v>-6</v>
      </c>
      <c r="T202" s="131">
        <f t="shared" si="31"/>
        <v>-60</v>
      </c>
      <c r="U202" s="136"/>
      <c r="V202" s="136">
        <f t="shared" si="32"/>
        <v>0</v>
      </c>
    </row>
    <row r="203" spans="1:22" x14ac:dyDescent="0.25">
      <c r="A203" s="56"/>
      <c r="G203" s="13"/>
      <c r="H203" s="35">
        <v>198</v>
      </c>
      <c r="I203" s="36" t="str">
        <f t="shared" si="27"/>
        <v/>
      </c>
      <c r="J203" s="35">
        <f t="shared" si="33"/>
        <v>-8</v>
      </c>
      <c r="K203" s="35">
        <f t="shared" si="28"/>
        <v>-80</v>
      </c>
      <c r="L203" s="35"/>
      <c r="M203" s="37">
        <f t="shared" si="29"/>
        <v>0</v>
      </c>
      <c r="O203" s="131">
        <v>198</v>
      </c>
      <c r="P203" s="131"/>
      <c r="Q203" s="131"/>
      <c r="R203" s="135" t="str">
        <f t="shared" si="34"/>
        <v/>
      </c>
      <c r="S203" s="131">
        <f t="shared" si="30"/>
        <v>-6</v>
      </c>
      <c r="T203" s="131">
        <f t="shared" si="31"/>
        <v>-60</v>
      </c>
      <c r="U203" s="136"/>
      <c r="V203" s="136">
        <f t="shared" si="32"/>
        <v>0</v>
      </c>
    </row>
    <row r="204" spans="1:22" x14ac:dyDescent="0.25">
      <c r="A204" s="56"/>
      <c r="G204" s="13"/>
      <c r="H204" s="35">
        <v>199</v>
      </c>
      <c r="I204" s="36" t="str">
        <f t="shared" si="27"/>
        <v/>
      </c>
      <c r="J204" s="35">
        <f t="shared" si="33"/>
        <v>-8</v>
      </c>
      <c r="K204" s="35">
        <f t="shared" si="28"/>
        <v>-80</v>
      </c>
      <c r="L204" s="35"/>
      <c r="M204" s="37">
        <f t="shared" si="29"/>
        <v>0</v>
      </c>
      <c r="O204" s="131">
        <v>199</v>
      </c>
      <c r="P204" s="131"/>
      <c r="Q204" s="131"/>
      <c r="R204" s="135" t="str">
        <f t="shared" si="34"/>
        <v/>
      </c>
      <c r="S204" s="131">
        <f t="shared" si="30"/>
        <v>-6</v>
      </c>
      <c r="T204" s="131">
        <f t="shared" si="31"/>
        <v>-60</v>
      </c>
      <c r="U204" s="136"/>
      <c r="V204" s="136">
        <f t="shared" si="32"/>
        <v>0</v>
      </c>
    </row>
    <row r="205" spans="1:22" x14ac:dyDescent="0.25">
      <c r="A205" s="56"/>
      <c r="G205" s="13"/>
      <c r="H205" s="35">
        <v>200</v>
      </c>
      <c r="I205" s="36" t="str">
        <f t="shared" si="27"/>
        <v/>
      </c>
      <c r="J205" s="35">
        <f t="shared" si="33"/>
        <v>-8</v>
      </c>
      <c r="K205" s="35">
        <f t="shared" si="28"/>
        <v>-80</v>
      </c>
      <c r="L205" s="35"/>
      <c r="M205" s="37">
        <f t="shared" si="29"/>
        <v>0</v>
      </c>
      <c r="O205" s="131">
        <v>200</v>
      </c>
      <c r="P205" s="131"/>
      <c r="Q205" s="131"/>
      <c r="R205" s="135" t="str">
        <f t="shared" si="34"/>
        <v/>
      </c>
      <c r="S205" s="131">
        <f t="shared" si="30"/>
        <v>-6</v>
      </c>
      <c r="T205" s="131">
        <f t="shared" si="31"/>
        <v>-60</v>
      </c>
      <c r="U205" s="136"/>
      <c r="V205" s="136">
        <f t="shared" si="32"/>
        <v>0</v>
      </c>
    </row>
    <row r="206" spans="1:22" x14ac:dyDescent="0.25">
      <c r="A206" s="56"/>
      <c r="G206" s="13"/>
      <c r="H206" s="35">
        <v>201</v>
      </c>
      <c r="I206" s="36" t="str">
        <f t="shared" si="27"/>
        <v/>
      </c>
      <c r="J206" s="35">
        <f t="shared" si="33"/>
        <v>-8</v>
      </c>
      <c r="K206" s="35">
        <f t="shared" si="28"/>
        <v>-80</v>
      </c>
      <c r="L206" s="35"/>
      <c r="M206" s="37">
        <f t="shared" si="29"/>
        <v>0</v>
      </c>
      <c r="O206" s="131">
        <v>201</v>
      </c>
      <c r="P206" s="131"/>
      <c r="Q206" s="131"/>
      <c r="R206" s="135" t="str">
        <f t="shared" si="34"/>
        <v/>
      </c>
      <c r="S206" s="131">
        <f t="shared" si="30"/>
        <v>-6</v>
      </c>
      <c r="T206" s="131">
        <f t="shared" si="31"/>
        <v>-60</v>
      </c>
      <c r="U206" s="136"/>
      <c r="V206" s="136">
        <f t="shared" si="32"/>
        <v>0</v>
      </c>
    </row>
    <row r="207" spans="1:22" x14ac:dyDescent="0.25">
      <c r="A207" s="56"/>
      <c r="G207" s="13"/>
      <c r="H207" s="35">
        <v>202</v>
      </c>
      <c r="I207" s="36" t="str">
        <f t="shared" si="27"/>
        <v/>
      </c>
      <c r="J207" s="35">
        <f t="shared" si="33"/>
        <v>-8</v>
      </c>
      <c r="K207" s="35">
        <f t="shared" si="28"/>
        <v>-80</v>
      </c>
      <c r="L207" s="35"/>
      <c r="M207" s="37">
        <f t="shared" si="29"/>
        <v>0</v>
      </c>
      <c r="O207" s="131">
        <v>202</v>
      </c>
      <c r="P207" s="131"/>
      <c r="Q207" s="131"/>
      <c r="R207" s="135" t="str">
        <f t="shared" si="34"/>
        <v/>
      </c>
      <c r="S207" s="131">
        <f t="shared" si="30"/>
        <v>-6</v>
      </c>
      <c r="T207" s="131">
        <f t="shared" si="31"/>
        <v>-60</v>
      </c>
      <c r="U207" s="136"/>
      <c r="V207" s="136">
        <f t="shared" si="32"/>
        <v>0</v>
      </c>
    </row>
    <row r="208" spans="1:22" x14ac:dyDescent="0.25">
      <c r="A208" s="56"/>
      <c r="G208" s="13"/>
      <c r="H208" s="35">
        <v>203</v>
      </c>
      <c r="I208" s="36" t="str">
        <f t="shared" si="27"/>
        <v/>
      </c>
      <c r="J208" s="35">
        <f t="shared" si="33"/>
        <v>-8</v>
      </c>
      <c r="K208" s="35">
        <f t="shared" si="28"/>
        <v>-80</v>
      </c>
      <c r="L208" s="35"/>
      <c r="M208" s="37">
        <f t="shared" si="29"/>
        <v>0</v>
      </c>
      <c r="O208" s="131">
        <v>203</v>
      </c>
      <c r="P208" s="131"/>
      <c r="Q208" s="131"/>
      <c r="R208" s="135" t="str">
        <f t="shared" si="34"/>
        <v/>
      </c>
      <c r="S208" s="131">
        <f t="shared" si="30"/>
        <v>-6</v>
      </c>
      <c r="T208" s="131">
        <f t="shared" si="31"/>
        <v>-60</v>
      </c>
      <c r="U208" s="136"/>
      <c r="V208" s="136">
        <f t="shared" si="32"/>
        <v>0</v>
      </c>
    </row>
    <row r="209" spans="1:22" x14ac:dyDescent="0.25">
      <c r="A209" s="56"/>
      <c r="G209" s="13"/>
      <c r="H209" s="35">
        <v>204</v>
      </c>
      <c r="I209" s="36" t="str">
        <f t="shared" si="27"/>
        <v/>
      </c>
      <c r="J209" s="35">
        <f t="shared" si="33"/>
        <v>-8</v>
      </c>
      <c r="K209" s="35">
        <f t="shared" si="28"/>
        <v>-80</v>
      </c>
      <c r="L209" s="35"/>
      <c r="M209" s="37">
        <f t="shared" si="29"/>
        <v>0</v>
      </c>
      <c r="O209" s="131">
        <v>204</v>
      </c>
      <c r="P209" s="131"/>
      <c r="Q209" s="131"/>
      <c r="R209" s="135" t="str">
        <f t="shared" si="34"/>
        <v/>
      </c>
      <c r="S209" s="131">
        <f t="shared" si="30"/>
        <v>-6</v>
      </c>
      <c r="T209" s="131">
        <f t="shared" si="31"/>
        <v>-60</v>
      </c>
      <c r="U209" s="136"/>
      <c r="V209" s="136">
        <f t="shared" si="32"/>
        <v>0</v>
      </c>
    </row>
    <row r="210" spans="1:22" x14ac:dyDescent="0.25">
      <c r="A210" s="56"/>
      <c r="G210" s="13"/>
      <c r="H210" s="35">
        <v>205</v>
      </c>
      <c r="I210" s="36" t="str">
        <f t="shared" si="27"/>
        <v/>
      </c>
      <c r="J210" s="35">
        <f t="shared" si="33"/>
        <v>-8</v>
      </c>
      <c r="K210" s="35">
        <f t="shared" si="28"/>
        <v>-80</v>
      </c>
      <c r="L210" s="35"/>
      <c r="M210" s="37">
        <f t="shared" si="29"/>
        <v>0</v>
      </c>
      <c r="O210" s="131">
        <v>205</v>
      </c>
      <c r="P210" s="131"/>
      <c r="Q210" s="131"/>
      <c r="R210" s="135" t="str">
        <f t="shared" si="34"/>
        <v/>
      </c>
      <c r="S210" s="131">
        <f t="shared" si="30"/>
        <v>-6</v>
      </c>
      <c r="T210" s="131">
        <f t="shared" si="31"/>
        <v>-60</v>
      </c>
      <c r="U210" s="136"/>
      <c r="V210" s="136">
        <f t="shared" si="32"/>
        <v>0</v>
      </c>
    </row>
    <row r="211" spans="1:22" x14ac:dyDescent="0.25">
      <c r="A211" s="56"/>
      <c r="G211" s="13"/>
      <c r="H211" s="35">
        <v>206</v>
      </c>
      <c r="I211" s="36" t="str">
        <f t="shared" si="27"/>
        <v/>
      </c>
      <c r="J211" s="35">
        <f t="shared" si="33"/>
        <v>-8</v>
      </c>
      <c r="K211" s="35">
        <f t="shared" si="28"/>
        <v>-80</v>
      </c>
      <c r="L211" s="35"/>
      <c r="M211" s="37">
        <f t="shared" si="29"/>
        <v>0</v>
      </c>
      <c r="O211" s="131">
        <v>206</v>
      </c>
      <c r="P211" s="131"/>
      <c r="Q211" s="131"/>
      <c r="R211" s="135" t="str">
        <f t="shared" si="34"/>
        <v/>
      </c>
      <c r="S211" s="131">
        <f t="shared" si="30"/>
        <v>-6</v>
      </c>
      <c r="T211" s="131">
        <f t="shared" si="31"/>
        <v>-60</v>
      </c>
      <c r="U211" s="136"/>
      <c r="V211" s="136">
        <f t="shared" si="32"/>
        <v>0</v>
      </c>
    </row>
    <row r="212" spans="1:22" x14ac:dyDescent="0.25">
      <c r="A212" s="56"/>
      <c r="G212" s="13"/>
      <c r="H212" s="35">
        <v>207</v>
      </c>
      <c r="I212" s="36" t="str">
        <f t="shared" si="27"/>
        <v/>
      </c>
      <c r="J212" s="35">
        <f t="shared" si="33"/>
        <v>-8</v>
      </c>
      <c r="K212" s="35">
        <f t="shared" si="28"/>
        <v>-80</v>
      </c>
      <c r="L212" s="35"/>
      <c r="M212" s="37">
        <f t="shared" si="29"/>
        <v>0</v>
      </c>
      <c r="O212" s="131">
        <v>207</v>
      </c>
      <c r="P212" s="131"/>
      <c r="Q212" s="131"/>
      <c r="R212" s="135" t="str">
        <f t="shared" si="34"/>
        <v/>
      </c>
      <c r="S212" s="131">
        <f t="shared" si="30"/>
        <v>-6</v>
      </c>
      <c r="T212" s="131">
        <f t="shared" si="31"/>
        <v>-60</v>
      </c>
      <c r="U212" s="136"/>
      <c r="V212" s="136">
        <f t="shared" si="32"/>
        <v>0</v>
      </c>
    </row>
    <row r="213" spans="1:22" x14ac:dyDescent="0.25">
      <c r="A213" s="56"/>
      <c r="G213" s="13"/>
      <c r="H213" s="35">
        <v>208</v>
      </c>
      <c r="I213" s="36" t="str">
        <f t="shared" si="27"/>
        <v/>
      </c>
      <c r="J213" s="35">
        <f t="shared" si="33"/>
        <v>-8</v>
      </c>
      <c r="K213" s="35">
        <f t="shared" si="28"/>
        <v>-80</v>
      </c>
      <c r="L213" s="35"/>
      <c r="M213" s="37">
        <f t="shared" si="29"/>
        <v>0</v>
      </c>
      <c r="O213" s="131">
        <v>208</v>
      </c>
      <c r="P213" s="131"/>
      <c r="Q213" s="131"/>
      <c r="R213" s="135" t="str">
        <f t="shared" si="34"/>
        <v/>
      </c>
      <c r="S213" s="131">
        <f t="shared" si="30"/>
        <v>-6</v>
      </c>
      <c r="T213" s="131">
        <f t="shared" si="31"/>
        <v>-60</v>
      </c>
      <c r="U213" s="136"/>
      <c r="V213" s="136">
        <f t="shared" si="32"/>
        <v>0</v>
      </c>
    </row>
    <row r="214" spans="1:22" x14ac:dyDescent="0.25">
      <c r="A214" s="56"/>
      <c r="G214" s="13"/>
      <c r="H214" s="35">
        <v>209</v>
      </c>
      <c r="I214" s="36" t="str">
        <f t="shared" si="27"/>
        <v/>
      </c>
      <c r="J214" s="35">
        <f t="shared" si="33"/>
        <v>-8</v>
      </c>
      <c r="K214" s="35">
        <f t="shared" si="28"/>
        <v>-80</v>
      </c>
      <c r="L214" s="35"/>
      <c r="M214" s="37">
        <f t="shared" si="29"/>
        <v>0</v>
      </c>
      <c r="O214" s="131">
        <v>209</v>
      </c>
      <c r="P214" s="131"/>
      <c r="Q214" s="131"/>
      <c r="R214" s="135" t="str">
        <f t="shared" si="34"/>
        <v/>
      </c>
      <c r="S214" s="131">
        <f t="shared" si="30"/>
        <v>-6</v>
      </c>
      <c r="T214" s="131">
        <f t="shared" si="31"/>
        <v>-60</v>
      </c>
      <c r="U214" s="136"/>
      <c r="V214" s="136">
        <f t="shared" si="32"/>
        <v>0</v>
      </c>
    </row>
    <row r="215" spans="1:22" x14ac:dyDescent="0.25">
      <c r="A215" s="56"/>
      <c r="G215" s="13"/>
      <c r="H215" s="35">
        <v>210</v>
      </c>
      <c r="I215" s="36" t="str">
        <f t="shared" si="27"/>
        <v/>
      </c>
      <c r="J215" s="35">
        <f t="shared" si="33"/>
        <v>-8</v>
      </c>
      <c r="K215" s="35">
        <f t="shared" si="28"/>
        <v>-80</v>
      </c>
      <c r="L215" s="35"/>
      <c r="M215" s="37">
        <f t="shared" si="29"/>
        <v>0</v>
      </c>
      <c r="O215" s="131">
        <v>210</v>
      </c>
      <c r="P215" s="131"/>
      <c r="Q215" s="131"/>
      <c r="R215" s="135" t="str">
        <f t="shared" si="34"/>
        <v/>
      </c>
      <c r="S215" s="131">
        <f t="shared" si="30"/>
        <v>-6</v>
      </c>
      <c r="T215" s="131">
        <f t="shared" si="31"/>
        <v>-60</v>
      </c>
      <c r="U215" s="136"/>
      <c r="V215" s="136">
        <f t="shared" si="32"/>
        <v>0</v>
      </c>
    </row>
    <row r="216" spans="1:22" x14ac:dyDescent="0.25">
      <c r="A216" s="56"/>
      <c r="G216" s="13"/>
      <c r="H216" s="35">
        <v>211</v>
      </c>
      <c r="I216" s="36" t="str">
        <f t="shared" si="27"/>
        <v/>
      </c>
      <c r="J216" s="35">
        <f t="shared" si="33"/>
        <v>-8</v>
      </c>
      <c r="K216" s="35">
        <f t="shared" si="28"/>
        <v>-80</v>
      </c>
      <c r="L216" s="35"/>
      <c r="M216" s="37">
        <f t="shared" si="29"/>
        <v>0</v>
      </c>
      <c r="O216" s="131">
        <v>211</v>
      </c>
      <c r="P216" s="131"/>
      <c r="Q216" s="131"/>
      <c r="R216" s="135" t="str">
        <f t="shared" si="34"/>
        <v/>
      </c>
      <c r="S216" s="131">
        <f t="shared" si="30"/>
        <v>-6</v>
      </c>
      <c r="T216" s="131">
        <f t="shared" si="31"/>
        <v>-60</v>
      </c>
      <c r="U216" s="136"/>
      <c r="V216" s="136">
        <f t="shared" si="32"/>
        <v>0</v>
      </c>
    </row>
    <row r="217" spans="1:22" x14ac:dyDescent="0.25">
      <c r="A217" s="56"/>
      <c r="G217" s="13"/>
      <c r="H217" s="35">
        <v>212</v>
      </c>
      <c r="I217" s="36" t="str">
        <f t="shared" si="27"/>
        <v/>
      </c>
      <c r="J217" s="35">
        <f t="shared" si="33"/>
        <v>-8</v>
      </c>
      <c r="K217" s="35">
        <f t="shared" si="28"/>
        <v>-80</v>
      </c>
      <c r="L217" s="35"/>
      <c r="M217" s="37">
        <f t="shared" si="29"/>
        <v>0</v>
      </c>
      <c r="O217" s="131">
        <v>212</v>
      </c>
      <c r="P217" s="131"/>
      <c r="Q217" s="131"/>
      <c r="R217" s="135" t="str">
        <f t="shared" si="34"/>
        <v/>
      </c>
      <c r="S217" s="131">
        <f t="shared" si="30"/>
        <v>-6</v>
      </c>
      <c r="T217" s="131">
        <f t="shared" si="31"/>
        <v>-60</v>
      </c>
      <c r="U217" s="136"/>
      <c r="V217" s="136">
        <f t="shared" si="32"/>
        <v>0</v>
      </c>
    </row>
    <row r="218" spans="1:22" x14ac:dyDescent="0.25">
      <c r="A218" s="56"/>
      <c r="G218" s="13"/>
      <c r="H218" s="35">
        <v>213</v>
      </c>
      <c r="I218" s="36" t="str">
        <f t="shared" si="27"/>
        <v/>
      </c>
      <c r="J218" s="35">
        <f t="shared" si="33"/>
        <v>-8</v>
      </c>
      <c r="K218" s="35">
        <f t="shared" si="28"/>
        <v>-80</v>
      </c>
      <c r="L218" s="35"/>
      <c r="M218" s="37">
        <f t="shared" si="29"/>
        <v>0</v>
      </c>
      <c r="O218" s="131">
        <v>213</v>
      </c>
      <c r="P218" s="131"/>
      <c r="Q218" s="131"/>
      <c r="R218" s="135" t="str">
        <f t="shared" si="34"/>
        <v/>
      </c>
      <c r="S218" s="131">
        <f t="shared" si="30"/>
        <v>-6</v>
      </c>
      <c r="T218" s="131">
        <f t="shared" si="31"/>
        <v>-60</v>
      </c>
      <c r="U218" s="136"/>
      <c r="V218" s="136">
        <f t="shared" si="32"/>
        <v>0</v>
      </c>
    </row>
    <row r="219" spans="1:22" x14ac:dyDescent="0.25">
      <c r="A219" s="56"/>
      <c r="G219" s="13"/>
      <c r="H219" s="35">
        <v>214</v>
      </c>
      <c r="I219" s="36" t="str">
        <f t="shared" si="27"/>
        <v/>
      </c>
      <c r="J219" s="35">
        <f t="shared" si="33"/>
        <v>-8</v>
      </c>
      <c r="K219" s="35">
        <f t="shared" si="28"/>
        <v>-80</v>
      </c>
      <c r="L219" s="35"/>
      <c r="M219" s="37">
        <f t="shared" si="29"/>
        <v>0</v>
      </c>
      <c r="O219" s="131">
        <v>214</v>
      </c>
      <c r="P219" s="131"/>
      <c r="Q219" s="131"/>
      <c r="R219" s="135" t="str">
        <f t="shared" si="34"/>
        <v/>
      </c>
      <c r="S219" s="131">
        <f t="shared" si="30"/>
        <v>-6</v>
      </c>
      <c r="T219" s="131">
        <f t="shared" si="31"/>
        <v>-60</v>
      </c>
      <c r="U219" s="136"/>
      <c r="V219" s="136">
        <f t="shared" si="32"/>
        <v>0</v>
      </c>
    </row>
    <row r="220" spans="1:22" x14ac:dyDescent="0.25">
      <c r="A220" s="56"/>
      <c r="G220" s="13"/>
      <c r="H220" s="35">
        <v>215</v>
      </c>
      <c r="I220" s="36" t="str">
        <f t="shared" si="27"/>
        <v/>
      </c>
      <c r="J220" s="35">
        <f t="shared" si="33"/>
        <v>-8</v>
      </c>
      <c r="K220" s="35">
        <f t="shared" si="28"/>
        <v>-80</v>
      </c>
      <c r="L220" s="35"/>
      <c r="M220" s="37">
        <f t="shared" si="29"/>
        <v>0</v>
      </c>
      <c r="O220" s="131">
        <v>215</v>
      </c>
      <c r="P220" s="131"/>
      <c r="Q220" s="131"/>
      <c r="R220" s="135" t="str">
        <f t="shared" si="34"/>
        <v/>
      </c>
      <c r="S220" s="131">
        <f t="shared" si="30"/>
        <v>-6</v>
      </c>
      <c r="T220" s="131">
        <f t="shared" si="31"/>
        <v>-60</v>
      </c>
      <c r="U220" s="136"/>
      <c r="V220" s="136">
        <f t="shared" si="32"/>
        <v>0</v>
      </c>
    </row>
    <row r="221" spans="1:22" x14ac:dyDescent="0.25">
      <c r="A221" s="56"/>
      <c r="G221" s="13"/>
      <c r="H221" s="35">
        <v>216</v>
      </c>
      <c r="I221" s="36" t="str">
        <f t="shared" si="27"/>
        <v/>
      </c>
      <c r="J221" s="35">
        <f t="shared" si="33"/>
        <v>-8</v>
      </c>
      <c r="K221" s="35">
        <f t="shared" si="28"/>
        <v>-80</v>
      </c>
      <c r="L221" s="35"/>
      <c r="M221" s="37">
        <f t="shared" si="29"/>
        <v>0</v>
      </c>
      <c r="O221" s="131">
        <v>216</v>
      </c>
      <c r="P221" s="131"/>
      <c r="Q221" s="131"/>
      <c r="R221" s="135" t="str">
        <f t="shared" si="34"/>
        <v/>
      </c>
      <c r="S221" s="131">
        <f t="shared" si="30"/>
        <v>-6</v>
      </c>
      <c r="T221" s="131">
        <f t="shared" si="31"/>
        <v>-60</v>
      </c>
      <c r="U221" s="136"/>
      <c r="V221" s="136">
        <f t="shared" si="32"/>
        <v>0</v>
      </c>
    </row>
    <row r="222" spans="1:22" x14ac:dyDescent="0.25">
      <c r="A222" s="56"/>
      <c r="G222" s="13"/>
      <c r="H222" s="35">
        <v>217</v>
      </c>
      <c r="I222" s="36" t="str">
        <f t="shared" si="27"/>
        <v/>
      </c>
      <c r="J222" s="35">
        <f t="shared" si="33"/>
        <v>-8</v>
      </c>
      <c r="K222" s="35">
        <f t="shared" si="28"/>
        <v>-80</v>
      </c>
      <c r="L222" s="35"/>
      <c r="M222" s="37">
        <f t="shared" si="29"/>
        <v>0</v>
      </c>
      <c r="O222" s="131">
        <v>217</v>
      </c>
      <c r="P222" s="131"/>
      <c r="Q222" s="131"/>
      <c r="R222" s="135" t="str">
        <f t="shared" si="34"/>
        <v/>
      </c>
      <c r="S222" s="131">
        <f t="shared" si="30"/>
        <v>-6</v>
      </c>
      <c r="T222" s="131">
        <f t="shared" si="31"/>
        <v>-60</v>
      </c>
      <c r="U222" s="136"/>
      <c r="V222" s="136">
        <f t="shared" si="32"/>
        <v>0</v>
      </c>
    </row>
    <row r="223" spans="1:22" x14ac:dyDescent="0.25">
      <c r="A223" s="56"/>
      <c r="G223" s="13"/>
      <c r="H223" s="35">
        <v>218</v>
      </c>
      <c r="I223" s="36" t="str">
        <f t="shared" si="27"/>
        <v/>
      </c>
      <c r="J223" s="35">
        <f t="shared" si="33"/>
        <v>-8</v>
      </c>
      <c r="K223" s="35">
        <f t="shared" si="28"/>
        <v>-80</v>
      </c>
      <c r="L223" s="35"/>
      <c r="M223" s="37">
        <f t="shared" si="29"/>
        <v>0</v>
      </c>
      <c r="O223" s="131">
        <v>218</v>
      </c>
      <c r="P223" s="131"/>
      <c r="Q223" s="131"/>
      <c r="R223" s="135" t="str">
        <f t="shared" si="34"/>
        <v/>
      </c>
      <c r="S223" s="131">
        <f t="shared" si="30"/>
        <v>-6</v>
      </c>
      <c r="T223" s="131">
        <f t="shared" si="31"/>
        <v>-60</v>
      </c>
      <c r="U223" s="136"/>
      <c r="V223" s="136">
        <f t="shared" si="32"/>
        <v>0</v>
      </c>
    </row>
    <row r="224" spans="1:22" x14ac:dyDescent="0.25">
      <c r="A224" s="56"/>
      <c r="G224" s="13"/>
      <c r="H224" s="35">
        <v>219</v>
      </c>
      <c r="I224" s="36" t="str">
        <f t="shared" si="27"/>
        <v/>
      </c>
      <c r="J224" s="35">
        <f t="shared" si="33"/>
        <v>-8</v>
      </c>
      <c r="K224" s="35">
        <f t="shared" si="28"/>
        <v>-80</v>
      </c>
      <c r="L224" s="35"/>
      <c r="M224" s="37">
        <f t="shared" si="29"/>
        <v>0</v>
      </c>
      <c r="O224" s="131">
        <v>219</v>
      </c>
      <c r="P224" s="131"/>
      <c r="Q224" s="131"/>
      <c r="R224" s="135" t="str">
        <f t="shared" si="34"/>
        <v/>
      </c>
      <c r="S224" s="131">
        <f t="shared" si="30"/>
        <v>-6</v>
      </c>
      <c r="T224" s="131">
        <f t="shared" si="31"/>
        <v>-60</v>
      </c>
      <c r="U224" s="136"/>
      <c r="V224" s="136">
        <f t="shared" si="32"/>
        <v>0</v>
      </c>
    </row>
    <row r="225" spans="1:22" x14ac:dyDescent="0.25">
      <c r="A225" s="56"/>
      <c r="G225" s="13"/>
      <c r="H225" s="35">
        <v>220</v>
      </c>
      <c r="I225" s="36" t="str">
        <f t="shared" si="27"/>
        <v/>
      </c>
      <c r="J225" s="35">
        <f t="shared" si="33"/>
        <v>-8</v>
      </c>
      <c r="K225" s="35">
        <f t="shared" si="28"/>
        <v>-80</v>
      </c>
      <c r="L225" s="35"/>
      <c r="M225" s="37">
        <f t="shared" si="29"/>
        <v>0</v>
      </c>
      <c r="O225" s="131">
        <v>220</v>
      </c>
      <c r="P225" s="131"/>
      <c r="Q225" s="131"/>
      <c r="R225" s="135" t="str">
        <f t="shared" si="34"/>
        <v/>
      </c>
      <c r="S225" s="131">
        <f t="shared" si="30"/>
        <v>-6</v>
      </c>
      <c r="T225" s="131">
        <f t="shared" si="31"/>
        <v>-60</v>
      </c>
      <c r="U225" s="131"/>
      <c r="V225" s="136">
        <f t="shared" si="32"/>
        <v>0</v>
      </c>
    </row>
    <row r="226" spans="1:22" x14ac:dyDescent="0.25">
      <c r="A226" s="56"/>
      <c r="G226" s="13"/>
      <c r="H226" s="35">
        <v>221</v>
      </c>
      <c r="I226" s="36" t="str">
        <f t="shared" si="27"/>
        <v/>
      </c>
      <c r="J226" s="35">
        <f t="shared" si="33"/>
        <v>-8</v>
      </c>
      <c r="K226" s="35">
        <f t="shared" si="28"/>
        <v>-80</v>
      </c>
      <c r="L226" s="35"/>
      <c r="M226" s="37">
        <f t="shared" si="29"/>
        <v>0</v>
      </c>
      <c r="O226" s="131">
        <v>221</v>
      </c>
      <c r="P226" s="131"/>
      <c r="Q226" s="131"/>
      <c r="R226" s="135" t="str">
        <f t="shared" si="34"/>
        <v/>
      </c>
      <c r="S226" s="131">
        <f t="shared" si="30"/>
        <v>-6</v>
      </c>
      <c r="T226" s="131">
        <f t="shared" si="31"/>
        <v>-60</v>
      </c>
      <c r="U226" s="131"/>
      <c r="V226" s="136">
        <f t="shared" si="32"/>
        <v>0</v>
      </c>
    </row>
    <row r="227" spans="1:22" x14ac:dyDescent="0.25">
      <c r="A227" s="56"/>
      <c r="G227" s="13"/>
      <c r="H227" s="35">
        <v>222</v>
      </c>
      <c r="I227" s="36" t="str">
        <f t="shared" si="27"/>
        <v/>
      </c>
      <c r="J227" s="35">
        <f t="shared" si="33"/>
        <v>-8</v>
      </c>
      <c r="K227" s="35">
        <f t="shared" si="28"/>
        <v>-80</v>
      </c>
      <c r="L227" s="35"/>
      <c r="M227" s="37">
        <f t="shared" si="29"/>
        <v>0</v>
      </c>
      <c r="O227" s="131">
        <v>222</v>
      </c>
      <c r="P227" s="131"/>
      <c r="Q227" s="131"/>
      <c r="R227" s="135" t="str">
        <f t="shared" si="34"/>
        <v/>
      </c>
      <c r="S227" s="131">
        <f t="shared" si="30"/>
        <v>-6</v>
      </c>
      <c r="T227" s="131">
        <f t="shared" si="31"/>
        <v>-60</v>
      </c>
      <c r="U227" s="131"/>
      <c r="V227" s="136">
        <f t="shared" si="32"/>
        <v>0</v>
      </c>
    </row>
    <row r="228" spans="1:22" x14ac:dyDescent="0.25">
      <c r="A228" s="56"/>
      <c r="G228" s="13"/>
      <c r="H228" s="35">
        <v>223</v>
      </c>
      <c r="I228" s="36" t="str">
        <f t="shared" si="27"/>
        <v/>
      </c>
      <c r="J228" s="35">
        <f t="shared" si="33"/>
        <v>-8</v>
      </c>
      <c r="K228" s="35">
        <f t="shared" si="28"/>
        <v>-80</v>
      </c>
      <c r="L228" s="35"/>
      <c r="M228" s="37">
        <f t="shared" si="29"/>
        <v>0</v>
      </c>
      <c r="O228" s="131">
        <v>223</v>
      </c>
      <c r="P228" s="131"/>
      <c r="Q228" s="131"/>
      <c r="R228" s="135" t="str">
        <f t="shared" si="34"/>
        <v/>
      </c>
      <c r="S228" s="131">
        <f t="shared" si="30"/>
        <v>-6</v>
      </c>
      <c r="T228" s="131">
        <f t="shared" si="31"/>
        <v>-60</v>
      </c>
      <c r="U228" s="131"/>
      <c r="V228" s="136">
        <f t="shared" si="32"/>
        <v>0</v>
      </c>
    </row>
    <row r="229" spans="1:22" x14ac:dyDescent="0.25">
      <c r="A229" s="56"/>
      <c r="G229" s="13"/>
      <c r="H229" s="35">
        <v>224</v>
      </c>
      <c r="I229" s="36" t="str">
        <f t="shared" si="27"/>
        <v/>
      </c>
      <c r="J229" s="35">
        <f t="shared" si="33"/>
        <v>-8</v>
      </c>
      <c r="K229" s="35">
        <f t="shared" si="28"/>
        <v>-80</v>
      </c>
      <c r="L229" s="35"/>
      <c r="M229" s="37">
        <f t="shared" si="29"/>
        <v>0</v>
      </c>
      <c r="O229" s="131">
        <v>224</v>
      </c>
      <c r="P229" s="131"/>
      <c r="Q229" s="131"/>
      <c r="R229" s="135" t="str">
        <f t="shared" si="34"/>
        <v/>
      </c>
      <c r="S229" s="131">
        <f t="shared" si="30"/>
        <v>-6</v>
      </c>
      <c r="T229" s="131">
        <f t="shared" si="31"/>
        <v>-60</v>
      </c>
      <c r="U229" s="131"/>
      <c r="V229" s="136">
        <f t="shared" si="32"/>
        <v>0</v>
      </c>
    </row>
    <row r="230" spans="1:22" x14ac:dyDescent="0.25">
      <c r="A230" s="56"/>
      <c r="G230" s="13"/>
      <c r="H230" s="35">
        <v>225</v>
      </c>
      <c r="I230" s="36" t="str">
        <f t="shared" si="27"/>
        <v/>
      </c>
      <c r="J230" s="35">
        <f t="shared" si="33"/>
        <v>-8</v>
      </c>
      <c r="K230" s="35">
        <f t="shared" si="28"/>
        <v>-80</v>
      </c>
      <c r="L230" s="35"/>
      <c r="M230" s="37">
        <f t="shared" si="29"/>
        <v>0</v>
      </c>
      <c r="O230" s="131">
        <v>225</v>
      </c>
      <c r="P230" s="131"/>
      <c r="Q230" s="131"/>
      <c r="R230" s="135" t="str">
        <f t="shared" si="34"/>
        <v/>
      </c>
      <c r="S230" s="131">
        <f t="shared" si="30"/>
        <v>-6</v>
      </c>
      <c r="T230" s="131">
        <f t="shared" si="31"/>
        <v>-60</v>
      </c>
      <c r="U230" s="131"/>
      <c r="V230" s="136">
        <f t="shared" si="32"/>
        <v>0</v>
      </c>
    </row>
    <row r="231" spans="1:22" x14ac:dyDescent="0.25">
      <c r="A231" s="56"/>
      <c r="G231" s="13"/>
      <c r="H231" s="35">
        <v>226</v>
      </c>
      <c r="I231" s="36" t="str">
        <f t="shared" si="27"/>
        <v/>
      </c>
      <c r="J231" s="35">
        <f t="shared" si="33"/>
        <v>-8</v>
      </c>
      <c r="K231" s="35">
        <f t="shared" si="28"/>
        <v>-80</v>
      </c>
      <c r="L231" s="35"/>
      <c r="M231" s="37">
        <f t="shared" si="29"/>
        <v>0</v>
      </c>
      <c r="O231" s="131">
        <v>226</v>
      </c>
      <c r="P231" s="131"/>
      <c r="Q231" s="131"/>
      <c r="R231" s="135" t="str">
        <f t="shared" si="34"/>
        <v/>
      </c>
      <c r="S231" s="131">
        <f t="shared" si="30"/>
        <v>-6</v>
      </c>
      <c r="T231" s="131">
        <f t="shared" si="31"/>
        <v>-60</v>
      </c>
      <c r="U231" s="131"/>
      <c r="V231" s="136">
        <f t="shared" si="32"/>
        <v>0</v>
      </c>
    </row>
    <row r="232" spans="1:22" x14ac:dyDescent="0.25">
      <c r="A232" s="56"/>
      <c r="G232" s="13"/>
      <c r="H232" s="35">
        <v>227</v>
      </c>
      <c r="I232" s="36" t="str">
        <f t="shared" si="27"/>
        <v/>
      </c>
      <c r="J232" s="35">
        <f t="shared" si="33"/>
        <v>-8</v>
      </c>
      <c r="K232" s="35">
        <f t="shared" si="28"/>
        <v>-80</v>
      </c>
      <c r="L232" s="35"/>
      <c r="M232" s="37">
        <f t="shared" si="29"/>
        <v>0</v>
      </c>
      <c r="O232" s="131">
        <v>227</v>
      </c>
      <c r="P232" s="131"/>
      <c r="Q232" s="131"/>
      <c r="R232" s="135" t="str">
        <f t="shared" si="34"/>
        <v/>
      </c>
      <c r="S232" s="131">
        <f t="shared" si="30"/>
        <v>-6</v>
      </c>
      <c r="T232" s="131">
        <f t="shared" si="31"/>
        <v>-60</v>
      </c>
      <c r="U232" s="131"/>
      <c r="V232" s="136">
        <f t="shared" si="32"/>
        <v>0</v>
      </c>
    </row>
    <row r="233" spans="1:22" x14ac:dyDescent="0.25">
      <c r="A233" s="56"/>
      <c r="G233" s="13"/>
      <c r="H233" s="35">
        <v>228</v>
      </c>
      <c r="I233" s="36" t="str">
        <f t="shared" si="27"/>
        <v/>
      </c>
      <c r="J233" s="35">
        <f t="shared" si="33"/>
        <v>-8</v>
      </c>
      <c r="K233" s="35">
        <f t="shared" si="28"/>
        <v>-80</v>
      </c>
      <c r="L233" s="35"/>
      <c r="M233" s="37">
        <f t="shared" si="29"/>
        <v>0</v>
      </c>
      <c r="O233" s="131">
        <v>228</v>
      </c>
      <c r="P233" s="131"/>
      <c r="Q233" s="131"/>
      <c r="R233" s="135" t="str">
        <f t="shared" si="34"/>
        <v/>
      </c>
      <c r="S233" s="131">
        <f t="shared" si="30"/>
        <v>-6</v>
      </c>
      <c r="T233" s="131">
        <f t="shared" si="31"/>
        <v>-60</v>
      </c>
      <c r="U233" s="131"/>
      <c r="V233" s="136">
        <f t="shared" si="32"/>
        <v>0</v>
      </c>
    </row>
    <row r="234" spans="1:22" x14ac:dyDescent="0.25">
      <c r="A234" s="56"/>
      <c r="G234" s="13"/>
      <c r="H234" s="35">
        <v>229</v>
      </c>
      <c r="I234" s="36" t="str">
        <f t="shared" si="27"/>
        <v/>
      </c>
      <c r="J234" s="35">
        <f t="shared" si="33"/>
        <v>-8</v>
      </c>
      <c r="K234" s="35">
        <f t="shared" si="28"/>
        <v>-80</v>
      </c>
      <c r="L234" s="35"/>
      <c r="M234" s="37">
        <f t="shared" si="29"/>
        <v>0</v>
      </c>
      <c r="O234" s="131">
        <v>229</v>
      </c>
      <c r="P234" s="131"/>
      <c r="Q234" s="131"/>
      <c r="R234" s="135" t="str">
        <f t="shared" si="34"/>
        <v/>
      </c>
      <c r="S234" s="131">
        <f t="shared" si="30"/>
        <v>-6</v>
      </c>
      <c r="T234" s="131">
        <f t="shared" si="31"/>
        <v>-60</v>
      </c>
      <c r="U234" s="131"/>
      <c r="V234" s="136">
        <f t="shared" si="32"/>
        <v>0</v>
      </c>
    </row>
    <row r="235" spans="1:22" x14ac:dyDescent="0.25">
      <c r="A235" s="56"/>
      <c r="G235" s="13"/>
      <c r="H235" s="35">
        <v>230</v>
      </c>
      <c r="I235" s="36" t="str">
        <f t="shared" si="27"/>
        <v/>
      </c>
      <c r="J235" s="35">
        <f t="shared" si="33"/>
        <v>-8</v>
      </c>
      <c r="K235" s="35">
        <f t="shared" si="28"/>
        <v>-80</v>
      </c>
      <c r="L235" s="35"/>
      <c r="M235" s="37">
        <f t="shared" si="29"/>
        <v>0</v>
      </c>
      <c r="O235" s="131">
        <v>230</v>
      </c>
      <c r="P235" s="131"/>
      <c r="Q235" s="131"/>
      <c r="R235" s="135" t="str">
        <f t="shared" si="34"/>
        <v/>
      </c>
      <c r="S235" s="131">
        <f t="shared" si="30"/>
        <v>-6</v>
      </c>
      <c r="T235" s="131">
        <f t="shared" si="31"/>
        <v>-60</v>
      </c>
      <c r="U235" s="131"/>
      <c r="V235" s="136">
        <f t="shared" si="32"/>
        <v>0</v>
      </c>
    </row>
    <row r="236" spans="1:22" x14ac:dyDescent="0.25">
      <c r="A236" s="56"/>
      <c r="G236" s="13"/>
      <c r="H236" s="35">
        <v>231</v>
      </c>
      <c r="I236" s="36" t="str">
        <f t="shared" si="27"/>
        <v/>
      </c>
      <c r="J236" s="35">
        <f t="shared" si="33"/>
        <v>-8</v>
      </c>
      <c r="K236" s="35">
        <f t="shared" si="28"/>
        <v>-80</v>
      </c>
      <c r="L236" s="35"/>
      <c r="M236" s="37">
        <f t="shared" si="29"/>
        <v>0</v>
      </c>
      <c r="O236" s="131">
        <v>231</v>
      </c>
      <c r="P236" s="131"/>
      <c r="Q236" s="131"/>
      <c r="R236" s="135" t="str">
        <f t="shared" si="34"/>
        <v/>
      </c>
      <c r="S236" s="131">
        <f t="shared" si="30"/>
        <v>-6</v>
      </c>
      <c r="T236" s="131">
        <f t="shared" si="31"/>
        <v>-60</v>
      </c>
      <c r="U236" s="131"/>
      <c r="V236" s="136">
        <f t="shared" si="32"/>
        <v>0</v>
      </c>
    </row>
    <row r="237" spans="1:22" x14ac:dyDescent="0.25">
      <c r="A237" s="56"/>
      <c r="G237" s="13"/>
      <c r="H237" s="35">
        <v>232</v>
      </c>
      <c r="I237" s="36" t="str">
        <f t="shared" si="27"/>
        <v/>
      </c>
      <c r="J237" s="35">
        <f t="shared" si="33"/>
        <v>-8</v>
      </c>
      <c r="K237" s="35">
        <f t="shared" si="28"/>
        <v>-80</v>
      </c>
      <c r="L237" s="35"/>
      <c r="M237" s="37">
        <f t="shared" si="29"/>
        <v>0</v>
      </c>
      <c r="O237" s="131">
        <v>232</v>
      </c>
      <c r="P237" s="131"/>
      <c r="Q237" s="131"/>
      <c r="R237" s="135" t="str">
        <f t="shared" si="34"/>
        <v/>
      </c>
      <c r="S237" s="131">
        <f t="shared" si="30"/>
        <v>-6</v>
      </c>
      <c r="T237" s="131">
        <f t="shared" si="31"/>
        <v>-60</v>
      </c>
      <c r="U237" s="131"/>
      <c r="V237" s="136">
        <f t="shared" si="32"/>
        <v>0</v>
      </c>
    </row>
    <row r="238" spans="1:22" x14ac:dyDescent="0.25">
      <c r="A238" s="56"/>
      <c r="G238" s="13"/>
      <c r="H238" s="35">
        <v>233</v>
      </c>
      <c r="I238" s="36" t="str">
        <f t="shared" si="27"/>
        <v/>
      </c>
      <c r="J238" s="35">
        <f t="shared" si="33"/>
        <v>-8</v>
      </c>
      <c r="K238" s="35">
        <f t="shared" si="28"/>
        <v>-80</v>
      </c>
      <c r="L238" s="35"/>
      <c r="M238" s="37">
        <f t="shared" si="29"/>
        <v>0</v>
      </c>
      <c r="O238" s="131">
        <v>233</v>
      </c>
      <c r="P238" s="131"/>
      <c r="Q238" s="131"/>
      <c r="R238" s="135" t="str">
        <f t="shared" si="34"/>
        <v/>
      </c>
      <c r="S238" s="131">
        <f t="shared" si="30"/>
        <v>-6</v>
      </c>
      <c r="T238" s="131">
        <f t="shared" si="31"/>
        <v>-60</v>
      </c>
      <c r="U238" s="131"/>
      <c r="V238" s="136">
        <f t="shared" si="32"/>
        <v>0</v>
      </c>
    </row>
    <row r="239" spans="1:22" x14ac:dyDescent="0.25">
      <c r="A239" s="56"/>
      <c r="G239" s="13"/>
      <c r="H239" s="35">
        <v>234</v>
      </c>
      <c r="I239" s="36" t="str">
        <f t="shared" si="27"/>
        <v/>
      </c>
      <c r="J239" s="35">
        <f t="shared" si="33"/>
        <v>-8</v>
      </c>
      <c r="K239" s="35">
        <f t="shared" si="28"/>
        <v>-80</v>
      </c>
      <c r="L239" s="35"/>
      <c r="M239" s="37">
        <f t="shared" si="29"/>
        <v>0</v>
      </c>
      <c r="O239" s="131">
        <v>234</v>
      </c>
      <c r="P239" s="131"/>
      <c r="Q239" s="131"/>
      <c r="R239" s="135" t="str">
        <f t="shared" si="34"/>
        <v/>
      </c>
      <c r="S239" s="131">
        <f t="shared" si="30"/>
        <v>-6</v>
      </c>
      <c r="T239" s="131">
        <f t="shared" si="31"/>
        <v>-60</v>
      </c>
      <c r="U239" s="131"/>
      <c r="V239" s="136">
        <f t="shared" si="32"/>
        <v>0</v>
      </c>
    </row>
    <row r="240" spans="1:22" x14ac:dyDescent="0.25">
      <c r="A240" s="56"/>
      <c r="G240" s="13"/>
      <c r="H240" s="35">
        <v>235</v>
      </c>
      <c r="I240" s="36" t="str">
        <f t="shared" si="27"/>
        <v/>
      </c>
      <c r="J240" s="35">
        <f t="shared" si="33"/>
        <v>-8</v>
      </c>
      <c r="K240" s="35">
        <f t="shared" si="28"/>
        <v>-80</v>
      </c>
      <c r="L240" s="35"/>
      <c r="M240" s="37">
        <f t="shared" si="29"/>
        <v>0</v>
      </c>
      <c r="O240" s="131">
        <v>235</v>
      </c>
      <c r="P240" s="131"/>
      <c r="Q240" s="131"/>
      <c r="R240" s="135" t="str">
        <f t="shared" si="34"/>
        <v/>
      </c>
      <c r="S240" s="131">
        <f t="shared" si="30"/>
        <v>-6</v>
      </c>
      <c r="T240" s="131">
        <f t="shared" si="31"/>
        <v>-60</v>
      </c>
      <c r="U240" s="131"/>
      <c r="V240" s="136">
        <f t="shared" si="32"/>
        <v>0</v>
      </c>
    </row>
    <row r="241" spans="1:22" x14ac:dyDescent="0.25">
      <c r="A241" s="56"/>
      <c r="G241" s="13"/>
      <c r="H241" s="35">
        <v>236</v>
      </c>
      <c r="I241" s="36" t="str">
        <f t="shared" si="27"/>
        <v/>
      </c>
      <c r="J241" s="35">
        <f t="shared" si="33"/>
        <v>-8</v>
      </c>
      <c r="K241" s="35">
        <f t="shared" si="28"/>
        <v>-80</v>
      </c>
      <c r="L241" s="35"/>
      <c r="M241" s="37">
        <f t="shared" si="29"/>
        <v>0</v>
      </c>
      <c r="O241" s="131">
        <v>236</v>
      </c>
      <c r="P241" s="131"/>
      <c r="Q241" s="131"/>
      <c r="R241" s="135" t="str">
        <f t="shared" si="34"/>
        <v/>
      </c>
      <c r="S241" s="131">
        <f t="shared" si="30"/>
        <v>-6</v>
      </c>
      <c r="T241" s="131">
        <f t="shared" si="31"/>
        <v>-60</v>
      </c>
      <c r="U241" s="131"/>
      <c r="V241" s="136">
        <f t="shared" si="32"/>
        <v>0</v>
      </c>
    </row>
    <row r="242" spans="1:22" x14ac:dyDescent="0.25">
      <c r="A242" s="56"/>
      <c r="G242" s="13"/>
      <c r="H242" s="35">
        <v>237</v>
      </c>
      <c r="I242" s="36" t="str">
        <f t="shared" si="27"/>
        <v/>
      </c>
      <c r="J242" s="35">
        <f t="shared" si="33"/>
        <v>-8</v>
      </c>
      <c r="K242" s="35">
        <f t="shared" si="28"/>
        <v>-80</v>
      </c>
      <c r="L242" s="35"/>
      <c r="M242" s="37">
        <f t="shared" si="29"/>
        <v>0</v>
      </c>
      <c r="O242" s="131">
        <v>237</v>
      </c>
      <c r="P242" s="131"/>
      <c r="Q242" s="131"/>
      <c r="R242" s="135" t="str">
        <f t="shared" si="34"/>
        <v/>
      </c>
      <c r="S242" s="131">
        <f t="shared" si="30"/>
        <v>-6</v>
      </c>
      <c r="T242" s="131">
        <f t="shared" si="31"/>
        <v>-60</v>
      </c>
      <c r="U242" s="131"/>
      <c r="V242" s="136">
        <f t="shared" si="32"/>
        <v>0</v>
      </c>
    </row>
    <row r="243" spans="1:22" x14ac:dyDescent="0.25">
      <c r="A243" s="56"/>
      <c r="G243" s="13"/>
      <c r="H243" s="35">
        <v>238</v>
      </c>
      <c r="I243" s="36" t="str">
        <f t="shared" si="27"/>
        <v/>
      </c>
      <c r="J243" s="35">
        <f t="shared" si="33"/>
        <v>-8</v>
      </c>
      <c r="K243" s="35">
        <f t="shared" si="28"/>
        <v>-80</v>
      </c>
      <c r="L243" s="35"/>
      <c r="M243" s="37">
        <f t="shared" si="29"/>
        <v>0</v>
      </c>
      <c r="O243" s="131">
        <v>238</v>
      </c>
      <c r="P243" s="131"/>
      <c r="Q243" s="131"/>
      <c r="R243" s="135" t="str">
        <f t="shared" si="34"/>
        <v/>
      </c>
      <c r="S243" s="131">
        <f t="shared" si="30"/>
        <v>-6</v>
      </c>
      <c r="T243" s="131">
        <f t="shared" si="31"/>
        <v>-60</v>
      </c>
      <c r="U243" s="131"/>
      <c r="V243" s="136">
        <f t="shared" si="32"/>
        <v>0</v>
      </c>
    </row>
    <row r="244" spans="1:22" x14ac:dyDescent="0.25">
      <c r="A244" s="56"/>
      <c r="G244" s="13"/>
      <c r="H244" s="35">
        <v>239</v>
      </c>
      <c r="I244" s="36" t="str">
        <f t="shared" si="27"/>
        <v/>
      </c>
      <c r="J244" s="35">
        <f t="shared" si="33"/>
        <v>-8</v>
      </c>
      <c r="K244" s="35">
        <f t="shared" si="28"/>
        <v>-80</v>
      </c>
      <c r="L244" s="35"/>
      <c r="M244" s="37">
        <f t="shared" si="29"/>
        <v>0</v>
      </c>
      <c r="O244" s="131">
        <v>239</v>
      </c>
      <c r="P244" s="131"/>
      <c r="Q244" s="131"/>
      <c r="R244" s="135" t="str">
        <f t="shared" si="34"/>
        <v/>
      </c>
      <c r="S244" s="131">
        <f t="shared" si="30"/>
        <v>-6</v>
      </c>
      <c r="T244" s="131">
        <f t="shared" si="31"/>
        <v>-60</v>
      </c>
      <c r="U244" s="131"/>
      <c r="V244" s="136">
        <f t="shared" si="32"/>
        <v>0</v>
      </c>
    </row>
    <row r="245" spans="1:22" x14ac:dyDescent="0.25">
      <c r="A245" s="56"/>
      <c r="G245" s="13"/>
      <c r="H245" s="35">
        <v>240</v>
      </c>
      <c r="I245" s="36" t="str">
        <f t="shared" si="27"/>
        <v/>
      </c>
      <c r="J245" s="35">
        <f t="shared" si="33"/>
        <v>-8</v>
      </c>
      <c r="K245" s="35">
        <f t="shared" si="28"/>
        <v>-80</v>
      </c>
      <c r="L245" s="35"/>
      <c r="M245" s="37">
        <f t="shared" si="29"/>
        <v>0</v>
      </c>
      <c r="O245" s="131">
        <v>240</v>
      </c>
      <c r="P245" s="131"/>
      <c r="Q245" s="131"/>
      <c r="R245" s="135" t="str">
        <f t="shared" si="34"/>
        <v/>
      </c>
      <c r="S245" s="131">
        <f t="shared" si="30"/>
        <v>-6</v>
      </c>
      <c r="T245" s="131">
        <f t="shared" si="31"/>
        <v>-60</v>
      </c>
      <c r="U245" s="131"/>
      <c r="V245" s="136">
        <f t="shared" si="32"/>
        <v>0</v>
      </c>
    </row>
    <row r="246" spans="1:22" x14ac:dyDescent="0.25">
      <c r="A246" s="56"/>
      <c r="G246" s="13"/>
      <c r="H246" s="35">
        <v>241</v>
      </c>
      <c r="I246" s="36" t="str">
        <f t="shared" si="27"/>
        <v/>
      </c>
      <c r="J246" s="35">
        <f t="shared" si="33"/>
        <v>-8</v>
      </c>
      <c r="K246" s="35">
        <f t="shared" si="28"/>
        <v>-80</v>
      </c>
      <c r="L246" s="35"/>
      <c r="M246" s="37">
        <f t="shared" si="29"/>
        <v>0</v>
      </c>
      <c r="O246" s="131">
        <v>241</v>
      </c>
      <c r="P246" s="131"/>
      <c r="Q246" s="131"/>
      <c r="R246" s="135" t="str">
        <f t="shared" si="34"/>
        <v/>
      </c>
      <c r="S246" s="131">
        <f t="shared" si="30"/>
        <v>-6</v>
      </c>
      <c r="T246" s="131">
        <f t="shared" si="31"/>
        <v>-60</v>
      </c>
      <c r="U246" s="131"/>
      <c r="V246" s="136">
        <f t="shared" si="32"/>
        <v>0</v>
      </c>
    </row>
    <row r="247" spans="1:22" x14ac:dyDescent="0.25">
      <c r="A247" s="56"/>
      <c r="G247" s="13"/>
      <c r="H247" s="35">
        <v>242</v>
      </c>
      <c r="I247" s="36" t="str">
        <f t="shared" si="27"/>
        <v/>
      </c>
      <c r="J247" s="35">
        <f t="shared" si="33"/>
        <v>-8</v>
      </c>
      <c r="K247" s="35">
        <f t="shared" si="28"/>
        <v>-80</v>
      </c>
      <c r="L247" s="35"/>
      <c r="M247" s="37">
        <f t="shared" si="29"/>
        <v>0</v>
      </c>
      <c r="O247" s="131">
        <v>242</v>
      </c>
      <c r="P247" s="131"/>
      <c r="Q247" s="131"/>
      <c r="R247" s="135" t="str">
        <f t="shared" si="34"/>
        <v/>
      </c>
      <c r="S247" s="131">
        <f t="shared" si="30"/>
        <v>-6</v>
      </c>
      <c r="T247" s="131">
        <f t="shared" si="31"/>
        <v>-60</v>
      </c>
      <c r="U247" s="131"/>
      <c r="V247" s="136">
        <f t="shared" si="32"/>
        <v>0</v>
      </c>
    </row>
    <row r="248" spans="1:22" x14ac:dyDescent="0.25">
      <c r="A248" s="56"/>
      <c r="G248" s="13"/>
      <c r="H248" s="35">
        <v>243</v>
      </c>
      <c r="I248" s="36" t="str">
        <f t="shared" si="27"/>
        <v/>
      </c>
      <c r="J248" s="35">
        <f t="shared" si="33"/>
        <v>-8</v>
      </c>
      <c r="K248" s="35">
        <f t="shared" si="28"/>
        <v>-80</v>
      </c>
      <c r="L248" s="35"/>
      <c r="M248" s="37">
        <f t="shared" si="29"/>
        <v>0</v>
      </c>
      <c r="O248" s="131">
        <v>243</v>
      </c>
      <c r="P248" s="131"/>
      <c r="Q248" s="131"/>
      <c r="R248" s="135" t="str">
        <f t="shared" si="34"/>
        <v/>
      </c>
      <c r="S248" s="131">
        <f t="shared" si="30"/>
        <v>-6</v>
      </c>
      <c r="T248" s="131">
        <f t="shared" si="31"/>
        <v>-60</v>
      </c>
      <c r="U248" s="131"/>
      <c r="V248" s="136">
        <f t="shared" si="32"/>
        <v>0</v>
      </c>
    </row>
    <row r="249" spans="1:22" x14ac:dyDescent="0.25">
      <c r="A249" s="56"/>
      <c r="G249" s="13"/>
      <c r="H249" s="35">
        <v>244</v>
      </c>
      <c r="I249" s="36" t="str">
        <f t="shared" si="27"/>
        <v/>
      </c>
      <c r="J249" s="35">
        <f t="shared" si="33"/>
        <v>-8</v>
      </c>
      <c r="K249" s="35">
        <f t="shared" si="28"/>
        <v>-80</v>
      </c>
      <c r="L249" s="35"/>
      <c r="M249" s="37">
        <f t="shared" si="29"/>
        <v>0</v>
      </c>
      <c r="O249" s="131">
        <v>244</v>
      </c>
      <c r="P249" s="131"/>
      <c r="Q249" s="131"/>
      <c r="R249" s="135" t="str">
        <f t="shared" si="34"/>
        <v/>
      </c>
      <c r="S249" s="131">
        <f t="shared" si="30"/>
        <v>-6</v>
      </c>
      <c r="T249" s="131">
        <f t="shared" si="31"/>
        <v>-60</v>
      </c>
      <c r="U249" s="131"/>
      <c r="V249" s="136">
        <f t="shared" si="32"/>
        <v>0</v>
      </c>
    </row>
    <row r="250" spans="1:22" x14ac:dyDescent="0.25">
      <c r="A250" s="56"/>
      <c r="G250" s="13"/>
      <c r="H250" s="35">
        <v>245</v>
      </c>
      <c r="I250" s="36" t="str">
        <f t="shared" si="27"/>
        <v/>
      </c>
      <c r="J250" s="35">
        <f t="shared" si="33"/>
        <v>-8</v>
      </c>
      <c r="K250" s="35">
        <f t="shared" si="28"/>
        <v>-80</v>
      </c>
      <c r="L250" s="35"/>
      <c r="M250" s="37">
        <f t="shared" si="29"/>
        <v>0</v>
      </c>
      <c r="O250" s="131">
        <v>245</v>
      </c>
      <c r="P250" s="131"/>
      <c r="Q250" s="131"/>
      <c r="R250" s="135" t="str">
        <f t="shared" si="34"/>
        <v/>
      </c>
      <c r="S250" s="131">
        <f t="shared" si="30"/>
        <v>-6</v>
      </c>
      <c r="T250" s="131">
        <f t="shared" si="31"/>
        <v>-60</v>
      </c>
      <c r="U250" s="131"/>
      <c r="V250" s="136">
        <f t="shared" si="32"/>
        <v>0</v>
      </c>
    </row>
    <row r="251" spans="1:22" x14ac:dyDescent="0.25">
      <c r="A251" s="56"/>
      <c r="G251" s="13"/>
      <c r="H251" s="35">
        <v>246</v>
      </c>
      <c r="I251" s="36" t="str">
        <f t="shared" si="27"/>
        <v/>
      </c>
      <c r="J251" s="35">
        <f t="shared" si="33"/>
        <v>-8</v>
      </c>
      <c r="K251" s="35">
        <f t="shared" si="28"/>
        <v>-80</v>
      </c>
      <c r="L251" s="35"/>
      <c r="M251" s="37">
        <f t="shared" si="29"/>
        <v>0</v>
      </c>
      <c r="O251" s="131">
        <v>246</v>
      </c>
      <c r="P251" s="131"/>
      <c r="Q251" s="131"/>
      <c r="R251" s="135" t="str">
        <f t="shared" si="34"/>
        <v/>
      </c>
      <c r="S251" s="131">
        <f t="shared" si="30"/>
        <v>-6</v>
      </c>
      <c r="T251" s="131">
        <f t="shared" si="31"/>
        <v>-60</v>
      </c>
      <c r="U251" s="131"/>
      <c r="V251" s="136">
        <f t="shared" si="32"/>
        <v>0</v>
      </c>
    </row>
    <row r="252" spans="1:22" x14ac:dyDescent="0.25">
      <c r="A252" s="56"/>
      <c r="G252" s="13"/>
      <c r="H252" s="35">
        <v>247</v>
      </c>
      <c r="I252" s="36" t="str">
        <f t="shared" si="27"/>
        <v/>
      </c>
      <c r="J252" s="35">
        <f t="shared" si="33"/>
        <v>-8</v>
      </c>
      <c r="K252" s="35">
        <f t="shared" si="28"/>
        <v>-80</v>
      </c>
      <c r="L252" s="35"/>
      <c r="M252" s="37">
        <f t="shared" si="29"/>
        <v>0</v>
      </c>
      <c r="O252" s="131">
        <v>247</v>
      </c>
      <c r="P252" s="131"/>
      <c r="Q252" s="131"/>
      <c r="R252" s="135" t="str">
        <f t="shared" si="34"/>
        <v/>
      </c>
      <c r="S252" s="131">
        <f t="shared" si="30"/>
        <v>-6</v>
      </c>
      <c r="T252" s="131">
        <f t="shared" si="31"/>
        <v>-60</v>
      </c>
      <c r="U252" s="131"/>
      <c r="V252" s="136">
        <f t="shared" si="32"/>
        <v>0</v>
      </c>
    </row>
    <row r="253" spans="1:22" x14ac:dyDescent="0.25">
      <c r="A253" s="56"/>
      <c r="G253" s="13"/>
      <c r="H253" s="35">
        <v>248</v>
      </c>
      <c r="I253" s="36" t="str">
        <f t="shared" si="27"/>
        <v/>
      </c>
      <c r="J253" s="35">
        <f t="shared" si="33"/>
        <v>-8</v>
      </c>
      <c r="K253" s="35">
        <f t="shared" si="28"/>
        <v>-80</v>
      </c>
      <c r="L253" s="35"/>
      <c r="M253" s="37">
        <f t="shared" si="29"/>
        <v>0</v>
      </c>
      <c r="O253" s="131">
        <v>248</v>
      </c>
      <c r="P253" s="131"/>
      <c r="Q253" s="131"/>
      <c r="R253" s="135" t="str">
        <f t="shared" si="34"/>
        <v/>
      </c>
      <c r="S253" s="131">
        <f t="shared" si="30"/>
        <v>-6</v>
      </c>
      <c r="T253" s="131">
        <f t="shared" si="31"/>
        <v>-60</v>
      </c>
      <c r="U253" s="131"/>
      <c r="V253" s="136">
        <f t="shared" si="32"/>
        <v>0</v>
      </c>
    </row>
    <row r="254" spans="1:22" x14ac:dyDescent="0.25">
      <c r="A254" s="56"/>
      <c r="G254" s="13"/>
      <c r="H254" s="35">
        <v>249</v>
      </c>
      <c r="I254" s="36" t="str">
        <f t="shared" si="27"/>
        <v/>
      </c>
      <c r="J254" s="35">
        <f t="shared" si="33"/>
        <v>-8</v>
      </c>
      <c r="K254" s="35">
        <f t="shared" si="28"/>
        <v>-80</v>
      </c>
      <c r="L254" s="35"/>
      <c r="M254" s="37">
        <f t="shared" si="29"/>
        <v>0</v>
      </c>
      <c r="O254" s="131">
        <v>249</v>
      </c>
      <c r="P254" s="131"/>
      <c r="Q254" s="131"/>
      <c r="R254" s="135" t="str">
        <f t="shared" si="34"/>
        <v/>
      </c>
      <c r="S254" s="131">
        <f t="shared" si="30"/>
        <v>-6</v>
      </c>
      <c r="T254" s="131">
        <f t="shared" si="31"/>
        <v>-60</v>
      </c>
      <c r="U254" s="131"/>
      <c r="V254" s="136">
        <f t="shared" si="32"/>
        <v>0</v>
      </c>
    </row>
    <row r="255" spans="1:22" x14ac:dyDescent="0.25">
      <c r="A255" s="56"/>
      <c r="G255" s="13"/>
      <c r="H255" s="35">
        <v>250</v>
      </c>
      <c r="I255" s="36" t="str">
        <f t="shared" si="27"/>
        <v/>
      </c>
      <c r="J255" s="35">
        <f t="shared" si="33"/>
        <v>-8</v>
      </c>
      <c r="K255" s="35">
        <f t="shared" si="28"/>
        <v>-80</v>
      </c>
      <c r="L255" s="35"/>
      <c r="M255" s="37">
        <f t="shared" si="29"/>
        <v>0</v>
      </c>
      <c r="O255" s="131">
        <v>250</v>
      </c>
      <c r="P255" s="131"/>
      <c r="Q255" s="131"/>
      <c r="R255" s="135" t="str">
        <f t="shared" si="34"/>
        <v/>
      </c>
      <c r="S255" s="131">
        <f t="shared" si="30"/>
        <v>-6</v>
      </c>
      <c r="T255" s="131">
        <f t="shared" si="31"/>
        <v>-60</v>
      </c>
      <c r="U255" s="131"/>
      <c r="V255" s="136">
        <f t="shared" si="32"/>
        <v>0</v>
      </c>
    </row>
    <row r="256" spans="1:22" x14ac:dyDescent="0.25">
      <c r="A256" s="56"/>
      <c r="G256" s="13"/>
      <c r="H256" s="35">
        <v>251</v>
      </c>
      <c r="I256" s="36" t="str">
        <f t="shared" si="27"/>
        <v/>
      </c>
      <c r="J256" s="35">
        <f t="shared" si="33"/>
        <v>-8</v>
      </c>
      <c r="K256" s="35">
        <f t="shared" si="28"/>
        <v>-80</v>
      </c>
      <c r="L256" s="35"/>
      <c r="M256" s="37">
        <f t="shared" si="29"/>
        <v>0</v>
      </c>
      <c r="O256" s="131">
        <v>251</v>
      </c>
      <c r="P256" s="131"/>
      <c r="Q256" s="131"/>
      <c r="R256" s="135" t="str">
        <f t="shared" si="34"/>
        <v/>
      </c>
      <c r="S256" s="131">
        <f t="shared" si="30"/>
        <v>-6</v>
      </c>
      <c r="T256" s="131">
        <f t="shared" si="31"/>
        <v>-60</v>
      </c>
      <c r="U256" s="131"/>
      <c r="V256" s="136">
        <f t="shared" si="32"/>
        <v>0</v>
      </c>
    </row>
    <row r="257" spans="1:22" x14ac:dyDescent="0.25">
      <c r="A257" s="56"/>
      <c r="G257" s="13"/>
      <c r="H257" s="35">
        <v>252</v>
      </c>
      <c r="I257" s="36" t="str">
        <f t="shared" si="27"/>
        <v/>
      </c>
      <c r="J257" s="35">
        <f t="shared" si="33"/>
        <v>-8</v>
      </c>
      <c r="K257" s="35">
        <f t="shared" si="28"/>
        <v>-80</v>
      </c>
      <c r="L257" s="35"/>
      <c r="M257" s="37">
        <f t="shared" si="29"/>
        <v>0</v>
      </c>
      <c r="O257" s="131">
        <v>252</v>
      </c>
      <c r="P257" s="131"/>
      <c r="Q257" s="131"/>
      <c r="R257" s="135" t="str">
        <f t="shared" si="34"/>
        <v/>
      </c>
      <c r="S257" s="131">
        <f t="shared" si="30"/>
        <v>-6</v>
      </c>
      <c r="T257" s="131">
        <f t="shared" si="31"/>
        <v>-60</v>
      </c>
      <c r="U257" s="131"/>
      <c r="V257" s="136">
        <f t="shared" si="32"/>
        <v>0</v>
      </c>
    </row>
    <row r="258" spans="1:22" x14ac:dyDescent="0.25">
      <c r="A258" s="56"/>
      <c r="G258" s="13"/>
      <c r="H258" s="35">
        <v>253</v>
      </c>
      <c r="I258" s="36" t="str">
        <f t="shared" si="27"/>
        <v/>
      </c>
      <c r="J258" s="35">
        <f t="shared" si="33"/>
        <v>-8</v>
      </c>
      <c r="K258" s="35">
        <f t="shared" si="28"/>
        <v>-80</v>
      </c>
      <c r="L258" s="35"/>
      <c r="M258" s="37">
        <f t="shared" si="29"/>
        <v>0</v>
      </c>
      <c r="O258" s="131">
        <v>253</v>
      </c>
      <c r="P258" s="131"/>
      <c r="Q258" s="131"/>
      <c r="R258" s="135" t="str">
        <f t="shared" si="34"/>
        <v/>
      </c>
      <c r="S258" s="131">
        <f t="shared" si="30"/>
        <v>-6</v>
      </c>
      <c r="T258" s="131">
        <f t="shared" si="31"/>
        <v>-60</v>
      </c>
      <c r="U258" s="131"/>
      <c r="V258" s="136">
        <f t="shared" si="32"/>
        <v>0</v>
      </c>
    </row>
    <row r="259" spans="1:22" x14ac:dyDescent="0.25">
      <c r="A259" s="56"/>
      <c r="G259" s="13"/>
      <c r="H259" s="35">
        <v>254</v>
      </c>
      <c r="I259" s="36" t="str">
        <f t="shared" si="27"/>
        <v/>
      </c>
      <c r="J259" s="35">
        <f t="shared" si="33"/>
        <v>-8</v>
      </c>
      <c r="K259" s="35">
        <f t="shared" si="28"/>
        <v>-80</v>
      </c>
      <c r="L259" s="35"/>
      <c r="M259" s="37">
        <f t="shared" si="29"/>
        <v>0</v>
      </c>
      <c r="O259" s="131">
        <v>254</v>
      </c>
      <c r="P259" s="131"/>
      <c r="Q259" s="131"/>
      <c r="R259" s="135" t="str">
        <f t="shared" si="34"/>
        <v/>
      </c>
      <c r="S259" s="131">
        <f t="shared" si="30"/>
        <v>-6</v>
      </c>
      <c r="T259" s="131">
        <f t="shared" si="31"/>
        <v>-60</v>
      </c>
      <c r="U259" s="131"/>
      <c r="V259" s="136">
        <f t="shared" si="32"/>
        <v>0</v>
      </c>
    </row>
    <row r="260" spans="1:22" x14ac:dyDescent="0.25">
      <c r="A260" s="56"/>
      <c r="G260" s="13"/>
      <c r="H260" s="35">
        <v>255</v>
      </c>
      <c r="I260" s="36" t="str">
        <f t="shared" si="27"/>
        <v/>
      </c>
      <c r="J260" s="35">
        <f t="shared" si="33"/>
        <v>-8</v>
      </c>
      <c r="K260" s="35">
        <f t="shared" si="28"/>
        <v>-80</v>
      </c>
      <c r="L260" s="35"/>
      <c r="M260" s="37">
        <f t="shared" si="29"/>
        <v>0</v>
      </c>
      <c r="O260" s="131">
        <v>255</v>
      </c>
      <c r="P260" s="131"/>
      <c r="Q260" s="131"/>
      <c r="R260" s="135" t="str">
        <f t="shared" si="34"/>
        <v/>
      </c>
      <c r="S260" s="131">
        <f t="shared" si="30"/>
        <v>-6</v>
      </c>
      <c r="T260" s="131">
        <f t="shared" si="31"/>
        <v>-60</v>
      </c>
      <c r="U260" s="131"/>
      <c r="V260" s="136">
        <f t="shared" si="32"/>
        <v>0</v>
      </c>
    </row>
    <row r="261" spans="1:22" x14ac:dyDescent="0.25">
      <c r="A261" s="56"/>
      <c r="G261" s="13"/>
      <c r="H261" s="35">
        <v>256</v>
      </c>
      <c r="I261" s="36" t="str">
        <f t="shared" si="27"/>
        <v/>
      </c>
      <c r="J261" s="35">
        <f t="shared" si="33"/>
        <v>-8</v>
      </c>
      <c r="K261" s="35">
        <f t="shared" si="28"/>
        <v>-80</v>
      </c>
      <c r="L261" s="35"/>
      <c r="M261" s="37">
        <f t="shared" si="29"/>
        <v>0</v>
      </c>
      <c r="O261" s="131">
        <v>256</v>
      </c>
      <c r="P261" s="131"/>
      <c r="Q261" s="131"/>
      <c r="R261" s="135" t="str">
        <f t="shared" si="34"/>
        <v/>
      </c>
      <c r="S261" s="131">
        <f t="shared" si="30"/>
        <v>-6</v>
      </c>
      <c r="T261" s="131">
        <f t="shared" si="31"/>
        <v>-60</v>
      </c>
      <c r="U261" s="131"/>
      <c r="V261" s="136">
        <f t="shared" si="32"/>
        <v>0</v>
      </c>
    </row>
    <row r="262" spans="1:22" x14ac:dyDescent="0.25">
      <c r="A262" s="56"/>
      <c r="G262" s="13"/>
      <c r="H262" s="35">
        <v>257</v>
      </c>
      <c r="I262" s="36" t="str">
        <f t="shared" ref="I262:I305" si="35">IF(H262&lt;$H$2+1,($I$2-($I$2-1)*(LOG(H262)/LOG($H$2))),"")</f>
        <v/>
      </c>
      <c r="J262" s="35">
        <f t="shared" si="33"/>
        <v>-9</v>
      </c>
      <c r="K262" s="35">
        <f t="shared" ref="K262:K305" si="36">J262*$J$2</f>
        <v>-90</v>
      </c>
      <c r="L262" s="35"/>
      <c r="M262" s="37">
        <f t="shared" ref="M262:M305" si="37">IF(I262&lt;&gt;"",K262+I262+L262,0)</f>
        <v>0</v>
      </c>
      <c r="O262" s="131">
        <v>257</v>
      </c>
      <c r="P262" s="131"/>
      <c r="Q262" s="131"/>
      <c r="R262" s="135" t="str">
        <f t="shared" si="34"/>
        <v/>
      </c>
      <c r="S262" s="131">
        <f t="shared" ref="S262:S305" si="38">INT(LOG($O$2,2))-ROUNDUP(LOG(O262,2),0)+IF(OR($O$2=1,$O$2=2,$O$2=4,$O$2=8,$O$2=16,$O$2=32,$O$2=64,$O$2=128,$O$2=256),0,1)</f>
        <v>-7</v>
      </c>
      <c r="T262" s="131">
        <f t="shared" ref="T262:T305" si="39">S262*$J$2</f>
        <v>-70</v>
      </c>
      <c r="U262" s="131"/>
      <c r="V262" s="136">
        <f t="shared" ref="V262:V305" si="40">IF(R262&lt;&gt;"",T262+R262+U262,0)</f>
        <v>0</v>
      </c>
    </row>
    <row r="263" spans="1:22" x14ac:dyDescent="0.25">
      <c r="A263" s="56"/>
      <c r="G263" s="13"/>
      <c r="H263" s="35">
        <v>258</v>
      </c>
      <c r="I263" s="36" t="str">
        <f t="shared" si="35"/>
        <v/>
      </c>
      <c r="J263" s="35">
        <f t="shared" ref="J263:J305" si="41">INT(LOG($H$2,2))-ROUNDUP(LOG(H263,2),0)+IF(OR($H$2=1,$H$2=2,$H$2=4,$H$2=8,$H$2=16,$H$2=32,$H$2=64,$H$2=128,$H$2=256),0,1)</f>
        <v>-9</v>
      </c>
      <c r="K263" s="35">
        <f t="shared" si="36"/>
        <v>-90</v>
      </c>
      <c r="L263" s="35"/>
      <c r="M263" s="37">
        <f t="shared" si="37"/>
        <v>0</v>
      </c>
      <c r="O263" s="131">
        <v>258</v>
      </c>
      <c r="P263" s="131"/>
      <c r="Q263" s="131"/>
      <c r="R263" s="135" t="str">
        <f t="shared" ref="R263:R305" si="42">IF(O263&lt;$O$2+1,($I$2-($I$2-1)*(LOG(O263)/LOG($O$2))),"")</f>
        <v/>
      </c>
      <c r="S263" s="131">
        <f t="shared" si="38"/>
        <v>-7</v>
      </c>
      <c r="T263" s="131">
        <f t="shared" si="39"/>
        <v>-70</v>
      </c>
      <c r="U263" s="131"/>
      <c r="V263" s="136">
        <f t="shared" si="40"/>
        <v>0</v>
      </c>
    </row>
    <row r="264" spans="1:22" x14ac:dyDescent="0.25">
      <c r="A264" s="56"/>
      <c r="G264" s="13"/>
      <c r="H264" s="35">
        <v>259</v>
      </c>
      <c r="I264" s="36" t="str">
        <f t="shared" si="35"/>
        <v/>
      </c>
      <c r="J264" s="35">
        <f t="shared" si="41"/>
        <v>-9</v>
      </c>
      <c r="K264" s="35">
        <f t="shared" si="36"/>
        <v>-90</v>
      </c>
      <c r="L264" s="35"/>
      <c r="M264" s="37">
        <f t="shared" si="37"/>
        <v>0</v>
      </c>
      <c r="O264" s="131">
        <v>259</v>
      </c>
      <c r="P264" s="131"/>
      <c r="Q264" s="131"/>
      <c r="R264" s="135" t="str">
        <f t="shared" si="42"/>
        <v/>
      </c>
      <c r="S264" s="131">
        <f t="shared" si="38"/>
        <v>-7</v>
      </c>
      <c r="T264" s="131">
        <f t="shared" si="39"/>
        <v>-70</v>
      </c>
      <c r="U264" s="131"/>
      <c r="V264" s="136">
        <f t="shared" si="40"/>
        <v>0</v>
      </c>
    </row>
    <row r="265" spans="1:22" x14ac:dyDescent="0.25">
      <c r="A265" s="56"/>
      <c r="G265" s="13"/>
      <c r="H265" s="35">
        <v>260</v>
      </c>
      <c r="I265" s="36" t="str">
        <f t="shared" si="35"/>
        <v/>
      </c>
      <c r="J265" s="35">
        <f t="shared" si="41"/>
        <v>-9</v>
      </c>
      <c r="K265" s="35">
        <f t="shared" si="36"/>
        <v>-90</v>
      </c>
      <c r="L265" s="35"/>
      <c r="M265" s="37">
        <f t="shared" si="37"/>
        <v>0</v>
      </c>
      <c r="O265" s="131">
        <v>260</v>
      </c>
      <c r="P265" s="131"/>
      <c r="Q265" s="131"/>
      <c r="R265" s="135" t="str">
        <f t="shared" si="42"/>
        <v/>
      </c>
      <c r="S265" s="131">
        <f t="shared" si="38"/>
        <v>-7</v>
      </c>
      <c r="T265" s="131">
        <f t="shared" si="39"/>
        <v>-70</v>
      </c>
      <c r="U265" s="131"/>
      <c r="V265" s="136">
        <f t="shared" si="40"/>
        <v>0</v>
      </c>
    </row>
    <row r="266" spans="1:22" x14ac:dyDescent="0.25">
      <c r="A266" s="56"/>
      <c r="G266" s="13"/>
      <c r="H266" s="35">
        <v>261</v>
      </c>
      <c r="I266" s="36" t="str">
        <f t="shared" si="35"/>
        <v/>
      </c>
      <c r="J266" s="35">
        <f t="shared" si="41"/>
        <v>-9</v>
      </c>
      <c r="K266" s="35">
        <f t="shared" si="36"/>
        <v>-90</v>
      </c>
      <c r="L266" s="35"/>
      <c r="M266" s="37">
        <f t="shared" si="37"/>
        <v>0</v>
      </c>
      <c r="O266" s="131">
        <v>261</v>
      </c>
      <c r="P266" s="131"/>
      <c r="Q266" s="131"/>
      <c r="R266" s="135" t="str">
        <f t="shared" si="42"/>
        <v/>
      </c>
      <c r="S266" s="131">
        <f t="shared" si="38"/>
        <v>-7</v>
      </c>
      <c r="T266" s="131">
        <f t="shared" si="39"/>
        <v>-70</v>
      </c>
      <c r="U266" s="131"/>
      <c r="V266" s="136">
        <f t="shared" si="40"/>
        <v>0</v>
      </c>
    </row>
    <row r="267" spans="1:22" x14ac:dyDescent="0.25">
      <c r="A267" s="56"/>
      <c r="G267" s="13"/>
      <c r="H267" s="35">
        <v>262</v>
      </c>
      <c r="I267" s="36" t="str">
        <f t="shared" si="35"/>
        <v/>
      </c>
      <c r="J267" s="35">
        <f t="shared" si="41"/>
        <v>-9</v>
      </c>
      <c r="K267" s="35">
        <f t="shared" si="36"/>
        <v>-90</v>
      </c>
      <c r="L267" s="35"/>
      <c r="M267" s="37">
        <f t="shared" si="37"/>
        <v>0</v>
      </c>
      <c r="O267" s="131">
        <v>262</v>
      </c>
      <c r="P267" s="131"/>
      <c r="Q267" s="131"/>
      <c r="R267" s="135" t="str">
        <f t="shared" si="42"/>
        <v/>
      </c>
      <c r="S267" s="131">
        <f t="shared" si="38"/>
        <v>-7</v>
      </c>
      <c r="T267" s="131">
        <f t="shared" si="39"/>
        <v>-70</v>
      </c>
      <c r="U267" s="131"/>
      <c r="V267" s="136">
        <f t="shared" si="40"/>
        <v>0</v>
      </c>
    </row>
    <row r="268" spans="1:22" x14ac:dyDescent="0.25">
      <c r="A268" s="56"/>
      <c r="G268" s="13"/>
      <c r="H268" s="35">
        <v>263</v>
      </c>
      <c r="I268" s="36" t="str">
        <f t="shared" si="35"/>
        <v/>
      </c>
      <c r="J268" s="35">
        <f t="shared" si="41"/>
        <v>-9</v>
      </c>
      <c r="K268" s="35">
        <f t="shared" si="36"/>
        <v>-90</v>
      </c>
      <c r="L268" s="35"/>
      <c r="M268" s="37">
        <f t="shared" si="37"/>
        <v>0</v>
      </c>
      <c r="O268" s="131">
        <v>263</v>
      </c>
      <c r="P268" s="131"/>
      <c r="Q268" s="131"/>
      <c r="R268" s="135" t="str">
        <f t="shared" si="42"/>
        <v/>
      </c>
      <c r="S268" s="131">
        <f t="shared" si="38"/>
        <v>-7</v>
      </c>
      <c r="T268" s="131">
        <f t="shared" si="39"/>
        <v>-70</v>
      </c>
      <c r="U268" s="131"/>
      <c r="V268" s="136">
        <f t="shared" si="40"/>
        <v>0</v>
      </c>
    </row>
    <row r="269" spans="1:22" x14ac:dyDescent="0.25">
      <c r="A269" s="56"/>
      <c r="G269" s="13"/>
      <c r="H269" s="35">
        <v>264</v>
      </c>
      <c r="I269" s="36" t="str">
        <f t="shared" si="35"/>
        <v/>
      </c>
      <c r="J269" s="35">
        <f t="shared" si="41"/>
        <v>-9</v>
      </c>
      <c r="K269" s="35">
        <f t="shared" si="36"/>
        <v>-90</v>
      </c>
      <c r="L269" s="35"/>
      <c r="M269" s="37">
        <f t="shared" si="37"/>
        <v>0</v>
      </c>
      <c r="O269" s="131">
        <v>264</v>
      </c>
      <c r="P269" s="131"/>
      <c r="Q269" s="131"/>
      <c r="R269" s="135" t="str">
        <f t="shared" si="42"/>
        <v/>
      </c>
      <c r="S269" s="131">
        <f t="shared" si="38"/>
        <v>-7</v>
      </c>
      <c r="T269" s="131">
        <f t="shared" si="39"/>
        <v>-70</v>
      </c>
      <c r="U269" s="131"/>
      <c r="V269" s="136">
        <f t="shared" si="40"/>
        <v>0</v>
      </c>
    </row>
    <row r="270" spans="1:22" x14ac:dyDescent="0.25">
      <c r="A270" s="56"/>
      <c r="G270" s="13"/>
      <c r="H270" s="35">
        <v>265</v>
      </c>
      <c r="I270" s="36" t="str">
        <f t="shared" si="35"/>
        <v/>
      </c>
      <c r="J270" s="35">
        <f t="shared" si="41"/>
        <v>-9</v>
      </c>
      <c r="K270" s="35">
        <f t="shared" si="36"/>
        <v>-90</v>
      </c>
      <c r="L270" s="35"/>
      <c r="M270" s="37">
        <f t="shared" si="37"/>
        <v>0</v>
      </c>
      <c r="O270" s="131">
        <v>265</v>
      </c>
      <c r="P270" s="131"/>
      <c r="Q270" s="131"/>
      <c r="R270" s="135" t="str">
        <f t="shared" si="42"/>
        <v/>
      </c>
      <c r="S270" s="131">
        <f t="shared" si="38"/>
        <v>-7</v>
      </c>
      <c r="T270" s="131">
        <f t="shared" si="39"/>
        <v>-70</v>
      </c>
      <c r="U270" s="131"/>
      <c r="V270" s="136">
        <f t="shared" si="40"/>
        <v>0</v>
      </c>
    </row>
    <row r="271" spans="1:22" x14ac:dyDescent="0.25">
      <c r="A271" s="56"/>
      <c r="G271" s="13"/>
      <c r="H271" s="35">
        <v>266</v>
      </c>
      <c r="I271" s="36" t="str">
        <f t="shared" si="35"/>
        <v/>
      </c>
      <c r="J271" s="35">
        <f t="shared" si="41"/>
        <v>-9</v>
      </c>
      <c r="K271" s="35">
        <f t="shared" si="36"/>
        <v>-90</v>
      </c>
      <c r="L271" s="35"/>
      <c r="M271" s="37">
        <f t="shared" si="37"/>
        <v>0</v>
      </c>
      <c r="O271" s="131">
        <v>266</v>
      </c>
      <c r="P271" s="131"/>
      <c r="Q271" s="131"/>
      <c r="R271" s="135" t="str">
        <f t="shared" si="42"/>
        <v/>
      </c>
      <c r="S271" s="131">
        <f t="shared" si="38"/>
        <v>-7</v>
      </c>
      <c r="T271" s="131">
        <f t="shared" si="39"/>
        <v>-70</v>
      </c>
      <c r="U271" s="131"/>
      <c r="V271" s="136">
        <f t="shared" si="40"/>
        <v>0</v>
      </c>
    </row>
    <row r="272" spans="1:22" x14ac:dyDescent="0.25">
      <c r="A272" s="56"/>
      <c r="G272" s="13"/>
      <c r="H272" s="35">
        <v>267</v>
      </c>
      <c r="I272" s="36" t="str">
        <f t="shared" si="35"/>
        <v/>
      </c>
      <c r="J272" s="35">
        <f t="shared" si="41"/>
        <v>-9</v>
      </c>
      <c r="K272" s="35">
        <f t="shared" si="36"/>
        <v>-90</v>
      </c>
      <c r="L272" s="35"/>
      <c r="M272" s="37">
        <f t="shared" si="37"/>
        <v>0</v>
      </c>
      <c r="O272" s="131">
        <v>267</v>
      </c>
      <c r="P272" s="131"/>
      <c r="Q272" s="131"/>
      <c r="R272" s="135" t="str">
        <f t="shared" si="42"/>
        <v/>
      </c>
      <c r="S272" s="131">
        <f t="shared" si="38"/>
        <v>-7</v>
      </c>
      <c r="T272" s="131">
        <f t="shared" si="39"/>
        <v>-70</v>
      </c>
      <c r="U272" s="131"/>
      <c r="V272" s="136">
        <f t="shared" si="40"/>
        <v>0</v>
      </c>
    </row>
    <row r="273" spans="1:22" x14ac:dyDescent="0.25">
      <c r="A273" s="56"/>
      <c r="G273" s="13"/>
      <c r="H273" s="35">
        <v>268</v>
      </c>
      <c r="I273" s="36" t="str">
        <f t="shared" si="35"/>
        <v/>
      </c>
      <c r="J273" s="35">
        <f t="shared" si="41"/>
        <v>-9</v>
      </c>
      <c r="K273" s="35">
        <f t="shared" si="36"/>
        <v>-90</v>
      </c>
      <c r="L273" s="35"/>
      <c r="M273" s="37">
        <f t="shared" si="37"/>
        <v>0</v>
      </c>
      <c r="O273" s="131">
        <v>268</v>
      </c>
      <c r="P273" s="131"/>
      <c r="Q273" s="131"/>
      <c r="R273" s="135" t="str">
        <f t="shared" si="42"/>
        <v/>
      </c>
      <c r="S273" s="131">
        <f t="shared" si="38"/>
        <v>-7</v>
      </c>
      <c r="T273" s="131">
        <f t="shared" si="39"/>
        <v>-70</v>
      </c>
      <c r="U273" s="131"/>
      <c r="V273" s="136">
        <f t="shared" si="40"/>
        <v>0</v>
      </c>
    </row>
    <row r="274" spans="1:22" x14ac:dyDescent="0.25">
      <c r="A274" s="56"/>
      <c r="G274" s="13"/>
      <c r="H274" s="35">
        <v>269</v>
      </c>
      <c r="I274" s="36" t="str">
        <f t="shared" si="35"/>
        <v/>
      </c>
      <c r="J274" s="35">
        <f t="shared" si="41"/>
        <v>-9</v>
      </c>
      <c r="K274" s="35">
        <f t="shared" si="36"/>
        <v>-90</v>
      </c>
      <c r="L274" s="35"/>
      <c r="M274" s="37">
        <f t="shared" si="37"/>
        <v>0</v>
      </c>
      <c r="O274" s="131">
        <v>269</v>
      </c>
      <c r="P274" s="131"/>
      <c r="Q274" s="131"/>
      <c r="R274" s="135" t="str">
        <f t="shared" si="42"/>
        <v/>
      </c>
      <c r="S274" s="131">
        <f t="shared" si="38"/>
        <v>-7</v>
      </c>
      <c r="T274" s="131">
        <f t="shared" si="39"/>
        <v>-70</v>
      </c>
      <c r="U274" s="131"/>
      <c r="V274" s="136">
        <f t="shared" si="40"/>
        <v>0</v>
      </c>
    </row>
    <row r="275" spans="1:22" x14ac:dyDescent="0.25">
      <c r="A275" s="56"/>
      <c r="G275" s="13"/>
      <c r="H275" s="35">
        <v>270</v>
      </c>
      <c r="I275" s="36" t="str">
        <f t="shared" si="35"/>
        <v/>
      </c>
      <c r="J275" s="35">
        <f t="shared" si="41"/>
        <v>-9</v>
      </c>
      <c r="K275" s="35">
        <f t="shared" si="36"/>
        <v>-90</v>
      </c>
      <c r="L275" s="35"/>
      <c r="M275" s="37">
        <f t="shared" si="37"/>
        <v>0</v>
      </c>
      <c r="O275" s="131">
        <v>270</v>
      </c>
      <c r="P275" s="131"/>
      <c r="Q275" s="131"/>
      <c r="R275" s="135" t="str">
        <f t="shared" si="42"/>
        <v/>
      </c>
      <c r="S275" s="131">
        <f t="shared" si="38"/>
        <v>-7</v>
      </c>
      <c r="T275" s="131">
        <f t="shared" si="39"/>
        <v>-70</v>
      </c>
      <c r="U275" s="131"/>
      <c r="V275" s="136">
        <f t="shared" si="40"/>
        <v>0</v>
      </c>
    </row>
    <row r="276" spans="1:22" x14ac:dyDescent="0.25">
      <c r="A276" s="56"/>
      <c r="G276" s="13"/>
      <c r="H276" s="35">
        <v>271</v>
      </c>
      <c r="I276" s="36" t="str">
        <f t="shared" si="35"/>
        <v/>
      </c>
      <c r="J276" s="35">
        <f t="shared" si="41"/>
        <v>-9</v>
      </c>
      <c r="K276" s="35">
        <f t="shared" si="36"/>
        <v>-90</v>
      </c>
      <c r="L276" s="35"/>
      <c r="M276" s="37">
        <f t="shared" si="37"/>
        <v>0</v>
      </c>
      <c r="O276" s="131">
        <v>271</v>
      </c>
      <c r="P276" s="131"/>
      <c r="Q276" s="131"/>
      <c r="R276" s="135" t="str">
        <f t="shared" si="42"/>
        <v/>
      </c>
      <c r="S276" s="131">
        <f t="shared" si="38"/>
        <v>-7</v>
      </c>
      <c r="T276" s="131">
        <f t="shared" si="39"/>
        <v>-70</v>
      </c>
      <c r="U276" s="131"/>
      <c r="V276" s="136">
        <f t="shared" si="40"/>
        <v>0</v>
      </c>
    </row>
    <row r="277" spans="1:22" x14ac:dyDescent="0.25">
      <c r="A277" s="56"/>
      <c r="G277" s="13"/>
      <c r="H277" s="35">
        <v>272</v>
      </c>
      <c r="I277" s="36" t="str">
        <f t="shared" si="35"/>
        <v/>
      </c>
      <c r="J277" s="35">
        <f t="shared" si="41"/>
        <v>-9</v>
      </c>
      <c r="K277" s="35">
        <f t="shared" si="36"/>
        <v>-90</v>
      </c>
      <c r="L277" s="35"/>
      <c r="M277" s="37">
        <f t="shared" si="37"/>
        <v>0</v>
      </c>
      <c r="O277" s="131">
        <v>272</v>
      </c>
      <c r="P277" s="131"/>
      <c r="Q277" s="131"/>
      <c r="R277" s="135" t="str">
        <f t="shared" si="42"/>
        <v/>
      </c>
      <c r="S277" s="131">
        <f t="shared" si="38"/>
        <v>-7</v>
      </c>
      <c r="T277" s="131">
        <f t="shared" si="39"/>
        <v>-70</v>
      </c>
      <c r="U277" s="131"/>
      <c r="V277" s="136">
        <f t="shared" si="40"/>
        <v>0</v>
      </c>
    </row>
    <row r="278" spans="1:22" x14ac:dyDescent="0.25">
      <c r="A278" s="56"/>
      <c r="G278" s="13"/>
      <c r="H278" s="35">
        <v>273</v>
      </c>
      <c r="I278" s="36" t="str">
        <f t="shared" si="35"/>
        <v/>
      </c>
      <c r="J278" s="35">
        <f t="shared" si="41"/>
        <v>-9</v>
      </c>
      <c r="K278" s="35">
        <f t="shared" si="36"/>
        <v>-90</v>
      </c>
      <c r="L278" s="35"/>
      <c r="M278" s="37">
        <f t="shared" si="37"/>
        <v>0</v>
      </c>
      <c r="O278" s="131">
        <v>273</v>
      </c>
      <c r="P278" s="131"/>
      <c r="Q278" s="131"/>
      <c r="R278" s="135" t="str">
        <f t="shared" si="42"/>
        <v/>
      </c>
      <c r="S278" s="131">
        <f t="shared" si="38"/>
        <v>-7</v>
      </c>
      <c r="T278" s="131">
        <f t="shared" si="39"/>
        <v>-70</v>
      </c>
      <c r="U278" s="131"/>
      <c r="V278" s="136">
        <f t="shared" si="40"/>
        <v>0</v>
      </c>
    </row>
    <row r="279" spans="1:22" x14ac:dyDescent="0.25">
      <c r="A279" s="56"/>
      <c r="G279" s="13"/>
      <c r="H279" s="35">
        <v>274</v>
      </c>
      <c r="I279" s="36" t="str">
        <f t="shared" si="35"/>
        <v/>
      </c>
      <c r="J279" s="35">
        <f t="shared" si="41"/>
        <v>-9</v>
      </c>
      <c r="K279" s="35">
        <f t="shared" si="36"/>
        <v>-90</v>
      </c>
      <c r="L279" s="35"/>
      <c r="M279" s="37">
        <f t="shared" si="37"/>
        <v>0</v>
      </c>
      <c r="O279" s="131">
        <v>274</v>
      </c>
      <c r="P279" s="131"/>
      <c r="Q279" s="131"/>
      <c r="R279" s="135" t="str">
        <f t="shared" si="42"/>
        <v/>
      </c>
      <c r="S279" s="131">
        <f t="shared" si="38"/>
        <v>-7</v>
      </c>
      <c r="T279" s="131">
        <f t="shared" si="39"/>
        <v>-70</v>
      </c>
      <c r="U279" s="131"/>
      <c r="V279" s="136">
        <f t="shared" si="40"/>
        <v>0</v>
      </c>
    </row>
    <row r="280" spans="1:22" x14ac:dyDescent="0.25">
      <c r="A280" s="56"/>
      <c r="G280" s="13"/>
      <c r="H280" s="35">
        <v>275</v>
      </c>
      <c r="I280" s="36" t="str">
        <f t="shared" si="35"/>
        <v/>
      </c>
      <c r="J280" s="35">
        <f t="shared" si="41"/>
        <v>-9</v>
      </c>
      <c r="K280" s="35">
        <f t="shared" si="36"/>
        <v>-90</v>
      </c>
      <c r="L280" s="35"/>
      <c r="M280" s="37">
        <f t="shared" si="37"/>
        <v>0</v>
      </c>
      <c r="O280" s="131">
        <v>275</v>
      </c>
      <c r="P280" s="131"/>
      <c r="Q280" s="131"/>
      <c r="R280" s="135" t="str">
        <f t="shared" si="42"/>
        <v/>
      </c>
      <c r="S280" s="131">
        <f t="shared" si="38"/>
        <v>-7</v>
      </c>
      <c r="T280" s="131">
        <f t="shared" si="39"/>
        <v>-70</v>
      </c>
      <c r="U280" s="131"/>
      <c r="V280" s="136">
        <f t="shared" si="40"/>
        <v>0</v>
      </c>
    </row>
    <row r="281" spans="1:22" x14ac:dyDescent="0.25">
      <c r="A281" s="56"/>
      <c r="G281" s="13"/>
      <c r="H281" s="35">
        <v>276</v>
      </c>
      <c r="I281" s="36" t="str">
        <f t="shared" si="35"/>
        <v/>
      </c>
      <c r="J281" s="35">
        <f t="shared" si="41"/>
        <v>-9</v>
      </c>
      <c r="K281" s="35">
        <f t="shared" si="36"/>
        <v>-90</v>
      </c>
      <c r="L281" s="35"/>
      <c r="M281" s="37">
        <f t="shared" si="37"/>
        <v>0</v>
      </c>
      <c r="O281" s="131">
        <v>276</v>
      </c>
      <c r="P281" s="131"/>
      <c r="Q281" s="131"/>
      <c r="R281" s="135" t="str">
        <f t="shared" si="42"/>
        <v/>
      </c>
      <c r="S281" s="131">
        <f t="shared" si="38"/>
        <v>-7</v>
      </c>
      <c r="T281" s="131">
        <f t="shared" si="39"/>
        <v>-70</v>
      </c>
      <c r="U281" s="131"/>
      <c r="V281" s="136">
        <f t="shared" si="40"/>
        <v>0</v>
      </c>
    </row>
    <row r="282" spans="1:22" x14ac:dyDescent="0.25">
      <c r="A282" s="56"/>
      <c r="G282" s="13"/>
      <c r="H282" s="35">
        <v>277</v>
      </c>
      <c r="I282" s="36" t="str">
        <f t="shared" si="35"/>
        <v/>
      </c>
      <c r="J282" s="35">
        <f t="shared" si="41"/>
        <v>-9</v>
      </c>
      <c r="K282" s="35">
        <f t="shared" si="36"/>
        <v>-90</v>
      </c>
      <c r="L282" s="35"/>
      <c r="M282" s="37">
        <f t="shared" si="37"/>
        <v>0</v>
      </c>
      <c r="O282" s="131">
        <v>277</v>
      </c>
      <c r="P282" s="131"/>
      <c r="Q282" s="131"/>
      <c r="R282" s="135" t="str">
        <f t="shared" si="42"/>
        <v/>
      </c>
      <c r="S282" s="131">
        <f t="shared" si="38"/>
        <v>-7</v>
      </c>
      <c r="T282" s="131">
        <f t="shared" si="39"/>
        <v>-70</v>
      </c>
      <c r="U282" s="131"/>
      <c r="V282" s="136">
        <f t="shared" si="40"/>
        <v>0</v>
      </c>
    </row>
    <row r="283" spans="1:22" x14ac:dyDescent="0.25">
      <c r="A283" s="56"/>
      <c r="G283" s="13"/>
      <c r="H283" s="35">
        <v>278</v>
      </c>
      <c r="I283" s="36" t="str">
        <f t="shared" si="35"/>
        <v/>
      </c>
      <c r="J283" s="35">
        <f t="shared" si="41"/>
        <v>-9</v>
      </c>
      <c r="K283" s="35">
        <f t="shared" si="36"/>
        <v>-90</v>
      </c>
      <c r="L283" s="35"/>
      <c r="M283" s="37">
        <f t="shared" si="37"/>
        <v>0</v>
      </c>
      <c r="O283" s="131">
        <v>278</v>
      </c>
      <c r="P283" s="131"/>
      <c r="Q283" s="131"/>
      <c r="R283" s="135" t="str">
        <f t="shared" si="42"/>
        <v/>
      </c>
      <c r="S283" s="131">
        <f t="shared" si="38"/>
        <v>-7</v>
      </c>
      <c r="T283" s="131">
        <f t="shared" si="39"/>
        <v>-70</v>
      </c>
      <c r="U283" s="131"/>
      <c r="V283" s="136">
        <f t="shared" si="40"/>
        <v>0</v>
      </c>
    </row>
    <row r="284" spans="1:22" x14ac:dyDescent="0.25">
      <c r="A284" s="56"/>
      <c r="G284" s="13"/>
      <c r="H284" s="35">
        <v>279</v>
      </c>
      <c r="I284" s="36" t="str">
        <f t="shared" si="35"/>
        <v/>
      </c>
      <c r="J284" s="35">
        <f t="shared" si="41"/>
        <v>-9</v>
      </c>
      <c r="K284" s="35">
        <f t="shared" si="36"/>
        <v>-90</v>
      </c>
      <c r="L284" s="35"/>
      <c r="M284" s="37">
        <f t="shared" si="37"/>
        <v>0</v>
      </c>
      <c r="O284" s="131">
        <v>279</v>
      </c>
      <c r="P284" s="131"/>
      <c r="Q284" s="131"/>
      <c r="R284" s="135" t="str">
        <f t="shared" si="42"/>
        <v/>
      </c>
      <c r="S284" s="131">
        <f t="shared" si="38"/>
        <v>-7</v>
      </c>
      <c r="T284" s="131">
        <f t="shared" si="39"/>
        <v>-70</v>
      </c>
      <c r="U284" s="131"/>
      <c r="V284" s="136">
        <f t="shared" si="40"/>
        <v>0</v>
      </c>
    </row>
    <row r="285" spans="1:22" x14ac:dyDescent="0.25">
      <c r="A285" s="56"/>
      <c r="G285" s="13"/>
      <c r="H285" s="35">
        <v>280</v>
      </c>
      <c r="I285" s="36" t="str">
        <f t="shared" si="35"/>
        <v/>
      </c>
      <c r="J285" s="35">
        <f t="shared" si="41"/>
        <v>-9</v>
      </c>
      <c r="K285" s="35">
        <f t="shared" si="36"/>
        <v>-90</v>
      </c>
      <c r="L285" s="35"/>
      <c r="M285" s="37">
        <f t="shared" si="37"/>
        <v>0</v>
      </c>
      <c r="O285" s="131">
        <v>280</v>
      </c>
      <c r="P285" s="131"/>
      <c r="Q285" s="131"/>
      <c r="R285" s="135" t="str">
        <f t="shared" si="42"/>
        <v/>
      </c>
      <c r="S285" s="131">
        <f t="shared" si="38"/>
        <v>-7</v>
      </c>
      <c r="T285" s="131">
        <f t="shared" si="39"/>
        <v>-70</v>
      </c>
      <c r="U285" s="131"/>
      <c r="V285" s="136">
        <f t="shared" si="40"/>
        <v>0</v>
      </c>
    </row>
    <row r="286" spans="1:22" x14ac:dyDescent="0.25">
      <c r="A286" s="56"/>
      <c r="G286" s="13"/>
      <c r="H286" s="35">
        <v>281</v>
      </c>
      <c r="I286" s="36" t="str">
        <f t="shared" si="35"/>
        <v/>
      </c>
      <c r="J286" s="35">
        <f t="shared" si="41"/>
        <v>-9</v>
      </c>
      <c r="K286" s="35">
        <f t="shared" si="36"/>
        <v>-90</v>
      </c>
      <c r="L286" s="35"/>
      <c r="M286" s="37">
        <f t="shared" si="37"/>
        <v>0</v>
      </c>
      <c r="O286" s="131">
        <v>281</v>
      </c>
      <c r="P286" s="131"/>
      <c r="Q286" s="131"/>
      <c r="R286" s="135" t="str">
        <f t="shared" si="42"/>
        <v/>
      </c>
      <c r="S286" s="131">
        <f t="shared" si="38"/>
        <v>-7</v>
      </c>
      <c r="T286" s="131">
        <f t="shared" si="39"/>
        <v>-70</v>
      </c>
      <c r="U286" s="131"/>
      <c r="V286" s="136">
        <f t="shared" si="40"/>
        <v>0</v>
      </c>
    </row>
    <row r="287" spans="1:22" x14ac:dyDescent="0.25">
      <c r="A287" s="56"/>
      <c r="G287" s="13"/>
      <c r="H287" s="35">
        <v>282</v>
      </c>
      <c r="I287" s="36" t="str">
        <f t="shared" si="35"/>
        <v/>
      </c>
      <c r="J287" s="35">
        <f t="shared" si="41"/>
        <v>-9</v>
      </c>
      <c r="K287" s="35">
        <f t="shared" si="36"/>
        <v>-90</v>
      </c>
      <c r="L287" s="35"/>
      <c r="M287" s="37">
        <f t="shared" si="37"/>
        <v>0</v>
      </c>
      <c r="O287" s="131">
        <v>282</v>
      </c>
      <c r="P287" s="131"/>
      <c r="Q287" s="131"/>
      <c r="R287" s="135" t="str">
        <f t="shared" si="42"/>
        <v/>
      </c>
      <c r="S287" s="131">
        <f t="shared" si="38"/>
        <v>-7</v>
      </c>
      <c r="T287" s="131">
        <f t="shared" si="39"/>
        <v>-70</v>
      </c>
      <c r="U287" s="131"/>
      <c r="V287" s="136">
        <f t="shared" si="40"/>
        <v>0</v>
      </c>
    </row>
    <row r="288" spans="1:22" x14ac:dyDescent="0.25">
      <c r="A288" s="56"/>
      <c r="G288" s="13"/>
      <c r="H288" s="35">
        <v>283</v>
      </c>
      <c r="I288" s="36" t="str">
        <f t="shared" si="35"/>
        <v/>
      </c>
      <c r="J288" s="35">
        <f t="shared" si="41"/>
        <v>-9</v>
      </c>
      <c r="K288" s="35">
        <f t="shared" si="36"/>
        <v>-90</v>
      </c>
      <c r="L288" s="35"/>
      <c r="M288" s="37">
        <f t="shared" si="37"/>
        <v>0</v>
      </c>
      <c r="O288" s="131">
        <v>283</v>
      </c>
      <c r="P288" s="131"/>
      <c r="Q288" s="131"/>
      <c r="R288" s="135" t="str">
        <f t="shared" si="42"/>
        <v/>
      </c>
      <c r="S288" s="131">
        <f t="shared" si="38"/>
        <v>-7</v>
      </c>
      <c r="T288" s="131">
        <f t="shared" si="39"/>
        <v>-70</v>
      </c>
      <c r="U288" s="131"/>
      <c r="V288" s="136">
        <f t="shared" si="40"/>
        <v>0</v>
      </c>
    </row>
    <row r="289" spans="1:22" x14ac:dyDescent="0.25">
      <c r="A289" s="56"/>
      <c r="G289" s="13"/>
      <c r="H289" s="35">
        <v>284</v>
      </c>
      <c r="I289" s="36" t="str">
        <f t="shared" si="35"/>
        <v/>
      </c>
      <c r="J289" s="35">
        <f t="shared" si="41"/>
        <v>-9</v>
      </c>
      <c r="K289" s="35">
        <f t="shared" si="36"/>
        <v>-90</v>
      </c>
      <c r="L289" s="35"/>
      <c r="M289" s="37">
        <f t="shared" si="37"/>
        <v>0</v>
      </c>
      <c r="O289" s="131">
        <v>284</v>
      </c>
      <c r="P289" s="131"/>
      <c r="Q289" s="131"/>
      <c r="R289" s="135" t="str">
        <f t="shared" si="42"/>
        <v/>
      </c>
      <c r="S289" s="131">
        <f t="shared" si="38"/>
        <v>-7</v>
      </c>
      <c r="T289" s="131">
        <f t="shared" si="39"/>
        <v>-70</v>
      </c>
      <c r="U289" s="131"/>
      <c r="V289" s="136">
        <f t="shared" si="40"/>
        <v>0</v>
      </c>
    </row>
    <row r="290" spans="1:22" x14ac:dyDescent="0.25">
      <c r="A290" s="56"/>
      <c r="G290" s="13"/>
      <c r="H290" s="35">
        <v>285</v>
      </c>
      <c r="I290" s="36" t="str">
        <f t="shared" si="35"/>
        <v/>
      </c>
      <c r="J290" s="35">
        <f t="shared" si="41"/>
        <v>-9</v>
      </c>
      <c r="K290" s="35">
        <f t="shared" si="36"/>
        <v>-90</v>
      </c>
      <c r="L290" s="35"/>
      <c r="M290" s="37">
        <f t="shared" si="37"/>
        <v>0</v>
      </c>
      <c r="O290" s="131">
        <v>285</v>
      </c>
      <c r="P290" s="131"/>
      <c r="Q290" s="131"/>
      <c r="R290" s="135" t="str">
        <f t="shared" si="42"/>
        <v/>
      </c>
      <c r="S290" s="131">
        <f t="shared" si="38"/>
        <v>-7</v>
      </c>
      <c r="T290" s="131">
        <f t="shared" si="39"/>
        <v>-70</v>
      </c>
      <c r="U290" s="131"/>
      <c r="V290" s="136">
        <f t="shared" si="40"/>
        <v>0</v>
      </c>
    </row>
    <row r="291" spans="1:22" x14ac:dyDescent="0.25">
      <c r="A291" s="56"/>
      <c r="G291" s="13"/>
      <c r="H291" s="35">
        <v>286</v>
      </c>
      <c r="I291" s="36" t="str">
        <f t="shared" si="35"/>
        <v/>
      </c>
      <c r="J291" s="35">
        <f t="shared" si="41"/>
        <v>-9</v>
      </c>
      <c r="K291" s="35">
        <f t="shared" si="36"/>
        <v>-90</v>
      </c>
      <c r="L291" s="35"/>
      <c r="M291" s="37">
        <f t="shared" si="37"/>
        <v>0</v>
      </c>
      <c r="O291" s="131">
        <v>286</v>
      </c>
      <c r="P291" s="131"/>
      <c r="Q291" s="131"/>
      <c r="R291" s="135" t="str">
        <f t="shared" si="42"/>
        <v/>
      </c>
      <c r="S291" s="131">
        <f t="shared" si="38"/>
        <v>-7</v>
      </c>
      <c r="T291" s="131">
        <f t="shared" si="39"/>
        <v>-70</v>
      </c>
      <c r="U291" s="131"/>
      <c r="V291" s="136">
        <f t="shared" si="40"/>
        <v>0</v>
      </c>
    </row>
    <row r="292" spans="1:22" x14ac:dyDescent="0.25">
      <c r="A292" s="56"/>
      <c r="G292" s="13"/>
      <c r="H292" s="35">
        <v>287</v>
      </c>
      <c r="I292" s="36" t="str">
        <f t="shared" si="35"/>
        <v/>
      </c>
      <c r="J292" s="35">
        <f t="shared" si="41"/>
        <v>-9</v>
      </c>
      <c r="K292" s="35">
        <f t="shared" si="36"/>
        <v>-90</v>
      </c>
      <c r="L292" s="35"/>
      <c r="M292" s="37">
        <f t="shared" si="37"/>
        <v>0</v>
      </c>
      <c r="O292" s="131">
        <v>287</v>
      </c>
      <c r="P292" s="131"/>
      <c r="Q292" s="131"/>
      <c r="R292" s="135" t="str">
        <f t="shared" si="42"/>
        <v/>
      </c>
      <c r="S292" s="131">
        <f t="shared" si="38"/>
        <v>-7</v>
      </c>
      <c r="T292" s="131">
        <f t="shared" si="39"/>
        <v>-70</v>
      </c>
      <c r="U292" s="131"/>
      <c r="V292" s="136">
        <f t="shared" si="40"/>
        <v>0</v>
      </c>
    </row>
    <row r="293" spans="1:22" x14ac:dyDescent="0.25">
      <c r="A293" s="56"/>
      <c r="G293" s="13"/>
      <c r="H293" s="35">
        <v>288</v>
      </c>
      <c r="I293" s="36" t="str">
        <f t="shared" si="35"/>
        <v/>
      </c>
      <c r="J293" s="35">
        <f t="shared" si="41"/>
        <v>-9</v>
      </c>
      <c r="K293" s="35">
        <f t="shared" si="36"/>
        <v>-90</v>
      </c>
      <c r="L293" s="35"/>
      <c r="M293" s="37">
        <f t="shared" si="37"/>
        <v>0</v>
      </c>
      <c r="O293" s="131">
        <v>288</v>
      </c>
      <c r="P293" s="131"/>
      <c r="Q293" s="131"/>
      <c r="R293" s="135" t="str">
        <f t="shared" si="42"/>
        <v/>
      </c>
      <c r="S293" s="131">
        <f t="shared" si="38"/>
        <v>-7</v>
      </c>
      <c r="T293" s="131">
        <f t="shared" si="39"/>
        <v>-70</v>
      </c>
      <c r="U293" s="131"/>
      <c r="V293" s="136">
        <f t="shared" si="40"/>
        <v>0</v>
      </c>
    </row>
    <row r="294" spans="1:22" x14ac:dyDescent="0.25">
      <c r="A294" s="56"/>
      <c r="G294" s="13"/>
      <c r="H294" s="35">
        <v>289</v>
      </c>
      <c r="I294" s="36" t="str">
        <f t="shared" si="35"/>
        <v/>
      </c>
      <c r="J294" s="35">
        <f t="shared" si="41"/>
        <v>-9</v>
      </c>
      <c r="K294" s="35">
        <f t="shared" si="36"/>
        <v>-90</v>
      </c>
      <c r="L294" s="35"/>
      <c r="M294" s="37">
        <f t="shared" si="37"/>
        <v>0</v>
      </c>
      <c r="O294" s="131">
        <v>289</v>
      </c>
      <c r="P294" s="131"/>
      <c r="Q294" s="131"/>
      <c r="R294" s="135" t="str">
        <f t="shared" si="42"/>
        <v/>
      </c>
      <c r="S294" s="131">
        <f t="shared" si="38"/>
        <v>-7</v>
      </c>
      <c r="T294" s="131">
        <f t="shared" si="39"/>
        <v>-70</v>
      </c>
      <c r="U294" s="131"/>
      <c r="V294" s="136">
        <f t="shared" si="40"/>
        <v>0</v>
      </c>
    </row>
    <row r="295" spans="1:22" x14ac:dyDescent="0.25">
      <c r="A295" s="56"/>
      <c r="G295" s="13"/>
      <c r="H295" s="35">
        <v>290</v>
      </c>
      <c r="I295" s="36" t="str">
        <f t="shared" si="35"/>
        <v/>
      </c>
      <c r="J295" s="35">
        <f t="shared" si="41"/>
        <v>-9</v>
      </c>
      <c r="K295" s="35">
        <f t="shared" si="36"/>
        <v>-90</v>
      </c>
      <c r="L295" s="35"/>
      <c r="M295" s="37">
        <f t="shared" si="37"/>
        <v>0</v>
      </c>
      <c r="O295" s="131">
        <v>290</v>
      </c>
      <c r="P295" s="131"/>
      <c r="Q295" s="131"/>
      <c r="R295" s="135" t="str">
        <f t="shared" si="42"/>
        <v/>
      </c>
      <c r="S295" s="131">
        <f t="shared" si="38"/>
        <v>-7</v>
      </c>
      <c r="T295" s="131">
        <f t="shared" si="39"/>
        <v>-70</v>
      </c>
      <c r="U295" s="131"/>
      <c r="V295" s="136">
        <f t="shared" si="40"/>
        <v>0</v>
      </c>
    </row>
    <row r="296" spans="1:22" x14ac:dyDescent="0.25">
      <c r="A296" s="56"/>
      <c r="G296" s="13"/>
      <c r="H296" s="35">
        <v>291</v>
      </c>
      <c r="I296" s="36" t="str">
        <f t="shared" si="35"/>
        <v/>
      </c>
      <c r="J296" s="35">
        <f t="shared" si="41"/>
        <v>-9</v>
      </c>
      <c r="K296" s="35">
        <f t="shared" si="36"/>
        <v>-90</v>
      </c>
      <c r="L296" s="35"/>
      <c r="M296" s="37">
        <f t="shared" si="37"/>
        <v>0</v>
      </c>
      <c r="O296" s="131">
        <v>291</v>
      </c>
      <c r="P296" s="131"/>
      <c r="Q296" s="131"/>
      <c r="R296" s="135" t="str">
        <f t="shared" si="42"/>
        <v/>
      </c>
      <c r="S296" s="131">
        <f t="shared" si="38"/>
        <v>-7</v>
      </c>
      <c r="T296" s="131">
        <f t="shared" si="39"/>
        <v>-70</v>
      </c>
      <c r="U296" s="131"/>
      <c r="V296" s="136">
        <f t="shared" si="40"/>
        <v>0</v>
      </c>
    </row>
    <row r="297" spans="1:22" x14ac:dyDescent="0.25">
      <c r="A297" s="56"/>
      <c r="G297" s="13"/>
      <c r="H297" s="35">
        <v>292</v>
      </c>
      <c r="I297" s="36" t="str">
        <f t="shared" si="35"/>
        <v/>
      </c>
      <c r="J297" s="35">
        <f t="shared" si="41"/>
        <v>-9</v>
      </c>
      <c r="K297" s="35">
        <f t="shared" si="36"/>
        <v>-90</v>
      </c>
      <c r="L297" s="35"/>
      <c r="M297" s="37">
        <f t="shared" si="37"/>
        <v>0</v>
      </c>
      <c r="O297" s="131">
        <v>292</v>
      </c>
      <c r="P297" s="131"/>
      <c r="Q297" s="131"/>
      <c r="R297" s="135" t="str">
        <f t="shared" si="42"/>
        <v/>
      </c>
      <c r="S297" s="131">
        <f t="shared" si="38"/>
        <v>-7</v>
      </c>
      <c r="T297" s="131">
        <f t="shared" si="39"/>
        <v>-70</v>
      </c>
      <c r="U297" s="131"/>
      <c r="V297" s="136">
        <f t="shared" si="40"/>
        <v>0</v>
      </c>
    </row>
    <row r="298" spans="1:22" x14ac:dyDescent="0.25">
      <c r="A298" s="56"/>
      <c r="G298" s="13"/>
      <c r="H298" s="35">
        <v>293</v>
      </c>
      <c r="I298" s="36" t="str">
        <f t="shared" si="35"/>
        <v/>
      </c>
      <c r="J298" s="35">
        <f t="shared" si="41"/>
        <v>-9</v>
      </c>
      <c r="K298" s="35">
        <f t="shared" si="36"/>
        <v>-90</v>
      </c>
      <c r="L298" s="35"/>
      <c r="M298" s="37">
        <f t="shared" si="37"/>
        <v>0</v>
      </c>
      <c r="O298" s="131">
        <v>293</v>
      </c>
      <c r="P298" s="131"/>
      <c r="Q298" s="131"/>
      <c r="R298" s="135" t="str">
        <f t="shared" si="42"/>
        <v/>
      </c>
      <c r="S298" s="131">
        <f t="shared" si="38"/>
        <v>-7</v>
      </c>
      <c r="T298" s="131">
        <f t="shared" si="39"/>
        <v>-70</v>
      </c>
      <c r="U298" s="131"/>
      <c r="V298" s="136">
        <f t="shared" si="40"/>
        <v>0</v>
      </c>
    </row>
    <row r="299" spans="1:22" x14ac:dyDescent="0.25">
      <c r="A299" s="56"/>
      <c r="G299" s="13"/>
      <c r="H299" s="35">
        <v>294</v>
      </c>
      <c r="I299" s="36" t="str">
        <f t="shared" si="35"/>
        <v/>
      </c>
      <c r="J299" s="35">
        <f t="shared" si="41"/>
        <v>-9</v>
      </c>
      <c r="K299" s="35">
        <f t="shared" si="36"/>
        <v>-90</v>
      </c>
      <c r="L299" s="35"/>
      <c r="M299" s="37">
        <f t="shared" si="37"/>
        <v>0</v>
      </c>
      <c r="O299" s="131">
        <v>294</v>
      </c>
      <c r="P299" s="131"/>
      <c r="Q299" s="131"/>
      <c r="R299" s="135" t="str">
        <f t="shared" si="42"/>
        <v/>
      </c>
      <c r="S299" s="131">
        <f t="shared" si="38"/>
        <v>-7</v>
      </c>
      <c r="T299" s="131">
        <f t="shared" si="39"/>
        <v>-70</v>
      </c>
      <c r="U299" s="131"/>
      <c r="V299" s="136">
        <f t="shared" si="40"/>
        <v>0</v>
      </c>
    </row>
    <row r="300" spans="1:22" x14ac:dyDescent="0.25">
      <c r="A300" s="56"/>
      <c r="G300" s="13"/>
      <c r="H300" s="35">
        <v>295</v>
      </c>
      <c r="I300" s="36" t="str">
        <f t="shared" si="35"/>
        <v/>
      </c>
      <c r="J300" s="35">
        <f t="shared" si="41"/>
        <v>-9</v>
      </c>
      <c r="K300" s="35">
        <f t="shared" si="36"/>
        <v>-90</v>
      </c>
      <c r="L300" s="35"/>
      <c r="M300" s="37">
        <f t="shared" si="37"/>
        <v>0</v>
      </c>
      <c r="O300" s="131">
        <v>295</v>
      </c>
      <c r="P300" s="131"/>
      <c r="Q300" s="131"/>
      <c r="R300" s="135" t="str">
        <f t="shared" si="42"/>
        <v/>
      </c>
      <c r="S300" s="131">
        <f t="shared" si="38"/>
        <v>-7</v>
      </c>
      <c r="T300" s="131">
        <f t="shared" si="39"/>
        <v>-70</v>
      </c>
      <c r="U300" s="131"/>
      <c r="V300" s="136">
        <f t="shared" si="40"/>
        <v>0</v>
      </c>
    </row>
    <row r="301" spans="1:22" x14ac:dyDescent="0.25">
      <c r="A301" s="56"/>
      <c r="G301" s="13"/>
      <c r="H301" s="35">
        <v>296</v>
      </c>
      <c r="I301" s="36" t="str">
        <f t="shared" si="35"/>
        <v/>
      </c>
      <c r="J301" s="35">
        <f t="shared" si="41"/>
        <v>-9</v>
      </c>
      <c r="K301" s="35">
        <f t="shared" si="36"/>
        <v>-90</v>
      </c>
      <c r="L301" s="35"/>
      <c r="M301" s="37">
        <f t="shared" si="37"/>
        <v>0</v>
      </c>
      <c r="O301" s="131">
        <v>296</v>
      </c>
      <c r="P301" s="131"/>
      <c r="Q301" s="131"/>
      <c r="R301" s="135" t="str">
        <f t="shared" si="42"/>
        <v/>
      </c>
      <c r="S301" s="131">
        <f t="shared" si="38"/>
        <v>-7</v>
      </c>
      <c r="T301" s="131">
        <f t="shared" si="39"/>
        <v>-70</v>
      </c>
      <c r="U301" s="131"/>
      <c r="V301" s="136">
        <f t="shared" si="40"/>
        <v>0</v>
      </c>
    </row>
    <row r="302" spans="1:22" x14ac:dyDescent="0.25">
      <c r="A302" s="56"/>
      <c r="G302" s="13"/>
      <c r="H302" s="35">
        <v>297</v>
      </c>
      <c r="I302" s="36" t="str">
        <f t="shared" si="35"/>
        <v/>
      </c>
      <c r="J302" s="35">
        <f t="shared" si="41"/>
        <v>-9</v>
      </c>
      <c r="K302" s="35">
        <f t="shared" si="36"/>
        <v>-90</v>
      </c>
      <c r="L302" s="35"/>
      <c r="M302" s="37">
        <f t="shared" si="37"/>
        <v>0</v>
      </c>
      <c r="O302" s="131">
        <v>297</v>
      </c>
      <c r="P302" s="131"/>
      <c r="Q302" s="131"/>
      <c r="R302" s="135" t="str">
        <f t="shared" si="42"/>
        <v/>
      </c>
      <c r="S302" s="131">
        <f t="shared" si="38"/>
        <v>-7</v>
      </c>
      <c r="T302" s="131">
        <f t="shared" si="39"/>
        <v>-70</v>
      </c>
      <c r="U302" s="131"/>
      <c r="V302" s="136">
        <f t="shared" si="40"/>
        <v>0</v>
      </c>
    </row>
    <row r="303" spans="1:22" x14ac:dyDescent="0.25">
      <c r="A303" s="56"/>
      <c r="G303" s="13"/>
      <c r="H303" s="35">
        <v>298</v>
      </c>
      <c r="I303" s="36" t="str">
        <f t="shared" si="35"/>
        <v/>
      </c>
      <c r="J303" s="35">
        <f t="shared" si="41"/>
        <v>-9</v>
      </c>
      <c r="K303" s="35">
        <f t="shared" si="36"/>
        <v>-90</v>
      </c>
      <c r="L303" s="35"/>
      <c r="M303" s="37">
        <f t="shared" si="37"/>
        <v>0</v>
      </c>
      <c r="O303" s="131">
        <v>298</v>
      </c>
      <c r="P303" s="131"/>
      <c r="Q303" s="131"/>
      <c r="R303" s="135" t="str">
        <f t="shared" si="42"/>
        <v/>
      </c>
      <c r="S303" s="131">
        <f t="shared" si="38"/>
        <v>-7</v>
      </c>
      <c r="T303" s="131">
        <f t="shared" si="39"/>
        <v>-70</v>
      </c>
      <c r="U303" s="131"/>
      <c r="V303" s="136">
        <f t="shared" si="40"/>
        <v>0</v>
      </c>
    </row>
    <row r="304" spans="1:22" x14ac:dyDescent="0.25">
      <c r="A304" s="56"/>
      <c r="G304" s="13"/>
      <c r="H304" s="35">
        <v>299</v>
      </c>
      <c r="I304" s="36" t="str">
        <f t="shared" si="35"/>
        <v/>
      </c>
      <c r="J304" s="35">
        <f t="shared" si="41"/>
        <v>-9</v>
      </c>
      <c r="K304" s="35">
        <f t="shared" si="36"/>
        <v>-90</v>
      </c>
      <c r="L304" s="35"/>
      <c r="M304" s="37">
        <f t="shared" si="37"/>
        <v>0</v>
      </c>
      <c r="O304" s="131">
        <v>299</v>
      </c>
      <c r="P304" s="131"/>
      <c r="Q304" s="131"/>
      <c r="R304" s="135" t="str">
        <f t="shared" si="42"/>
        <v/>
      </c>
      <c r="S304" s="131">
        <f t="shared" si="38"/>
        <v>-7</v>
      </c>
      <c r="T304" s="131">
        <f t="shared" si="39"/>
        <v>-70</v>
      </c>
      <c r="U304" s="131"/>
      <c r="V304" s="136">
        <f t="shared" si="40"/>
        <v>0</v>
      </c>
    </row>
    <row r="305" spans="1:22" x14ac:dyDescent="0.25">
      <c r="A305" s="56"/>
      <c r="G305" s="13"/>
      <c r="H305" s="35">
        <v>300</v>
      </c>
      <c r="I305" s="36" t="str">
        <f t="shared" si="35"/>
        <v/>
      </c>
      <c r="J305" s="35">
        <f t="shared" si="41"/>
        <v>-9</v>
      </c>
      <c r="K305" s="35">
        <f t="shared" si="36"/>
        <v>-90</v>
      </c>
      <c r="L305" s="35"/>
      <c r="M305" s="37">
        <f t="shared" si="37"/>
        <v>0</v>
      </c>
      <c r="O305" s="131">
        <v>300</v>
      </c>
      <c r="P305" s="131"/>
      <c r="Q305" s="131"/>
      <c r="R305" s="135" t="str">
        <f t="shared" si="42"/>
        <v/>
      </c>
      <c r="S305" s="131">
        <f t="shared" si="38"/>
        <v>-7</v>
      </c>
      <c r="T305" s="131">
        <f t="shared" si="39"/>
        <v>-70</v>
      </c>
      <c r="U305" s="131"/>
      <c r="V305" s="136">
        <f t="shared" si="40"/>
        <v>0</v>
      </c>
    </row>
    <row r="306" spans="1:22" x14ac:dyDescent="0.25">
      <c r="A306" s="58"/>
    </row>
    <row r="314" spans="1:22" x14ac:dyDescent="0.25">
      <c r="L314" s="61"/>
      <c r="U314" s="140"/>
    </row>
    <row r="315" spans="1:22" x14ac:dyDescent="0.25">
      <c r="L315" s="61"/>
      <c r="U315" s="140"/>
    </row>
    <row r="316" spans="1:22" x14ac:dyDescent="0.25">
      <c r="L316" s="61"/>
      <c r="U316" s="140"/>
    </row>
    <row r="317" spans="1:22" x14ac:dyDescent="0.25">
      <c r="L317" s="61"/>
      <c r="U317" s="140"/>
    </row>
  </sheetData>
  <mergeCells count="3">
    <mergeCell ref="C2:D2"/>
    <mergeCell ref="C3:D3"/>
    <mergeCell ref="O4:V4"/>
  </mergeCells>
  <conditionalFormatting sqref="J6:K305">
    <cfRule type="cellIs" dxfId="33" priority="2" operator="lessThanOrEqual">
      <formula>0</formula>
    </cfRule>
  </conditionalFormatting>
  <conditionalFormatting sqref="S6:T305">
    <cfRule type="cellIs" dxfId="32" priority="1" operator="lessThanOrEqual">
      <formula>0</formula>
    </cfRule>
  </conditionalFormatting>
  <dataValidations disablePrompts="1" count="1">
    <dataValidation type="list" allowBlank="1" showInputMessage="1" showErrorMessage="1" sqref="C38:C69" xr:uid="{A3D260A2-8B02-4143-B222-52E271A0E874}">
      <formula1>#REF!</formula1>
    </dataValidation>
  </dataValidations>
  <hyperlinks>
    <hyperlink ref="C2:D2" r:id="rId1" display="TORUŃ" xr:uid="{B040DFFE-BFA6-4631-A843-98CF97E7A834}"/>
  </hyperlinks>
  <pageMargins left="0.7" right="0.7" top="0.75" bottom="0.75" header="0.3" footer="0.3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3639BB-6006-4B19-ABC3-3A2F9DE731B2}">
  <sheetPr>
    <tabColor rgb="FF92D050"/>
  </sheetPr>
  <dimension ref="A1:AL317"/>
  <sheetViews>
    <sheetView workbookViewId="0">
      <selection activeCell="C3" sqref="C3:D3"/>
    </sheetView>
  </sheetViews>
  <sheetFormatPr defaultColWidth="8.875" defaultRowHeight="14.3" x14ac:dyDescent="0.25"/>
  <cols>
    <col min="1" max="1" width="8" style="57" customWidth="1"/>
    <col min="2" max="2" width="8.25" style="57" customWidth="1"/>
    <col min="3" max="3" width="34.75" style="57" customWidth="1"/>
    <col min="4" max="4" width="11.25" style="57" customWidth="1"/>
    <col min="5" max="6" width="8.875" style="57"/>
    <col min="7" max="7" width="0.875" style="57" customWidth="1"/>
    <col min="8" max="8" width="8.875" style="59"/>
    <col min="9" max="9" width="11" style="59" customWidth="1"/>
    <col min="10" max="10" width="15.25" style="59" customWidth="1"/>
    <col min="11" max="11" width="8.75" style="59" customWidth="1"/>
    <col min="12" max="12" width="11" style="59" customWidth="1"/>
    <col min="13" max="13" width="12.25" style="60" customWidth="1"/>
    <col min="14" max="15" width="13.875" style="13" customWidth="1"/>
    <col min="16" max="18" width="8.875" style="13"/>
    <col min="19" max="20" width="8.875" style="18"/>
    <col min="21" max="21" width="12.125" style="18" customWidth="1"/>
    <col min="22" max="22" width="27.375" style="18" customWidth="1"/>
    <col min="23" max="38" width="8.875" style="18"/>
    <col min="39" max="16384" width="8.875" style="57"/>
  </cols>
  <sheetData>
    <row r="1" spans="1:36" x14ac:dyDescent="0.25">
      <c r="A1" s="13"/>
      <c r="B1" s="13"/>
      <c r="C1" s="13"/>
      <c r="D1" s="13"/>
      <c r="E1" s="13"/>
      <c r="F1" s="13"/>
      <c r="G1" s="13"/>
      <c r="H1" s="14" t="s">
        <v>20</v>
      </c>
      <c r="I1" s="15" t="s">
        <v>21</v>
      </c>
      <c r="J1" s="15" t="s">
        <v>22</v>
      </c>
      <c r="K1" s="16" t="s">
        <v>23</v>
      </c>
      <c r="L1" s="17"/>
      <c r="M1" s="17"/>
    </row>
    <row r="2" spans="1:36" x14ac:dyDescent="0.25">
      <c r="A2" s="13"/>
      <c r="B2" s="19" t="s">
        <v>24</v>
      </c>
      <c r="C2" s="277" t="s">
        <v>56</v>
      </c>
      <c r="D2" s="277"/>
      <c r="E2" s="20"/>
      <c r="F2" s="20"/>
      <c r="G2" s="20"/>
      <c r="H2" s="21">
        <v>0</v>
      </c>
      <c r="I2" s="22">
        <v>50</v>
      </c>
      <c r="J2" s="22">
        <v>10</v>
      </c>
      <c r="K2" s="23">
        <f>3*H2^(1/3)</f>
        <v>0</v>
      </c>
      <c r="L2" s="17"/>
      <c r="M2" s="17"/>
    </row>
    <row r="3" spans="1:36" x14ac:dyDescent="0.25">
      <c r="A3" s="13"/>
      <c r="B3" s="24" t="s">
        <v>26</v>
      </c>
      <c r="C3" s="278" t="s">
        <v>57</v>
      </c>
      <c r="D3" s="278"/>
      <c r="E3" s="25"/>
      <c r="F3" s="25"/>
      <c r="G3" s="25"/>
      <c r="H3" s="17"/>
      <c r="I3" s="17"/>
      <c r="J3" s="26"/>
      <c r="K3" s="17"/>
      <c r="L3" s="17"/>
      <c r="M3" s="17"/>
    </row>
    <row r="4" spans="1:36" ht="10.199999999999999" customHeight="1" x14ac:dyDescent="0.25">
      <c r="A4" s="27"/>
      <c r="B4" s="25"/>
      <c r="C4" s="27"/>
      <c r="D4" s="27"/>
      <c r="E4" s="27"/>
      <c r="F4" s="27"/>
      <c r="G4" s="27"/>
      <c r="H4" s="17"/>
      <c r="I4" s="17"/>
      <c r="J4" s="26"/>
      <c r="K4" s="17"/>
      <c r="L4" s="17"/>
      <c r="M4" s="17"/>
    </row>
    <row r="5" spans="1:36" ht="34.65" x14ac:dyDescent="0.25">
      <c r="A5" s="1" t="s">
        <v>28</v>
      </c>
      <c r="B5" s="28" t="s">
        <v>29</v>
      </c>
      <c r="C5" s="1" t="s">
        <v>30</v>
      </c>
      <c r="D5" s="1" t="s">
        <v>31</v>
      </c>
      <c r="E5" s="1" t="s">
        <v>32</v>
      </c>
      <c r="F5" s="1" t="s">
        <v>33</v>
      </c>
      <c r="G5" s="27"/>
      <c r="H5" s="29" t="s">
        <v>34</v>
      </c>
      <c r="I5" s="30" t="s">
        <v>35</v>
      </c>
      <c r="J5" s="31" t="s">
        <v>36</v>
      </c>
      <c r="K5" s="30" t="s">
        <v>37</v>
      </c>
      <c r="L5" s="30" t="s">
        <v>38</v>
      </c>
      <c r="M5" s="29" t="s">
        <v>39</v>
      </c>
    </row>
    <row r="6" spans="1:36" ht="14.45" customHeight="1" x14ac:dyDescent="0.25">
      <c r="A6" s="32">
        <f t="shared" ref="A6:A37" si="0">M6</f>
        <v>0</v>
      </c>
      <c r="B6" s="33" t="str">
        <f t="shared" ref="B6:B13" si="1">IF(H6&gt;$H$2,"",(ROW()-5))</f>
        <v/>
      </c>
      <c r="C6" s="34"/>
      <c r="D6" s="34"/>
      <c r="E6" s="34"/>
      <c r="F6" s="34"/>
      <c r="G6" s="27"/>
      <c r="H6" s="35">
        <v>1</v>
      </c>
      <c r="I6" s="36" t="str">
        <f>IF(H2=1,50,IF(H6&lt;$H$2+1,($I$2-($I$2-1)*(LOG(H6)/LOG($H$2))),""))</f>
        <v/>
      </c>
      <c r="J6" s="35" t="e">
        <f>INT(LOG($H$2,2))-ROUNDUP(LOG(H6,2),0)+IF(OR($H$2=1,$H$2=2,$H$2=4,$H$2=8,$H$2=16,$H$2=32,$H$2=64,$H$2=128,$H$2=256),0,1)</f>
        <v>#NUM!</v>
      </c>
      <c r="K6" s="35" t="e">
        <f t="shared" ref="K6:K69" si="2">J6*$J$2</f>
        <v>#NUM!</v>
      </c>
      <c r="L6" s="37">
        <f>3*K2</f>
        <v>0</v>
      </c>
      <c r="M6" s="37">
        <f t="shared" ref="M6:M69" si="3">IF(I6&lt;&gt;"",K6+I6+L6,0)</f>
        <v>0</v>
      </c>
    </row>
    <row r="7" spans="1:36" ht="14.45" customHeight="1" x14ac:dyDescent="0.25">
      <c r="A7" s="38">
        <f t="shared" si="0"/>
        <v>0</v>
      </c>
      <c r="B7" s="39" t="str">
        <f t="shared" si="1"/>
        <v/>
      </c>
      <c r="C7" s="40"/>
      <c r="D7" s="40"/>
      <c r="E7" s="40"/>
      <c r="F7" s="40"/>
      <c r="G7" s="27"/>
      <c r="H7" s="41">
        <v>2</v>
      </c>
      <c r="I7" s="42" t="str">
        <f t="shared" ref="I7:I69" si="4">IF(H7&lt;$H$2+1,($I$2-($I$2-1)*(LOG(H7)/LOG($H$2))),"")</f>
        <v/>
      </c>
      <c r="J7" s="41" t="e">
        <f t="shared" ref="J7:J70" si="5">INT(LOG($H$2,2))-ROUNDUP(LOG(H7,2),0)+IF(OR($H$2=1,$H$2=2,$H$2=4,$H$2=8,$H$2=16,$H$2=32,$H$2=64,$H$2=128,$H$2=256),0,1)</f>
        <v>#NUM!</v>
      </c>
      <c r="K7" s="41" t="e">
        <f t="shared" si="2"/>
        <v>#NUM!</v>
      </c>
      <c r="L7" s="43">
        <f>2*K2</f>
        <v>0</v>
      </c>
      <c r="M7" s="43">
        <f t="shared" si="3"/>
        <v>0</v>
      </c>
    </row>
    <row r="8" spans="1:36" ht="14.45" customHeight="1" x14ac:dyDescent="0.25">
      <c r="A8" s="32">
        <f t="shared" si="0"/>
        <v>0</v>
      </c>
      <c r="B8" s="33" t="str">
        <f t="shared" si="1"/>
        <v/>
      </c>
      <c r="C8" s="34"/>
      <c r="D8" s="34"/>
      <c r="E8" s="34"/>
      <c r="F8" s="34"/>
      <c r="G8" s="27"/>
      <c r="H8" s="35">
        <v>3</v>
      </c>
      <c r="I8" s="36" t="str">
        <f t="shared" si="4"/>
        <v/>
      </c>
      <c r="J8" s="35" t="e">
        <f t="shared" si="5"/>
        <v>#NUM!</v>
      </c>
      <c r="K8" s="35" t="e">
        <f t="shared" si="2"/>
        <v>#NUM!</v>
      </c>
      <c r="L8" s="37">
        <f>K2</f>
        <v>0</v>
      </c>
      <c r="M8" s="37">
        <f t="shared" si="3"/>
        <v>0</v>
      </c>
    </row>
    <row r="9" spans="1:36" ht="14.45" customHeight="1" x14ac:dyDescent="0.25">
      <c r="A9" s="38">
        <f t="shared" si="0"/>
        <v>0</v>
      </c>
      <c r="B9" s="39" t="str">
        <f t="shared" si="1"/>
        <v/>
      </c>
      <c r="C9" s="40"/>
      <c r="D9" s="40"/>
      <c r="E9" s="40"/>
      <c r="F9" s="40"/>
      <c r="G9" s="27"/>
      <c r="H9" s="41">
        <v>4</v>
      </c>
      <c r="I9" s="42" t="str">
        <f t="shared" si="4"/>
        <v/>
      </c>
      <c r="J9" s="41" t="e">
        <f t="shared" si="5"/>
        <v>#NUM!</v>
      </c>
      <c r="K9" s="41" t="e">
        <f t="shared" si="2"/>
        <v>#NUM!</v>
      </c>
      <c r="L9" s="43"/>
      <c r="M9" s="43">
        <f t="shared" si="3"/>
        <v>0</v>
      </c>
      <c r="V9" s="44"/>
      <c r="Z9" s="45"/>
      <c r="AA9" s="45"/>
      <c r="AG9" s="46"/>
      <c r="AH9" s="18" t="s">
        <v>40</v>
      </c>
      <c r="AI9" s="18">
        <v>23</v>
      </c>
    </row>
    <row r="10" spans="1:36" ht="14.45" customHeight="1" x14ac:dyDescent="0.25">
      <c r="A10" s="32">
        <f t="shared" si="0"/>
        <v>0</v>
      </c>
      <c r="B10" s="33" t="str">
        <f t="shared" si="1"/>
        <v/>
      </c>
      <c r="C10" s="34"/>
      <c r="D10" s="34"/>
      <c r="E10" s="34"/>
      <c r="F10" s="34"/>
      <c r="G10" s="27"/>
      <c r="H10" s="35">
        <v>5</v>
      </c>
      <c r="I10" s="36" t="str">
        <f t="shared" si="4"/>
        <v/>
      </c>
      <c r="J10" s="35" t="e">
        <f t="shared" si="5"/>
        <v>#NUM!</v>
      </c>
      <c r="K10" s="35" t="e">
        <f t="shared" si="2"/>
        <v>#NUM!</v>
      </c>
      <c r="L10" s="35"/>
      <c r="M10" s="37">
        <f t="shared" si="3"/>
        <v>0</v>
      </c>
      <c r="V10" s="44"/>
      <c r="Z10" s="45"/>
      <c r="AA10" s="45"/>
      <c r="AG10" s="46"/>
      <c r="AH10" s="18" t="s">
        <v>41</v>
      </c>
      <c r="AI10" s="18">
        <v>45</v>
      </c>
    </row>
    <row r="11" spans="1:36" ht="14.45" customHeight="1" x14ac:dyDescent="0.25">
      <c r="A11" s="38">
        <f t="shared" si="0"/>
        <v>0</v>
      </c>
      <c r="B11" s="39" t="str">
        <f t="shared" si="1"/>
        <v/>
      </c>
      <c r="C11" s="40"/>
      <c r="D11" s="40"/>
      <c r="E11" s="40"/>
      <c r="F11" s="40"/>
      <c r="G11" s="27"/>
      <c r="H11" s="41">
        <v>6</v>
      </c>
      <c r="I11" s="42" t="str">
        <f t="shared" si="4"/>
        <v/>
      </c>
      <c r="J11" s="41" t="e">
        <f t="shared" si="5"/>
        <v>#NUM!</v>
      </c>
      <c r="K11" s="41" t="e">
        <f t="shared" si="2"/>
        <v>#NUM!</v>
      </c>
      <c r="L11" s="41"/>
      <c r="M11" s="43">
        <f t="shared" si="3"/>
        <v>0</v>
      </c>
      <c r="V11" s="47"/>
      <c r="Z11" s="45"/>
      <c r="AA11" s="45"/>
      <c r="AG11" s="46"/>
      <c r="AH11" s="18" t="s">
        <v>42</v>
      </c>
      <c r="AI11" s="18">
        <v>50</v>
      </c>
    </row>
    <row r="12" spans="1:36" ht="14.45" customHeight="1" x14ac:dyDescent="0.25">
      <c r="A12" s="32">
        <f t="shared" si="0"/>
        <v>0</v>
      </c>
      <c r="B12" s="33" t="str">
        <f t="shared" si="1"/>
        <v/>
      </c>
      <c r="C12" s="34"/>
      <c r="D12" s="34"/>
      <c r="E12" s="34"/>
      <c r="F12" s="34"/>
      <c r="G12" s="27"/>
      <c r="H12" s="35">
        <v>7</v>
      </c>
      <c r="I12" s="36" t="str">
        <f t="shared" si="4"/>
        <v/>
      </c>
      <c r="J12" s="35" t="e">
        <f t="shared" si="5"/>
        <v>#NUM!</v>
      </c>
      <c r="K12" s="35" t="e">
        <f t="shared" si="2"/>
        <v>#NUM!</v>
      </c>
      <c r="L12" s="35"/>
      <c r="M12" s="37">
        <f t="shared" si="3"/>
        <v>0</v>
      </c>
      <c r="Z12" s="45"/>
      <c r="AA12" s="45"/>
      <c r="AG12" s="46"/>
      <c r="AH12" s="18" t="s">
        <v>43</v>
      </c>
      <c r="AI12" s="18">
        <f>AI11-1</f>
        <v>49</v>
      </c>
    </row>
    <row r="13" spans="1:36" ht="14.45" customHeight="1" x14ac:dyDescent="0.25">
      <c r="A13" s="48">
        <f t="shared" si="0"/>
        <v>0</v>
      </c>
      <c r="B13" s="39" t="str">
        <f t="shared" si="1"/>
        <v/>
      </c>
      <c r="C13" s="40"/>
      <c r="D13" s="40"/>
      <c r="E13" s="40"/>
      <c r="F13" s="40"/>
      <c r="G13" s="27"/>
      <c r="H13" s="41">
        <v>8</v>
      </c>
      <c r="I13" s="42" t="str">
        <f t="shared" si="4"/>
        <v/>
      </c>
      <c r="J13" s="41" t="e">
        <f t="shared" si="5"/>
        <v>#NUM!</v>
      </c>
      <c r="K13" s="41" t="e">
        <f t="shared" si="2"/>
        <v>#NUM!</v>
      </c>
      <c r="L13" s="41"/>
      <c r="M13" s="43">
        <f t="shared" si="3"/>
        <v>0</v>
      </c>
      <c r="X13" s="44"/>
      <c r="AG13" s="46"/>
      <c r="AH13" s="18" t="s">
        <v>44</v>
      </c>
      <c r="AI13" s="18">
        <f>LOG(AI9)</f>
        <v>1.3617278360175928</v>
      </c>
    </row>
    <row r="14" spans="1:36" x14ac:dyDescent="0.25">
      <c r="A14" s="49">
        <f t="shared" si="0"/>
        <v>0</v>
      </c>
      <c r="B14" s="33" t="str">
        <f>IF(H14&gt;$H$2,"",(ROW()-5))</f>
        <v/>
      </c>
      <c r="C14" s="34"/>
      <c r="D14" s="34"/>
      <c r="E14" s="34"/>
      <c r="F14" s="34"/>
      <c r="G14" s="27"/>
      <c r="H14" s="35">
        <v>9</v>
      </c>
      <c r="I14" s="36" t="str">
        <f t="shared" si="4"/>
        <v/>
      </c>
      <c r="J14" s="35" t="e">
        <f t="shared" si="5"/>
        <v>#NUM!</v>
      </c>
      <c r="K14" s="35" t="e">
        <f t="shared" si="2"/>
        <v>#NUM!</v>
      </c>
      <c r="L14" s="35"/>
      <c r="M14" s="37">
        <f t="shared" si="3"/>
        <v>0</v>
      </c>
      <c r="X14" s="50"/>
      <c r="Z14" s="45"/>
      <c r="AA14" s="45"/>
      <c r="AG14" s="46"/>
      <c r="AH14" s="18" t="s">
        <v>45</v>
      </c>
      <c r="AI14" s="18">
        <f>LOG(AI10)</f>
        <v>1.6532125137753437</v>
      </c>
    </row>
    <row r="15" spans="1:36" x14ac:dyDescent="0.25">
      <c r="A15" s="48">
        <f t="shared" si="0"/>
        <v>0</v>
      </c>
      <c r="B15" s="39" t="str">
        <f t="shared" ref="B15:B65" si="6">IF(H15&gt;$H$2,"",(ROW()-5))</f>
        <v/>
      </c>
      <c r="C15" s="40"/>
      <c r="D15" s="40"/>
      <c r="E15" s="40"/>
      <c r="F15" s="40"/>
      <c r="G15" s="27"/>
      <c r="H15" s="41">
        <v>10</v>
      </c>
      <c r="I15" s="42" t="str">
        <f t="shared" si="4"/>
        <v/>
      </c>
      <c r="J15" s="41" t="e">
        <f t="shared" si="5"/>
        <v>#NUM!</v>
      </c>
      <c r="K15" s="41" t="e">
        <f t="shared" si="2"/>
        <v>#NUM!</v>
      </c>
      <c r="L15" s="41"/>
      <c r="M15" s="43">
        <f t="shared" si="3"/>
        <v>0</v>
      </c>
      <c r="X15" s="44"/>
      <c r="Z15" s="45"/>
      <c r="AA15" s="45"/>
    </row>
    <row r="16" spans="1:36" x14ac:dyDescent="0.25">
      <c r="A16" s="49">
        <f t="shared" si="0"/>
        <v>0</v>
      </c>
      <c r="B16" s="33" t="str">
        <f t="shared" si="6"/>
        <v/>
      </c>
      <c r="C16" s="34"/>
      <c r="D16" s="34"/>
      <c r="E16" s="34"/>
      <c r="F16" s="34"/>
      <c r="G16" s="27"/>
      <c r="H16" s="35">
        <v>11</v>
      </c>
      <c r="I16" s="36" t="str">
        <f t="shared" si="4"/>
        <v/>
      </c>
      <c r="J16" s="35" t="e">
        <f t="shared" si="5"/>
        <v>#NUM!</v>
      </c>
      <c r="K16" s="35" t="e">
        <f t="shared" si="2"/>
        <v>#NUM!</v>
      </c>
      <c r="L16" s="35"/>
      <c r="M16" s="37">
        <f t="shared" si="3"/>
        <v>0</v>
      </c>
      <c r="R16" s="51"/>
      <c r="Z16" s="45"/>
      <c r="AA16" s="45"/>
      <c r="AH16" s="52" t="s">
        <v>46</v>
      </c>
      <c r="AI16" s="18">
        <f>AI11-AI12*AI13/AI14</f>
        <v>9.6393909380186855</v>
      </c>
      <c r="AJ16" s="18" t="s">
        <v>47</v>
      </c>
    </row>
    <row r="17" spans="1:19" x14ac:dyDescent="0.25">
      <c r="A17" s="48">
        <f t="shared" si="0"/>
        <v>0</v>
      </c>
      <c r="B17" s="39" t="str">
        <f t="shared" si="6"/>
        <v/>
      </c>
      <c r="C17" s="40"/>
      <c r="D17" s="40"/>
      <c r="E17" s="40"/>
      <c r="F17" s="40"/>
      <c r="G17" s="27"/>
      <c r="H17" s="41">
        <v>12</v>
      </c>
      <c r="I17" s="42" t="str">
        <f t="shared" si="4"/>
        <v/>
      </c>
      <c r="J17" s="41" t="e">
        <f t="shared" si="5"/>
        <v>#NUM!</v>
      </c>
      <c r="K17" s="41" t="e">
        <f t="shared" si="2"/>
        <v>#NUM!</v>
      </c>
      <c r="L17" s="41"/>
      <c r="M17" s="43">
        <f t="shared" si="3"/>
        <v>0</v>
      </c>
    </row>
    <row r="18" spans="1:19" x14ac:dyDescent="0.25">
      <c r="A18" s="49">
        <f t="shared" si="0"/>
        <v>0</v>
      </c>
      <c r="B18" s="33" t="str">
        <f t="shared" si="6"/>
        <v/>
      </c>
      <c r="C18" s="34"/>
      <c r="D18" s="34"/>
      <c r="E18" s="34"/>
      <c r="F18" s="34"/>
      <c r="G18" s="27"/>
      <c r="H18" s="35">
        <v>13</v>
      </c>
      <c r="I18" s="36" t="str">
        <f t="shared" si="4"/>
        <v/>
      </c>
      <c r="J18" s="35" t="e">
        <f t="shared" si="5"/>
        <v>#NUM!</v>
      </c>
      <c r="K18" s="35" t="e">
        <f t="shared" si="2"/>
        <v>#NUM!</v>
      </c>
      <c r="L18" s="35"/>
      <c r="M18" s="37">
        <f t="shared" si="3"/>
        <v>0</v>
      </c>
    </row>
    <row r="19" spans="1:19" x14ac:dyDescent="0.25">
      <c r="A19" s="48">
        <f t="shared" si="0"/>
        <v>0</v>
      </c>
      <c r="B19" s="39" t="str">
        <f t="shared" si="6"/>
        <v/>
      </c>
      <c r="C19" s="40"/>
      <c r="D19" s="40"/>
      <c r="E19" s="40"/>
      <c r="F19" s="40"/>
      <c r="G19" s="27"/>
      <c r="H19" s="41">
        <v>14</v>
      </c>
      <c r="I19" s="42" t="str">
        <f t="shared" si="4"/>
        <v/>
      </c>
      <c r="J19" s="41" t="e">
        <f t="shared" si="5"/>
        <v>#NUM!</v>
      </c>
      <c r="K19" s="41" t="e">
        <f t="shared" si="2"/>
        <v>#NUM!</v>
      </c>
      <c r="L19" s="41"/>
      <c r="M19" s="43">
        <f t="shared" si="3"/>
        <v>0</v>
      </c>
    </row>
    <row r="20" spans="1:19" x14ac:dyDescent="0.25">
      <c r="A20" s="49">
        <f t="shared" si="0"/>
        <v>0</v>
      </c>
      <c r="B20" s="33" t="str">
        <f t="shared" si="6"/>
        <v/>
      </c>
      <c r="C20" s="34"/>
      <c r="D20" s="34"/>
      <c r="E20" s="34"/>
      <c r="F20" s="34"/>
      <c r="G20" s="27"/>
      <c r="H20" s="35">
        <v>15</v>
      </c>
      <c r="I20" s="36" t="str">
        <f t="shared" si="4"/>
        <v/>
      </c>
      <c r="J20" s="35" t="e">
        <f t="shared" si="5"/>
        <v>#NUM!</v>
      </c>
      <c r="K20" s="35" t="e">
        <f t="shared" si="2"/>
        <v>#NUM!</v>
      </c>
      <c r="L20" s="35"/>
      <c r="M20" s="37">
        <f t="shared" si="3"/>
        <v>0</v>
      </c>
      <c r="R20" s="53"/>
      <c r="S20" s="54"/>
    </row>
    <row r="21" spans="1:19" x14ac:dyDescent="0.25">
      <c r="A21" s="48">
        <f t="shared" si="0"/>
        <v>0</v>
      </c>
      <c r="B21" s="39" t="str">
        <f t="shared" si="6"/>
        <v/>
      </c>
      <c r="C21" s="40"/>
      <c r="D21" s="40"/>
      <c r="E21" s="40"/>
      <c r="F21" s="40"/>
      <c r="G21" s="27"/>
      <c r="H21" s="41">
        <v>16</v>
      </c>
      <c r="I21" s="42" t="str">
        <f t="shared" si="4"/>
        <v/>
      </c>
      <c r="J21" s="41" t="e">
        <f t="shared" si="5"/>
        <v>#NUM!</v>
      </c>
      <c r="K21" s="41" t="e">
        <f t="shared" si="2"/>
        <v>#NUM!</v>
      </c>
      <c r="L21" s="41"/>
      <c r="M21" s="43">
        <f t="shared" si="3"/>
        <v>0</v>
      </c>
    </row>
    <row r="22" spans="1:19" x14ac:dyDescent="0.25">
      <c r="A22" s="49">
        <f t="shared" si="0"/>
        <v>0</v>
      </c>
      <c r="B22" s="33" t="str">
        <f t="shared" si="6"/>
        <v/>
      </c>
      <c r="C22" s="34"/>
      <c r="D22" s="34"/>
      <c r="E22" s="34"/>
      <c r="F22" s="34"/>
      <c r="G22" s="27"/>
      <c r="H22" s="35">
        <v>17</v>
      </c>
      <c r="I22" s="36" t="str">
        <f t="shared" si="4"/>
        <v/>
      </c>
      <c r="J22" s="35" t="e">
        <f t="shared" si="5"/>
        <v>#NUM!</v>
      </c>
      <c r="K22" s="35" t="e">
        <f t="shared" si="2"/>
        <v>#NUM!</v>
      </c>
      <c r="L22" s="35"/>
      <c r="M22" s="37">
        <f t="shared" si="3"/>
        <v>0</v>
      </c>
    </row>
    <row r="23" spans="1:19" x14ac:dyDescent="0.25">
      <c r="A23" s="48">
        <f t="shared" si="0"/>
        <v>0</v>
      </c>
      <c r="B23" s="39" t="str">
        <f t="shared" si="6"/>
        <v/>
      </c>
      <c r="C23" s="40"/>
      <c r="D23" s="40"/>
      <c r="E23" s="40"/>
      <c r="F23" s="40"/>
      <c r="G23" s="27"/>
      <c r="H23" s="41">
        <v>18</v>
      </c>
      <c r="I23" s="42" t="str">
        <f t="shared" si="4"/>
        <v/>
      </c>
      <c r="J23" s="41" t="e">
        <f t="shared" si="5"/>
        <v>#NUM!</v>
      </c>
      <c r="K23" s="41" t="e">
        <f t="shared" si="2"/>
        <v>#NUM!</v>
      </c>
      <c r="L23" s="41"/>
      <c r="M23" s="43">
        <f t="shared" si="3"/>
        <v>0</v>
      </c>
    </row>
    <row r="24" spans="1:19" x14ac:dyDescent="0.25">
      <c r="A24" s="49">
        <f t="shared" si="0"/>
        <v>0</v>
      </c>
      <c r="B24" s="33" t="str">
        <f t="shared" si="6"/>
        <v/>
      </c>
      <c r="C24" s="34"/>
      <c r="D24" s="34"/>
      <c r="E24" s="34"/>
      <c r="F24" s="34"/>
      <c r="G24" s="27"/>
      <c r="H24" s="35">
        <v>19</v>
      </c>
      <c r="I24" s="36" t="str">
        <f t="shared" si="4"/>
        <v/>
      </c>
      <c r="J24" s="35" t="e">
        <f t="shared" si="5"/>
        <v>#NUM!</v>
      </c>
      <c r="K24" s="35" t="e">
        <f t="shared" si="2"/>
        <v>#NUM!</v>
      </c>
      <c r="L24" s="35"/>
      <c r="M24" s="37">
        <f t="shared" si="3"/>
        <v>0</v>
      </c>
      <c r="R24" s="53"/>
      <c r="S24" s="54"/>
    </row>
    <row r="25" spans="1:19" x14ac:dyDescent="0.25">
      <c r="A25" s="48">
        <f t="shared" si="0"/>
        <v>0</v>
      </c>
      <c r="B25" s="39" t="str">
        <f t="shared" si="6"/>
        <v/>
      </c>
      <c r="C25" s="40"/>
      <c r="D25" s="40"/>
      <c r="E25" s="40"/>
      <c r="F25" s="40"/>
      <c r="G25" s="27"/>
      <c r="H25" s="41">
        <v>20</v>
      </c>
      <c r="I25" s="42" t="str">
        <f t="shared" si="4"/>
        <v/>
      </c>
      <c r="J25" s="41" t="e">
        <f t="shared" si="5"/>
        <v>#NUM!</v>
      </c>
      <c r="K25" s="41" t="e">
        <f t="shared" si="2"/>
        <v>#NUM!</v>
      </c>
      <c r="L25" s="41"/>
      <c r="M25" s="43">
        <f t="shared" si="3"/>
        <v>0</v>
      </c>
    </row>
    <row r="26" spans="1:19" x14ac:dyDescent="0.25">
      <c r="A26" s="49">
        <f t="shared" si="0"/>
        <v>0</v>
      </c>
      <c r="B26" s="33" t="str">
        <f t="shared" si="6"/>
        <v/>
      </c>
      <c r="C26" s="34"/>
      <c r="D26" s="34"/>
      <c r="E26" s="34"/>
      <c r="F26" s="34"/>
      <c r="G26" s="27"/>
      <c r="H26" s="35">
        <v>21</v>
      </c>
      <c r="I26" s="36" t="str">
        <f t="shared" si="4"/>
        <v/>
      </c>
      <c r="J26" s="35" t="e">
        <f t="shared" si="5"/>
        <v>#NUM!</v>
      </c>
      <c r="K26" s="35" t="e">
        <f t="shared" si="2"/>
        <v>#NUM!</v>
      </c>
      <c r="L26" s="35"/>
      <c r="M26" s="37">
        <f t="shared" si="3"/>
        <v>0</v>
      </c>
    </row>
    <row r="27" spans="1:19" x14ac:dyDescent="0.25">
      <c r="A27" s="48">
        <f t="shared" si="0"/>
        <v>0</v>
      </c>
      <c r="B27" s="39" t="str">
        <f t="shared" si="6"/>
        <v/>
      </c>
      <c r="C27" s="40"/>
      <c r="D27" s="40"/>
      <c r="E27" s="40"/>
      <c r="F27" s="40"/>
      <c r="G27" s="27"/>
      <c r="H27" s="41">
        <v>22</v>
      </c>
      <c r="I27" s="42" t="str">
        <f t="shared" si="4"/>
        <v/>
      </c>
      <c r="J27" s="41" t="e">
        <f t="shared" si="5"/>
        <v>#NUM!</v>
      </c>
      <c r="K27" s="41" t="e">
        <f t="shared" si="2"/>
        <v>#NUM!</v>
      </c>
      <c r="L27" s="41"/>
      <c r="M27" s="43">
        <f t="shared" si="3"/>
        <v>0</v>
      </c>
    </row>
    <row r="28" spans="1:19" x14ac:dyDescent="0.25">
      <c r="A28" s="49">
        <f t="shared" si="0"/>
        <v>0</v>
      </c>
      <c r="B28" s="33" t="str">
        <f t="shared" si="6"/>
        <v/>
      </c>
      <c r="C28" s="34"/>
      <c r="D28" s="34"/>
      <c r="E28" s="34"/>
      <c r="F28" s="34"/>
      <c r="G28" s="27"/>
      <c r="H28" s="35">
        <v>23</v>
      </c>
      <c r="I28" s="36" t="str">
        <f t="shared" si="4"/>
        <v/>
      </c>
      <c r="J28" s="35" t="e">
        <f t="shared" si="5"/>
        <v>#NUM!</v>
      </c>
      <c r="K28" s="35" t="e">
        <f t="shared" si="2"/>
        <v>#NUM!</v>
      </c>
      <c r="L28" s="35"/>
      <c r="M28" s="37">
        <f t="shared" si="3"/>
        <v>0</v>
      </c>
      <c r="R28" s="53"/>
      <c r="S28" s="54"/>
    </row>
    <row r="29" spans="1:19" x14ac:dyDescent="0.25">
      <c r="A29" s="48">
        <f t="shared" si="0"/>
        <v>0</v>
      </c>
      <c r="B29" s="39" t="str">
        <f t="shared" si="6"/>
        <v/>
      </c>
      <c r="C29" s="40"/>
      <c r="D29" s="40"/>
      <c r="E29" s="40"/>
      <c r="F29" s="40"/>
      <c r="G29" s="13"/>
      <c r="H29" s="41">
        <v>24</v>
      </c>
      <c r="I29" s="42" t="str">
        <f t="shared" si="4"/>
        <v/>
      </c>
      <c r="J29" s="41" t="e">
        <f t="shared" si="5"/>
        <v>#NUM!</v>
      </c>
      <c r="K29" s="41" t="e">
        <f t="shared" si="2"/>
        <v>#NUM!</v>
      </c>
      <c r="L29" s="41"/>
      <c r="M29" s="43">
        <f t="shared" si="3"/>
        <v>0</v>
      </c>
    </row>
    <row r="30" spans="1:19" x14ac:dyDescent="0.25">
      <c r="A30" s="49">
        <f t="shared" si="0"/>
        <v>0</v>
      </c>
      <c r="B30" s="33" t="str">
        <f t="shared" si="6"/>
        <v/>
      </c>
      <c r="C30" s="34"/>
      <c r="D30" s="34"/>
      <c r="E30" s="34"/>
      <c r="F30" s="34"/>
      <c r="G30" s="13"/>
      <c r="H30" s="35">
        <v>25</v>
      </c>
      <c r="I30" s="36" t="str">
        <f t="shared" si="4"/>
        <v/>
      </c>
      <c r="J30" s="35" t="e">
        <f t="shared" si="5"/>
        <v>#NUM!</v>
      </c>
      <c r="K30" s="35" t="e">
        <f t="shared" si="2"/>
        <v>#NUM!</v>
      </c>
      <c r="L30" s="35"/>
      <c r="M30" s="37">
        <f t="shared" si="3"/>
        <v>0</v>
      </c>
    </row>
    <row r="31" spans="1:19" x14ac:dyDescent="0.25">
      <c r="A31" s="48">
        <f t="shared" si="0"/>
        <v>0</v>
      </c>
      <c r="B31" s="39" t="str">
        <f t="shared" si="6"/>
        <v/>
      </c>
      <c r="C31" s="40"/>
      <c r="D31" s="40"/>
      <c r="E31" s="40"/>
      <c r="F31" s="40"/>
      <c r="G31" s="13"/>
      <c r="H31" s="41">
        <v>26</v>
      </c>
      <c r="I31" s="42" t="str">
        <f t="shared" si="4"/>
        <v/>
      </c>
      <c r="J31" s="41" t="e">
        <f t="shared" si="5"/>
        <v>#NUM!</v>
      </c>
      <c r="K31" s="41" t="e">
        <f t="shared" si="2"/>
        <v>#NUM!</v>
      </c>
      <c r="L31" s="41"/>
      <c r="M31" s="43">
        <f t="shared" si="3"/>
        <v>0</v>
      </c>
    </row>
    <row r="32" spans="1:19" x14ac:dyDescent="0.25">
      <c r="A32" s="49">
        <f t="shared" si="0"/>
        <v>0</v>
      </c>
      <c r="B32" s="33" t="str">
        <f t="shared" si="6"/>
        <v/>
      </c>
      <c r="C32" s="34"/>
      <c r="D32" s="34"/>
      <c r="E32" s="34"/>
      <c r="F32" s="34"/>
      <c r="G32" s="13"/>
      <c r="H32" s="35">
        <v>27</v>
      </c>
      <c r="I32" s="36" t="str">
        <f t="shared" si="4"/>
        <v/>
      </c>
      <c r="J32" s="35" t="e">
        <f t="shared" si="5"/>
        <v>#NUM!</v>
      </c>
      <c r="K32" s="35" t="e">
        <f t="shared" si="2"/>
        <v>#NUM!</v>
      </c>
      <c r="L32" s="35"/>
      <c r="M32" s="37">
        <f t="shared" si="3"/>
        <v>0</v>
      </c>
      <c r="R32" s="53"/>
      <c r="S32" s="54"/>
    </row>
    <row r="33" spans="1:21" x14ac:dyDescent="0.25">
      <c r="A33" s="48">
        <f t="shared" si="0"/>
        <v>0</v>
      </c>
      <c r="B33" s="39" t="str">
        <f t="shared" si="6"/>
        <v/>
      </c>
      <c r="C33" s="40"/>
      <c r="D33" s="40"/>
      <c r="E33" s="40"/>
      <c r="F33" s="40"/>
      <c r="G33" s="13"/>
      <c r="H33" s="41">
        <v>28</v>
      </c>
      <c r="I33" s="42" t="str">
        <f t="shared" si="4"/>
        <v/>
      </c>
      <c r="J33" s="41" t="e">
        <f t="shared" si="5"/>
        <v>#NUM!</v>
      </c>
      <c r="K33" s="41" t="e">
        <f t="shared" si="2"/>
        <v>#NUM!</v>
      </c>
      <c r="L33" s="41"/>
      <c r="M33" s="43">
        <f t="shared" si="3"/>
        <v>0</v>
      </c>
    </row>
    <row r="34" spans="1:21" x14ac:dyDescent="0.25">
      <c r="A34" s="49">
        <f t="shared" si="0"/>
        <v>0</v>
      </c>
      <c r="B34" s="33" t="str">
        <f t="shared" si="6"/>
        <v/>
      </c>
      <c r="C34" s="34"/>
      <c r="D34" s="34"/>
      <c r="E34" s="34"/>
      <c r="F34" s="34"/>
      <c r="G34" s="13"/>
      <c r="H34" s="35">
        <v>29</v>
      </c>
      <c r="I34" s="36" t="str">
        <f t="shared" si="4"/>
        <v/>
      </c>
      <c r="J34" s="35" t="e">
        <f t="shared" si="5"/>
        <v>#NUM!</v>
      </c>
      <c r="K34" s="35" t="e">
        <f t="shared" si="2"/>
        <v>#NUM!</v>
      </c>
      <c r="L34" s="35"/>
      <c r="M34" s="37">
        <f t="shared" si="3"/>
        <v>0</v>
      </c>
    </row>
    <row r="35" spans="1:21" x14ac:dyDescent="0.25">
      <c r="A35" s="48">
        <f t="shared" si="0"/>
        <v>0</v>
      </c>
      <c r="B35" s="39" t="str">
        <f t="shared" si="6"/>
        <v/>
      </c>
      <c r="C35" s="40"/>
      <c r="D35" s="40"/>
      <c r="E35" s="40"/>
      <c r="F35" s="40"/>
      <c r="G35" s="13"/>
      <c r="H35" s="41">
        <v>30</v>
      </c>
      <c r="I35" s="42" t="str">
        <f t="shared" si="4"/>
        <v/>
      </c>
      <c r="J35" s="41" t="e">
        <f t="shared" si="5"/>
        <v>#NUM!</v>
      </c>
      <c r="K35" s="41" t="e">
        <f t="shared" si="2"/>
        <v>#NUM!</v>
      </c>
      <c r="L35" s="41"/>
      <c r="M35" s="43">
        <f t="shared" si="3"/>
        <v>0</v>
      </c>
    </row>
    <row r="36" spans="1:21" x14ac:dyDescent="0.25">
      <c r="A36" s="49">
        <f t="shared" si="0"/>
        <v>0</v>
      </c>
      <c r="B36" s="33" t="str">
        <f t="shared" si="6"/>
        <v/>
      </c>
      <c r="C36" s="34"/>
      <c r="D36" s="34"/>
      <c r="E36" s="34"/>
      <c r="F36" s="34"/>
      <c r="G36" s="13"/>
      <c r="H36" s="35">
        <v>31</v>
      </c>
      <c r="I36" s="36" t="str">
        <f t="shared" si="4"/>
        <v/>
      </c>
      <c r="J36" s="35" t="e">
        <f t="shared" si="5"/>
        <v>#NUM!</v>
      </c>
      <c r="K36" s="35" t="e">
        <f t="shared" si="2"/>
        <v>#NUM!</v>
      </c>
      <c r="L36" s="35"/>
      <c r="M36" s="37">
        <f t="shared" si="3"/>
        <v>0</v>
      </c>
      <c r="R36" s="53"/>
      <c r="S36" s="54"/>
    </row>
    <row r="37" spans="1:21" x14ac:dyDescent="0.25">
      <c r="A37" s="48">
        <f t="shared" si="0"/>
        <v>0</v>
      </c>
      <c r="B37" s="39" t="str">
        <f t="shared" si="6"/>
        <v/>
      </c>
      <c r="C37" s="40"/>
      <c r="D37" s="40"/>
      <c r="E37" s="40"/>
      <c r="F37" s="40"/>
      <c r="G37" s="13"/>
      <c r="H37" s="41">
        <v>32</v>
      </c>
      <c r="I37" s="42" t="str">
        <f t="shared" si="4"/>
        <v/>
      </c>
      <c r="J37" s="41" t="e">
        <f t="shared" si="5"/>
        <v>#NUM!</v>
      </c>
      <c r="K37" s="41" t="e">
        <f t="shared" si="2"/>
        <v>#NUM!</v>
      </c>
      <c r="L37" s="41"/>
      <c r="M37" s="43">
        <f t="shared" si="3"/>
        <v>0</v>
      </c>
    </row>
    <row r="38" spans="1:21" x14ac:dyDescent="0.25">
      <c r="A38" s="49"/>
      <c r="B38" s="33" t="str">
        <f t="shared" si="6"/>
        <v/>
      </c>
      <c r="C38" s="34"/>
      <c r="D38" s="34"/>
      <c r="E38" s="34"/>
      <c r="F38" s="34"/>
      <c r="G38" s="13"/>
      <c r="H38" s="35">
        <v>33</v>
      </c>
      <c r="I38" s="36" t="str">
        <f t="shared" si="4"/>
        <v/>
      </c>
      <c r="J38" s="35" t="e">
        <f t="shared" si="5"/>
        <v>#NUM!</v>
      </c>
      <c r="K38" s="35" t="e">
        <f t="shared" si="2"/>
        <v>#NUM!</v>
      </c>
      <c r="L38" s="35"/>
      <c r="M38" s="37">
        <f t="shared" si="3"/>
        <v>0</v>
      </c>
    </row>
    <row r="39" spans="1:21" x14ac:dyDescent="0.25">
      <c r="A39" s="48"/>
      <c r="B39" s="39" t="str">
        <f t="shared" si="6"/>
        <v/>
      </c>
      <c r="C39" s="40"/>
      <c r="D39" s="40"/>
      <c r="E39" s="40"/>
      <c r="F39" s="40"/>
      <c r="G39" s="13"/>
      <c r="H39" s="41">
        <v>34</v>
      </c>
      <c r="I39" s="42" t="str">
        <f t="shared" si="4"/>
        <v/>
      </c>
      <c r="J39" s="41" t="e">
        <f t="shared" si="5"/>
        <v>#NUM!</v>
      </c>
      <c r="K39" s="41" t="e">
        <f t="shared" si="2"/>
        <v>#NUM!</v>
      </c>
      <c r="L39" s="41"/>
      <c r="M39" s="43">
        <f t="shared" si="3"/>
        <v>0</v>
      </c>
    </row>
    <row r="40" spans="1:21" x14ac:dyDescent="0.25">
      <c r="A40" s="49"/>
      <c r="B40" s="33" t="str">
        <f t="shared" si="6"/>
        <v/>
      </c>
      <c r="C40" s="34"/>
      <c r="D40" s="34"/>
      <c r="E40" s="34"/>
      <c r="F40" s="34"/>
      <c r="G40" s="13"/>
      <c r="H40" s="35">
        <v>35</v>
      </c>
      <c r="I40" s="36" t="str">
        <f t="shared" si="4"/>
        <v/>
      </c>
      <c r="J40" s="35" t="e">
        <f t="shared" si="5"/>
        <v>#NUM!</v>
      </c>
      <c r="K40" s="35" t="e">
        <f t="shared" si="2"/>
        <v>#NUM!</v>
      </c>
      <c r="L40" s="35"/>
      <c r="M40" s="37">
        <f t="shared" si="3"/>
        <v>0</v>
      </c>
    </row>
    <row r="41" spans="1:21" x14ac:dyDescent="0.25">
      <c r="A41" s="48"/>
      <c r="B41" s="39" t="str">
        <f t="shared" si="6"/>
        <v/>
      </c>
      <c r="C41" s="40"/>
      <c r="D41" s="40"/>
      <c r="E41" s="40"/>
      <c r="F41" s="40"/>
      <c r="G41" s="13"/>
      <c r="H41" s="41">
        <v>36</v>
      </c>
      <c r="I41" s="42" t="str">
        <f t="shared" si="4"/>
        <v/>
      </c>
      <c r="J41" s="41" t="e">
        <f t="shared" si="5"/>
        <v>#NUM!</v>
      </c>
      <c r="K41" s="41" t="e">
        <f t="shared" si="2"/>
        <v>#NUM!</v>
      </c>
      <c r="L41" s="41"/>
      <c r="M41" s="43">
        <f t="shared" si="3"/>
        <v>0</v>
      </c>
      <c r="S41" s="55"/>
    </row>
    <row r="42" spans="1:21" x14ac:dyDescent="0.25">
      <c r="A42" s="49"/>
      <c r="B42" s="33" t="str">
        <f t="shared" si="6"/>
        <v/>
      </c>
      <c r="C42" s="34"/>
      <c r="D42" s="34"/>
      <c r="E42" s="34"/>
      <c r="F42" s="34"/>
      <c r="G42" s="13"/>
      <c r="H42" s="35">
        <v>37</v>
      </c>
      <c r="I42" s="36" t="str">
        <f t="shared" si="4"/>
        <v/>
      </c>
      <c r="J42" s="35" t="e">
        <f t="shared" si="5"/>
        <v>#NUM!</v>
      </c>
      <c r="K42" s="35" t="e">
        <f t="shared" si="2"/>
        <v>#NUM!</v>
      </c>
      <c r="L42" s="35"/>
      <c r="M42" s="37">
        <f t="shared" si="3"/>
        <v>0</v>
      </c>
    </row>
    <row r="43" spans="1:21" x14ac:dyDescent="0.25">
      <c r="A43" s="48"/>
      <c r="B43" s="39" t="str">
        <f t="shared" si="6"/>
        <v/>
      </c>
      <c r="C43" s="40"/>
      <c r="D43" s="40"/>
      <c r="E43" s="40"/>
      <c r="F43" s="40"/>
      <c r="G43" s="13"/>
      <c r="H43" s="41">
        <v>38</v>
      </c>
      <c r="I43" s="42" t="str">
        <f t="shared" si="4"/>
        <v/>
      </c>
      <c r="J43" s="41" t="e">
        <f t="shared" si="5"/>
        <v>#NUM!</v>
      </c>
      <c r="K43" s="41" t="e">
        <f t="shared" si="2"/>
        <v>#NUM!</v>
      </c>
      <c r="L43" s="41"/>
      <c r="M43" s="43">
        <f t="shared" si="3"/>
        <v>0</v>
      </c>
    </row>
    <row r="44" spans="1:21" x14ac:dyDescent="0.25">
      <c r="A44" s="49"/>
      <c r="B44" s="33" t="str">
        <f t="shared" si="6"/>
        <v/>
      </c>
      <c r="C44" s="34"/>
      <c r="D44" s="34"/>
      <c r="E44" s="34"/>
      <c r="F44" s="34"/>
      <c r="G44" s="13"/>
      <c r="H44" s="35">
        <v>39</v>
      </c>
      <c r="I44" s="36" t="str">
        <f t="shared" si="4"/>
        <v/>
      </c>
      <c r="J44" s="35" t="e">
        <f t="shared" si="5"/>
        <v>#NUM!</v>
      </c>
      <c r="K44" s="35" t="e">
        <f t="shared" si="2"/>
        <v>#NUM!</v>
      </c>
      <c r="L44" s="35"/>
      <c r="M44" s="37">
        <f t="shared" si="3"/>
        <v>0</v>
      </c>
    </row>
    <row r="45" spans="1:21" x14ac:dyDescent="0.25">
      <c r="A45" s="48"/>
      <c r="B45" s="39" t="str">
        <f t="shared" si="6"/>
        <v/>
      </c>
      <c r="C45" s="40"/>
      <c r="D45" s="40"/>
      <c r="E45" s="40"/>
      <c r="F45" s="40"/>
      <c r="G45" s="13"/>
      <c r="H45" s="41">
        <v>40</v>
      </c>
      <c r="I45" s="42" t="str">
        <f t="shared" si="4"/>
        <v/>
      </c>
      <c r="J45" s="41" t="e">
        <f t="shared" si="5"/>
        <v>#NUM!</v>
      </c>
      <c r="K45" s="41" t="e">
        <f t="shared" si="2"/>
        <v>#NUM!</v>
      </c>
      <c r="L45" s="41"/>
      <c r="M45" s="43">
        <f t="shared" si="3"/>
        <v>0</v>
      </c>
    </row>
    <row r="46" spans="1:21" x14ac:dyDescent="0.25">
      <c r="A46" s="49"/>
      <c r="B46" s="33" t="str">
        <f t="shared" si="6"/>
        <v/>
      </c>
      <c r="C46" s="34"/>
      <c r="D46" s="34"/>
      <c r="E46" s="34"/>
      <c r="F46" s="34"/>
      <c r="G46" s="13"/>
      <c r="H46" s="35">
        <v>41</v>
      </c>
      <c r="I46" s="36" t="str">
        <f t="shared" si="4"/>
        <v/>
      </c>
      <c r="J46" s="35" t="e">
        <f t="shared" si="5"/>
        <v>#NUM!</v>
      </c>
      <c r="K46" s="35" t="e">
        <f t="shared" si="2"/>
        <v>#NUM!</v>
      </c>
      <c r="L46" s="35"/>
      <c r="M46" s="37">
        <f t="shared" si="3"/>
        <v>0</v>
      </c>
      <c r="R46" s="13" t="e">
        <f>LOG($H$2,2)</f>
        <v>#NUM!</v>
      </c>
      <c r="T46" s="18">
        <f>LOG(H38,2)</f>
        <v>5.0443941193584534</v>
      </c>
      <c r="U46" s="18" t="e">
        <f>R46-T46</f>
        <v>#NUM!</v>
      </c>
    </row>
    <row r="47" spans="1:21" x14ac:dyDescent="0.25">
      <c r="A47" s="48"/>
      <c r="B47" s="39" t="str">
        <f t="shared" si="6"/>
        <v/>
      </c>
      <c r="C47" s="40"/>
      <c r="D47" s="40"/>
      <c r="E47" s="40"/>
      <c r="F47" s="40"/>
      <c r="G47" s="13"/>
      <c r="H47" s="41">
        <v>42</v>
      </c>
      <c r="I47" s="42" t="str">
        <f t="shared" si="4"/>
        <v/>
      </c>
      <c r="J47" s="41" t="e">
        <f t="shared" si="5"/>
        <v>#NUM!</v>
      </c>
      <c r="K47" s="41" t="e">
        <f t="shared" si="2"/>
        <v>#NUM!</v>
      </c>
      <c r="L47" s="41"/>
      <c r="M47" s="43">
        <f t="shared" si="3"/>
        <v>0</v>
      </c>
    </row>
    <row r="48" spans="1:21" x14ac:dyDescent="0.25">
      <c r="A48" s="49"/>
      <c r="B48" s="33" t="str">
        <f t="shared" si="6"/>
        <v/>
      </c>
      <c r="C48" s="34"/>
      <c r="D48" s="34"/>
      <c r="E48" s="34"/>
      <c r="F48" s="34"/>
      <c r="G48" s="13"/>
      <c r="H48" s="35">
        <v>43</v>
      </c>
      <c r="I48" s="36" t="str">
        <f t="shared" si="4"/>
        <v/>
      </c>
      <c r="J48" s="35" t="e">
        <f t="shared" si="5"/>
        <v>#NUM!</v>
      </c>
      <c r="K48" s="35" t="e">
        <f t="shared" si="2"/>
        <v>#NUM!</v>
      </c>
      <c r="L48" s="35"/>
      <c r="M48" s="37">
        <f t="shared" si="3"/>
        <v>0</v>
      </c>
    </row>
    <row r="49" spans="1:13" x14ac:dyDescent="0.25">
      <c r="A49" s="48"/>
      <c r="B49" s="39" t="str">
        <f t="shared" si="6"/>
        <v/>
      </c>
      <c r="C49" s="40"/>
      <c r="D49" s="40"/>
      <c r="E49" s="40"/>
      <c r="F49" s="40"/>
      <c r="G49" s="13"/>
      <c r="H49" s="41">
        <v>44</v>
      </c>
      <c r="I49" s="42" t="str">
        <f t="shared" si="4"/>
        <v/>
      </c>
      <c r="J49" s="41" t="e">
        <f t="shared" si="5"/>
        <v>#NUM!</v>
      </c>
      <c r="K49" s="41" t="e">
        <f t="shared" si="2"/>
        <v>#NUM!</v>
      </c>
      <c r="L49" s="41"/>
      <c r="M49" s="43">
        <f t="shared" si="3"/>
        <v>0</v>
      </c>
    </row>
    <row r="50" spans="1:13" x14ac:dyDescent="0.25">
      <c r="A50" s="49"/>
      <c r="B50" s="33" t="str">
        <f t="shared" si="6"/>
        <v/>
      </c>
      <c r="C50" s="34"/>
      <c r="D50" s="34"/>
      <c r="E50" s="34"/>
      <c r="F50" s="34"/>
      <c r="G50" s="13"/>
      <c r="H50" s="35">
        <v>45</v>
      </c>
      <c r="I50" s="36" t="str">
        <f t="shared" si="4"/>
        <v/>
      </c>
      <c r="J50" s="35" t="e">
        <f t="shared" si="5"/>
        <v>#NUM!</v>
      </c>
      <c r="K50" s="35" t="e">
        <f t="shared" si="2"/>
        <v>#NUM!</v>
      </c>
      <c r="L50" s="35"/>
      <c r="M50" s="37">
        <f t="shared" si="3"/>
        <v>0</v>
      </c>
    </row>
    <row r="51" spans="1:13" x14ac:dyDescent="0.25">
      <c r="A51" s="48"/>
      <c r="B51" s="39" t="str">
        <f t="shared" si="6"/>
        <v/>
      </c>
      <c r="C51" s="40"/>
      <c r="D51" s="40"/>
      <c r="E51" s="40"/>
      <c r="F51" s="40"/>
      <c r="G51" s="13"/>
      <c r="H51" s="41">
        <v>46</v>
      </c>
      <c r="I51" s="42" t="str">
        <f t="shared" si="4"/>
        <v/>
      </c>
      <c r="J51" s="41" t="e">
        <f t="shared" si="5"/>
        <v>#NUM!</v>
      </c>
      <c r="K51" s="41" t="e">
        <f t="shared" si="2"/>
        <v>#NUM!</v>
      </c>
      <c r="L51" s="41"/>
      <c r="M51" s="43">
        <f t="shared" si="3"/>
        <v>0</v>
      </c>
    </row>
    <row r="52" spans="1:13" x14ac:dyDescent="0.25">
      <c r="A52" s="49"/>
      <c r="B52" s="33" t="str">
        <f t="shared" si="6"/>
        <v/>
      </c>
      <c r="C52" s="34"/>
      <c r="D52" s="34"/>
      <c r="E52" s="34"/>
      <c r="F52" s="34"/>
      <c r="G52" s="13"/>
      <c r="H52" s="35">
        <v>47</v>
      </c>
      <c r="I52" s="36" t="str">
        <f t="shared" si="4"/>
        <v/>
      </c>
      <c r="J52" s="35" t="e">
        <f t="shared" si="5"/>
        <v>#NUM!</v>
      </c>
      <c r="K52" s="35" t="e">
        <f t="shared" si="2"/>
        <v>#NUM!</v>
      </c>
      <c r="L52" s="35"/>
      <c r="M52" s="37">
        <f t="shared" si="3"/>
        <v>0</v>
      </c>
    </row>
    <row r="53" spans="1:13" x14ac:dyDescent="0.25">
      <c r="A53" s="48"/>
      <c r="B53" s="39" t="str">
        <f t="shared" si="6"/>
        <v/>
      </c>
      <c r="C53" s="40"/>
      <c r="D53" s="40"/>
      <c r="E53" s="40"/>
      <c r="F53" s="40"/>
      <c r="G53" s="13"/>
      <c r="H53" s="41">
        <v>48</v>
      </c>
      <c r="I53" s="42" t="str">
        <f t="shared" si="4"/>
        <v/>
      </c>
      <c r="J53" s="41" t="e">
        <f t="shared" si="5"/>
        <v>#NUM!</v>
      </c>
      <c r="K53" s="41" t="e">
        <f t="shared" si="2"/>
        <v>#NUM!</v>
      </c>
      <c r="L53" s="41"/>
      <c r="M53" s="43">
        <f t="shared" si="3"/>
        <v>0</v>
      </c>
    </row>
    <row r="54" spans="1:13" x14ac:dyDescent="0.25">
      <c r="A54" s="49"/>
      <c r="B54" s="33" t="str">
        <f t="shared" si="6"/>
        <v/>
      </c>
      <c r="C54" s="34"/>
      <c r="D54" s="34"/>
      <c r="E54" s="34"/>
      <c r="F54" s="34"/>
      <c r="G54" s="13"/>
      <c r="H54" s="35">
        <v>49</v>
      </c>
      <c r="I54" s="36" t="str">
        <f t="shared" si="4"/>
        <v/>
      </c>
      <c r="J54" s="35" t="e">
        <f t="shared" si="5"/>
        <v>#NUM!</v>
      </c>
      <c r="K54" s="35" t="e">
        <f t="shared" si="2"/>
        <v>#NUM!</v>
      </c>
      <c r="L54" s="35"/>
      <c r="M54" s="37">
        <f t="shared" si="3"/>
        <v>0</v>
      </c>
    </row>
    <row r="55" spans="1:13" x14ac:dyDescent="0.25">
      <c r="A55" s="48"/>
      <c r="B55" s="39" t="str">
        <f t="shared" si="6"/>
        <v/>
      </c>
      <c r="C55" s="40"/>
      <c r="D55" s="40"/>
      <c r="E55" s="40"/>
      <c r="F55" s="40"/>
      <c r="G55" s="13"/>
      <c r="H55" s="41">
        <v>50</v>
      </c>
      <c r="I55" s="42" t="str">
        <f t="shared" si="4"/>
        <v/>
      </c>
      <c r="J55" s="41" t="e">
        <f t="shared" si="5"/>
        <v>#NUM!</v>
      </c>
      <c r="K55" s="41" t="e">
        <f t="shared" si="2"/>
        <v>#NUM!</v>
      </c>
      <c r="L55" s="41"/>
      <c r="M55" s="43">
        <f t="shared" si="3"/>
        <v>0</v>
      </c>
    </row>
    <row r="56" spans="1:13" x14ac:dyDescent="0.25">
      <c r="A56" s="49"/>
      <c r="B56" s="33" t="str">
        <f t="shared" si="6"/>
        <v/>
      </c>
      <c r="C56" s="34"/>
      <c r="D56" s="34"/>
      <c r="E56" s="34"/>
      <c r="F56" s="34"/>
      <c r="G56" s="13"/>
      <c r="H56" s="35">
        <v>51</v>
      </c>
      <c r="I56" s="36" t="str">
        <f t="shared" si="4"/>
        <v/>
      </c>
      <c r="J56" s="35" t="e">
        <f t="shared" si="5"/>
        <v>#NUM!</v>
      </c>
      <c r="K56" s="35" t="e">
        <f t="shared" si="2"/>
        <v>#NUM!</v>
      </c>
      <c r="L56" s="35"/>
      <c r="M56" s="37">
        <f t="shared" si="3"/>
        <v>0</v>
      </c>
    </row>
    <row r="57" spans="1:13" x14ac:dyDescent="0.25">
      <c r="A57" s="48"/>
      <c r="B57" s="39" t="str">
        <f t="shared" si="6"/>
        <v/>
      </c>
      <c r="C57" s="40"/>
      <c r="D57" s="40"/>
      <c r="E57" s="40"/>
      <c r="F57" s="40"/>
      <c r="G57" s="13"/>
      <c r="H57" s="41">
        <v>52</v>
      </c>
      <c r="I57" s="42" t="str">
        <f t="shared" si="4"/>
        <v/>
      </c>
      <c r="J57" s="41" t="e">
        <f t="shared" si="5"/>
        <v>#NUM!</v>
      </c>
      <c r="K57" s="41" t="e">
        <f t="shared" si="2"/>
        <v>#NUM!</v>
      </c>
      <c r="L57" s="41"/>
      <c r="M57" s="43">
        <f t="shared" si="3"/>
        <v>0</v>
      </c>
    </row>
    <row r="58" spans="1:13" x14ac:dyDescent="0.25">
      <c r="A58" s="49"/>
      <c r="B58" s="33" t="str">
        <f t="shared" si="6"/>
        <v/>
      </c>
      <c r="C58" s="34"/>
      <c r="D58" s="34"/>
      <c r="E58" s="34"/>
      <c r="F58" s="34"/>
      <c r="G58" s="13"/>
      <c r="H58" s="35">
        <v>53</v>
      </c>
      <c r="I58" s="36" t="str">
        <f t="shared" si="4"/>
        <v/>
      </c>
      <c r="J58" s="35" t="e">
        <f t="shared" si="5"/>
        <v>#NUM!</v>
      </c>
      <c r="K58" s="35" t="e">
        <f t="shared" si="2"/>
        <v>#NUM!</v>
      </c>
      <c r="L58" s="35"/>
      <c r="M58" s="37">
        <f t="shared" si="3"/>
        <v>0</v>
      </c>
    </row>
    <row r="59" spans="1:13" x14ac:dyDescent="0.25">
      <c r="A59" s="48"/>
      <c r="B59" s="39" t="str">
        <f t="shared" si="6"/>
        <v/>
      </c>
      <c r="C59" s="40"/>
      <c r="D59" s="40"/>
      <c r="E59" s="40"/>
      <c r="F59" s="40"/>
      <c r="G59" s="13"/>
      <c r="H59" s="41">
        <v>54</v>
      </c>
      <c r="I59" s="42" t="str">
        <f t="shared" si="4"/>
        <v/>
      </c>
      <c r="J59" s="41" t="e">
        <f t="shared" si="5"/>
        <v>#NUM!</v>
      </c>
      <c r="K59" s="41" t="e">
        <f t="shared" si="2"/>
        <v>#NUM!</v>
      </c>
      <c r="L59" s="41"/>
      <c r="M59" s="43">
        <f t="shared" si="3"/>
        <v>0</v>
      </c>
    </row>
    <row r="60" spans="1:13" x14ac:dyDescent="0.25">
      <c r="A60" s="49"/>
      <c r="B60" s="33" t="str">
        <f t="shared" si="6"/>
        <v/>
      </c>
      <c r="C60" s="34"/>
      <c r="D60" s="34"/>
      <c r="E60" s="34"/>
      <c r="F60" s="34"/>
      <c r="G60" s="13"/>
      <c r="H60" s="35">
        <v>55</v>
      </c>
      <c r="I60" s="36" t="str">
        <f t="shared" si="4"/>
        <v/>
      </c>
      <c r="J60" s="35" t="e">
        <f t="shared" si="5"/>
        <v>#NUM!</v>
      </c>
      <c r="K60" s="35" t="e">
        <f t="shared" si="2"/>
        <v>#NUM!</v>
      </c>
      <c r="L60" s="35"/>
      <c r="M60" s="37">
        <f t="shared" si="3"/>
        <v>0</v>
      </c>
    </row>
    <row r="61" spans="1:13" x14ac:dyDescent="0.25">
      <c r="A61" s="48"/>
      <c r="B61" s="39" t="str">
        <f t="shared" si="6"/>
        <v/>
      </c>
      <c r="C61" s="40"/>
      <c r="D61" s="40"/>
      <c r="E61" s="40"/>
      <c r="F61" s="40"/>
      <c r="G61" s="13"/>
      <c r="H61" s="41">
        <v>56</v>
      </c>
      <c r="I61" s="42" t="str">
        <f t="shared" si="4"/>
        <v/>
      </c>
      <c r="J61" s="41" t="e">
        <f t="shared" si="5"/>
        <v>#NUM!</v>
      </c>
      <c r="K61" s="41" t="e">
        <f t="shared" si="2"/>
        <v>#NUM!</v>
      </c>
      <c r="L61" s="41"/>
      <c r="M61" s="43">
        <f t="shared" si="3"/>
        <v>0</v>
      </c>
    </row>
    <row r="62" spans="1:13" x14ac:dyDescent="0.25">
      <c r="A62" s="49"/>
      <c r="B62" s="33" t="str">
        <f t="shared" si="6"/>
        <v/>
      </c>
      <c r="C62" s="34"/>
      <c r="D62" s="34"/>
      <c r="E62" s="34"/>
      <c r="F62" s="34"/>
      <c r="G62" s="13"/>
      <c r="H62" s="35">
        <v>57</v>
      </c>
      <c r="I62" s="36" t="str">
        <f t="shared" si="4"/>
        <v/>
      </c>
      <c r="J62" s="35" t="e">
        <f t="shared" si="5"/>
        <v>#NUM!</v>
      </c>
      <c r="K62" s="35" t="e">
        <f t="shared" si="2"/>
        <v>#NUM!</v>
      </c>
      <c r="L62" s="35"/>
      <c r="M62" s="37">
        <f t="shared" si="3"/>
        <v>0</v>
      </c>
    </row>
    <row r="63" spans="1:13" x14ac:dyDescent="0.25">
      <c r="A63" s="48"/>
      <c r="B63" s="39" t="str">
        <f t="shared" si="6"/>
        <v/>
      </c>
      <c r="C63" s="40"/>
      <c r="D63" s="40"/>
      <c r="E63" s="40"/>
      <c r="F63" s="40"/>
      <c r="G63" s="13"/>
      <c r="H63" s="41">
        <v>58</v>
      </c>
      <c r="I63" s="42" t="str">
        <f t="shared" si="4"/>
        <v/>
      </c>
      <c r="J63" s="41" t="e">
        <f t="shared" si="5"/>
        <v>#NUM!</v>
      </c>
      <c r="K63" s="41" t="e">
        <f t="shared" si="2"/>
        <v>#NUM!</v>
      </c>
      <c r="L63" s="41"/>
      <c r="M63" s="43">
        <f t="shared" si="3"/>
        <v>0</v>
      </c>
    </row>
    <row r="64" spans="1:13" x14ac:dyDescent="0.25">
      <c r="A64" s="49"/>
      <c r="B64" s="33" t="str">
        <f t="shared" si="6"/>
        <v/>
      </c>
      <c r="C64" s="34"/>
      <c r="D64" s="34"/>
      <c r="E64" s="34"/>
      <c r="F64" s="34"/>
      <c r="G64" s="13"/>
      <c r="H64" s="35">
        <v>59</v>
      </c>
      <c r="I64" s="36" t="str">
        <f t="shared" si="4"/>
        <v/>
      </c>
      <c r="J64" s="35" t="e">
        <f t="shared" si="5"/>
        <v>#NUM!</v>
      </c>
      <c r="K64" s="35" t="e">
        <f t="shared" si="2"/>
        <v>#NUM!</v>
      </c>
      <c r="L64" s="35"/>
      <c r="M64" s="37">
        <f t="shared" si="3"/>
        <v>0</v>
      </c>
    </row>
    <row r="65" spans="1:13" x14ac:dyDescent="0.25">
      <c r="A65" s="48"/>
      <c r="B65" s="39" t="str">
        <f t="shared" si="6"/>
        <v/>
      </c>
      <c r="C65" s="40"/>
      <c r="D65" s="40"/>
      <c r="E65" s="40"/>
      <c r="F65" s="40"/>
      <c r="G65" s="13"/>
      <c r="H65" s="41">
        <v>60</v>
      </c>
      <c r="I65" s="42" t="str">
        <f t="shared" si="4"/>
        <v/>
      </c>
      <c r="J65" s="41" t="e">
        <f t="shared" si="5"/>
        <v>#NUM!</v>
      </c>
      <c r="K65" s="41" t="e">
        <f t="shared" si="2"/>
        <v>#NUM!</v>
      </c>
      <c r="L65" s="41"/>
      <c r="M65" s="43">
        <f t="shared" si="3"/>
        <v>0</v>
      </c>
    </row>
    <row r="66" spans="1:13" x14ac:dyDescent="0.25">
      <c r="A66" s="56"/>
      <c r="B66" s="33"/>
      <c r="G66" s="13"/>
      <c r="H66" s="35">
        <v>61</v>
      </c>
      <c r="I66" s="36" t="str">
        <f t="shared" si="4"/>
        <v/>
      </c>
      <c r="J66" s="35" t="e">
        <f t="shared" si="5"/>
        <v>#NUM!</v>
      </c>
      <c r="K66" s="35" t="e">
        <f t="shared" si="2"/>
        <v>#NUM!</v>
      </c>
      <c r="L66" s="35"/>
      <c r="M66" s="37">
        <f t="shared" si="3"/>
        <v>0</v>
      </c>
    </row>
    <row r="67" spans="1:13" x14ac:dyDescent="0.25">
      <c r="A67" s="56"/>
      <c r="B67" s="39"/>
      <c r="G67" s="13"/>
      <c r="H67" s="35">
        <v>62</v>
      </c>
      <c r="I67" s="36" t="str">
        <f t="shared" si="4"/>
        <v/>
      </c>
      <c r="J67" s="35" t="e">
        <f t="shared" si="5"/>
        <v>#NUM!</v>
      </c>
      <c r="K67" s="35" t="e">
        <f t="shared" si="2"/>
        <v>#NUM!</v>
      </c>
      <c r="L67" s="35"/>
      <c r="M67" s="37">
        <f t="shared" si="3"/>
        <v>0</v>
      </c>
    </row>
    <row r="68" spans="1:13" x14ac:dyDescent="0.25">
      <c r="A68" s="56"/>
      <c r="B68" s="33"/>
      <c r="G68" s="13"/>
      <c r="H68" s="35">
        <v>63</v>
      </c>
      <c r="I68" s="36" t="str">
        <f t="shared" si="4"/>
        <v/>
      </c>
      <c r="J68" s="35" t="e">
        <f t="shared" si="5"/>
        <v>#NUM!</v>
      </c>
      <c r="K68" s="35" t="e">
        <f t="shared" si="2"/>
        <v>#NUM!</v>
      </c>
      <c r="L68" s="35"/>
      <c r="M68" s="37">
        <f t="shared" si="3"/>
        <v>0</v>
      </c>
    </row>
    <row r="69" spans="1:13" x14ac:dyDescent="0.25">
      <c r="A69" s="56"/>
      <c r="B69" s="39"/>
      <c r="G69" s="13"/>
      <c r="H69" s="35">
        <v>64</v>
      </c>
      <c r="I69" s="36" t="str">
        <f t="shared" si="4"/>
        <v/>
      </c>
      <c r="J69" s="35" t="e">
        <f t="shared" si="5"/>
        <v>#NUM!</v>
      </c>
      <c r="K69" s="35" t="e">
        <f t="shared" si="2"/>
        <v>#NUM!</v>
      </c>
      <c r="L69" s="35"/>
      <c r="M69" s="37">
        <f t="shared" si="3"/>
        <v>0</v>
      </c>
    </row>
    <row r="70" spans="1:13" x14ac:dyDescent="0.25">
      <c r="A70" s="56"/>
      <c r="G70" s="13"/>
      <c r="H70" s="35">
        <v>65</v>
      </c>
      <c r="I70" s="36" t="str">
        <f t="shared" ref="I70:I133" si="7">IF(H70&lt;$H$2+1,($I$2-($I$2-1)*(LOG(H70)/LOG($H$2))),"")</f>
        <v/>
      </c>
      <c r="J70" s="35" t="e">
        <f t="shared" si="5"/>
        <v>#NUM!</v>
      </c>
      <c r="K70" s="35" t="e">
        <f t="shared" ref="K70:K133" si="8">J70*$J$2</f>
        <v>#NUM!</v>
      </c>
      <c r="L70" s="35"/>
      <c r="M70" s="37">
        <f t="shared" ref="M70:M133" si="9">IF(I70&lt;&gt;"",K70+I70+L70,0)</f>
        <v>0</v>
      </c>
    </row>
    <row r="71" spans="1:13" x14ac:dyDescent="0.25">
      <c r="A71" s="56"/>
      <c r="G71" s="13"/>
      <c r="H71" s="35">
        <v>66</v>
      </c>
      <c r="I71" s="36" t="str">
        <f t="shared" si="7"/>
        <v/>
      </c>
      <c r="J71" s="35" t="e">
        <f t="shared" ref="J71:J134" si="10">INT(LOG($H$2,2))-ROUNDUP(LOG(H71,2),0)+IF(OR($H$2=1,$H$2=2,$H$2=4,$H$2=8,$H$2=16,$H$2=32,$H$2=64,$H$2=128,$H$2=256),0,1)</f>
        <v>#NUM!</v>
      </c>
      <c r="K71" s="35" t="e">
        <f t="shared" si="8"/>
        <v>#NUM!</v>
      </c>
      <c r="L71" s="35"/>
      <c r="M71" s="37">
        <f t="shared" si="9"/>
        <v>0</v>
      </c>
    </row>
    <row r="72" spans="1:13" x14ac:dyDescent="0.25">
      <c r="A72" s="56"/>
      <c r="G72" s="13"/>
      <c r="H72" s="35">
        <v>67</v>
      </c>
      <c r="I72" s="36" t="str">
        <f t="shared" si="7"/>
        <v/>
      </c>
      <c r="J72" s="35" t="e">
        <f t="shared" si="10"/>
        <v>#NUM!</v>
      </c>
      <c r="K72" s="35" t="e">
        <f t="shared" si="8"/>
        <v>#NUM!</v>
      </c>
      <c r="L72" s="35"/>
      <c r="M72" s="37">
        <f t="shared" si="9"/>
        <v>0</v>
      </c>
    </row>
    <row r="73" spans="1:13" x14ac:dyDescent="0.25">
      <c r="A73" s="56"/>
      <c r="G73" s="13"/>
      <c r="H73" s="35">
        <v>68</v>
      </c>
      <c r="I73" s="36" t="str">
        <f t="shared" si="7"/>
        <v/>
      </c>
      <c r="J73" s="35" t="e">
        <f t="shared" si="10"/>
        <v>#NUM!</v>
      </c>
      <c r="K73" s="35" t="e">
        <f t="shared" si="8"/>
        <v>#NUM!</v>
      </c>
      <c r="L73" s="35"/>
      <c r="M73" s="37">
        <f t="shared" si="9"/>
        <v>0</v>
      </c>
    </row>
    <row r="74" spans="1:13" x14ac:dyDescent="0.25">
      <c r="A74" s="56"/>
      <c r="G74" s="13"/>
      <c r="H74" s="35">
        <v>69</v>
      </c>
      <c r="I74" s="36" t="str">
        <f t="shared" si="7"/>
        <v/>
      </c>
      <c r="J74" s="35" t="e">
        <f t="shared" si="10"/>
        <v>#NUM!</v>
      </c>
      <c r="K74" s="35" t="e">
        <f t="shared" si="8"/>
        <v>#NUM!</v>
      </c>
      <c r="L74" s="35"/>
      <c r="M74" s="37">
        <f t="shared" si="9"/>
        <v>0</v>
      </c>
    </row>
    <row r="75" spans="1:13" x14ac:dyDescent="0.25">
      <c r="A75" s="56"/>
      <c r="G75" s="13"/>
      <c r="H75" s="35">
        <v>70</v>
      </c>
      <c r="I75" s="36" t="str">
        <f t="shared" si="7"/>
        <v/>
      </c>
      <c r="J75" s="35" t="e">
        <f t="shared" si="10"/>
        <v>#NUM!</v>
      </c>
      <c r="K75" s="35" t="e">
        <f t="shared" si="8"/>
        <v>#NUM!</v>
      </c>
      <c r="L75" s="35"/>
      <c r="M75" s="37">
        <f t="shared" si="9"/>
        <v>0</v>
      </c>
    </row>
    <row r="76" spans="1:13" x14ac:dyDescent="0.25">
      <c r="A76" s="56"/>
      <c r="G76" s="13"/>
      <c r="H76" s="35">
        <v>71</v>
      </c>
      <c r="I76" s="36" t="str">
        <f t="shared" si="7"/>
        <v/>
      </c>
      <c r="J76" s="35" t="e">
        <f t="shared" si="10"/>
        <v>#NUM!</v>
      </c>
      <c r="K76" s="35" t="e">
        <f t="shared" si="8"/>
        <v>#NUM!</v>
      </c>
      <c r="L76" s="35"/>
      <c r="M76" s="37">
        <f t="shared" si="9"/>
        <v>0</v>
      </c>
    </row>
    <row r="77" spans="1:13" x14ac:dyDescent="0.25">
      <c r="A77" s="56"/>
      <c r="G77" s="13"/>
      <c r="H77" s="35">
        <v>72</v>
      </c>
      <c r="I77" s="36" t="str">
        <f t="shared" si="7"/>
        <v/>
      </c>
      <c r="J77" s="35" t="e">
        <f t="shared" si="10"/>
        <v>#NUM!</v>
      </c>
      <c r="K77" s="35" t="e">
        <f t="shared" si="8"/>
        <v>#NUM!</v>
      </c>
      <c r="L77" s="35"/>
      <c r="M77" s="37">
        <f t="shared" si="9"/>
        <v>0</v>
      </c>
    </row>
    <row r="78" spans="1:13" x14ac:dyDescent="0.25">
      <c r="A78" s="56"/>
      <c r="G78" s="13"/>
      <c r="H78" s="35">
        <v>73</v>
      </c>
      <c r="I78" s="36" t="str">
        <f t="shared" si="7"/>
        <v/>
      </c>
      <c r="J78" s="35" t="e">
        <f t="shared" si="10"/>
        <v>#NUM!</v>
      </c>
      <c r="K78" s="35" t="e">
        <f t="shared" si="8"/>
        <v>#NUM!</v>
      </c>
      <c r="L78" s="35"/>
      <c r="M78" s="37">
        <f t="shared" si="9"/>
        <v>0</v>
      </c>
    </row>
    <row r="79" spans="1:13" x14ac:dyDescent="0.25">
      <c r="A79" s="56"/>
      <c r="G79" s="13"/>
      <c r="H79" s="35">
        <v>74</v>
      </c>
      <c r="I79" s="36" t="str">
        <f t="shared" si="7"/>
        <v/>
      </c>
      <c r="J79" s="35" t="e">
        <f t="shared" si="10"/>
        <v>#NUM!</v>
      </c>
      <c r="K79" s="35" t="e">
        <f t="shared" si="8"/>
        <v>#NUM!</v>
      </c>
      <c r="L79" s="35"/>
      <c r="M79" s="37">
        <f t="shared" si="9"/>
        <v>0</v>
      </c>
    </row>
    <row r="80" spans="1:13" x14ac:dyDescent="0.25">
      <c r="A80" s="56"/>
      <c r="G80" s="13"/>
      <c r="H80" s="35">
        <v>75</v>
      </c>
      <c r="I80" s="36" t="str">
        <f t="shared" si="7"/>
        <v/>
      </c>
      <c r="J80" s="35" t="e">
        <f t="shared" si="10"/>
        <v>#NUM!</v>
      </c>
      <c r="K80" s="35" t="e">
        <f t="shared" si="8"/>
        <v>#NUM!</v>
      </c>
      <c r="L80" s="35"/>
      <c r="M80" s="37">
        <f t="shared" si="9"/>
        <v>0</v>
      </c>
    </row>
    <row r="81" spans="1:13" x14ac:dyDescent="0.25">
      <c r="A81" s="56"/>
      <c r="G81" s="13"/>
      <c r="H81" s="35">
        <v>76</v>
      </c>
      <c r="I81" s="36" t="str">
        <f t="shared" si="7"/>
        <v/>
      </c>
      <c r="J81" s="35" t="e">
        <f t="shared" si="10"/>
        <v>#NUM!</v>
      </c>
      <c r="K81" s="35" t="e">
        <f t="shared" si="8"/>
        <v>#NUM!</v>
      </c>
      <c r="L81" s="35"/>
      <c r="M81" s="37">
        <f t="shared" si="9"/>
        <v>0</v>
      </c>
    </row>
    <row r="82" spans="1:13" x14ac:dyDescent="0.25">
      <c r="A82" s="56"/>
      <c r="G82" s="13"/>
      <c r="H82" s="35">
        <v>77</v>
      </c>
      <c r="I82" s="36" t="str">
        <f t="shared" si="7"/>
        <v/>
      </c>
      <c r="J82" s="35" t="e">
        <f t="shared" si="10"/>
        <v>#NUM!</v>
      </c>
      <c r="K82" s="35" t="e">
        <f t="shared" si="8"/>
        <v>#NUM!</v>
      </c>
      <c r="L82" s="35"/>
      <c r="M82" s="37">
        <f t="shared" si="9"/>
        <v>0</v>
      </c>
    </row>
    <row r="83" spans="1:13" x14ac:dyDescent="0.25">
      <c r="A83" s="56"/>
      <c r="G83" s="13"/>
      <c r="H83" s="35">
        <v>78</v>
      </c>
      <c r="I83" s="36" t="str">
        <f t="shared" si="7"/>
        <v/>
      </c>
      <c r="J83" s="35" t="e">
        <f t="shared" si="10"/>
        <v>#NUM!</v>
      </c>
      <c r="K83" s="35" t="e">
        <f t="shared" si="8"/>
        <v>#NUM!</v>
      </c>
      <c r="L83" s="35"/>
      <c r="M83" s="37">
        <f t="shared" si="9"/>
        <v>0</v>
      </c>
    </row>
    <row r="84" spans="1:13" x14ac:dyDescent="0.25">
      <c r="A84" s="56"/>
      <c r="G84" s="13"/>
      <c r="H84" s="35">
        <v>79</v>
      </c>
      <c r="I84" s="36" t="str">
        <f t="shared" si="7"/>
        <v/>
      </c>
      <c r="J84" s="35" t="e">
        <f t="shared" si="10"/>
        <v>#NUM!</v>
      </c>
      <c r="K84" s="35" t="e">
        <f t="shared" si="8"/>
        <v>#NUM!</v>
      </c>
      <c r="L84" s="35"/>
      <c r="M84" s="37">
        <f t="shared" si="9"/>
        <v>0</v>
      </c>
    </row>
    <row r="85" spans="1:13" x14ac:dyDescent="0.25">
      <c r="A85" s="56"/>
      <c r="G85" s="13"/>
      <c r="H85" s="35">
        <v>80</v>
      </c>
      <c r="I85" s="36" t="str">
        <f t="shared" si="7"/>
        <v/>
      </c>
      <c r="J85" s="35" t="e">
        <f t="shared" si="10"/>
        <v>#NUM!</v>
      </c>
      <c r="K85" s="35" t="e">
        <f t="shared" si="8"/>
        <v>#NUM!</v>
      </c>
      <c r="L85" s="35"/>
      <c r="M85" s="37">
        <f t="shared" si="9"/>
        <v>0</v>
      </c>
    </row>
    <row r="86" spans="1:13" x14ac:dyDescent="0.25">
      <c r="A86" s="56"/>
      <c r="G86" s="13"/>
      <c r="H86" s="35">
        <v>81</v>
      </c>
      <c r="I86" s="36" t="str">
        <f t="shared" si="7"/>
        <v/>
      </c>
      <c r="J86" s="35" t="e">
        <f t="shared" si="10"/>
        <v>#NUM!</v>
      </c>
      <c r="K86" s="35" t="e">
        <f t="shared" si="8"/>
        <v>#NUM!</v>
      </c>
      <c r="L86" s="35"/>
      <c r="M86" s="37">
        <f t="shared" si="9"/>
        <v>0</v>
      </c>
    </row>
    <row r="87" spans="1:13" x14ac:dyDescent="0.25">
      <c r="A87" s="56"/>
      <c r="G87" s="13"/>
      <c r="H87" s="35">
        <v>82</v>
      </c>
      <c r="I87" s="36" t="str">
        <f t="shared" si="7"/>
        <v/>
      </c>
      <c r="J87" s="35" t="e">
        <f t="shared" si="10"/>
        <v>#NUM!</v>
      </c>
      <c r="K87" s="35" t="e">
        <f t="shared" si="8"/>
        <v>#NUM!</v>
      </c>
      <c r="L87" s="35"/>
      <c r="M87" s="37">
        <f t="shared" si="9"/>
        <v>0</v>
      </c>
    </row>
    <row r="88" spans="1:13" x14ac:dyDescent="0.25">
      <c r="A88" s="56"/>
      <c r="G88" s="13"/>
      <c r="H88" s="35">
        <v>83</v>
      </c>
      <c r="I88" s="36" t="str">
        <f t="shared" si="7"/>
        <v/>
      </c>
      <c r="J88" s="35" t="e">
        <f t="shared" si="10"/>
        <v>#NUM!</v>
      </c>
      <c r="K88" s="35" t="e">
        <f t="shared" si="8"/>
        <v>#NUM!</v>
      </c>
      <c r="L88" s="35"/>
      <c r="M88" s="37">
        <f t="shared" si="9"/>
        <v>0</v>
      </c>
    </row>
    <row r="89" spans="1:13" x14ac:dyDescent="0.25">
      <c r="A89" s="56"/>
      <c r="G89" s="13"/>
      <c r="H89" s="35">
        <v>84</v>
      </c>
      <c r="I89" s="36" t="str">
        <f t="shared" si="7"/>
        <v/>
      </c>
      <c r="J89" s="35" t="e">
        <f t="shared" si="10"/>
        <v>#NUM!</v>
      </c>
      <c r="K89" s="35" t="e">
        <f t="shared" si="8"/>
        <v>#NUM!</v>
      </c>
      <c r="L89" s="35"/>
      <c r="M89" s="37">
        <f t="shared" si="9"/>
        <v>0</v>
      </c>
    </row>
    <row r="90" spans="1:13" x14ac:dyDescent="0.25">
      <c r="A90" s="56"/>
      <c r="G90" s="13"/>
      <c r="H90" s="35">
        <v>85</v>
      </c>
      <c r="I90" s="36" t="str">
        <f t="shared" si="7"/>
        <v/>
      </c>
      <c r="J90" s="35" t="e">
        <f t="shared" si="10"/>
        <v>#NUM!</v>
      </c>
      <c r="K90" s="35" t="e">
        <f t="shared" si="8"/>
        <v>#NUM!</v>
      </c>
      <c r="L90" s="35"/>
      <c r="M90" s="37">
        <f t="shared" si="9"/>
        <v>0</v>
      </c>
    </row>
    <row r="91" spans="1:13" x14ac:dyDescent="0.25">
      <c r="A91" s="56"/>
      <c r="G91" s="13"/>
      <c r="H91" s="35">
        <v>86</v>
      </c>
      <c r="I91" s="36" t="str">
        <f t="shared" si="7"/>
        <v/>
      </c>
      <c r="J91" s="35" t="e">
        <f t="shared" si="10"/>
        <v>#NUM!</v>
      </c>
      <c r="K91" s="35" t="e">
        <f t="shared" si="8"/>
        <v>#NUM!</v>
      </c>
      <c r="L91" s="35"/>
      <c r="M91" s="37">
        <f t="shared" si="9"/>
        <v>0</v>
      </c>
    </row>
    <row r="92" spans="1:13" x14ac:dyDescent="0.25">
      <c r="A92" s="56"/>
      <c r="G92" s="13"/>
      <c r="H92" s="35">
        <v>87</v>
      </c>
      <c r="I92" s="36" t="str">
        <f t="shared" si="7"/>
        <v/>
      </c>
      <c r="J92" s="35" t="e">
        <f t="shared" si="10"/>
        <v>#NUM!</v>
      </c>
      <c r="K92" s="35" t="e">
        <f t="shared" si="8"/>
        <v>#NUM!</v>
      </c>
      <c r="L92" s="35"/>
      <c r="M92" s="37">
        <f t="shared" si="9"/>
        <v>0</v>
      </c>
    </row>
    <row r="93" spans="1:13" x14ac:dyDescent="0.25">
      <c r="A93" s="56"/>
      <c r="G93" s="13"/>
      <c r="H93" s="35">
        <v>88</v>
      </c>
      <c r="I93" s="36" t="str">
        <f t="shared" si="7"/>
        <v/>
      </c>
      <c r="J93" s="35" t="e">
        <f t="shared" si="10"/>
        <v>#NUM!</v>
      </c>
      <c r="K93" s="35" t="e">
        <f t="shared" si="8"/>
        <v>#NUM!</v>
      </c>
      <c r="L93" s="35"/>
      <c r="M93" s="37">
        <f t="shared" si="9"/>
        <v>0</v>
      </c>
    </row>
    <row r="94" spans="1:13" x14ac:dyDescent="0.25">
      <c r="A94" s="56"/>
      <c r="G94" s="13"/>
      <c r="H94" s="35">
        <v>89</v>
      </c>
      <c r="I94" s="36" t="str">
        <f t="shared" si="7"/>
        <v/>
      </c>
      <c r="J94" s="35" t="e">
        <f t="shared" si="10"/>
        <v>#NUM!</v>
      </c>
      <c r="K94" s="35" t="e">
        <f t="shared" si="8"/>
        <v>#NUM!</v>
      </c>
      <c r="L94" s="35"/>
      <c r="M94" s="37">
        <f t="shared" si="9"/>
        <v>0</v>
      </c>
    </row>
    <row r="95" spans="1:13" x14ac:dyDescent="0.25">
      <c r="A95" s="56"/>
      <c r="G95" s="13"/>
      <c r="H95" s="35">
        <v>90</v>
      </c>
      <c r="I95" s="36" t="str">
        <f t="shared" si="7"/>
        <v/>
      </c>
      <c r="J95" s="35" t="e">
        <f t="shared" si="10"/>
        <v>#NUM!</v>
      </c>
      <c r="K95" s="35" t="e">
        <f t="shared" si="8"/>
        <v>#NUM!</v>
      </c>
      <c r="L95" s="35"/>
      <c r="M95" s="37">
        <f t="shared" si="9"/>
        <v>0</v>
      </c>
    </row>
    <row r="96" spans="1:13" x14ac:dyDescent="0.25">
      <c r="A96" s="56"/>
      <c r="G96" s="13"/>
      <c r="H96" s="35">
        <v>91</v>
      </c>
      <c r="I96" s="36" t="str">
        <f t="shared" si="7"/>
        <v/>
      </c>
      <c r="J96" s="35" t="e">
        <f t="shared" si="10"/>
        <v>#NUM!</v>
      </c>
      <c r="K96" s="35" t="e">
        <f t="shared" si="8"/>
        <v>#NUM!</v>
      </c>
      <c r="L96" s="35"/>
      <c r="M96" s="37">
        <f t="shared" si="9"/>
        <v>0</v>
      </c>
    </row>
    <row r="97" spans="1:13" x14ac:dyDescent="0.25">
      <c r="A97" s="56"/>
      <c r="G97" s="13"/>
      <c r="H97" s="35">
        <v>92</v>
      </c>
      <c r="I97" s="36" t="str">
        <f t="shared" si="7"/>
        <v/>
      </c>
      <c r="J97" s="35" t="e">
        <f t="shared" si="10"/>
        <v>#NUM!</v>
      </c>
      <c r="K97" s="35" t="e">
        <f t="shared" si="8"/>
        <v>#NUM!</v>
      </c>
      <c r="L97" s="35"/>
      <c r="M97" s="37">
        <f t="shared" si="9"/>
        <v>0</v>
      </c>
    </row>
    <row r="98" spans="1:13" x14ac:dyDescent="0.25">
      <c r="A98" s="56"/>
      <c r="G98" s="13"/>
      <c r="H98" s="35">
        <v>93</v>
      </c>
      <c r="I98" s="36" t="str">
        <f t="shared" si="7"/>
        <v/>
      </c>
      <c r="J98" s="35" t="e">
        <f t="shared" si="10"/>
        <v>#NUM!</v>
      </c>
      <c r="K98" s="35" t="e">
        <f t="shared" si="8"/>
        <v>#NUM!</v>
      </c>
      <c r="L98" s="35"/>
      <c r="M98" s="37">
        <f t="shared" si="9"/>
        <v>0</v>
      </c>
    </row>
    <row r="99" spans="1:13" x14ac:dyDescent="0.25">
      <c r="A99" s="56"/>
      <c r="G99" s="13"/>
      <c r="H99" s="35">
        <v>94</v>
      </c>
      <c r="I99" s="36" t="str">
        <f t="shared" si="7"/>
        <v/>
      </c>
      <c r="J99" s="35" t="e">
        <f t="shared" si="10"/>
        <v>#NUM!</v>
      </c>
      <c r="K99" s="35" t="e">
        <f t="shared" si="8"/>
        <v>#NUM!</v>
      </c>
      <c r="L99" s="35"/>
      <c r="M99" s="37">
        <f t="shared" si="9"/>
        <v>0</v>
      </c>
    </row>
    <row r="100" spans="1:13" x14ac:dyDescent="0.25">
      <c r="A100" s="56"/>
      <c r="G100" s="13"/>
      <c r="H100" s="35">
        <v>95</v>
      </c>
      <c r="I100" s="36" t="str">
        <f t="shared" si="7"/>
        <v/>
      </c>
      <c r="J100" s="35" t="e">
        <f t="shared" si="10"/>
        <v>#NUM!</v>
      </c>
      <c r="K100" s="35" t="e">
        <f t="shared" si="8"/>
        <v>#NUM!</v>
      </c>
      <c r="L100" s="35"/>
      <c r="M100" s="37">
        <f t="shared" si="9"/>
        <v>0</v>
      </c>
    </row>
    <row r="101" spans="1:13" x14ac:dyDescent="0.25">
      <c r="A101" s="56"/>
      <c r="G101" s="13"/>
      <c r="H101" s="35">
        <v>96</v>
      </c>
      <c r="I101" s="36" t="str">
        <f t="shared" si="7"/>
        <v/>
      </c>
      <c r="J101" s="35" t="e">
        <f t="shared" si="10"/>
        <v>#NUM!</v>
      </c>
      <c r="K101" s="35" t="e">
        <f t="shared" si="8"/>
        <v>#NUM!</v>
      </c>
      <c r="L101" s="35"/>
      <c r="M101" s="37">
        <f t="shared" si="9"/>
        <v>0</v>
      </c>
    </row>
    <row r="102" spans="1:13" x14ac:dyDescent="0.25">
      <c r="A102" s="56"/>
      <c r="G102" s="13"/>
      <c r="H102" s="35">
        <v>97</v>
      </c>
      <c r="I102" s="36" t="str">
        <f t="shared" si="7"/>
        <v/>
      </c>
      <c r="J102" s="35" t="e">
        <f t="shared" si="10"/>
        <v>#NUM!</v>
      </c>
      <c r="K102" s="35" t="e">
        <f t="shared" si="8"/>
        <v>#NUM!</v>
      </c>
      <c r="L102" s="35"/>
      <c r="M102" s="37">
        <f t="shared" si="9"/>
        <v>0</v>
      </c>
    </row>
    <row r="103" spans="1:13" x14ac:dyDescent="0.25">
      <c r="A103" s="56"/>
      <c r="G103" s="13"/>
      <c r="H103" s="35">
        <v>98</v>
      </c>
      <c r="I103" s="36" t="str">
        <f t="shared" si="7"/>
        <v/>
      </c>
      <c r="J103" s="35" t="e">
        <f t="shared" si="10"/>
        <v>#NUM!</v>
      </c>
      <c r="K103" s="35" t="e">
        <f t="shared" si="8"/>
        <v>#NUM!</v>
      </c>
      <c r="L103" s="35"/>
      <c r="M103" s="37">
        <f t="shared" si="9"/>
        <v>0</v>
      </c>
    </row>
    <row r="104" spans="1:13" x14ac:dyDescent="0.25">
      <c r="A104" s="56"/>
      <c r="G104" s="13"/>
      <c r="H104" s="35">
        <v>99</v>
      </c>
      <c r="I104" s="36" t="str">
        <f t="shared" si="7"/>
        <v/>
      </c>
      <c r="J104" s="35" t="e">
        <f t="shared" si="10"/>
        <v>#NUM!</v>
      </c>
      <c r="K104" s="35" t="e">
        <f t="shared" si="8"/>
        <v>#NUM!</v>
      </c>
      <c r="L104" s="35"/>
      <c r="M104" s="37">
        <f t="shared" si="9"/>
        <v>0</v>
      </c>
    </row>
    <row r="105" spans="1:13" x14ac:dyDescent="0.25">
      <c r="A105" s="56"/>
      <c r="G105" s="13"/>
      <c r="H105" s="35">
        <v>100</v>
      </c>
      <c r="I105" s="36" t="str">
        <f t="shared" si="7"/>
        <v/>
      </c>
      <c r="J105" s="35" t="e">
        <f t="shared" si="10"/>
        <v>#NUM!</v>
      </c>
      <c r="K105" s="35" t="e">
        <f t="shared" si="8"/>
        <v>#NUM!</v>
      </c>
      <c r="L105" s="35"/>
      <c r="M105" s="37">
        <f t="shared" si="9"/>
        <v>0</v>
      </c>
    </row>
    <row r="106" spans="1:13" x14ac:dyDescent="0.25">
      <c r="A106" s="56"/>
      <c r="G106" s="13"/>
      <c r="H106" s="35">
        <v>101</v>
      </c>
      <c r="I106" s="36" t="str">
        <f t="shared" si="7"/>
        <v/>
      </c>
      <c r="J106" s="35" t="e">
        <f t="shared" si="10"/>
        <v>#NUM!</v>
      </c>
      <c r="K106" s="35" t="e">
        <f t="shared" si="8"/>
        <v>#NUM!</v>
      </c>
      <c r="L106" s="35"/>
      <c r="M106" s="37">
        <f t="shared" si="9"/>
        <v>0</v>
      </c>
    </row>
    <row r="107" spans="1:13" x14ac:dyDescent="0.25">
      <c r="A107" s="56"/>
      <c r="G107" s="13"/>
      <c r="H107" s="35">
        <v>102</v>
      </c>
      <c r="I107" s="36" t="str">
        <f t="shared" si="7"/>
        <v/>
      </c>
      <c r="J107" s="35" t="e">
        <f t="shared" si="10"/>
        <v>#NUM!</v>
      </c>
      <c r="K107" s="35" t="e">
        <f t="shared" si="8"/>
        <v>#NUM!</v>
      </c>
      <c r="L107" s="35"/>
      <c r="M107" s="37">
        <f t="shared" si="9"/>
        <v>0</v>
      </c>
    </row>
    <row r="108" spans="1:13" x14ac:dyDescent="0.25">
      <c r="A108" s="56"/>
      <c r="G108" s="13"/>
      <c r="H108" s="35">
        <v>103</v>
      </c>
      <c r="I108" s="36" t="str">
        <f t="shared" si="7"/>
        <v/>
      </c>
      <c r="J108" s="35" t="e">
        <f t="shared" si="10"/>
        <v>#NUM!</v>
      </c>
      <c r="K108" s="35" t="e">
        <f t="shared" si="8"/>
        <v>#NUM!</v>
      </c>
      <c r="L108" s="35"/>
      <c r="M108" s="37">
        <f t="shared" si="9"/>
        <v>0</v>
      </c>
    </row>
    <row r="109" spans="1:13" x14ac:dyDescent="0.25">
      <c r="A109" s="56"/>
      <c r="G109" s="13"/>
      <c r="H109" s="35">
        <v>104</v>
      </c>
      <c r="I109" s="36" t="str">
        <f t="shared" si="7"/>
        <v/>
      </c>
      <c r="J109" s="35" t="e">
        <f t="shared" si="10"/>
        <v>#NUM!</v>
      </c>
      <c r="K109" s="35" t="e">
        <f t="shared" si="8"/>
        <v>#NUM!</v>
      </c>
      <c r="L109" s="35"/>
      <c r="M109" s="37">
        <f t="shared" si="9"/>
        <v>0</v>
      </c>
    </row>
    <row r="110" spans="1:13" x14ac:dyDescent="0.25">
      <c r="A110" s="56"/>
      <c r="G110" s="13"/>
      <c r="H110" s="35">
        <v>105</v>
      </c>
      <c r="I110" s="36" t="str">
        <f t="shared" si="7"/>
        <v/>
      </c>
      <c r="J110" s="35" t="e">
        <f t="shared" si="10"/>
        <v>#NUM!</v>
      </c>
      <c r="K110" s="35" t="e">
        <f t="shared" si="8"/>
        <v>#NUM!</v>
      </c>
      <c r="L110" s="35"/>
      <c r="M110" s="37">
        <f t="shared" si="9"/>
        <v>0</v>
      </c>
    </row>
    <row r="111" spans="1:13" x14ac:dyDescent="0.25">
      <c r="A111" s="56"/>
      <c r="G111" s="13"/>
      <c r="H111" s="35">
        <v>106</v>
      </c>
      <c r="I111" s="36" t="str">
        <f t="shared" si="7"/>
        <v/>
      </c>
      <c r="J111" s="35" t="e">
        <f t="shared" si="10"/>
        <v>#NUM!</v>
      </c>
      <c r="K111" s="35" t="e">
        <f t="shared" si="8"/>
        <v>#NUM!</v>
      </c>
      <c r="L111" s="35"/>
      <c r="M111" s="37">
        <f t="shared" si="9"/>
        <v>0</v>
      </c>
    </row>
    <row r="112" spans="1:13" x14ac:dyDescent="0.25">
      <c r="A112" s="56"/>
      <c r="G112" s="13"/>
      <c r="H112" s="35">
        <v>107</v>
      </c>
      <c r="I112" s="36" t="str">
        <f t="shared" si="7"/>
        <v/>
      </c>
      <c r="J112" s="35" t="e">
        <f t="shared" si="10"/>
        <v>#NUM!</v>
      </c>
      <c r="K112" s="35" t="e">
        <f t="shared" si="8"/>
        <v>#NUM!</v>
      </c>
      <c r="L112" s="35"/>
      <c r="M112" s="37">
        <f t="shared" si="9"/>
        <v>0</v>
      </c>
    </row>
    <row r="113" spans="1:13" x14ac:dyDescent="0.25">
      <c r="A113" s="56"/>
      <c r="G113" s="13"/>
      <c r="H113" s="35">
        <v>108</v>
      </c>
      <c r="I113" s="36" t="str">
        <f t="shared" si="7"/>
        <v/>
      </c>
      <c r="J113" s="35" t="e">
        <f t="shared" si="10"/>
        <v>#NUM!</v>
      </c>
      <c r="K113" s="35" t="e">
        <f t="shared" si="8"/>
        <v>#NUM!</v>
      </c>
      <c r="L113" s="35"/>
      <c r="M113" s="37">
        <f t="shared" si="9"/>
        <v>0</v>
      </c>
    </row>
    <row r="114" spans="1:13" x14ac:dyDescent="0.25">
      <c r="A114" s="56"/>
      <c r="G114" s="13"/>
      <c r="H114" s="35">
        <v>109</v>
      </c>
      <c r="I114" s="36" t="str">
        <f t="shared" si="7"/>
        <v/>
      </c>
      <c r="J114" s="35" t="e">
        <f t="shared" si="10"/>
        <v>#NUM!</v>
      </c>
      <c r="K114" s="35" t="e">
        <f t="shared" si="8"/>
        <v>#NUM!</v>
      </c>
      <c r="L114" s="35"/>
      <c r="M114" s="37">
        <f t="shared" si="9"/>
        <v>0</v>
      </c>
    </row>
    <row r="115" spans="1:13" x14ac:dyDescent="0.25">
      <c r="A115" s="56"/>
      <c r="G115" s="13"/>
      <c r="H115" s="35">
        <v>110</v>
      </c>
      <c r="I115" s="36" t="str">
        <f t="shared" si="7"/>
        <v/>
      </c>
      <c r="J115" s="35" t="e">
        <f t="shared" si="10"/>
        <v>#NUM!</v>
      </c>
      <c r="K115" s="35" t="e">
        <f t="shared" si="8"/>
        <v>#NUM!</v>
      </c>
      <c r="L115" s="35"/>
      <c r="M115" s="37">
        <f t="shared" si="9"/>
        <v>0</v>
      </c>
    </row>
    <row r="116" spans="1:13" x14ac:dyDescent="0.25">
      <c r="A116" s="56"/>
      <c r="G116" s="13"/>
      <c r="H116" s="35">
        <v>111</v>
      </c>
      <c r="I116" s="36" t="str">
        <f t="shared" si="7"/>
        <v/>
      </c>
      <c r="J116" s="35" t="e">
        <f t="shared" si="10"/>
        <v>#NUM!</v>
      </c>
      <c r="K116" s="35" t="e">
        <f t="shared" si="8"/>
        <v>#NUM!</v>
      </c>
      <c r="L116" s="35"/>
      <c r="M116" s="37">
        <f t="shared" si="9"/>
        <v>0</v>
      </c>
    </row>
    <row r="117" spans="1:13" x14ac:dyDescent="0.25">
      <c r="A117" s="56"/>
      <c r="G117" s="13"/>
      <c r="H117" s="35">
        <v>112</v>
      </c>
      <c r="I117" s="36" t="str">
        <f t="shared" si="7"/>
        <v/>
      </c>
      <c r="J117" s="35" t="e">
        <f t="shared" si="10"/>
        <v>#NUM!</v>
      </c>
      <c r="K117" s="35" t="e">
        <f t="shared" si="8"/>
        <v>#NUM!</v>
      </c>
      <c r="L117" s="35"/>
      <c r="M117" s="37">
        <f t="shared" si="9"/>
        <v>0</v>
      </c>
    </row>
    <row r="118" spans="1:13" x14ac:dyDescent="0.25">
      <c r="A118" s="56"/>
      <c r="G118" s="13"/>
      <c r="H118" s="35">
        <v>113</v>
      </c>
      <c r="I118" s="36" t="str">
        <f t="shared" si="7"/>
        <v/>
      </c>
      <c r="J118" s="35" t="e">
        <f t="shared" si="10"/>
        <v>#NUM!</v>
      </c>
      <c r="K118" s="35" t="e">
        <f t="shared" si="8"/>
        <v>#NUM!</v>
      </c>
      <c r="L118" s="35"/>
      <c r="M118" s="37">
        <f t="shared" si="9"/>
        <v>0</v>
      </c>
    </row>
    <row r="119" spans="1:13" x14ac:dyDescent="0.25">
      <c r="A119" s="56"/>
      <c r="G119" s="13"/>
      <c r="H119" s="35">
        <v>114</v>
      </c>
      <c r="I119" s="36" t="str">
        <f t="shared" si="7"/>
        <v/>
      </c>
      <c r="J119" s="35" t="e">
        <f t="shared" si="10"/>
        <v>#NUM!</v>
      </c>
      <c r="K119" s="35" t="e">
        <f t="shared" si="8"/>
        <v>#NUM!</v>
      </c>
      <c r="L119" s="35"/>
      <c r="M119" s="37">
        <f t="shared" si="9"/>
        <v>0</v>
      </c>
    </row>
    <row r="120" spans="1:13" x14ac:dyDescent="0.25">
      <c r="A120" s="56"/>
      <c r="G120" s="13"/>
      <c r="H120" s="35">
        <v>115</v>
      </c>
      <c r="I120" s="36" t="str">
        <f t="shared" si="7"/>
        <v/>
      </c>
      <c r="J120" s="35" t="e">
        <f t="shared" si="10"/>
        <v>#NUM!</v>
      </c>
      <c r="K120" s="35" t="e">
        <f t="shared" si="8"/>
        <v>#NUM!</v>
      </c>
      <c r="L120" s="35"/>
      <c r="M120" s="37">
        <f t="shared" si="9"/>
        <v>0</v>
      </c>
    </row>
    <row r="121" spans="1:13" x14ac:dyDescent="0.25">
      <c r="A121" s="56"/>
      <c r="G121" s="13"/>
      <c r="H121" s="35">
        <v>116</v>
      </c>
      <c r="I121" s="36" t="str">
        <f t="shared" si="7"/>
        <v/>
      </c>
      <c r="J121" s="35" t="e">
        <f t="shared" si="10"/>
        <v>#NUM!</v>
      </c>
      <c r="K121" s="35" t="e">
        <f t="shared" si="8"/>
        <v>#NUM!</v>
      </c>
      <c r="L121" s="35"/>
      <c r="M121" s="37">
        <f t="shared" si="9"/>
        <v>0</v>
      </c>
    </row>
    <row r="122" spans="1:13" x14ac:dyDescent="0.25">
      <c r="A122" s="56"/>
      <c r="G122" s="13"/>
      <c r="H122" s="35">
        <v>117</v>
      </c>
      <c r="I122" s="36" t="str">
        <f t="shared" si="7"/>
        <v/>
      </c>
      <c r="J122" s="35" t="e">
        <f t="shared" si="10"/>
        <v>#NUM!</v>
      </c>
      <c r="K122" s="35" t="e">
        <f t="shared" si="8"/>
        <v>#NUM!</v>
      </c>
      <c r="L122" s="35"/>
      <c r="M122" s="37">
        <f t="shared" si="9"/>
        <v>0</v>
      </c>
    </row>
    <row r="123" spans="1:13" x14ac:dyDescent="0.25">
      <c r="A123" s="56"/>
      <c r="G123" s="13"/>
      <c r="H123" s="35">
        <v>118</v>
      </c>
      <c r="I123" s="36" t="str">
        <f t="shared" si="7"/>
        <v/>
      </c>
      <c r="J123" s="35" t="e">
        <f t="shared" si="10"/>
        <v>#NUM!</v>
      </c>
      <c r="K123" s="35" t="e">
        <f t="shared" si="8"/>
        <v>#NUM!</v>
      </c>
      <c r="L123" s="35"/>
      <c r="M123" s="37">
        <f t="shared" si="9"/>
        <v>0</v>
      </c>
    </row>
    <row r="124" spans="1:13" x14ac:dyDescent="0.25">
      <c r="A124" s="56"/>
      <c r="G124" s="13"/>
      <c r="H124" s="35">
        <v>119</v>
      </c>
      <c r="I124" s="36" t="str">
        <f t="shared" si="7"/>
        <v/>
      </c>
      <c r="J124" s="35" t="e">
        <f t="shared" si="10"/>
        <v>#NUM!</v>
      </c>
      <c r="K124" s="35" t="e">
        <f t="shared" si="8"/>
        <v>#NUM!</v>
      </c>
      <c r="L124" s="35"/>
      <c r="M124" s="37">
        <f t="shared" si="9"/>
        <v>0</v>
      </c>
    </row>
    <row r="125" spans="1:13" x14ac:dyDescent="0.25">
      <c r="A125" s="56"/>
      <c r="G125" s="13"/>
      <c r="H125" s="35">
        <v>120</v>
      </c>
      <c r="I125" s="36" t="str">
        <f t="shared" si="7"/>
        <v/>
      </c>
      <c r="J125" s="35" t="e">
        <f t="shared" si="10"/>
        <v>#NUM!</v>
      </c>
      <c r="K125" s="35" t="e">
        <f t="shared" si="8"/>
        <v>#NUM!</v>
      </c>
      <c r="L125" s="35"/>
      <c r="M125" s="37">
        <f t="shared" si="9"/>
        <v>0</v>
      </c>
    </row>
    <row r="126" spans="1:13" x14ac:dyDescent="0.25">
      <c r="A126" s="56"/>
      <c r="G126" s="13"/>
      <c r="H126" s="35">
        <v>121</v>
      </c>
      <c r="I126" s="36" t="str">
        <f t="shared" si="7"/>
        <v/>
      </c>
      <c r="J126" s="35" t="e">
        <f t="shared" si="10"/>
        <v>#NUM!</v>
      </c>
      <c r="K126" s="35" t="e">
        <f t="shared" si="8"/>
        <v>#NUM!</v>
      </c>
      <c r="L126" s="35"/>
      <c r="M126" s="37">
        <f t="shared" si="9"/>
        <v>0</v>
      </c>
    </row>
    <row r="127" spans="1:13" x14ac:dyDescent="0.25">
      <c r="A127" s="56"/>
      <c r="G127" s="13"/>
      <c r="H127" s="35">
        <v>122</v>
      </c>
      <c r="I127" s="36" t="str">
        <f t="shared" si="7"/>
        <v/>
      </c>
      <c r="J127" s="35" t="e">
        <f t="shared" si="10"/>
        <v>#NUM!</v>
      </c>
      <c r="K127" s="35" t="e">
        <f t="shared" si="8"/>
        <v>#NUM!</v>
      </c>
      <c r="L127" s="35"/>
      <c r="M127" s="37">
        <f t="shared" si="9"/>
        <v>0</v>
      </c>
    </row>
    <row r="128" spans="1:13" x14ac:dyDescent="0.25">
      <c r="A128" s="56"/>
      <c r="G128" s="13"/>
      <c r="H128" s="35">
        <v>123</v>
      </c>
      <c r="I128" s="36" t="str">
        <f t="shared" si="7"/>
        <v/>
      </c>
      <c r="J128" s="35" t="e">
        <f t="shared" si="10"/>
        <v>#NUM!</v>
      </c>
      <c r="K128" s="35" t="e">
        <f t="shared" si="8"/>
        <v>#NUM!</v>
      </c>
      <c r="L128" s="35"/>
      <c r="M128" s="37">
        <f t="shared" si="9"/>
        <v>0</v>
      </c>
    </row>
    <row r="129" spans="1:13" x14ac:dyDescent="0.25">
      <c r="A129" s="56"/>
      <c r="G129" s="13"/>
      <c r="H129" s="35">
        <v>124</v>
      </c>
      <c r="I129" s="36" t="str">
        <f t="shared" si="7"/>
        <v/>
      </c>
      <c r="J129" s="35" t="e">
        <f t="shared" si="10"/>
        <v>#NUM!</v>
      </c>
      <c r="K129" s="35" t="e">
        <f t="shared" si="8"/>
        <v>#NUM!</v>
      </c>
      <c r="L129" s="35"/>
      <c r="M129" s="37">
        <f t="shared" si="9"/>
        <v>0</v>
      </c>
    </row>
    <row r="130" spans="1:13" x14ac:dyDescent="0.25">
      <c r="A130" s="56"/>
      <c r="G130" s="13"/>
      <c r="H130" s="35">
        <v>125</v>
      </c>
      <c r="I130" s="36" t="str">
        <f t="shared" si="7"/>
        <v/>
      </c>
      <c r="J130" s="35" t="e">
        <f t="shared" si="10"/>
        <v>#NUM!</v>
      </c>
      <c r="K130" s="35" t="e">
        <f t="shared" si="8"/>
        <v>#NUM!</v>
      </c>
      <c r="L130" s="35"/>
      <c r="M130" s="37">
        <f t="shared" si="9"/>
        <v>0</v>
      </c>
    </row>
    <row r="131" spans="1:13" x14ac:dyDescent="0.25">
      <c r="A131" s="56"/>
      <c r="G131" s="13"/>
      <c r="H131" s="35">
        <v>126</v>
      </c>
      <c r="I131" s="36" t="str">
        <f t="shared" si="7"/>
        <v/>
      </c>
      <c r="J131" s="35" t="e">
        <f t="shared" si="10"/>
        <v>#NUM!</v>
      </c>
      <c r="K131" s="35" t="e">
        <f t="shared" si="8"/>
        <v>#NUM!</v>
      </c>
      <c r="L131" s="35"/>
      <c r="M131" s="37">
        <f t="shared" si="9"/>
        <v>0</v>
      </c>
    </row>
    <row r="132" spans="1:13" x14ac:dyDescent="0.25">
      <c r="A132" s="56"/>
      <c r="G132" s="13"/>
      <c r="H132" s="35">
        <v>127</v>
      </c>
      <c r="I132" s="36" t="str">
        <f t="shared" si="7"/>
        <v/>
      </c>
      <c r="J132" s="35" t="e">
        <f t="shared" si="10"/>
        <v>#NUM!</v>
      </c>
      <c r="K132" s="35" t="e">
        <f t="shared" si="8"/>
        <v>#NUM!</v>
      </c>
      <c r="L132" s="35"/>
      <c r="M132" s="37">
        <f t="shared" si="9"/>
        <v>0</v>
      </c>
    </row>
    <row r="133" spans="1:13" x14ac:dyDescent="0.25">
      <c r="A133" s="56"/>
      <c r="G133" s="13"/>
      <c r="H133" s="35">
        <v>128</v>
      </c>
      <c r="I133" s="36" t="str">
        <f t="shared" si="7"/>
        <v/>
      </c>
      <c r="J133" s="35" t="e">
        <f t="shared" si="10"/>
        <v>#NUM!</v>
      </c>
      <c r="K133" s="35" t="e">
        <f t="shared" si="8"/>
        <v>#NUM!</v>
      </c>
      <c r="L133" s="35"/>
      <c r="M133" s="37">
        <f t="shared" si="9"/>
        <v>0</v>
      </c>
    </row>
    <row r="134" spans="1:13" x14ac:dyDescent="0.25">
      <c r="A134" s="56"/>
      <c r="G134" s="13"/>
      <c r="H134" s="35">
        <v>129</v>
      </c>
      <c r="I134" s="36" t="str">
        <f t="shared" ref="I134:I197" si="11">IF(H134&lt;$H$2+1,($I$2-($I$2-1)*(LOG(H134)/LOG($H$2))),"")</f>
        <v/>
      </c>
      <c r="J134" s="35" t="e">
        <f t="shared" si="10"/>
        <v>#NUM!</v>
      </c>
      <c r="K134" s="35" t="e">
        <f t="shared" ref="K134:K197" si="12">J134*$J$2</f>
        <v>#NUM!</v>
      </c>
      <c r="L134" s="35"/>
      <c r="M134" s="37">
        <f t="shared" ref="M134:M197" si="13">IF(I134&lt;&gt;"",K134+I134+L134,0)</f>
        <v>0</v>
      </c>
    </row>
    <row r="135" spans="1:13" x14ac:dyDescent="0.25">
      <c r="A135" s="56"/>
      <c r="G135" s="13"/>
      <c r="H135" s="35">
        <v>130</v>
      </c>
      <c r="I135" s="36" t="str">
        <f t="shared" si="11"/>
        <v/>
      </c>
      <c r="J135" s="35" t="e">
        <f t="shared" ref="J135:J198" si="14">INT(LOG($H$2,2))-ROUNDUP(LOG(H135,2),0)+IF(OR($H$2=1,$H$2=2,$H$2=4,$H$2=8,$H$2=16,$H$2=32,$H$2=64,$H$2=128,$H$2=256),0,1)</f>
        <v>#NUM!</v>
      </c>
      <c r="K135" s="35" t="e">
        <f t="shared" si="12"/>
        <v>#NUM!</v>
      </c>
      <c r="L135" s="35"/>
      <c r="M135" s="37">
        <f t="shared" si="13"/>
        <v>0</v>
      </c>
    </row>
    <row r="136" spans="1:13" x14ac:dyDescent="0.25">
      <c r="A136" s="56"/>
      <c r="G136" s="13"/>
      <c r="H136" s="35">
        <v>131</v>
      </c>
      <c r="I136" s="36" t="str">
        <f t="shared" si="11"/>
        <v/>
      </c>
      <c r="J136" s="35" t="e">
        <f t="shared" si="14"/>
        <v>#NUM!</v>
      </c>
      <c r="K136" s="35" t="e">
        <f t="shared" si="12"/>
        <v>#NUM!</v>
      </c>
      <c r="L136" s="35"/>
      <c r="M136" s="37">
        <f t="shared" si="13"/>
        <v>0</v>
      </c>
    </row>
    <row r="137" spans="1:13" x14ac:dyDescent="0.25">
      <c r="A137" s="56"/>
      <c r="G137" s="13"/>
      <c r="H137" s="35">
        <v>132</v>
      </c>
      <c r="I137" s="36" t="str">
        <f t="shared" si="11"/>
        <v/>
      </c>
      <c r="J137" s="35" t="e">
        <f t="shared" si="14"/>
        <v>#NUM!</v>
      </c>
      <c r="K137" s="35" t="e">
        <f t="shared" si="12"/>
        <v>#NUM!</v>
      </c>
      <c r="L137" s="35"/>
      <c r="M137" s="37">
        <f t="shared" si="13"/>
        <v>0</v>
      </c>
    </row>
    <row r="138" spans="1:13" x14ac:dyDescent="0.25">
      <c r="A138" s="56"/>
      <c r="G138" s="13"/>
      <c r="H138" s="35">
        <v>133</v>
      </c>
      <c r="I138" s="36" t="str">
        <f t="shared" si="11"/>
        <v/>
      </c>
      <c r="J138" s="35" t="e">
        <f t="shared" si="14"/>
        <v>#NUM!</v>
      </c>
      <c r="K138" s="35" t="e">
        <f t="shared" si="12"/>
        <v>#NUM!</v>
      </c>
      <c r="L138" s="35"/>
      <c r="M138" s="37">
        <f t="shared" si="13"/>
        <v>0</v>
      </c>
    </row>
    <row r="139" spans="1:13" x14ac:dyDescent="0.25">
      <c r="A139" s="56"/>
      <c r="G139" s="13"/>
      <c r="H139" s="35">
        <v>134</v>
      </c>
      <c r="I139" s="36" t="str">
        <f t="shared" si="11"/>
        <v/>
      </c>
      <c r="J139" s="35" t="e">
        <f t="shared" si="14"/>
        <v>#NUM!</v>
      </c>
      <c r="K139" s="35" t="e">
        <f t="shared" si="12"/>
        <v>#NUM!</v>
      </c>
      <c r="L139" s="35"/>
      <c r="M139" s="37">
        <f t="shared" si="13"/>
        <v>0</v>
      </c>
    </row>
    <row r="140" spans="1:13" x14ac:dyDescent="0.25">
      <c r="A140" s="56"/>
      <c r="G140" s="13"/>
      <c r="H140" s="35">
        <v>135</v>
      </c>
      <c r="I140" s="36" t="str">
        <f t="shared" si="11"/>
        <v/>
      </c>
      <c r="J140" s="35" t="e">
        <f t="shared" si="14"/>
        <v>#NUM!</v>
      </c>
      <c r="K140" s="35" t="e">
        <f t="shared" si="12"/>
        <v>#NUM!</v>
      </c>
      <c r="L140" s="35"/>
      <c r="M140" s="37">
        <f t="shared" si="13"/>
        <v>0</v>
      </c>
    </row>
    <row r="141" spans="1:13" x14ac:dyDescent="0.25">
      <c r="A141" s="56"/>
      <c r="G141" s="13"/>
      <c r="H141" s="35">
        <v>136</v>
      </c>
      <c r="I141" s="36" t="str">
        <f t="shared" si="11"/>
        <v/>
      </c>
      <c r="J141" s="35" t="e">
        <f t="shared" si="14"/>
        <v>#NUM!</v>
      </c>
      <c r="K141" s="35" t="e">
        <f t="shared" si="12"/>
        <v>#NUM!</v>
      </c>
      <c r="L141" s="35"/>
      <c r="M141" s="37">
        <f t="shared" si="13"/>
        <v>0</v>
      </c>
    </row>
    <row r="142" spans="1:13" x14ac:dyDescent="0.25">
      <c r="A142" s="56"/>
      <c r="G142" s="13"/>
      <c r="H142" s="35">
        <v>137</v>
      </c>
      <c r="I142" s="36" t="str">
        <f t="shared" si="11"/>
        <v/>
      </c>
      <c r="J142" s="35" t="e">
        <f t="shared" si="14"/>
        <v>#NUM!</v>
      </c>
      <c r="K142" s="35" t="e">
        <f t="shared" si="12"/>
        <v>#NUM!</v>
      </c>
      <c r="L142" s="35"/>
      <c r="M142" s="37">
        <f t="shared" si="13"/>
        <v>0</v>
      </c>
    </row>
    <row r="143" spans="1:13" x14ac:dyDescent="0.25">
      <c r="A143" s="56"/>
      <c r="G143" s="13"/>
      <c r="H143" s="35">
        <v>138</v>
      </c>
      <c r="I143" s="36" t="str">
        <f t="shared" si="11"/>
        <v/>
      </c>
      <c r="J143" s="35" t="e">
        <f t="shared" si="14"/>
        <v>#NUM!</v>
      </c>
      <c r="K143" s="35" t="e">
        <f t="shared" si="12"/>
        <v>#NUM!</v>
      </c>
      <c r="L143" s="35"/>
      <c r="M143" s="37">
        <f t="shared" si="13"/>
        <v>0</v>
      </c>
    </row>
    <row r="144" spans="1:13" x14ac:dyDescent="0.25">
      <c r="A144" s="56"/>
      <c r="G144" s="13"/>
      <c r="H144" s="35">
        <v>139</v>
      </c>
      <c r="I144" s="36" t="str">
        <f t="shared" si="11"/>
        <v/>
      </c>
      <c r="J144" s="35" t="e">
        <f t="shared" si="14"/>
        <v>#NUM!</v>
      </c>
      <c r="K144" s="35" t="e">
        <f t="shared" si="12"/>
        <v>#NUM!</v>
      </c>
      <c r="L144" s="35"/>
      <c r="M144" s="37">
        <f t="shared" si="13"/>
        <v>0</v>
      </c>
    </row>
    <row r="145" spans="1:13" x14ac:dyDescent="0.25">
      <c r="A145" s="56"/>
      <c r="G145" s="13"/>
      <c r="H145" s="35">
        <v>140</v>
      </c>
      <c r="I145" s="36" t="str">
        <f t="shared" si="11"/>
        <v/>
      </c>
      <c r="J145" s="35" t="e">
        <f t="shared" si="14"/>
        <v>#NUM!</v>
      </c>
      <c r="K145" s="35" t="e">
        <f t="shared" si="12"/>
        <v>#NUM!</v>
      </c>
      <c r="L145" s="35"/>
      <c r="M145" s="37">
        <f t="shared" si="13"/>
        <v>0</v>
      </c>
    </row>
    <row r="146" spans="1:13" x14ac:dyDescent="0.25">
      <c r="A146" s="56"/>
      <c r="G146" s="13"/>
      <c r="H146" s="35">
        <v>141</v>
      </c>
      <c r="I146" s="36" t="str">
        <f t="shared" si="11"/>
        <v/>
      </c>
      <c r="J146" s="35" t="e">
        <f t="shared" si="14"/>
        <v>#NUM!</v>
      </c>
      <c r="K146" s="35" t="e">
        <f t="shared" si="12"/>
        <v>#NUM!</v>
      </c>
      <c r="L146" s="35"/>
      <c r="M146" s="37">
        <f t="shared" si="13"/>
        <v>0</v>
      </c>
    </row>
    <row r="147" spans="1:13" x14ac:dyDescent="0.25">
      <c r="A147" s="56"/>
      <c r="G147" s="13"/>
      <c r="H147" s="35">
        <v>142</v>
      </c>
      <c r="I147" s="36" t="str">
        <f t="shared" si="11"/>
        <v/>
      </c>
      <c r="J147" s="35" t="e">
        <f t="shared" si="14"/>
        <v>#NUM!</v>
      </c>
      <c r="K147" s="35" t="e">
        <f t="shared" si="12"/>
        <v>#NUM!</v>
      </c>
      <c r="L147" s="35"/>
      <c r="M147" s="37">
        <f t="shared" si="13"/>
        <v>0</v>
      </c>
    </row>
    <row r="148" spans="1:13" x14ac:dyDescent="0.25">
      <c r="A148" s="56"/>
      <c r="G148" s="13"/>
      <c r="H148" s="35">
        <v>143</v>
      </c>
      <c r="I148" s="36" t="str">
        <f t="shared" si="11"/>
        <v/>
      </c>
      <c r="J148" s="35" t="e">
        <f t="shared" si="14"/>
        <v>#NUM!</v>
      </c>
      <c r="K148" s="35" t="e">
        <f t="shared" si="12"/>
        <v>#NUM!</v>
      </c>
      <c r="L148" s="35"/>
      <c r="M148" s="37">
        <f t="shared" si="13"/>
        <v>0</v>
      </c>
    </row>
    <row r="149" spans="1:13" x14ac:dyDescent="0.25">
      <c r="A149" s="56"/>
      <c r="G149" s="13"/>
      <c r="H149" s="35">
        <v>144</v>
      </c>
      <c r="I149" s="36" t="str">
        <f t="shared" si="11"/>
        <v/>
      </c>
      <c r="J149" s="35" t="e">
        <f t="shared" si="14"/>
        <v>#NUM!</v>
      </c>
      <c r="K149" s="35" t="e">
        <f t="shared" si="12"/>
        <v>#NUM!</v>
      </c>
      <c r="L149" s="35"/>
      <c r="M149" s="37">
        <f t="shared" si="13"/>
        <v>0</v>
      </c>
    </row>
    <row r="150" spans="1:13" x14ac:dyDescent="0.25">
      <c r="A150" s="56"/>
      <c r="G150" s="13"/>
      <c r="H150" s="35">
        <v>145</v>
      </c>
      <c r="I150" s="36" t="str">
        <f t="shared" si="11"/>
        <v/>
      </c>
      <c r="J150" s="35" t="e">
        <f t="shared" si="14"/>
        <v>#NUM!</v>
      </c>
      <c r="K150" s="35" t="e">
        <f t="shared" si="12"/>
        <v>#NUM!</v>
      </c>
      <c r="L150" s="35"/>
      <c r="M150" s="37">
        <f t="shared" si="13"/>
        <v>0</v>
      </c>
    </row>
    <row r="151" spans="1:13" x14ac:dyDescent="0.25">
      <c r="A151" s="56"/>
      <c r="G151" s="13"/>
      <c r="H151" s="35">
        <v>146</v>
      </c>
      <c r="I151" s="36" t="str">
        <f t="shared" si="11"/>
        <v/>
      </c>
      <c r="J151" s="35" t="e">
        <f t="shared" si="14"/>
        <v>#NUM!</v>
      </c>
      <c r="K151" s="35" t="e">
        <f t="shared" si="12"/>
        <v>#NUM!</v>
      </c>
      <c r="L151" s="35"/>
      <c r="M151" s="37">
        <f t="shared" si="13"/>
        <v>0</v>
      </c>
    </row>
    <row r="152" spans="1:13" x14ac:dyDescent="0.25">
      <c r="A152" s="56"/>
      <c r="G152" s="13"/>
      <c r="H152" s="35">
        <v>147</v>
      </c>
      <c r="I152" s="36" t="str">
        <f t="shared" si="11"/>
        <v/>
      </c>
      <c r="J152" s="35" t="e">
        <f t="shared" si="14"/>
        <v>#NUM!</v>
      </c>
      <c r="K152" s="35" t="e">
        <f t="shared" si="12"/>
        <v>#NUM!</v>
      </c>
      <c r="L152" s="35"/>
      <c r="M152" s="37">
        <f t="shared" si="13"/>
        <v>0</v>
      </c>
    </row>
    <row r="153" spans="1:13" x14ac:dyDescent="0.25">
      <c r="A153" s="56"/>
      <c r="G153" s="13"/>
      <c r="H153" s="35">
        <v>148</v>
      </c>
      <c r="I153" s="36" t="str">
        <f t="shared" si="11"/>
        <v/>
      </c>
      <c r="J153" s="35" t="e">
        <f t="shared" si="14"/>
        <v>#NUM!</v>
      </c>
      <c r="K153" s="35" t="e">
        <f t="shared" si="12"/>
        <v>#NUM!</v>
      </c>
      <c r="L153" s="35"/>
      <c r="M153" s="37">
        <f t="shared" si="13"/>
        <v>0</v>
      </c>
    </row>
    <row r="154" spans="1:13" x14ac:dyDescent="0.25">
      <c r="A154" s="56"/>
      <c r="G154" s="13"/>
      <c r="H154" s="35">
        <v>149</v>
      </c>
      <c r="I154" s="36" t="str">
        <f t="shared" si="11"/>
        <v/>
      </c>
      <c r="J154" s="35" t="e">
        <f t="shared" si="14"/>
        <v>#NUM!</v>
      </c>
      <c r="K154" s="35" t="e">
        <f t="shared" si="12"/>
        <v>#NUM!</v>
      </c>
      <c r="L154" s="35"/>
      <c r="M154" s="37">
        <f t="shared" si="13"/>
        <v>0</v>
      </c>
    </row>
    <row r="155" spans="1:13" x14ac:dyDescent="0.25">
      <c r="A155" s="56"/>
      <c r="G155" s="13"/>
      <c r="H155" s="35">
        <v>150</v>
      </c>
      <c r="I155" s="36" t="str">
        <f t="shared" si="11"/>
        <v/>
      </c>
      <c r="J155" s="35" t="e">
        <f t="shared" si="14"/>
        <v>#NUM!</v>
      </c>
      <c r="K155" s="35" t="e">
        <f t="shared" si="12"/>
        <v>#NUM!</v>
      </c>
      <c r="L155" s="35"/>
      <c r="M155" s="37">
        <f t="shared" si="13"/>
        <v>0</v>
      </c>
    </row>
    <row r="156" spans="1:13" x14ac:dyDescent="0.25">
      <c r="A156" s="56"/>
      <c r="G156" s="13"/>
      <c r="H156" s="35">
        <v>151</v>
      </c>
      <c r="I156" s="36" t="str">
        <f t="shared" si="11"/>
        <v/>
      </c>
      <c r="J156" s="35" t="e">
        <f t="shared" si="14"/>
        <v>#NUM!</v>
      </c>
      <c r="K156" s="35" t="e">
        <f t="shared" si="12"/>
        <v>#NUM!</v>
      </c>
      <c r="L156" s="35"/>
      <c r="M156" s="37">
        <f t="shared" si="13"/>
        <v>0</v>
      </c>
    </row>
    <row r="157" spans="1:13" x14ac:dyDescent="0.25">
      <c r="A157" s="56"/>
      <c r="G157" s="13"/>
      <c r="H157" s="35">
        <v>152</v>
      </c>
      <c r="I157" s="36" t="str">
        <f t="shared" si="11"/>
        <v/>
      </c>
      <c r="J157" s="35" t="e">
        <f t="shared" si="14"/>
        <v>#NUM!</v>
      </c>
      <c r="K157" s="35" t="e">
        <f t="shared" si="12"/>
        <v>#NUM!</v>
      </c>
      <c r="L157" s="35"/>
      <c r="M157" s="37">
        <f t="shared" si="13"/>
        <v>0</v>
      </c>
    </row>
    <row r="158" spans="1:13" x14ac:dyDescent="0.25">
      <c r="A158" s="56"/>
      <c r="G158" s="13"/>
      <c r="H158" s="35">
        <v>153</v>
      </c>
      <c r="I158" s="36" t="str">
        <f t="shared" si="11"/>
        <v/>
      </c>
      <c r="J158" s="35" t="e">
        <f t="shared" si="14"/>
        <v>#NUM!</v>
      </c>
      <c r="K158" s="35" t="e">
        <f t="shared" si="12"/>
        <v>#NUM!</v>
      </c>
      <c r="L158" s="35"/>
      <c r="M158" s="37">
        <f t="shared" si="13"/>
        <v>0</v>
      </c>
    </row>
    <row r="159" spans="1:13" x14ac:dyDescent="0.25">
      <c r="A159" s="56"/>
      <c r="G159" s="13"/>
      <c r="H159" s="35">
        <v>154</v>
      </c>
      <c r="I159" s="36" t="str">
        <f t="shared" si="11"/>
        <v/>
      </c>
      <c r="J159" s="35" t="e">
        <f t="shared" si="14"/>
        <v>#NUM!</v>
      </c>
      <c r="K159" s="35" t="e">
        <f t="shared" si="12"/>
        <v>#NUM!</v>
      </c>
      <c r="L159" s="35"/>
      <c r="M159" s="37">
        <f t="shared" si="13"/>
        <v>0</v>
      </c>
    </row>
    <row r="160" spans="1:13" x14ac:dyDescent="0.25">
      <c r="A160" s="56"/>
      <c r="G160" s="13"/>
      <c r="H160" s="35">
        <v>155</v>
      </c>
      <c r="I160" s="36" t="str">
        <f t="shared" si="11"/>
        <v/>
      </c>
      <c r="J160" s="35" t="e">
        <f t="shared" si="14"/>
        <v>#NUM!</v>
      </c>
      <c r="K160" s="35" t="e">
        <f t="shared" si="12"/>
        <v>#NUM!</v>
      </c>
      <c r="L160" s="35"/>
      <c r="M160" s="37">
        <f t="shared" si="13"/>
        <v>0</v>
      </c>
    </row>
    <row r="161" spans="1:13" x14ac:dyDescent="0.25">
      <c r="A161" s="56"/>
      <c r="G161" s="13"/>
      <c r="H161" s="35">
        <v>156</v>
      </c>
      <c r="I161" s="36" t="str">
        <f t="shared" si="11"/>
        <v/>
      </c>
      <c r="J161" s="35" t="e">
        <f t="shared" si="14"/>
        <v>#NUM!</v>
      </c>
      <c r="K161" s="35" t="e">
        <f t="shared" si="12"/>
        <v>#NUM!</v>
      </c>
      <c r="L161" s="35"/>
      <c r="M161" s="37">
        <f t="shared" si="13"/>
        <v>0</v>
      </c>
    </row>
    <row r="162" spans="1:13" x14ac:dyDescent="0.25">
      <c r="A162" s="56"/>
      <c r="G162" s="13"/>
      <c r="H162" s="35">
        <v>157</v>
      </c>
      <c r="I162" s="36" t="str">
        <f t="shared" si="11"/>
        <v/>
      </c>
      <c r="J162" s="35" t="e">
        <f t="shared" si="14"/>
        <v>#NUM!</v>
      </c>
      <c r="K162" s="35" t="e">
        <f t="shared" si="12"/>
        <v>#NUM!</v>
      </c>
      <c r="L162" s="35"/>
      <c r="M162" s="37">
        <f t="shared" si="13"/>
        <v>0</v>
      </c>
    </row>
    <row r="163" spans="1:13" x14ac:dyDescent="0.25">
      <c r="A163" s="56"/>
      <c r="G163" s="13"/>
      <c r="H163" s="35">
        <v>158</v>
      </c>
      <c r="I163" s="36" t="str">
        <f t="shared" si="11"/>
        <v/>
      </c>
      <c r="J163" s="35" t="e">
        <f t="shared" si="14"/>
        <v>#NUM!</v>
      </c>
      <c r="K163" s="35" t="e">
        <f t="shared" si="12"/>
        <v>#NUM!</v>
      </c>
      <c r="L163" s="35"/>
      <c r="M163" s="37">
        <f t="shared" si="13"/>
        <v>0</v>
      </c>
    </row>
    <row r="164" spans="1:13" x14ac:dyDescent="0.25">
      <c r="A164" s="56"/>
      <c r="G164" s="13"/>
      <c r="H164" s="35">
        <v>159</v>
      </c>
      <c r="I164" s="36" t="str">
        <f t="shared" si="11"/>
        <v/>
      </c>
      <c r="J164" s="35" t="e">
        <f t="shared" si="14"/>
        <v>#NUM!</v>
      </c>
      <c r="K164" s="35" t="e">
        <f t="shared" si="12"/>
        <v>#NUM!</v>
      </c>
      <c r="L164" s="35"/>
      <c r="M164" s="37">
        <f t="shared" si="13"/>
        <v>0</v>
      </c>
    </row>
    <row r="165" spans="1:13" x14ac:dyDescent="0.25">
      <c r="A165" s="56"/>
      <c r="G165" s="13"/>
      <c r="H165" s="35">
        <v>160</v>
      </c>
      <c r="I165" s="36" t="str">
        <f t="shared" si="11"/>
        <v/>
      </c>
      <c r="J165" s="35" t="e">
        <f t="shared" si="14"/>
        <v>#NUM!</v>
      </c>
      <c r="K165" s="35" t="e">
        <f t="shared" si="12"/>
        <v>#NUM!</v>
      </c>
      <c r="L165" s="35"/>
      <c r="M165" s="37">
        <f t="shared" si="13"/>
        <v>0</v>
      </c>
    </row>
    <row r="166" spans="1:13" x14ac:dyDescent="0.25">
      <c r="A166" s="56"/>
      <c r="G166" s="13"/>
      <c r="H166" s="35">
        <v>161</v>
      </c>
      <c r="I166" s="36" t="str">
        <f t="shared" si="11"/>
        <v/>
      </c>
      <c r="J166" s="35" t="e">
        <f t="shared" si="14"/>
        <v>#NUM!</v>
      </c>
      <c r="K166" s="35" t="e">
        <f t="shared" si="12"/>
        <v>#NUM!</v>
      </c>
      <c r="L166" s="35"/>
      <c r="M166" s="37">
        <f t="shared" si="13"/>
        <v>0</v>
      </c>
    </row>
    <row r="167" spans="1:13" x14ac:dyDescent="0.25">
      <c r="A167" s="56"/>
      <c r="G167" s="13"/>
      <c r="H167" s="35">
        <v>162</v>
      </c>
      <c r="I167" s="36" t="str">
        <f t="shared" si="11"/>
        <v/>
      </c>
      <c r="J167" s="35" t="e">
        <f t="shared" si="14"/>
        <v>#NUM!</v>
      </c>
      <c r="K167" s="35" t="e">
        <f t="shared" si="12"/>
        <v>#NUM!</v>
      </c>
      <c r="L167" s="35"/>
      <c r="M167" s="37">
        <f t="shared" si="13"/>
        <v>0</v>
      </c>
    </row>
    <row r="168" spans="1:13" x14ac:dyDescent="0.25">
      <c r="A168" s="56"/>
      <c r="G168" s="13"/>
      <c r="H168" s="35">
        <v>163</v>
      </c>
      <c r="I168" s="36" t="str">
        <f t="shared" si="11"/>
        <v/>
      </c>
      <c r="J168" s="35" t="e">
        <f t="shared" si="14"/>
        <v>#NUM!</v>
      </c>
      <c r="K168" s="35" t="e">
        <f t="shared" si="12"/>
        <v>#NUM!</v>
      </c>
      <c r="L168" s="35"/>
      <c r="M168" s="37">
        <f t="shared" si="13"/>
        <v>0</v>
      </c>
    </row>
    <row r="169" spans="1:13" x14ac:dyDescent="0.25">
      <c r="A169" s="56"/>
      <c r="G169" s="13"/>
      <c r="H169" s="35">
        <v>164</v>
      </c>
      <c r="I169" s="36" t="str">
        <f t="shared" si="11"/>
        <v/>
      </c>
      <c r="J169" s="35" t="e">
        <f t="shared" si="14"/>
        <v>#NUM!</v>
      </c>
      <c r="K169" s="35" t="e">
        <f t="shared" si="12"/>
        <v>#NUM!</v>
      </c>
      <c r="L169" s="35"/>
      <c r="M169" s="37">
        <f t="shared" si="13"/>
        <v>0</v>
      </c>
    </row>
    <row r="170" spans="1:13" x14ac:dyDescent="0.25">
      <c r="A170" s="56"/>
      <c r="G170" s="13"/>
      <c r="H170" s="35">
        <v>165</v>
      </c>
      <c r="I170" s="36" t="str">
        <f t="shared" si="11"/>
        <v/>
      </c>
      <c r="J170" s="35" t="e">
        <f t="shared" si="14"/>
        <v>#NUM!</v>
      </c>
      <c r="K170" s="35" t="e">
        <f t="shared" si="12"/>
        <v>#NUM!</v>
      </c>
      <c r="L170" s="35"/>
      <c r="M170" s="37">
        <f t="shared" si="13"/>
        <v>0</v>
      </c>
    </row>
    <row r="171" spans="1:13" x14ac:dyDescent="0.25">
      <c r="A171" s="56"/>
      <c r="G171" s="13"/>
      <c r="H171" s="35">
        <v>166</v>
      </c>
      <c r="I171" s="36" t="str">
        <f t="shared" si="11"/>
        <v/>
      </c>
      <c r="J171" s="35" t="e">
        <f t="shared" si="14"/>
        <v>#NUM!</v>
      </c>
      <c r="K171" s="35" t="e">
        <f t="shared" si="12"/>
        <v>#NUM!</v>
      </c>
      <c r="L171" s="35"/>
      <c r="M171" s="37">
        <f t="shared" si="13"/>
        <v>0</v>
      </c>
    </row>
    <row r="172" spans="1:13" x14ac:dyDescent="0.25">
      <c r="A172" s="56"/>
      <c r="G172" s="13"/>
      <c r="H172" s="35">
        <v>167</v>
      </c>
      <c r="I172" s="36" t="str">
        <f t="shared" si="11"/>
        <v/>
      </c>
      <c r="J172" s="35" t="e">
        <f t="shared" si="14"/>
        <v>#NUM!</v>
      </c>
      <c r="K172" s="35" t="e">
        <f t="shared" si="12"/>
        <v>#NUM!</v>
      </c>
      <c r="L172" s="35"/>
      <c r="M172" s="37">
        <f t="shared" si="13"/>
        <v>0</v>
      </c>
    </row>
    <row r="173" spans="1:13" x14ac:dyDescent="0.25">
      <c r="A173" s="56"/>
      <c r="G173" s="13"/>
      <c r="H173" s="35">
        <v>168</v>
      </c>
      <c r="I173" s="36" t="str">
        <f t="shared" si="11"/>
        <v/>
      </c>
      <c r="J173" s="35" t="e">
        <f t="shared" si="14"/>
        <v>#NUM!</v>
      </c>
      <c r="K173" s="35" t="e">
        <f t="shared" si="12"/>
        <v>#NUM!</v>
      </c>
      <c r="L173" s="35"/>
      <c r="M173" s="37">
        <f t="shared" si="13"/>
        <v>0</v>
      </c>
    </row>
    <row r="174" spans="1:13" x14ac:dyDescent="0.25">
      <c r="A174" s="56"/>
      <c r="G174" s="13"/>
      <c r="H174" s="35">
        <v>169</v>
      </c>
      <c r="I174" s="36" t="str">
        <f t="shared" si="11"/>
        <v/>
      </c>
      <c r="J174" s="35" t="e">
        <f t="shared" si="14"/>
        <v>#NUM!</v>
      </c>
      <c r="K174" s="35" t="e">
        <f t="shared" si="12"/>
        <v>#NUM!</v>
      </c>
      <c r="L174" s="35"/>
      <c r="M174" s="37">
        <f t="shared" si="13"/>
        <v>0</v>
      </c>
    </row>
    <row r="175" spans="1:13" x14ac:dyDescent="0.25">
      <c r="A175" s="56"/>
      <c r="G175" s="13"/>
      <c r="H175" s="35">
        <v>170</v>
      </c>
      <c r="I175" s="36" t="str">
        <f t="shared" si="11"/>
        <v/>
      </c>
      <c r="J175" s="35" t="e">
        <f t="shared" si="14"/>
        <v>#NUM!</v>
      </c>
      <c r="K175" s="35" t="e">
        <f t="shared" si="12"/>
        <v>#NUM!</v>
      </c>
      <c r="L175" s="35"/>
      <c r="M175" s="37">
        <f t="shared" si="13"/>
        <v>0</v>
      </c>
    </row>
    <row r="176" spans="1:13" x14ac:dyDescent="0.25">
      <c r="A176" s="56"/>
      <c r="G176" s="13"/>
      <c r="H176" s="35">
        <v>171</v>
      </c>
      <c r="I176" s="36" t="str">
        <f t="shared" si="11"/>
        <v/>
      </c>
      <c r="J176" s="35" t="e">
        <f t="shared" si="14"/>
        <v>#NUM!</v>
      </c>
      <c r="K176" s="35" t="e">
        <f t="shared" si="12"/>
        <v>#NUM!</v>
      </c>
      <c r="L176" s="35"/>
      <c r="M176" s="37">
        <f t="shared" si="13"/>
        <v>0</v>
      </c>
    </row>
    <row r="177" spans="1:13" x14ac:dyDescent="0.25">
      <c r="A177" s="56"/>
      <c r="G177" s="13"/>
      <c r="H177" s="35">
        <v>172</v>
      </c>
      <c r="I177" s="36" t="str">
        <f t="shared" si="11"/>
        <v/>
      </c>
      <c r="J177" s="35" t="e">
        <f t="shared" si="14"/>
        <v>#NUM!</v>
      </c>
      <c r="K177" s="35" t="e">
        <f t="shared" si="12"/>
        <v>#NUM!</v>
      </c>
      <c r="L177" s="35"/>
      <c r="M177" s="37">
        <f t="shared" si="13"/>
        <v>0</v>
      </c>
    </row>
    <row r="178" spans="1:13" x14ac:dyDescent="0.25">
      <c r="A178" s="56"/>
      <c r="G178" s="13"/>
      <c r="H178" s="35">
        <v>173</v>
      </c>
      <c r="I178" s="36" t="str">
        <f t="shared" si="11"/>
        <v/>
      </c>
      <c r="J178" s="35" t="e">
        <f t="shared" si="14"/>
        <v>#NUM!</v>
      </c>
      <c r="K178" s="35" t="e">
        <f t="shared" si="12"/>
        <v>#NUM!</v>
      </c>
      <c r="L178" s="35"/>
      <c r="M178" s="37">
        <f t="shared" si="13"/>
        <v>0</v>
      </c>
    </row>
    <row r="179" spans="1:13" x14ac:dyDescent="0.25">
      <c r="A179" s="56"/>
      <c r="G179" s="13"/>
      <c r="H179" s="35">
        <v>174</v>
      </c>
      <c r="I179" s="36" t="str">
        <f t="shared" si="11"/>
        <v/>
      </c>
      <c r="J179" s="35" t="e">
        <f t="shared" si="14"/>
        <v>#NUM!</v>
      </c>
      <c r="K179" s="35" t="e">
        <f t="shared" si="12"/>
        <v>#NUM!</v>
      </c>
      <c r="L179" s="35"/>
      <c r="M179" s="37">
        <f t="shared" si="13"/>
        <v>0</v>
      </c>
    </row>
    <row r="180" spans="1:13" x14ac:dyDescent="0.25">
      <c r="A180" s="56"/>
      <c r="G180" s="13"/>
      <c r="H180" s="35">
        <v>175</v>
      </c>
      <c r="I180" s="36" t="str">
        <f t="shared" si="11"/>
        <v/>
      </c>
      <c r="J180" s="35" t="e">
        <f t="shared" si="14"/>
        <v>#NUM!</v>
      </c>
      <c r="K180" s="35" t="e">
        <f t="shared" si="12"/>
        <v>#NUM!</v>
      </c>
      <c r="L180" s="35"/>
      <c r="M180" s="37">
        <f t="shared" si="13"/>
        <v>0</v>
      </c>
    </row>
    <row r="181" spans="1:13" x14ac:dyDescent="0.25">
      <c r="A181" s="56"/>
      <c r="G181" s="13"/>
      <c r="H181" s="35">
        <v>176</v>
      </c>
      <c r="I181" s="36" t="str">
        <f t="shared" si="11"/>
        <v/>
      </c>
      <c r="J181" s="35" t="e">
        <f t="shared" si="14"/>
        <v>#NUM!</v>
      </c>
      <c r="K181" s="35" t="e">
        <f t="shared" si="12"/>
        <v>#NUM!</v>
      </c>
      <c r="L181" s="35"/>
      <c r="M181" s="37">
        <f t="shared" si="13"/>
        <v>0</v>
      </c>
    </row>
    <row r="182" spans="1:13" x14ac:dyDescent="0.25">
      <c r="A182" s="56"/>
      <c r="G182" s="13"/>
      <c r="H182" s="35">
        <v>177</v>
      </c>
      <c r="I182" s="36" t="str">
        <f t="shared" si="11"/>
        <v/>
      </c>
      <c r="J182" s="35" t="e">
        <f t="shared" si="14"/>
        <v>#NUM!</v>
      </c>
      <c r="K182" s="35" t="e">
        <f t="shared" si="12"/>
        <v>#NUM!</v>
      </c>
      <c r="L182" s="35"/>
      <c r="M182" s="37">
        <f t="shared" si="13"/>
        <v>0</v>
      </c>
    </row>
    <row r="183" spans="1:13" x14ac:dyDescent="0.25">
      <c r="A183" s="56"/>
      <c r="G183" s="13"/>
      <c r="H183" s="35">
        <v>178</v>
      </c>
      <c r="I183" s="36" t="str">
        <f t="shared" si="11"/>
        <v/>
      </c>
      <c r="J183" s="35" t="e">
        <f t="shared" si="14"/>
        <v>#NUM!</v>
      </c>
      <c r="K183" s="35" t="e">
        <f t="shared" si="12"/>
        <v>#NUM!</v>
      </c>
      <c r="L183" s="35"/>
      <c r="M183" s="37">
        <f t="shared" si="13"/>
        <v>0</v>
      </c>
    </row>
    <row r="184" spans="1:13" x14ac:dyDescent="0.25">
      <c r="A184" s="56"/>
      <c r="G184" s="13"/>
      <c r="H184" s="35">
        <v>179</v>
      </c>
      <c r="I184" s="36" t="str">
        <f t="shared" si="11"/>
        <v/>
      </c>
      <c r="J184" s="35" t="e">
        <f t="shared" si="14"/>
        <v>#NUM!</v>
      </c>
      <c r="K184" s="35" t="e">
        <f t="shared" si="12"/>
        <v>#NUM!</v>
      </c>
      <c r="L184" s="35"/>
      <c r="M184" s="37">
        <f t="shared" si="13"/>
        <v>0</v>
      </c>
    </row>
    <row r="185" spans="1:13" x14ac:dyDescent="0.25">
      <c r="A185" s="56"/>
      <c r="G185" s="13"/>
      <c r="H185" s="35">
        <v>180</v>
      </c>
      <c r="I185" s="36" t="str">
        <f t="shared" si="11"/>
        <v/>
      </c>
      <c r="J185" s="35" t="e">
        <f t="shared" si="14"/>
        <v>#NUM!</v>
      </c>
      <c r="K185" s="35" t="e">
        <f t="shared" si="12"/>
        <v>#NUM!</v>
      </c>
      <c r="L185" s="35"/>
      <c r="M185" s="37">
        <f t="shared" si="13"/>
        <v>0</v>
      </c>
    </row>
    <row r="186" spans="1:13" x14ac:dyDescent="0.25">
      <c r="A186" s="56"/>
      <c r="G186" s="13"/>
      <c r="H186" s="35">
        <v>181</v>
      </c>
      <c r="I186" s="36" t="str">
        <f t="shared" si="11"/>
        <v/>
      </c>
      <c r="J186" s="35" t="e">
        <f t="shared" si="14"/>
        <v>#NUM!</v>
      </c>
      <c r="K186" s="35" t="e">
        <f t="shared" si="12"/>
        <v>#NUM!</v>
      </c>
      <c r="L186" s="35"/>
      <c r="M186" s="37">
        <f t="shared" si="13"/>
        <v>0</v>
      </c>
    </row>
    <row r="187" spans="1:13" x14ac:dyDescent="0.25">
      <c r="A187" s="56"/>
      <c r="G187" s="13"/>
      <c r="H187" s="35">
        <v>182</v>
      </c>
      <c r="I187" s="36" t="str">
        <f t="shared" si="11"/>
        <v/>
      </c>
      <c r="J187" s="35" t="e">
        <f t="shared" si="14"/>
        <v>#NUM!</v>
      </c>
      <c r="K187" s="35" t="e">
        <f t="shared" si="12"/>
        <v>#NUM!</v>
      </c>
      <c r="L187" s="35"/>
      <c r="M187" s="37">
        <f t="shared" si="13"/>
        <v>0</v>
      </c>
    </row>
    <row r="188" spans="1:13" x14ac:dyDescent="0.25">
      <c r="A188" s="56"/>
      <c r="G188" s="13"/>
      <c r="H188" s="35">
        <v>183</v>
      </c>
      <c r="I188" s="36" t="str">
        <f t="shared" si="11"/>
        <v/>
      </c>
      <c r="J188" s="35" t="e">
        <f t="shared" si="14"/>
        <v>#NUM!</v>
      </c>
      <c r="K188" s="35" t="e">
        <f t="shared" si="12"/>
        <v>#NUM!</v>
      </c>
      <c r="L188" s="35"/>
      <c r="M188" s="37">
        <f t="shared" si="13"/>
        <v>0</v>
      </c>
    </row>
    <row r="189" spans="1:13" x14ac:dyDescent="0.25">
      <c r="A189" s="56"/>
      <c r="G189" s="13"/>
      <c r="H189" s="35">
        <v>184</v>
      </c>
      <c r="I189" s="36" t="str">
        <f t="shared" si="11"/>
        <v/>
      </c>
      <c r="J189" s="35" t="e">
        <f t="shared" si="14"/>
        <v>#NUM!</v>
      </c>
      <c r="K189" s="35" t="e">
        <f t="shared" si="12"/>
        <v>#NUM!</v>
      </c>
      <c r="L189" s="35"/>
      <c r="M189" s="37">
        <f t="shared" si="13"/>
        <v>0</v>
      </c>
    </row>
    <row r="190" spans="1:13" x14ac:dyDescent="0.25">
      <c r="A190" s="56"/>
      <c r="G190" s="13"/>
      <c r="H190" s="35">
        <v>185</v>
      </c>
      <c r="I190" s="36" t="str">
        <f t="shared" si="11"/>
        <v/>
      </c>
      <c r="J190" s="35" t="e">
        <f t="shared" si="14"/>
        <v>#NUM!</v>
      </c>
      <c r="K190" s="35" t="e">
        <f t="shared" si="12"/>
        <v>#NUM!</v>
      </c>
      <c r="L190" s="35"/>
      <c r="M190" s="37">
        <f t="shared" si="13"/>
        <v>0</v>
      </c>
    </row>
    <row r="191" spans="1:13" x14ac:dyDescent="0.25">
      <c r="A191" s="56"/>
      <c r="G191" s="13"/>
      <c r="H191" s="35">
        <v>186</v>
      </c>
      <c r="I191" s="36" t="str">
        <f t="shared" si="11"/>
        <v/>
      </c>
      <c r="J191" s="35" t="e">
        <f t="shared" si="14"/>
        <v>#NUM!</v>
      </c>
      <c r="K191" s="35" t="e">
        <f t="shared" si="12"/>
        <v>#NUM!</v>
      </c>
      <c r="L191" s="35"/>
      <c r="M191" s="37">
        <f t="shared" si="13"/>
        <v>0</v>
      </c>
    </row>
    <row r="192" spans="1:13" x14ac:dyDescent="0.25">
      <c r="A192" s="56"/>
      <c r="G192" s="13"/>
      <c r="H192" s="35">
        <v>187</v>
      </c>
      <c r="I192" s="36" t="str">
        <f t="shared" si="11"/>
        <v/>
      </c>
      <c r="J192" s="35" t="e">
        <f t="shared" si="14"/>
        <v>#NUM!</v>
      </c>
      <c r="K192" s="35" t="e">
        <f t="shared" si="12"/>
        <v>#NUM!</v>
      </c>
      <c r="L192" s="35"/>
      <c r="M192" s="37">
        <f t="shared" si="13"/>
        <v>0</v>
      </c>
    </row>
    <row r="193" spans="1:13" x14ac:dyDescent="0.25">
      <c r="A193" s="56"/>
      <c r="G193" s="13"/>
      <c r="H193" s="35">
        <v>188</v>
      </c>
      <c r="I193" s="36" t="str">
        <f t="shared" si="11"/>
        <v/>
      </c>
      <c r="J193" s="35" t="e">
        <f t="shared" si="14"/>
        <v>#NUM!</v>
      </c>
      <c r="K193" s="35" t="e">
        <f t="shared" si="12"/>
        <v>#NUM!</v>
      </c>
      <c r="L193" s="35"/>
      <c r="M193" s="37">
        <f t="shared" si="13"/>
        <v>0</v>
      </c>
    </row>
    <row r="194" spans="1:13" x14ac:dyDescent="0.25">
      <c r="A194" s="56"/>
      <c r="G194" s="13"/>
      <c r="H194" s="35">
        <v>189</v>
      </c>
      <c r="I194" s="36" t="str">
        <f t="shared" si="11"/>
        <v/>
      </c>
      <c r="J194" s="35" t="e">
        <f t="shared" si="14"/>
        <v>#NUM!</v>
      </c>
      <c r="K194" s="35" t="e">
        <f t="shared" si="12"/>
        <v>#NUM!</v>
      </c>
      <c r="L194" s="35"/>
      <c r="M194" s="37">
        <f t="shared" si="13"/>
        <v>0</v>
      </c>
    </row>
    <row r="195" spans="1:13" x14ac:dyDescent="0.25">
      <c r="A195" s="56"/>
      <c r="G195" s="13"/>
      <c r="H195" s="35">
        <v>190</v>
      </c>
      <c r="I195" s="36" t="str">
        <f t="shared" si="11"/>
        <v/>
      </c>
      <c r="J195" s="35" t="e">
        <f t="shared" si="14"/>
        <v>#NUM!</v>
      </c>
      <c r="K195" s="35" t="e">
        <f t="shared" si="12"/>
        <v>#NUM!</v>
      </c>
      <c r="L195" s="35"/>
      <c r="M195" s="37">
        <f t="shared" si="13"/>
        <v>0</v>
      </c>
    </row>
    <row r="196" spans="1:13" x14ac:dyDescent="0.25">
      <c r="A196" s="56"/>
      <c r="G196" s="13"/>
      <c r="H196" s="35">
        <v>191</v>
      </c>
      <c r="I196" s="36" t="str">
        <f t="shared" si="11"/>
        <v/>
      </c>
      <c r="J196" s="35" t="e">
        <f t="shared" si="14"/>
        <v>#NUM!</v>
      </c>
      <c r="K196" s="35" t="e">
        <f t="shared" si="12"/>
        <v>#NUM!</v>
      </c>
      <c r="L196" s="35"/>
      <c r="M196" s="37">
        <f t="shared" si="13"/>
        <v>0</v>
      </c>
    </row>
    <row r="197" spans="1:13" x14ac:dyDescent="0.25">
      <c r="A197" s="56"/>
      <c r="G197" s="13"/>
      <c r="H197" s="35">
        <v>192</v>
      </c>
      <c r="I197" s="36" t="str">
        <f t="shared" si="11"/>
        <v/>
      </c>
      <c r="J197" s="35" t="e">
        <f t="shared" si="14"/>
        <v>#NUM!</v>
      </c>
      <c r="K197" s="35" t="e">
        <f t="shared" si="12"/>
        <v>#NUM!</v>
      </c>
      <c r="L197" s="35"/>
      <c r="M197" s="37">
        <f t="shared" si="13"/>
        <v>0</v>
      </c>
    </row>
    <row r="198" spans="1:13" x14ac:dyDescent="0.25">
      <c r="A198" s="56"/>
      <c r="G198" s="13"/>
      <c r="H198" s="35">
        <v>193</v>
      </c>
      <c r="I198" s="36" t="str">
        <f t="shared" ref="I198:I261" si="15">IF(H198&lt;$H$2+1,($I$2-($I$2-1)*(LOG(H198)/LOG($H$2))),"")</f>
        <v/>
      </c>
      <c r="J198" s="35" t="e">
        <f t="shared" si="14"/>
        <v>#NUM!</v>
      </c>
      <c r="K198" s="35" t="e">
        <f t="shared" ref="K198:K261" si="16">J198*$J$2</f>
        <v>#NUM!</v>
      </c>
      <c r="L198" s="35"/>
      <c r="M198" s="37">
        <f t="shared" ref="M198:M261" si="17">IF(I198&lt;&gt;"",K198+I198+L198,0)</f>
        <v>0</v>
      </c>
    </row>
    <row r="199" spans="1:13" x14ac:dyDescent="0.25">
      <c r="A199" s="56"/>
      <c r="G199" s="13"/>
      <c r="H199" s="35">
        <v>194</v>
      </c>
      <c r="I199" s="36" t="str">
        <f t="shared" si="15"/>
        <v/>
      </c>
      <c r="J199" s="35" t="e">
        <f t="shared" ref="J199:J262" si="18">INT(LOG($H$2,2))-ROUNDUP(LOG(H199,2),0)+IF(OR($H$2=1,$H$2=2,$H$2=4,$H$2=8,$H$2=16,$H$2=32,$H$2=64,$H$2=128,$H$2=256),0,1)</f>
        <v>#NUM!</v>
      </c>
      <c r="K199" s="35" t="e">
        <f t="shared" si="16"/>
        <v>#NUM!</v>
      </c>
      <c r="L199" s="35"/>
      <c r="M199" s="37">
        <f t="shared" si="17"/>
        <v>0</v>
      </c>
    </row>
    <row r="200" spans="1:13" x14ac:dyDescent="0.25">
      <c r="A200" s="56"/>
      <c r="G200" s="13"/>
      <c r="H200" s="35">
        <v>195</v>
      </c>
      <c r="I200" s="36" t="str">
        <f t="shared" si="15"/>
        <v/>
      </c>
      <c r="J200" s="35" t="e">
        <f t="shared" si="18"/>
        <v>#NUM!</v>
      </c>
      <c r="K200" s="35" t="e">
        <f t="shared" si="16"/>
        <v>#NUM!</v>
      </c>
      <c r="L200" s="35"/>
      <c r="M200" s="37">
        <f t="shared" si="17"/>
        <v>0</v>
      </c>
    </row>
    <row r="201" spans="1:13" x14ac:dyDescent="0.25">
      <c r="A201" s="56"/>
      <c r="G201" s="13"/>
      <c r="H201" s="35">
        <v>196</v>
      </c>
      <c r="I201" s="36" t="str">
        <f t="shared" si="15"/>
        <v/>
      </c>
      <c r="J201" s="35" t="e">
        <f t="shared" si="18"/>
        <v>#NUM!</v>
      </c>
      <c r="K201" s="35" t="e">
        <f t="shared" si="16"/>
        <v>#NUM!</v>
      </c>
      <c r="L201" s="35"/>
      <c r="M201" s="37">
        <f t="shared" si="17"/>
        <v>0</v>
      </c>
    </row>
    <row r="202" spans="1:13" x14ac:dyDescent="0.25">
      <c r="A202" s="56"/>
      <c r="G202" s="13"/>
      <c r="H202" s="35">
        <v>197</v>
      </c>
      <c r="I202" s="36" t="str">
        <f t="shared" si="15"/>
        <v/>
      </c>
      <c r="J202" s="35" t="e">
        <f t="shared" si="18"/>
        <v>#NUM!</v>
      </c>
      <c r="K202" s="35" t="e">
        <f t="shared" si="16"/>
        <v>#NUM!</v>
      </c>
      <c r="L202" s="35"/>
      <c r="M202" s="37">
        <f t="shared" si="17"/>
        <v>0</v>
      </c>
    </row>
    <row r="203" spans="1:13" x14ac:dyDescent="0.25">
      <c r="A203" s="56"/>
      <c r="G203" s="13"/>
      <c r="H203" s="35">
        <v>198</v>
      </c>
      <c r="I203" s="36" t="str">
        <f t="shared" si="15"/>
        <v/>
      </c>
      <c r="J203" s="35" t="e">
        <f t="shared" si="18"/>
        <v>#NUM!</v>
      </c>
      <c r="K203" s="35" t="e">
        <f t="shared" si="16"/>
        <v>#NUM!</v>
      </c>
      <c r="L203" s="35"/>
      <c r="M203" s="37">
        <f t="shared" si="17"/>
        <v>0</v>
      </c>
    </row>
    <row r="204" spans="1:13" x14ac:dyDescent="0.25">
      <c r="A204" s="56"/>
      <c r="G204" s="13"/>
      <c r="H204" s="35">
        <v>199</v>
      </c>
      <c r="I204" s="36" t="str">
        <f t="shared" si="15"/>
        <v/>
      </c>
      <c r="J204" s="35" t="e">
        <f t="shared" si="18"/>
        <v>#NUM!</v>
      </c>
      <c r="K204" s="35" t="e">
        <f t="shared" si="16"/>
        <v>#NUM!</v>
      </c>
      <c r="L204" s="35"/>
      <c r="M204" s="37">
        <f t="shared" si="17"/>
        <v>0</v>
      </c>
    </row>
    <row r="205" spans="1:13" x14ac:dyDescent="0.25">
      <c r="A205" s="56"/>
      <c r="G205" s="13"/>
      <c r="H205" s="35">
        <v>200</v>
      </c>
      <c r="I205" s="36" t="str">
        <f t="shared" si="15"/>
        <v/>
      </c>
      <c r="J205" s="35" t="e">
        <f t="shared" si="18"/>
        <v>#NUM!</v>
      </c>
      <c r="K205" s="35" t="e">
        <f t="shared" si="16"/>
        <v>#NUM!</v>
      </c>
      <c r="L205" s="35"/>
      <c r="M205" s="37">
        <f t="shared" si="17"/>
        <v>0</v>
      </c>
    </row>
    <row r="206" spans="1:13" x14ac:dyDescent="0.25">
      <c r="A206" s="56"/>
      <c r="G206" s="13"/>
      <c r="H206" s="35">
        <v>201</v>
      </c>
      <c r="I206" s="36" t="str">
        <f t="shared" si="15"/>
        <v/>
      </c>
      <c r="J206" s="35" t="e">
        <f t="shared" si="18"/>
        <v>#NUM!</v>
      </c>
      <c r="K206" s="35" t="e">
        <f t="shared" si="16"/>
        <v>#NUM!</v>
      </c>
      <c r="L206" s="35"/>
      <c r="M206" s="37">
        <f t="shared" si="17"/>
        <v>0</v>
      </c>
    </row>
    <row r="207" spans="1:13" x14ac:dyDescent="0.25">
      <c r="A207" s="56"/>
      <c r="G207" s="13"/>
      <c r="H207" s="35">
        <v>202</v>
      </c>
      <c r="I207" s="36" t="str">
        <f t="shared" si="15"/>
        <v/>
      </c>
      <c r="J207" s="35" t="e">
        <f t="shared" si="18"/>
        <v>#NUM!</v>
      </c>
      <c r="K207" s="35" t="e">
        <f t="shared" si="16"/>
        <v>#NUM!</v>
      </c>
      <c r="L207" s="35"/>
      <c r="M207" s="37">
        <f t="shared" si="17"/>
        <v>0</v>
      </c>
    </row>
    <row r="208" spans="1:13" x14ac:dyDescent="0.25">
      <c r="A208" s="56"/>
      <c r="G208" s="13"/>
      <c r="H208" s="35">
        <v>203</v>
      </c>
      <c r="I208" s="36" t="str">
        <f t="shared" si="15"/>
        <v/>
      </c>
      <c r="J208" s="35" t="e">
        <f t="shared" si="18"/>
        <v>#NUM!</v>
      </c>
      <c r="K208" s="35" t="e">
        <f t="shared" si="16"/>
        <v>#NUM!</v>
      </c>
      <c r="L208" s="35"/>
      <c r="M208" s="37">
        <f t="shared" si="17"/>
        <v>0</v>
      </c>
    </row>
    <row r="209" spans="1:13" x14ac:dyDescent="0.25">
      <c r="A209" s="56"/>
      <c r="G209" s="13"/>
      <c r="H209" s="35">
        <v>204</v>
      </c>
      <c r="I209" s="36" t="str">
        <f t="shared" si="15"/>
        <v/>
      </c>
      <c r="J209" s="35" t="e">
        <f t="shared" si="18"/>
        <v>#NUM!</v>
      </c>
      <c r="K209" s="35" t="e">
        <f t="shared" si="16"/>
        <v>#NUM!</v>
      </c>
      <c r="L209" s="35"/>
      <c r="M209" s="37">
        <f t="shared" si="17"/>
        <v>0</v>
      </c>
    </row>
    <row r="210" spans="1:13" x14ac:dyDescent="0.25">
      <c r="A210" s="56"/>
      <c r="G210" s="13"/>
      <c r="H210" s="35">
        <v>205</v>
      </c>
      <c r="I210" s="36" t="str">
        <f t="shared" si="15"/>
        <v/>
      </c>
      <c r="J210" s="35" t="e">
        <f t="shared" si="18"/>
        <v>#NUM!</v>
      </c>
      <c r="K210" s="35" t="e">
        <f t="shared" si="16"/>
        <v>#NUM!</v>
      </c>
      <c r="L210" s="35"/>
      <c r="M210" s="37">
        <f t="shared" si="17"/>
        <v>0</v>
      </c>
    </row>
    <row r="211" spans="1:13" x14ac:dyDescent="0.25">
      <c r="A211" s="56"/>
      <c r="G211" s="13"/>
      <c r="H211" s="35">
        <v>206</v>
      </c>
      <c r="I211" s="36" t="str">
        <f t="shared" si="15"/>
        <v/>
      </c>
      <c r="J211" s="35" t="e">
        <f t="shared" si="18"/>
        <v>#NUM!</v>
      </c>
      <c r="K211" s="35" t="e">
        <f t="shared" si="16"/>
        <v>#NUM!</v>
      </c>
      <c r="L211" s="35"/>
      <c r="M211" s="37">
        <f t="shared" si="17"/>
        <v>0</v>
      </c>
    </row>
    <row r="212" spans="1:13" x14ac:dyDescent="0.25">
      <c r="A212" s="56"/>
      <c r="G212" s="13"/>
      <c r="H212" s="35">
        <v>207</v>
      </c>
      <c r="I212" s="36" t="str">
        <f t="shared" si="15"/>
        <v/>
      </c>
      <c r="J212" s="35" t="e">
        <f t="shared" si="18"/>
        <v>#NUM!</v>
      </c>
      <c r="K212" s="35" t="e">
        <f t="shared" si="16"/>
        <v>#NUM!</v>
      </c>
      <c r="L212" s="35"/>
      <c r="M212" s="37">
        <f t="shared" si="17"/>
        <v>0</v>
      </c>
    </row>
    <row r="213" spans="1:13" x14ac:dyDescent="0.25">
      <c r="A213" s="56"/>
      <c r="G213" s="13"/>
      <c r="H213" s="35">
        <v>208</v>
      </c>
      <c r="I213" s="36" t="str">
        <f t="shared" si="15"/>
        <v/>
      </c>
      <c r="J213" s="35" t="e">
        <f t="shared" si="18"/>
        <v>#NUM!</v>
      </c>
      <c r="K213" s="35" t="e">
        <f t="shared" si="16"/>
        <v>#NUM!</v>
      </c>
      <c r="L213" s="35"/>
      <c r="M213" s="37">
        <f t="shared" si="17"/>
        <v>0</v>
      </c>
    </row>
    <row r="214" spans="1:13" x14ac:dyDescent="0.25">
      <c r="A214" s="56"/>
      <c r="G214" s="13"/>
      <c r="H214" s="35">
        <v>209</v>
      </c>
      <c r="I214" s="36" t="str">
        <f t="shared" si="15"/>
        <v/>
      </c>
      <c r="J214" s="35" t="e">
        <f t="shared" si="18"/>
        <v>#NUM!</v>
      </c>
      <c r="K214" s="35" t="e">
        <f t="shared" si="16"/>
        <v>#NUM!</v>
      </c>
      <c r="L214" s="35"/>
      <c r="M214" s="37">
        <f t="shared" si="17"/>
        <v>0</v>
      </c>
    </row>
    <row r="215" spans="1:13" x14ac:dyDescent="0.25">
      <c r="A215" s="56"/>
      <c r="G215" s="13"/>
      <c r="H215" s="35">
        <v>210</v>
      </c>
      <c r="I215" s="36" t="str">
        <f t="shared" si="15"/>
        <v/>
      </c>
      <c r="J215" s="35" t="e">
        <f t="shared" si="18"/>
        <v>#NUM!</v>
      </c>
      <c r="K215" s="35" t="e">
        <f t="shared" si="16"/>
        <v>#NUM!</v>
      </c>
      <c r="L215" s="35"/>
      <c r="M215" s="37">
        <f t="shared" si="17"/>
        <v>0</v>
      </c>
    </row>
    <row r="216" spans="1:13" x14ac:dyDescent="0.25">
      <c r="A216" s="56"/>
      <c r="G216" s="13"/>
      <c r="H216" s="35">
        <v>211</v>
      </c>
      <c r="I216" s="36" t="str">
        <f t="shared" si="15"/>
        <v/>
      </c>
      <c r="J216" s="35" t="e">
        <f t="shared" si="18"/>
        <v>#NUM!</v>
      </c>
      <c r="K216" s="35" t="e">
        <f t="shared" si="16"/>
        <v>#NUM!</v>
      </c>
      <c r="L216" s="35"/>
      <c r="M216" s="37">
        <f t="shared" si="17"/>
        <v>0</v>
      </c>
    </row>
    <row r="217" spans="1:13" x14ac:dyDescent="0.25">
      <c r="A217" s="56"/>
      <c r="G217" s="13"/>
      <c r="H217" s="35">
        <v>212</v>
      </c>
      <c r="I217" s="36" t="str">
        <f t="shared" si="15"/>
        <v/>
      </c>
      <c r="J217" s="35" t="e">
        <f t="shared" si="18"/>
        <v>#NUM!</v>
      </c>
      <c r="K217" s="35" t="e">
        <f t="shared" si="16"/>
        <v>#NUM!</v>
      </c>
      <c r="L217" s="35"/>
      <c r="M217" s="37">
        <f t="shared" si="17"/>
        <v>0</v>
      </c>
    </row>
    <row r="218" spans="1:13" x14ac:dyDescent="0.25">
      <c r="A218" s="56"/>
      <c r="G218" s="13"/>
      <c r="H218" s="35">
        <v>213</v>
      </c>
      <c r="I218" s="36" t="str">
        <f t="shared" si="15"/>
        <v/>
      </c>
      <c r="J218" s="35" t="e">
        <f t="shared" si="18"/>
        <v>#NUM!</v>
      </c>
      <c r="K218" s="35" t="e">
        <f t="shared" si="16"/>
        <v>#NUM!</v>
      </c>
      <c r="L218" s="35"/>
      <c r="M218" s="37">
        <f t="shared" si="17"/>
        <v>0</v>
      </c>
    </row>
    <row r="219" spans="1:13" x14ac:dyDescent="0.25">
      <c r="A219" s="56"/>
      <c r="G219" s="13"/>
      <c r="H219" s="35">
        <v>214</v>
      </c>
      <c r="I219" s="36" t="str">
        <f t="shared" si="15"/>
        <v/>
      </c>
      <c r="J219" s="35" t="e">
        <f t="shared" si="18"/>
        <v>#NUM!</v>
      </c>
      <c r="K219" s="35" t="e">
        <f t="shared" si="16"/>
        <v>#NUM!</v>
      </c>
      <c r="L219" s="35"/>
      <c r="M219" s="37">
        <f t="shared" si="17"/>
        <v>0</v>
      </c>
    </row>
    <row r="220" spans="1:13" x14ac:dyDescent="0.25">
      <c r="A220" s="56"/>
      <c r="G220" s="13"/>
      <c r="H220" s="35">
        <v>215</v>
      </c>
      <c r="I220" s="36" t="str">
        <f t="shared" si="15"/>
        <v/>
      </c>
      <c r="J220" s="35" t="e">
        <f t="shared" si="18"/>
        <v>#NUM!</v>
      </c>
      <c r="K220" s="35" t="e">
        <f t="shared" si="16"/>
        <v>#NUM!</v>
      </c>
      <c r="L220" s="35"/>
      <c r="M220" s="37">
        <f t="shared" si="17"/>
        <v>0</v>
      </c>
    </row>
    <row r="221" spans="1:13" x14ac:dyDescent="0.25">
      <c r="A221" s="56"/>
      <c r="G221" s="13"/>
      <c r="H221" s="35">
        <v>216</v>
      </c>
      <c r="I221" s="36" t="str">
        <f t="shared" si="15"/>
        <v/>
      </c>
      <c r="J221" s="35" t="e">
        <f t="shared" si="18"/>
        <v>#NUM!</v>
      </c>
      <c r="K221" s="35" t="e">
        <f t="shared" si="16"/>
        <v>#NUM!</v>
      </c>
      <c r="L221" s="35"/>
      <c r="M221" s="37">
        <f t="shared" si="17"/>
        <v>0</v>
      </c>
    </row>
    <row r="222" spans="1:13" x14ac:dyDescent="0.25">
      <c r="A222" s="56"/>
      <c r="G222" s="13"/>
      <c r="H222" s="35">
        <v>217</v>
      </c>
      <c r="I222" s="36" t="str">
        <f t="shared" si="15"/>
        <v/>
      </c>
      <c r="J222" s="35" t="e">
        <f t="shared" si="18"/>
        <v>#NUM!</v>
      </c>
      <c r="K222" s="35" t="e">
        <f t="shared" si="16"/>
        <v>#NUM!</v>
      </c>
      <c r="L222" s="35"/>
      <c r="M222" s="37">
        <f t="shared" si="17"/>
        <v>0</v>
      </c>
    </row>
    <row r="223" spans="1:13" x14ac:dyDescent="0.25">
      <c r="A223" s="56"/>
      <c r="G223" s="13"/>
      <c r="H223" s="35">
        <v>218</v>
      </c>
      <c r="I223" s="36" t="str">
        <f t="shared" si="15"/>
        <v/>
      </c>
      <c r="J223" s="35" t="e">
        <f t="shared" si="18"/>
        <v>#NUM!</v>
      </c>
      <c r="K223" s="35" t="e">
        <f t="shared" si="16"/>
        <v>#NUM!</v>
      </c>
      <c r="L223" s="35"/>
      <c r="M223" s="37">
        <f t="shared" si="17"/>
        <v>0</v>
      </c>
    </row>
    <row r="224" spans="1:13" x14ac:dyDescent="0.25">
      <c r="A224" s="56"/>
      <c r="G224" s="13"/>
      <c r="H224" s="35">
        <v>219</v>
      </c>
      <c r="I224" s="36" t="str">
        <f t="shared" si="15"/>
        <v/>
      </c>
      <c r="J224" s="35" t="e">
        <f t="shared" si="18"/>
        <v>#NUM!</v>
      </c>
      <c r="K224" s="35" t="e">
        <f t="shared" si="16"/>
        <v>#NUM!</v>
      </c>
      <c r="L224" s="35"/>
      <c r="M224" s="37">
        <f t="shared" si="17"/>
        <v>0</v>
      </c>
    </row>
    <row r="225" spans="1:13" x14ac:dyDescent="0.25">
      <c r="A225" s="56"/>
      <c r="G225" s="13"/>
      <c r="H225" s="35">
        <v>220</v>
      </c>
      <c r="I225" s="36" t="str">
        <f t="shared" si="15"/>
        <v/>
      </c>
      <c r="J225" s="35" t="e">
        <f t="shared" si="18"/>
        <v>#NUM!</v>
      </c>
      <c r="K225" s="35" t="e">
        <f t="shared" si="16"/>
        <v>#NUM!</v>
      </c>
      <c r="L225" s="35"/>
      <c r="M225" s="37">
        <f t="shared" si="17"/>
        <v>0</v>
      </c>
    </row>
    <row r="226" spans="1:13" x14ac:dyDescent="0.25">
      <c r="A226" s="56"/>
      <c r="G226" s="13"/>
      <c r="H226" s="35">
        <v>221</v>
      </c>
      <c r="I226" s="36" t="str">
        <f t="shared" si="15"/>
        <v/>
      </c>
      <c r="J226" s="35" t="e">
        <f t="shared" si="18"/>
        <v>#NUM!</v>
      </c>
      <c r="K226" s="35" t="e">
        <f t="shared" si="16"/>
        <v>#NUM!</v>
      </c>
      <c r="L226" s="35"/>
      <c r="M226" s="37">
        <f t="shared" si="17"/>
        <v>0</v>
      </c>
    </row>
    <row r="227" spans="1:13" x14ac:dyDescent="0.25">
      <c r="A227" s="56"/>
      <c r="G227" s="13"/>
      <c r="H227" s="35">
        <v>222</v>
      </c>
      <c r="I227" s="36" t="str">
        <f t="shared" si="15"/>
        <v/>
      </c>
      <c r="J227" s="35" t="e">
        <f t="shared" si="18"/>
        <v>#NUM!</v>
      </c>
      <c r="K227" s="35" t="e">
        <f t="shared" si="16"/>
        <v>#NUM!</v>
      </c>
      <c r="L227" s="35"/>
      <c r="M227" s="37">
        <f t="shared" si="17"/>
        <v>0</v>
      </c>
    </row>
    <row r="228" spans="1:13" x14ac:dyDescent="0.25">
      <c r="A228" s="56"/>
      <c r="G228" s="13"/>
      <c r="H228" s="35">
        <v>223</v>
      </c>
      <c r="I228" s="36" t="str">
        <f t="shared" si="15"/>
        <v/>
      </c>
      <c r="J228" s="35" t="e">
        <f t="shared" si="18"/>
        <v>#NUM!</v>
      </c>
      <c r="K228" s="35" t="e">
        <f t="shared" si="16"/>
        <v>#NUM!</v>
      </c>
      <c r="L228" s="35"/>
      <c r="M228" s="37">
        <f t="shared" si="17"/>
        <v>0</v>
      </c>
    </row>
    <row r="229" spans="1:13" x14ac:dyDescent="0.25">
      <c r="A229" s="56"/>
      <c r="G229" s="13"/>
      <c r="H229" s="35">
        <v>224</v>
      </c>
      <c r="I229" s="36" t="str">
        <f t="shared" si="15"/>
        <v/>
      </c>
      <c r="J229" s="35" t="e">
        <f t="shared" si="18"/>
        <v>#NUM!</v>
      </c>
      <c r="K229" s="35" t="e">
        <f t="shared" si="16"/>
        <v>#NUM!</v>
      </c>
      <c r="L229" s="35"/>
      <c r="M229" s="37">
        <f t="shared" si="17"/>
        <v>0</v>
      </c>
    </row>
    <row r="230" spans="1:13" x14ac:dyDescent="0.25">
      <c r="A230" s="56"/>
      <c r="G230" s="13"/>
      <c r="H230" s="35">
        <v>225</v>
      </c>
      <c r="I230" s="36" t="str">
        <f t="shared" si="15"/>
        <v/>
      </c>
      <c r="J230" s="35" t="e">
        <f t="shared" si="18"/>
        <v>#NUM!</v>
      </c>
      <c r="K230" s="35" t="e">
        <f t="shared" si="16"/>
        <v>#NUM!</v>
      </c>
      <c r="L230" s="35"/>
      <c r="M230" s="37">
        <f t="shared" si="17"/>
        <v>0</v>
      </c>
    </row>
    <row r="231" spans="1:13" x14ac:dyDescent="0.25">
      <c r="A231" s="56"/>
      <c r="G231" s="13"/>
      <c r="H231" s="35">
        <v>226</v>
      </c>
      <c r="I231" s="36" t="str">
        <f t="shared" si="15"/>
        <v/>
      </c>
      <c r="J231" s="35" t="e">
        <f t="shared" si="18"/>
        <v>#NUM!</v>
      </c>
      <c r="K231" s="35" t="e">
        <f t="shared" si="16"/>
        <v>#NUM!</v>
      </c>
      <c r="L231" s="35"/>
      <c r="M231" s="37">
        <f t="shared" si="17"/>
        <v>0</v>
      </c>
    </row>
    <row r="232" spans="1:13" x14ac:dyDescent="0.25">
      <c r="A232" s="56"/>
      <c r="G232" s="13"/>
      <c r="H232" s="35">
        <v>227</v>
      </c>
      <c r="I232" s="36" t="str">
        <f t="shared" si="15"/>
        <v/>
      </c>
      <c r="J232" s="35" t="e">
        <f t="shared" si="18"/>
        <v>#NUM!</v>
      </c>
      <c r="K232" s="35" t="e">
        <f t="shared" si="16"/>
        <v>#NUM!</v>
      </c>
      <c r="L232" s="35"/>
      <c r="M232" s="37">
        <f t="shared" si="17"/>
        <v>0</v>
      </c>
    </row>
    <row r="233" spans="1:13" x14ac:dyDescent="0.25">
      <c r="A233" s="56"/>
      <c r="G233" s="13"/>
      <c r="H233" s="35">
        <v>228</v>
      </c>
      <c r="I233" s="36" t="str">
        <f t="shared" si="15"/>
        <v/>
      </c>
      <c r="J233" s="35" t="e">
        <f t="shared" si="18"/>
        <v>#NUM!</v>
      </c>
      <c r="K233" s="35" t="e">
        <f t="shared" si="16"/>
        <v>#NUM!</v>
      </c>
      <c r="L233" s="35"/>
      <c r="M233" s="37">
        <f t="shared" si="17"/>
        <v>0</v>
      </c>
    </row>
    <row r="234" spans="1:13" x14ac:dyDescent="0.25">
      <c r="A234" s="56"/>
      <c r="G234" s="13"/>
      <c r="H234" s="35">
        <v>229</v>
      </c>
      <c r="I234" s="36" t="str">
        <f t="shared" si="15"/>
        <v/>
      </c>
      <c r="J234" s="35" t="e">
        <f t="shared" si="18"/>
        <v>#NUM!</v>
      </c>
      <c r="K234" s="35" t="e">
        <f t="shared" si="16"/>
        <v>#NUM!</v>
      </c>
      <c r="L234" s="35"/>
      <c r="M234" s="37">
        <f t="shared" si="17"/>
        <v>0</v>
      </c>
    </row>
    <row r="235" spans="1:13" x14ac:dyDescent="0.25">
      <c r="A235" s="56"/>
      <c r="G235" s="13"/>
      <c r="H235" s="35">
        <v>230</v>
      </c>
      <c r="I235" s="36" t="str">
        <f t="shared" si="15"/>
        <v/>
      </c>
      <c r="J235" s="35" t="e">
        <f t="shared" si="18"/>
        <v>#NUM!</v>
      </c>
      <c r="K235" s="35" t="e">
        <f t="shared" si="16"/>
        <v>#NUM!</v>
      </c>
      <c r="L235" s="35"/>
      <c r="M235" s="37">
        <f t="shared" si="17"/>
        <v>0</v>
      </c>
    </row>
    <row r="236" spans="1:13" x14ac:dyDescent="0.25">
      <c r="A236" s="56"/>
      <c r="G236" s="13"/>
      <c r="H236" s="35">
        <v>231</v>
      </c>
      <c r="I236" s="36" t="str">
        <f t="shared" si="15"/>
        <v/>
      </c>
      <c r="J236" s="35" t="e">
        <f t="shared" si="18"/>
        <v>#NUM!</v>
      </c>
      <c r="K236" s="35" t="e">
        <f t="shared" si="16"/>
        <v>#NUM!</v>
      </c>
      <c r="L236" s="35"/>
      <c r="M236" s="37">
        <f t="shared" si="17"/>
        <v>0</v>
      </c>
    </row>
    <row r="237" spans="1:13" x14ac:dyDescent="0.25">
      <c r="A237" s="56"/>
      <c r="G237" s="13"/>
      <c r="H237" s="35">
        <v>232</v>
      </c>
      <c r="I237" s="36" t="str">
        <f t="shared" si="15"/>
        <v/>
      </c>
      <c r="J237" s="35" t="e">
        <f t="shared" si="18"/>
        <v>#NUM!</v>
      </c>
      <c r="K237" s="35" t="e">
        <f t="shared" si="16"/>
        <v>#NUM!</v>
      </c>
      <c r="L237" s="35"/>
      <c r="M237" s="37">
        <f t="shared" si="17"/>
        <v>0</v>
      </c>
    </row>
    <row r="238" spans="1:13" x14ac:dyDescent="0.25">
      <c r="A238" s="56"/>
      <c r="G238" s="13"/>
      <c r="H238" s="35">
        <v>233</v>
      </c>
      <c r="I238" s="36" t="str">
        <f t="shared" si="15"/>
        <v/>
      </c>
      <c r="J238" s="35" t="e">
        <f t="shared" si="18"/>
        <v>#NUM!</v>
      </c>
      <c r="K238" s="35" t="e">
        <f t="shared" si="16"/>
        <v>#NUM!</v>
      </c>
      <c r="L238" s="35"/>
      <c r="M238" s="37">
        <f t="shared" si="17"/>
        <v>0</v>
      </c>
    </row>
    <row r="239" spans="1:13" x14ac:dyDescent="0.25">
      <c r="A239" s="56"/>
      <c r="G239" s="13"/>
      <c r="H239" s="35">
        <v>234</v>
      </c>
      <c r="I239" s="36" t="str">
        <f t="shared" si="15"/>
        <v/>
      </c>
      <c r="J239" s="35" t="e">
        <f t="shared" si="18"/>
        <v>#NUM!</v>
      </c>
      <c r="K239" s="35" t="e">
        <f t="shared" si="16"/>
        <v>#NUM!</v>
      </c>
      <c r="L239" s="35"/>
      <c r="M239" s="37">
        <f t="shared" si="17"/>
        <v>0</v>
      </c>
    </row>
    <row r="240" spans="1:13" x14ac:dyDescent="0.25">
      <c r="A240" s="56"/>
      <c r="G240" s="13"/>
      <c r="H240" s="35">
        <v>235</v>
      </c>
      <c r="I240" s="36" t="str">
        <f t="shared" si="15"/>
        <v/>
      </c>
      <c r="J240" s="35" t="e">
        <f t="shared" si="18"/>
        <v>#NUM!</v>
      </c>
      <c r="K240" s="35" t="e">
        <f t="shared" si="16"/>
        <v>#NUM!</v>
      </c>
      <c r="L240" s="35"/>
      <c r="M240" s="37">
        <f t="shared" si="17"/>
        <v>0</v>
      </c>
    </row>
    <row r="241" spans="1:13" x14ac:dyDescent="0.25">
      <c r="A241" s="56"/>
      <c r="G241" s="13"/>
      <c r="H241" s="35">
        <v>236</v>
      </c>
      <c r="I241" s="36" t="str">
        <f t="shared" si="15"/>
        <v/>
      </c>
      <c r="J241" s="35" t="e">
        <f t="shared" si="18"/>
        <v>#NUM!</v>
      </c>
      <c r="K241" s="35" t="e">
        <f t="shared" si="16"/>
        <v>#NUM!</v>
      </c>
      <c r="L241" s="35"/>
      <c r="M241" s="37">
        <f t="shared" si="17"/>
        <v>0</v>
      </c>
    </row>
    <row r="242" spans="1:13" x14ac:dyDescent="0.25">
      <c r="A242" s="56"/>
      <c r="G242" s="13"/>
      <c r="H242" s="35">
        <v>237</v>
      </c>
      <c r="I242" s="36" t="str">
        <f t="shared" si="15"/>
        <v/>
      </c>
      <c r="J242" s="35" t="e">
        <f t="shared" si="18"/>
        <v>#NUM!</v>
      </c>
      <c r="K242" s="35" t="e">
        <f t="shared" si="16"/>
        <v>#NUM!</v>
      </c>
      <c r="L242" s="35"/>
      <c r="M242" s="37">
        <f t="shared" si="17"/>
        <v>0</v>
      </c>
    </row>
    <row r="243" spans="1:13" x14ac:dyDescent="0.25">
      <c r="A243" s="56"/>
      <c r="G243" s="13"/>
      <c r="H243" s="35">
        <v>238</v>
      </c>
      <c r="I243" s="36" t="str">
        <f t="shared" si="15"/>
        <v/>
      </c>
      <c r="J243" s="35" t="e">
        <f t="shared" si="18"/>
        <v>#NUM!</v>
      </c>
      <c r="K243" s="35" t="e">
        <f t="shared" si="16"/>
        <v>#NUM!</v>
      </c>
      <c r="L243" s="35"/>
      <c r="M243" s="37">
        <f t="shared" si="17"/>
        <v>0</v>
      </c>
    </row>
    <row r="244" spans="1:13" x14ac:dyDescent="0.25">
      <c r="A244" s="56"/>
      <c r="G244" s="13"/>
      <c r="H244" s="35">
        <v>239</v>
      </c>
      <c r="I244" s="36" t="str">
        <f t="shared" si="15"/>
        <v/>
      </c>
      <c r="J244" s="35" t="e">
        <f t="shared" si="18"/>
        <v>#NUM!</v>
      </c>
      <c r="K244" s="35" t="e">
        <f t="shared" si="16"/>
        <v>#NUM!</v>
      </c>
      <c r="L244" s="35"/>
      <c r="M244" s="37">
        <f t="shared" si="17"/>
        <v>0</v>
      </c>
    </row>
    <row r="245" spans="1:13" x14ac:dyDescent="0.25">
      <c r="A245" s="56"/>
      <c r="G245" s="13"/>
      <c r="H245" s="35">
        <v>240</v>
      </c>
      <c r="I245" s="36" t="str">
        <f t="shared" si="15"/>
        <v/>
      </c>
      <c r="J245" s="35" t="e">
        <f t="shared" si="18"/>
        <v>#NUM!</v>
      </c>
      <c r="K245" s="35" t="e">
        <f t="shared" si="16"/>
        <v>#NUM!</v>
      </c>
      <c r="L245" s="35"/>
      <c r="M245" s="37">
        <f t="shared" si="17"/>
        <v>0</v>
      </c>
    </row>
    <row r="246" spans="1:13" x14ac:dyDescent="0.25">
      <c r="A246" s="56"/>
      <c r="G246" s="13"/>
      <c r="H246" s="35">
        <v>241</v>
      </c>
      <c r="I246" s="36" t="str">
        <f t="shared" si="15"/>
        <v/>
      </c>
      <c r="J246" s="35" t="e">
        <f t="shared" si="18"/>
        <v>#NUM!</v>
      </c>
      <c r="K246" s="35" t="e">
        <f t="shared" si="16"/>
        <v>#NUM!</v>
      </c>
      <c r="L246" s="35"/>
      <c r="M246" s="37">
        <f t="shared" si="17"/>
        <v>0</v>
      </c>
    </row>
    <row r="247" spans="1:13" x14ac:dyDescent="0.25">
      <c r="A247" s="56"/>
      <c r="G247" s="13"/>
      <c r="H247" s="35">
        <v>242</v>
      </c>
      <c r="I247" s="36" t="str">
        <f t="shared" si="15"/>
        <v/>
      </c>
      <c r="J247" s="35" t="e">
        <f t="shared" si="18"/>
        <v>#NUM!</v>
      </c>
      <c r="K247" s="35" t="e">
        <f t="shared" si="16"/>
        <v>#NUM!</v>
      </c>
      <c r="L247" s="35"/>
      <c r="M247" s="37">
        <f t="shared" si="17"/>
        <v>0</v>
      </c>
    </row>
    <row r="248" spans="1:13" x14ac:dyDescent="0.25">
      <c r="A248" s="56"/>
      <c r="G248" s="13"/>
      <c r="H248" s="35">
        <v>243</v>
      </c>
      <c r="I248" s="36" t="str">
        <f t="shared" si="15"/>
        <v/>
      </c>
      <c r="J248" s="35" t="e">
        <f t="shared" si="18"/>
        <v>#NUM!</v>
      </c>
      <c r="K248" s="35" t="e">
        <f t="shared" si="16"/>
        <v>#NUM!</v>
      </c>
      <c r="L248" s="35"/>
      <c r="M248" s="37">
        <f t="shared" si="17"/>
        <v>0</v>
      </c>
    </row>
    <row r="249" spans="1:13" x14ac:dyDescent="0.25">
      <c r="A249" s="56"/>
      <c r="G249" s="13"/>
      <c r="H249" s="35">
        <v>244</v>
      </c>
      <c r="I249" s="36" t="str">
        <f t="shared" si="15"/>
        <v/>
      </c>
      <c r="J249" s="35" t="e">
        <f t="shared" si="18"/>
        <v>#NUM!</v>
      </c>
      <c r="K249" s="35" t="e">
        <f t="shared" si="16"/>
        <v>#NUM!</v>
      </c>
      <c r="L249" s="35"/>
      <c r="M249" s="37">
        <f t="shared" si="17"/>
        <v>0</v>
      </c>
    </row>
    <row r="250" spans="1:13" x14ac:dyDescent="0.25">
      <c r="A250" s="56"/>
      <c r="G250" s="13"/>
      <c r="H250" s="35">
        <v>245</v>
      </c>
      <c r="I250" s="36" t="str">
        <f t="shared" si="15"/>
        <v/>
      </c>
      <c r="J250" s="35" t="e">
        <f t="shared" si="18"/>
        <v>#NUM!</v>
      </c>
      <c r="K250" s="35" t="e">
        <f t="shared" si="16"/>
        <v>#NUM!</v>
      </c>
      <c r="L250" s="35"/>
      <c r="M250" s="37">
        <f t="shared" si="17"/>
        <v>0</v>
      </c>
    </row>
    <row r="251" spans="1:13" x14ac:dyDescent="0.25">
      <c r="A251" s="56"/>
      <c r="G251" s="13"/>
      <c r="H251" s="35">
        <v>246</v>
      </c>
      <c r="I251" s="36" t="str">
        <f t="shared" si="15"/>
        <v/>
      </c>
      <c r="J251" s="35" t="e">
        <f t="shared" si="18"/>
        <v>#NUM!</v>
      </c>
      <c r="K251" s="35" t="e">
        <f t="shared" si="16"/>
        <v>#NUM!</v>
      </c>
      <c r="L251" s="35"/>
      <c r="M251" s="37">
        <f t="shared" si="17"/>
        <v>0</v>
      </c>
    </row>
    <row r="252" spans="1:13" x14ac:dyDescent="0.25">
      <c r="A252" s="56"/>
      <c r="G252" s="13"/>
      <c r="H252" s="35">
        <v>247</v>
      </c>
      <c r="I252" s="36" t="str">
        <f t="shared" si="15"/>
        <v/>
      </c>
      <c r="J252" s="35" t="e">
        <f t="shared" si="18"/>
        <v>#NUM!</v>
      </c>
      <c r="K252" s="35" t="e">
        <f t="shared" si="16"/>
        <v>#NUM!</v>
      </c>
      <c r="L252" s="35"/>
      <c r="M252" s="37">
        <f t="shared" si="17"/>
        <v>0</v>
      </c>
    </row>
    <row r="253" spans="1:13" x14ac:dyDescent="0.25">
      <c r="A253" s="56"/>
      <c r="G253" s="13"/>
      <c r="H253" s="35">
        <v>248</v>
      </c>
      <c r="I253" s="36" t="str">
        <f t="shared" si="15"/>
        <v/>
      </c>
      <c r="J253" s="35" t="e">
        <f t="shared" si="18"/>
        <v>#NUM!</v>
      </c>
      <c r="K253" s="35" t="e">
        <f t="shared" si="16"/>
        <v>#NUM!</v>
      </c>
      <c r="L253" s="35"/>
      <c r="M253" s="37">
        <f t="shared" si="17"/>
        <v>0</v>
      </c>
    </row>
    <row r="254" spans="1:13" x14ac:dyDescent="0.25">
      <c r="A254" s="56"/>
      <c r="G254" s="13"/>
      <c r="H254" s="35">
        <v>249</v>
      </c>
      <c r="I254" s="36" t="str">
        <f t="shared" si="15"/>
        <v/>
      </c>
      <c r="J254" s="35" t="e">
        <f t="shared" si="18"/>
        <v>#NUM!</v>
      </c>
      <c r="K254" s="35" t="e">
        <f t="shared" si="16"/>
        <v>#NUM!</v>
      </c>
      <c r="L254" s="35"/>
      <c r="M254" s="37">
        <f t="shared" si="17"/>
        <v>0</v>
      </c>
    </row>
    <row r="255" spans="1:13" x14ac:dyDescent="0.25">
      <c r="A255" s="56"/>
      <c r="G255" s="13"/>
      <c r="H255" s="35">
        <v>250</v>
      </c>
      <c r="I255" s="36" t="str">
        <f t="shared" si="15"/>
        <v/>
      </c>
      <c r="J255" s="35" t="e">
        <f t="shared" si="18"/>
        <v>#NUM!</v>
      </c>
      <c r="K255" s="35" t="e">
        <f t="shared" si="16"/>
        <v>#NUM!</v>
      </c>
      <c r="L255" s="35"/>
      <c r="M255" s="37">
        <f t="shared" si="17"/>
        <v>0</v>
      </c>
    </row>
    <row r="256" spans="1:13" x14ac:dyDescent="0.25">
      <c r="A256" s="56"/>
      <c r="G256" s="13"/>
      <c r="H256" s="35">
        <v>251</v>
      </c>
      <c r="I256" s="36" t="str">
        <f t="shared" si="15"/>
        <v/>
      </c>
      <c r="J256" s="35" t="e">
        <f t="shared" si="18"/>
        <v>#NUM!</v>
      </c>
      <c r="K256" s="35" t="e">
        <f t="shared" si="16"/>
        <v>#NUM!</v>
      </c>
      <c r="L256" s="35"/>
      <c r="M256" s="37">
        <f t="shared" si="17"/>
        <v>0</v>
      </c>
    </row>
    <row r="257" spans="1:13" x14ac:dyDescent="0.25">
      <c r="A257" s="56"/>
      <c r="G257" s="13"/>
      <c r="H257" s="35">
        <v>252</v>
      </c>
      <c r="I257" s="36" t="str">
        <f t="shared" si="15"/>
        <v/>
      </c>
      <c r="J257" s="35" t="e">
        <f t="shared" si="18"/>
        <v>#NUM!</v>
      </c>
      <c r="K257" s="35" t="e">
        <f t="shared" si="16"/>
        <v>#NUM!</v>
      </c>
      <c r="L257" s="35"/>
      <c r="M257" s="37">
        <f t="shared" si="17"/>
        <v>0</v>
      </c>
    </row>
    <row r="258" spans="1:13" x14ac:dyDescent="0.25">
      <c r="A258" s="56"/>
      <c r="G258" s="13"/>
      <c r="H258" s="35">
        <v>253</v>
      </c>
      <c r="I258" s="36" t="str">
        <f t="shared" si="15"/>
        <v/>
      </c>
      <c r="J258" s="35" t="e">
        <f t="shared" si="18"/>
        <v>#NUM!</v>
      </c>
      <c r="K258" s="35" t="e">
        <f t="shared" si="16"/>
        <v>#NUM!</v>
      </c>
      <c r="L258" s="35"/>
      <c r="M258" s="37">
        <f t="shared" si="17"/>
        <v>0</v>
      </c>
    </row>
    <row r="259" spans="1:13" x14ac:dyDescent="0.25">
      <c r="A259" s="56"/>
      <c r="G259" s="13"/>
      <c r="H259" s="35">
        <v>254</v>
      </c>
      <c r="I259" s="36" t="str">
        <f t="shared" si="15"/>
        <v/>
      </c>
      <c r="J259" s="35" t="e">
        <f t="shared" si="18"/>
        <v>#NUM!</v>
      </c>
      <c r="K259" s="35" t="e">
        <f t="shared" si="16"/>
        <v>#NUM!</v>
      </c>
      <c r="L259" s="35"/>
      <c r="M259" s="37">
        <f t="shared" si="17"/>
        <v>0</v>
      </c>
    </row>
    <row r="260" spans="1:13" x14ac:dyDescent="0.25">
      <c r="A260" s="56"/>
      <c r="G260" s="13"/>
      <c r="H260" s="35">
        <v>255</v>
      </c>
      <c r="I260" s="36" t="str">
        <f t="shared" si="15"/>
        <v/>
      </c>
      <c r="J260" s="35" t="e">
        <f t="shared" si="18"/>
        <v>#NUM!</v>
      </c>
      <c r="K260" s="35" t="e">
        <f t="shared" si="16"/>
        <v>#NUM!</v>
      </c>
      <c r="L260" s="35"/>
      <c r="M260" s="37">
        <f t="shared" si="17"/>
        <v>0</v>
      </c>
    </row>
    <row r="261" spans="1:13" x14ac:dyDescent="0.25">
      <c r="A261" s="56"/>
      <c r="G261" s="13"/>
      <c r="H261" s="35">
        <v>256</v>
      </c>
      <c r="I261" s="36" t="str">
        <f t="shared" si="15"/>
        <v/>
      </c>
      <c r="J261" s="35" t="e">
        <f t="shared" si="18"/>
        <v>#NUM!</v>
      </c>
      <c r="K261" s="35" t="e">
        <f t="shared" si="16"/>
        <v>#NUM!</v>
      </c>
      <c r="L261" s="35"/>
      <c r="M261" s="37">
        <f t="shared" si="17"/>
        <v>0</v>
      </c>
    </row>
    <row r="262" spans="1:13" x14ac:dyDescent="0.25">
      <c r="A262" s="56"/>
      <c r="G262" s="13"/>
      <c r="H262" s="35">
        <v>257</v>
      </c>
      <c r="I262" s="36" t="str">
        <f t="shared" ref="I262:I305" si="19">IF(H262&lt;$H$2+1,($I$2-($I$2-1)*(LOG(H262)/LOG($H$2))),"")</f>
        <v/>
      </c>
      <c r="J262" s="35" t="e">
        <f t="shared" si="18"/>
        <v>#NUM!</v>
      </c>
      <c r="K262" s="35" t="e">
        <f t="shared" ref="K262:K305" si="20">J262*$J$2</f>
        <v>#NUM!</v>
      </c>
      <c r="L262" s="35"/>
      <c r="M262" s="37">
        <f t="shared" ref="M262:M305" si="21">IF(I262&lt;&gt;"",K262+I262+L262,0)</f>
        <v>0</v>
      </c>
    </row>
    <row r="263" spans="1:13" x14ac:dyDescent="0.25">
      <c r="A263" s="56"/>
      <c r="G263" s="13"/>
      <c r="H263" s="35">
        <v>258</v>
      </c>
      <c r="I263" s="36" t="str">
        <f t="shared" si="19"/>
        <v/>
      </c>
      <c r="J263" s="35" t="e">
        <f t="shared" ref="J263:J305" si="22">INT(LOG($H$2,2))-ROUNDUP(LOG(H263,2),0)+IF(OR($H$2=1,$H$2=2,$H$2=4,$H$2=8,$H$2=16,$H$2=32,$H$2=64,$H$2=128,$H$2=256),0,1)</f>
        <v>#NUM!</v>
      </c>
      <c r="K263" s="35" t="e">
        <f t="shared" si="20"/>
        <v>#NUM!</v>
      </c>
      <c r="L263" s="35"/>
      <c r="M263" s="37">
        <f t="shared" si="21"/>
        <v>0</v>
      </c>
    </row>
    <row r="264" spans="1:13" x14ac:dyDescent="0.25">
      <c r="A264" s="56"/>
      <c r="G264" s="13"/>
      <c r="H264" s="35">
        <v>259</v>
      </c>
      <c r="I264" s="36" t="str">
        <f t="shared" si="19"/>
        <v/>
      </c>
      <c r="J264" s="35" t="e">
        <f t="shared" si="22"/>
        <v>#NUM!</v>
      </c>
      <c r="K264" s="35" t="e">
        <f t="shared" si="20"/>
        <v>#NUM!</v>
      </c>
      <c r="L264" s="35"/>
      <c r="M264" s="37">
        <f t="shared" si="21"/>
        <v>0</v>
      </c>
    </row>
    <row r="265" spans="1:13" x14ac:dyDescent="0.25">
      <c r="A265" s="56"/>
      <c r="G265" s="13"/>
      <c r="H265" s="35">
        <v>260</v>
      </c>
      <c r="I265" s="36" t="str">
        <f t="shared" si="19"/>
        <v/>
      </c>
      <c r="J265" s="35" t="e">
        <f t="shared" si="22"/>
        <v>#NUM!</v>
      </c>
      <c r="K265" s="35" t="e">
        <f t="shared" si="20"/>
        <v>#NUM!</v>
      </c>
      <c r="L265" s="35"/>
      <c r="M265" s="37">
        <f t="shared" si="21"/>
        <v>0</v>
      </c>
    </row>
    <row r="266" spans="1:13" x14ac:dyDescent="0.25">
      <c r="A266" s="56"/>
      <c r="G266" s="13"/>
      <c r="H266" s="35">
        <v>261</v>
      </c>
      <c r="I266" s="36" t="str">
        <f t="shared" si="19"/>
        <v/>
      </c>
      <c r="J266" s="35" t="e">
        <f t="shared" si="22"/>
        <v>#NUM!</v>
      </c>
      <c r="K266" s="35" t="e">
        <f t="shared" si="20"/>
        <v>#NUM!</v>
      </c>
      <c r="L266" s="35"/>
      <c r="M266" s="37">
        <f t="shared" si="21"/>
        <v>0</v>
      </c>
    </row>
    <row r="267" spans="1:13" x14ac:dyDescent="0.25">
      <c r="A267" s="56"/>
      <c r="G267" s="13"/>
      <c r="H267" s="35">
        <v>262</v>
      </c>
      <c r="I267" s="36" t="str">
        <f t="shared" si="19"/>
        <v/>
      </c>
      <c r="J267" s="35" t="e">
        <f t="shared" si="22"/>
        <v>#NUM!</v>
      </c>
      <c r="K267" s="35" t="e">
        <f t="shared" si="20"/>
        <v>#NUM!</v>
      </c>
      <c r="L267" s="35"/>
      <c r="M267" s="37">
        <f t="shared" si="21"/>
        <v>0</v>
      </c>
    </row>
    <row r="268" spans="1:13" x14ac:dyDescent="0.25">
      <c r="A268" s="56"/>
      <c r="G268" s="13"/>
      <c r="H268" s="35">
        <v>263</v>
      </c>
      <c r="I268" s="36" t="str">
        <f t="shared" si="19"/>
        <v/>
      </c>
      <c r="J268" s="35" t="e">
        <f t="shared" si="22"/>
        <v>#NUM!</v>
      </c>
      <c r="K268" s="35" t="e">
        <f t="shared" si="20"/>
        <v>#NUM!</v>
      </c>
      <c r="L268" s="35"/>
      <c r="M268" s="37">
        <f t="shared" si="21"/>
        <v>0</v>
      </c>
    </row>
    <row r="269" spans="1:13" x14ac:dyDescent="0.25">
      <c r="A269" s="56"/>
      <c r="G269" s="13"/>
      <c r="H269" s="35">
        <v>264</v>
      </c>
      <c r="I269" s="36" t="str">
        <f t="shared" si="19"/>
        <v/>
      </c>
      <c r="J269" s="35" t="e">
        <f t="shared" si="22"/>
        <v>#NUM!</v>
      </c>
      <c r="K269" s="35" t="e">
        <f t="shared" si="20"/>
        <v>#NUM!</v>
      </c>
      <c r="L269" s="35"/>
      <c r="M269" s="37">
        <f t="shared" si="21"/>
        <v>0</v>
      </c>
    </row>
    <row r="270" spans="1:13" x14ac:dyDescent="0.25">
      <c r="A270" s="56"/>
      <c r="G270" s="13"/>
      <c r="H270" s="35">
        <v>265</v>
      </c>
      <c r="I270" s="36" t="str">
        <f t="shared" si="19"/>
        <v/>
      </c>
      <c r="J270" s="35" t="e">
        <f t="shared" si="22"/>
        <v>#NUM!</v>
      </c>
      <c r="K270" s="35" t="e">
        <f t="shared" si="20"/>
        <v>#NUM!</v>
      </c>
      <c r="L270" s="35"/>
      <c r="M270" s="37">
        <f t="shared" si="21"/>
        <v>0</v>
      </c>
    </row>
    <row r="271" spans="1:13" x14ac:dyDescent="0.25">
      <c r="A271" s="56"/>
      <c r="G271" s="13"/>
      <c r="H271" s="35">
        <v>266</v>
      </c>
      <c r="I271" s="36" t="str">
        <f t="shared" si="19"/>
        <v/>
      </c>
      <c r="J271" s="35" t="e">
        <f t="shared" si="22"/>
        <v>#NUM!</v>
      </c>
      <c r="K271" s="35" t="e">
        <f t="shared" si="20"/>
        <v>#NUM!</v>
      </c>
      <c r="L271" s="35"/>
      <c r="M271" s="37">
        <f t="shared" si="21"/>
        <v>0</v>
      </c>
    </row>
    <row r="272" spans="1:13" x14ac:dyDescent="0.25">
      <c r="A272" s="56"/>
      <c r="G272" s="13"/>
      <c r="H272" s="35">
        <v>267</v>
      </c>
      <c r="I272" s="36" t="str">
        <f t="shared" si="19"/>
        <v/>
      </c>
      <c r="J272" s="35" t="e">
        <f t="shared" si="22"/>
        <v>#NUM!</v>
      </c>
      <c r="K272" s="35" t="e">
        <f t="shared" si="20"/>
        <v>#NUM!</v>
      </c>
      <c r="L272" s="35"/>
      <c r="M272" s="37">
        <f t="shared" si="21"/>
        <v>0</v>
      </c>
    </row>
    <row r="273" spans="1:13" x14ac:dyDescent="0.25">
      <c r="A273" s="56"/>
      <c r="G273" s="13"/>
      <c r="H273" s="35">
        <v>268</v>
      </c>
      <c r="I273" s="36" t="str">
        <f t="shared" si="19"/>
        <v/>
      </c>
      <c r="J273" s="35" t="e">
        <f t="shared" si="22"/>
        <v>#NUM!</v>
      </c>
      <c r="K273" s="35" t="e">
        <f t="shared" si="20"/>
        <v>#NUM!</v>
      </c>
      <c r="L273" s="35"/>
      <c r="M273" s="37">
        <f t="shared" si="21"/>
        <v>0</v>
      </c>
    </row>
    <row r="274" spans="1:13" x14ac:dyDescent="0.25">
      <c r="A274" s="56"/>
      <c r="G274" s="13"/>
      <c r="H274" s="35">
        <v>269</v>
      </c>
      <c r="I274" s="36" t="str">
        <f t="shared" si="19"/>
        <v/>
      </c>
      <c r="J274" s="35" t="e">
        <f t="shared" si="22"/>
        <v>#NUM!</v>
      </c>
      <c r="K274" s="35" t="e">
        <f t="shared" si="20"/>
        <v>#NUM!</v>
      </c>
      <c r="L274" s="35"/>
      <c r="M274" s="37">
        <f t="shared" si="21"/>
        <v>0</v>
      </c>
    </row>
    <row r="275" spans="1:13" x14ac:dyDescent="0.25">
      <c r="A275" s="56"/>
      <c r="G275" s="13"/>
      <c r="H275" s="35">
        <v>270</v>
      </c>
      <c r="I275" s="36" t="str">
        <f t="shared" si="19"/>
        <v/>
      </c>
      <c r="J275" s="35" t="e">
        <f t="shared" si="22"/>
        <v>#NUM!</v>
      </c>
      <c r="K275" s="35" t="e">
        <f t="shared" si="20"/>
        <v>#NUM!</v>
      </c>
      <c r="L275" s="35"/>
      <c r="M275" s="37">
        <f t="shared" si="21"/>
        <v>0</v>
      </c>
    </row>
    <row r="276" spans="1:13" x14ac:dyDescent="0.25">
      <c r="A276" s="56"/>
      <c r="G276" s="13"/>
      <c r="H276" s="35">
        <v>271</v>
      </c>
      <c r="I276" s="36" t="str">
        <f t="shared" si="19"/>
        <v/>
      </c>
      <c r="J276" s="35" t="e">
        <f t="shared" si="22"/>
        <v>#NUM!</v>
      </c>
      <c r="K276" s="35" t="e">
        <f t="shared" si="20"/>
        <v>#NUM!</v>
      </c>
      <c r="L276" s="35"/>
      <c r="M276" s="37">
        <f t="shared" si="21"/>
        <v>0</v>
      </c>
    </row>
    <row r="277" spans="1:13" x14ac:dyDescent="0.25">
      <c r="A277" s="56"/>
      <c r="G277" s="13"/>
      <c r="H277" s="35">
        <v>272</v>
      </c>
      <c r="I277" s="36" t="str">
        <f t="shared" si="19"/>
        <v/>
      </c>
      <c r="J277" s="35" t="e">
        <f t="shared" si="22"/>
        <v>#NUM!</v>
      </c>
      <c r="K277" s="35" t="e">
        <f t="shared" si="20"/>
        <v>#NUM!</v>
      </c>
      <c r="L277" s="35"/>
      <c r="M277" s="37">
        <f t="shared" si="21"/>
        <v>0</v>
      </c>
    </row>
    <row r="278" spans="1:13" x14ac:dyDescent="0.25">
      <c r="A278" s="56"/>
      <c r="G278" s="13"/>
      <c r="H278" s="35">
        <v>273</v>
      </c>
      <c r="I278" s="36" t="str">
        <f t="shared" si="19"/>
        <v/>
      </c>
      <c r="J278" s="35" t="e">
        <f t="shared" si="22"/>
        <v>#NUM!</v>
      </c>
      <c r="K278" s="35" t="e">
        <f t="shared" si="20"/>
        <v>#NUM!</v>
      </c>
      <c r="L278" s="35"/>
      <c r="M278" s="37">
        <f t="shared" si="21"/>
        <v>0</v>
      </c>
    </row>
    <row r="279" spans="1:13" x14ac:dyDescent="0.25">
      <c r="A279" s="56"/>
      <c r="G279" s="13"/>
      <c r="H279" s="35">
        <v>274</v>
      </c>
      <c r="I279" s="36" t="str">
        <f t="shared" si="19"/>
        <v/>
      </c>
      <c r="J279" s="35" t="e">
        <f t="shared" si="22"/>
        <v>#NUM!</v>
      </c>
      <c r="K279" s="35" t="e">
        <f t="shared" si="20"/>
        <v>#NUM!</v>
      </c>
      <c r="L279" s="35"/>
      <c r="M279" s="37">
        <f t="shared" si="21"/>
        <v>0</v>
      </c>
    </row>
    <row r="280" spans="1:13" x14ac:dyDescent="0.25">
      <c r="A280" s="56"/>
      <c r="G280" s="13"/>
      <c r="H280" s="35">
        <v>275</v>
      </c>
      <c r="I280" s="36" t="str">
        <f t="shared" si="19"/>
        <v/>
      </c>
      <c r="J280" s="35" t="e">
        <f t="shared" si="22"/>
        <v>#NUM!</v>
      </c>
      <c r="K280" s="35" t="e">
        <f t="shared" si="20"/>
        <v>#NUM!</v>
      </c>
      <c r="L280" s="35"/>
      <c r="M280" s="37">
        <f t="shared" si="21"/>
        <v>0</v>
      </c>
    </row>
    <row r="281" spans="1:13" x14ac:dyDescent="0.25">
      <c r="A281" s="56"/>
      <c r="G281" s="13"/>
      <c r="H281" s="35">
        <v>276</v>
      </c>
      <c r="I281" s="36" t="str">
        <f t="shared" si="19"/>
        <v/>
      </c>
      <c r="J281" s="35" t="e">
        <f t="shared" si="22"/>
        <v>#NUM!</v>
      </c>
      <c r="K281" s="35" t="e">
        <f t="shared" si="20"/>
        <v>#NUM!</v>
      </c>
      <c r="L281" s="35"/>
      <c r="M281" s="37">
        <f t="shared" si="21"/>
        <v>0</v>
      </c>
    </row>
    <row r="282" spans="1:13" x14ac:dyDescent="0.25">
      <c r="A282" s="56"/>
      <c r="G282" s="13"/>
      <c r="H282" s="35">
        <v>277</v>
      </c>
      <c r="I282" s="36" t="str">
        <f t="shared" si="19"/>
        <v/>
      </c>
      <c r="J282" s="35" t="e">
        <f t="shared" si="22"/>
        <v>#NUM!</v>
      </c>
      <c r="K282" s="35" t="e">
        <f t="shared" si="20"/>
        <v>#NUM!</v>
      </c>
      <c r="L282" s="35"/>
      <c r="M282" s="37">
        <f t="shared" si="21"/>
        <v>0</v>
      </c>
    </row>
    <row r="283" spans="1:13" x14ac:dyDescent="0.25">
      <c r="A283" s="56"/>
      <c r="G283" s="13"/>
      <c r="H283" s="35">
        <v>278</v>
      </c>
      <c r="I283" s="36" t="str">
        <f t="shared" si="19"/>
        <v/>
      </c>
      <c r="J283" s="35" t="e">
        <f t="shared" si="22"/>
        <v>#NUM!</v>
      </c>
      <c r="K283" s="35" t="e">
        <f t="shared" si="20"/>
        <v>#NUM!</v>
      </c>
      <c r="L283" s="35"/>
      <c r="M283" s="37">
        <f t="shared" si="21"/>
        <v>0</v>
      </c>
    </row>
    <row r="284" spans="1:13" x14ac:dyDescent="0.25">
      <c r="A284" s="56"/>
      <c r="G284" s="13"/>
      <c r="H284" s="35">
        <v>279</v>
      </c>
      <c r="I284" s="36" t="str">
        <f t="shared" si="19"/>
        <v/>
      </c>
      <c r="J284" s="35" t="e">
        <f t="shared" si="22"/>
        <v>#NUM!</v>
      </c>
      <c r="K284" s="35" t="e">
        <f t="shared" si="20"/>
        <v>#NUM!</v>
      </c>
      <c r="L284" s="35"/>
      <c r="M284" s="37">
        <f t="shared" si="21"/>
        <v>0</v>
      </c>
    </row>
    <row r="285" spans="1:13" x14ac:dyDescent="0.25">
      <c r="A285" s="56"/>
      <c r="G285" s="13"/>
      <c r="H285" s="35">
        <v>280</v>
      </c>
      <c r="I285" s="36" t="str">
        <f t="shared" si="19"/>
        <v/>
      </c>
      <c r="J285" s="35" t="e">
        <f t="shared" si="22"/>
        <v>#NUM!</v>
      </c>
      <c r="K285" s="35" t="e">
        <f t="shared" si="20"/>
        <v>#NUM!</v>
      </c>
      <c r="L285" s="35"/>
      <c r="M285" s="37">
        <f t="shared" si="21"/>
        <v>0</v>
      </c>
    </row>
    <row r="286" spans="1:13" x14ac:dyDescent="0.25">
      <c r="A286" s="56"/>
      <c r="G286" s="13"/>
      <c r="H286" s="35">
        <v>281</v>
      </c>
      <c r="I286" s="36" t="str">
        <f t="shared" si="19"/>
        <v/>
      </c>
      <c r="J286" s="35" t="e">
        <f t="shared" si="22"/>
        <v>#NUM!</v>
      </c>
      <c r="K286" s="35" t="e">
        <f t="shared" si="20"/>
        <v>#NUM!</v>
      </c>
      <c r="L286" s="35"/>
      <c r="M286" s="37">
        <f t="shared" si="21"/>
        <v>0</v>
      </c>
    </row>
    <row r="287" spans="1:13" x14ac:dyDescent="0.25">
      <c r="A287" s="56"/>
      <c r="G287" s="13"/>
      <c r="H287" s="35">
        <v>282</v>
      </c>
      <c r="I287" s="36" t="str">
        <f t="shared" si="19"/>
        <v/>
      </c>
      <c r="J287" s="35" t="e">
        <f t="shared" si="22"/>
        <v>#NUM!</v>
      </c>
      <c r="K287" s="35" t="e">
        <f t="shared" si="20"/>
        <v>#NUM!</v>
      </c>
      <c r="L287" s="35"/>
      <c r="M287" s="37">
        <f t="shared" si="21"/>
        <v>0</v>
      </c>
    </row>
    <row r="288" spans="1:13" x14ac:dyDescent="0.25">
      <c r="A288" s="56"/>
      <c r="G288" s="13"/>
      <c r="H288" s="35">
        <v>283</v>
      </c>
      <c r="I288" s="36" t="str">
        <f t="shared" si="19"/>
        <v/>
      </c>
      <c r="J288" s="35" t="e">
        <f t="shared" si="22"/>
        <v>#NUM!</v>
      </c>
      <c r="K288" s="35" t="e">
        <f t="shared" si="20"/>
        <v>#NUM!</v>
      </c>
      <c r="L288" s="35"/>
      <c r="M288" s="37">
        <f t="shared" si="21"/>
        <v>0</v>
      </c>
    </row>
    <row r="289" spans="1:13" x14ac:dyDescent="0.25">
      <c r="A289" s="56"/>
      <c r="G289" s="13"/>
      <c r="H289" s="35">
        <v>284</v>
      </c>
      <c r="I289" s="36" t="str">
        <f t="shared" si="19"/>
        <v/>
      </c>
      <c r="J289" s="35" t="e">
        <f t="shared" si="22"/>
        <v>#NUM!</v>
      </c>
      <c r="K289" s="35" t="e">
        <f t="shared" si="20"/>
        <v>#NUM!</v>
      </c>
      <c r="L289" s="35"/>
      <c r="M289" s="37">
        <f t="shared" si="21"/>
        <v>0</v>
      </c>
    </row>
    <row r="290" spans="1:13" x14ac:dyDescent="0.25">
      <c r="A290" s="56"/>
      <c r="G290" s="13"/>
      <c r="H290" s="35">
        <v>285</v>
      </c>
      <c r="I290" s="36" t="str">
        <f t="shared" si="19"/>
        <v/>
      </c>
      <c r="J290" s="35" t="e">
        <f t="shared" si="22"/>
        <v>#NUM!</v>
      </c>
      <c r="K290" s="35" t="e">
        <f t="shared" si="20"/>
        <v>#NUM!</v>
      </c>
      <c r="L290" s="35"/>
      <c r="M290" s="37">
        <f t="shared" si="21"/>
        <v>0</v>
      </c>
    </row>
    <row r="291" spans="1:13" x14ac:dyDescent="0.25">
      <c r="A291" s="56"/>
      <c r="G291" s="13"/>
      <c r="H291" s="35">
        <v>286</v>
      </c>
      <c r="I291" s="36" t="str">
        <f t="shared" si="19"/>
        <v/>
      </c>
      <c r="J291" s="35" t="e">
        <f t="shared" si="22"/>
        <v>#NUM!</v>
      </c>
      <c r="K291" s="35" t="e">
        <f t="shared" si="20"/>
        <v>#NUM!</v>
      </c>
      <c r="L291" s="35"/>
      <c r="M291" s="37">
        <f t="shared" si="21"/>
        <v>0</v>
      </c>
    </row>
    <row r="292" spans="1:13" x14ac:dyDescent="0.25">
      <c r="A292" s="56"/>
      <c r="G292" s="13"/>
      <c r="H292" s="35">
        <v>287</v>
      </c>
      <c r="I292" s="36" t="str">
        <f t="shared" si="19"/>
        <v/>
      </c>
      <c r="J292" s="35" t="e">
        <f t="shared" si="22"/>
        <v>#NUM!</v>
      </c>
      <c r="K292" s="35" t="e">
        <f t="shared" si="20"/>
        <v>#NUM!</v>
      </c>
      <c r="L292" s="35"/>
      <c r="M292" s="37">
        <f t="shared" si="21"/>
        <v>0</v>
      </c>
    </row>
    <row r="293" spans="1:13" x14ac:dyDescent="0.25">
      <c r="A293" s="56"/>
      <c r="G293" s="13"/>
      <c r="H293" s="35">
        <v>288</v>
      </c>
      <c r="I293" s="36" t="str">
        <f t="shared" si="19"/>
        <v/>
      </c>
      <c r="J293" s="35" t="e">
        <f t="shared" si="22"/>
        <v>#NUM!</v>
      </c>
      <c r="K293" s="35" t="e">
        <f t="shared" si="20"/>
        <v>#NUM!</v>
      </c>
      <c r="L293" s="35"/>
      <c r="M293" s="37">
        <f t="shared" si="21"/>
        <v>0</v>
      </c>
    </row>
    <row r="294" spans="1:13" x14ac:dyDescent="0.25">
      <c r="A294" s="56"/>
      <c r="G294" s="13"/>
      <c r="H294" s="35">
        <v>289</v>
      </c>
      <c r="I294" s="36" t="str">
        <f t="shared" si="19"/>
        <v/>
      </c>
      <c r="J294" s="35" t="e">
        <f t="shared" si="22"/>
        <v>#NUM!</v>
      </c>
      <c r="K294" s="35" t="e">
        <f t="shared" si="20"/>
        <v>#NUM!</v>
      </c>
      <c r="L294" s="35"/>
      <c r="M294" s="37">
        <f t="shared" si="21"/>
        <v>0</v>
      </c>
    </row>
    <row r="295" spans="1:13" x14ac:dyDescent="0.25">
      <c r="A295" s="56"/>
      <c r="G295" s="13"/>
      <c r="H295" s="35">
        <v>290</v>
      </c>
      <c r="I295" s="36" t="str">
        <f t="shared" si="19"/>
        <v/>
      </c>
      <c r="J295" s="35" t="e">
        <f t="shared" si="22"/>
        <v>#NUM!</v>
      </c>
      <c r="K295" s="35" t="e">
        <f t="shared" si="20"/>
        <v>#NUM!</v>
      </c>
      <c r="L295" s="35"/>
      <c r="M295" s="37">
        <f t="shared" si="21"/>
        <v>0</v>
      </c>
    </row>
    <row r="296" spans="1:13" x14ac:dyDescent="0.25">
      <c r="A296" s="56"/>
      <c r="G296" s="13"/>
      <c r="H296" s="35">
        <v>291</v>
      </c>
      <c r="I296" s="36" t="str">
        <f t="shared" si="19"/>
        <v/>
      </c>
      <c r="J296" s="35" t="e">
        <f t="shared" si="22"/>
        <v>#NUM!</v>
      </c>
      <c r="K296" s="35" t="e">
        <f t="shared" si="20"/>
        <v>#NUM!</v>
      </c>
      <c r="L296" s="35"/>
      <c r="M296" s="37">
        <f t="shared" si="21"/>
        <v>0</v>
      </c>
    </row>
    <row r="297" spans="1:13" x14ac:dyDescent="0.25">
      <c r="A297" s="56"/>
      <c r="G297" s="13"/>
      <c r="H297" s="35">
        <v>292</v>
      </c>
      <c r="I297" s="36" t="str">
        <f t="shared" si="19"/>
        <v/>
      </c>
      <c r="J297" s="35" t="e">
        <f t="shared" si="22"/>
        <v>#NUM!</v>
      </c>
      <c r="K297" s="35" t="e">
        <f t="shared" si="20"/>
        <v>#NUM!</v>
      </c>
      <c r="L297" s="35"/>
      <c r="M297" s="37">
        <f t="shared" si="21"/>
        <v>0</v>
      </c>
    </row>
    <row r="298" spans="1:13" x14ac:dyDescent="0.25">
      <c r="A298" s="56"/>
      <c r="G298" s="13"/>
      <c r="H298" s="35">
        <v>293</v>
      </c>
      <c r="I298" s="36" t="str">
        <f t="shared" si="19"/>
        <v/>
      </c>
      <c r="J298" s="35" t="e">
        <f t="shared" si="22"/>
        <v>#NUM!</v>
      </c>
      <c r="K298" s="35" t="e">
        <f t="shared" si="20"/>
        <v>#NUM!</v>
      </c>
      <c r="L298" s="35"/>
      <c r="M298" s="37">
        <f t="shared" si="21"/>
        <v>0</v>
      </c>
    </row>
    <row r="299" spans="1:13" x14ac:dyDescent="0.25">
      <c r="A299" s="56"/>
      <c r="G299" s="13"/>
      <c r="H299" s="35">
        <v>294</v>
      </c>
      <c r="I299" s="36" t="str">
        <f t="shared" si="19"/>
        <v/>
      </c>
      <c r="J299" s="35" t="e">
        <f t="shared" si="22"/>
        <v>#NUM!</v>
      </c>
      <c r="K299" s="35" t="e">
        <f t="shared" si="20"/>
        <v>#NUM!</v>
      </c>
      <c r="L299" s="35"/>
      <c r="M299" s="37">
        <f t="shared" si="21"/>
        <v>0</v>
      </c>
    </row>
    <row r="300" spans="1:13" x14ac:dyDescent="0.25">
      <c r="A300" s="56"/>
      <c r="G300" s="13"/>
      <c r="H300" s="35">
        <v>295</v>
      </c>
      <c r="I300" s="36" t="str">
        <f t="shared" si="19"/>
        <v/>
      </c>
      <c r="J300" s="35" t="e">
        <f t="shared" si="22"/>
        <v>#NUM!</v>
      </c>
      <c r="K300" s="35" t="e">
        <f t="shared" si="20"/>
        <v>#NUM!</v>
      </c>
      <c r="L300" s="35"/>
      <c r="M300" s="37">
        <f t="shared" si="21"/>
        <v>0</v>
      </c>
    </row>
    <row r="301" spans="1:13" x14ac:dyDescent="0.25">
      <c r="A301" s="56"/>
      <c r="G301" s="13"/>
      <c r="H301" s="35">
        <v>296</v>
      </c>
      <c r="I301" s="36" t="str">
        <f t="shared" si="19"/>
        <v/>
      </c>
      <c r="J301" s="35" t="e">
        <f t="shared" si="22"/>
        <v>#NUM!</v>
      </c>
      <c r="K301" s="35" t="e">
        <f t="shared" si="20"/>
        <v>#NUM!</v>
      </c>
      <c r="L301" s="35"/>
      <c r="M301" s="37">
        <f t="shared" si="21"/>
        <v>0</v>
      </c>
    </row>
    <row r="302" spans="1:13" x14ac:dyDescent="0.25">
      <c r="A302" s="56"/>
      <c r="G302" s="13"/>
      <c r="H302" s="35">
        <v>297</v>
      </c>
      <c r="I302" s="36" t="str">
        <f t="shared" si="19"/>
        <v/>
      </c>
      <c r="J302" s="35" t="e">
        <f t="shared" si="22"/>
        <v>#NUM!</v>
      </c>
      <c r="K302" s="35" t="e">
        <f t="shared" si="20"/>
        <v>#NUM!</v>
      </c>
      <c r="L302" s="35"/>
      <c r="M302" s="37">
        <f t="shared" si="21"/>
        <v>0</v>
      </c>
    </row>
    <row r="303" spans="1:13" x14ac:dyDescent="0.25">
      <c r="A303" s="56"/>
      <c r="G303" s="13"/>
      <c r="H303" s="35">
        <v>298</v>
      </c>
      <c r="I303" s="36" t="str">
        <f t="shared" si="19"/>
        <v/>
      </c>
      <c r="J303" s="35" t="e">
        <f t="shared" si="22"/>
        <v>#NUM!</v>
      </c>
      <c r="K303" s="35" t="e">
        <f t="shared" si="20"/>
        <v>#NUM!</v>
      </c>
      <c r="L303" s="35"/>
      <c r="M303" s="37">
        <f t="shared" si="21"/>
        <v>0</v>
      </c>
    </row>
    <row r="304" spans="1:13" x14ac:dyDescent="0.25">
      <c r="A304" s="56"/>
      <c r="G304" s="13"/>
      <c r="H304" s="35">
        <v>299</v>
      </c>
      <c r="I304" s="36" t="str">
        <f t="shared" si="19"/>
        <v/>
      </c>
      <c r="J304" s="35" t="e">
        <f t="shared" si="22"/>
        <v>#NUM!</v>
      </c>
      <c r="K304" s="35" t="e">
        <f t="shared" si="20"/>
        <v>#NUM!</v>
      </c>
      <c r="L304" s="35"/>
      <c r="M304" s="37">
        <f t="shared" si="21"/>
        <v>0</v>
      </c>
    </row>
    <row r="305" spans="1:16" x14ac:dyDescent="0.25">
      <c r="A305" s="56"/>
      <c r="G305" s="13"/>
      <c r="H305" s="35">
        <v>300</v>
      </c>
      <c r="I305" s="36" t="str">
        <f t="shared" si="19"/>
        <v/>
      </c>
      <c r="J305" s="35" t="e">
        <f t="shared" si="22"/>
        <v>#NUM!</v>
      </c>
      <c r="K305" s="35" t="e">
        <f t="shared" si="20"/>
        <v>#NUM!</v>
      </c>
      <c r="L305" s="35"/>
      <c r="M305" s="37">
        <f t="shared" si="21"/>
        <v>0</v>
      </c>
    </row>
    <row r="306" spans="1:16" x14ac:dyDescent="0.25">
      <c r="A306" s="58"/>
    </row>
    <row r="314" spans="1:16" x14ac:dyDescent="0.25">
      <c r="L314" s="61"/>
      <c r="P314" s="51"/>
    </row>
    <row r="315" spans="1:16" x14ac:dyDescent="0.25">
      <c r="L315" s="61"/>
      <c r="P315" s="51"/>
    </row>
    <row r="316" spans="1:16" x14ac:dyDescent="0.25">
      <c r="L316" s="61"/>
      <c r="P316" s="51"/>
    </row>
    <row r="317" spans="1:16" x14ac:dyDescent="0.25">
      <c r="L317" s="61"/>
      <c r="P317" s="51"/>
    </row>
  </sheetData>
  <mergeCells count="2">
    <mergeCell ref="C2:D2"/>
    <mergeCell ref="C3:D3"/>
  </mergeCells>
  <conditionalFormatting sqref="J6:K305">
    <cfRule type="cellIs" dxfId="31" priority="1" operator="lessThanOrEqual">
      <formula>0</formula>
    </cfRule>
  </conditionalFormatting>
  <dataValidations count="1">
    <dataValidation type="list" allowBlank="1" showInputMessage="1" showErrorMessage="1" sqref="C38:C69" xr:uid="{C7EC148A-8F4E-45A4-B489-8B576A49E705}">
      <formula1>#REF!</formula1>
    </dataValidation>
  </dataValidations>
  <hyperlinks>
    <hyperlink ref="C2:D2" r:id="rId1" location="today" display="NIEPOŁOMICE" xr:uid="{41B5354C-0D4B-4302-A9F5-DD0226BD2D14}"/>
  </hyperlinks>
  <pageMargins left="0.7" right="0.7" top="0.75" bottom="0.75" header="0.3" footer="0.3"/>
  <pageSetup paperSize="9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91AF7-16FF-440C-8BAE-F1CD4DF6D760}">
  <sheetPr>
    <tabColor rgb="FF92D050"/>
  </sheetPr>
  <dimension ref="A1:AL317"/>
  <sheetViews>
    <sheetView workbookViewId="0">
      <selection activeCell="C2" sqref="C2:D3"/>
    </sheetView>
  </sheetViews>
  <sheetFormatPr defaultColWidth="8.875" defaultRowHeight="14.3" x14ac:dyDescent="0.25"/>
  <cols>
    <col min="1" max="1" width="8" style="57" customWidth="1"/>
    <col min="2" max="2" width="8.25" style="57" customWidth="1"/>
    <col min="3" max="3" width="34.75" style="57" customWidth="1"/>
    <col min="4" max="4" width="11.25" style="57" customWidth="1"/>
    <col min="5" max="6" width="8.875" style="57"/>
    <col min="7" max="7" width="0.875" style="57" customWidth="1"/>
    <col min="8" max="8" width="8.875" style="59"/>
    <col min="9" max="9" width="11" style="59" customWidth="1"/>
    <col min="10" max="10" width="15.25" style="59" customWidth="1"/>
    <col min="11" max="11" width="8.75" style="59" customWidth="1"/>
    <col min="12" max="12" width="11" style="59" customWidth="1"/>
    <col min="13" max="13" width="12.25" style="60" customWidth="1"/>
    <col min="14" max="15" width="13.875" style="13" customWidth="1"/>
    <col min="16" max="18" width="8.875" style="13"/>
    <col min="19" max="20" width="8.875" style="18"/>
    <col min="21" max="21" width="12.125" style="18" customWidth="1"/>
    <col min="22" max="22" width="27.375" style="18" customWidth="1"/>
    <col min="23" max="38" width="8.875" style="18"/>
    <col min="39" max="16384" width="8.875" style="57"/>
  </cols>
  <sheetData>
    <row r="1" spans="1:36" x14ac:dyDescent="0.25">
      <c r="A1" s="13"/>
      <c r="B1" s="13"/>
      <c r="C1" s="13"/>
      <c r="D1" s="13"/>
      <c r="E1" s="13"/>
      <c r="F1" s="13"/>
      <c r="G1" s="13"/>
      <c r="H1" s="14" t="s">
        <v>20</v>
      </c>
      <c r="I1" s="15" t="s">
        <v>21</v>
      </c>
      <c r="J1" s="15" t="s">
        <v>22</v>
      </c>
      <c r="K1" s="16" t="s">
        <v>23</v>
      </c>
      <c r="L1" s="17"/>
      <c r="M1" s="17"/>
    </row>
    <row r="2" spans="1:36" ht="14.45" customHeight="1" x14ac:dyDescent="0.25">
      <c r="A2" s="13"/>
      <c r="B2" s="19" t="s">
        <v>24</v>
      </c>
      <c r="C2" s="277" t="s">
        <v>58</v>
      </c>
      <c r="D2" s="277"/>
      <c r="E2" s="20"/>
      <c r="F2" s="20"/>
      <c r="G2" s="20"/>
      <c r="H2" s="21">
        <v>0</v>
      </c>
      <c r="I2" s="22">
        <v>50</v>
      </c>
      <c r="J2" s="22">
        <v>10</v>
      </c>
      <c r="K2" s="23">
        <f>3*H2^(1/3)</f>
        <v>0</v>
      </c>
      <c r="L2" s="17"/>
      <c r="M2" s="17"/>
    </row>
    <row r="3" spans="1:36" ht="14.45" customHeight="1" x14ac:dyDescent="0.25">
      <c r="A3" s="13"/>
      <c r="B3" s="24" t="s">
        <v>26</v>
      </c>
      <c r="C3" s="278" t="s">
        <v>59</v>
      </c>
      <c r="D3" s="278"/>
      <c r="E3" s="25"/>
      <c r="F3" s="25"/>
      <c r="G3" s="25"/>
      <c r="H3" s="17"/>
      <c r="I3" s="17"/>
      <c r="J3" s="26"/>
      <c r="K3" s="17"/>
      <c r="L3" s="17"/>
      <c r="M3" s="17"/>
    </row>
    <row r="4" spans="1:36" ht="10.199999999999999" customHeight="1" x14ac:dyDescent="0.25">
      <c r="A4" s="27"/>
      <c r="B4" s="25"/>
      <c r="C4" s="27"/>
      <c r="D4" s="27"/>
      <c r="E4" s="27"/>
      <c r="F4" s="27"/>
      <c r="G4" s="27"/>
      <c r="H4" s="17"/>
      <c r="I4" s="17"/>
      <c r="J4" s="26"/>
      <c r="K4" s="17"/>
      <c r="L4" s="17"/>
      <c r="M4" s="17"/>
    </row>
    <row r="5" spans="1:36" ht="34.65" x14ac:dyDescent="0.25">
      <c r="A5" s="1" t="s">
        <v>28</v>
      </c>
      <c r="B5" s="28" t="s">
        <v>29</v>
      </c>
      <c r="C5" s="1" t="s">
        <v>30</v>
      </c>
      <c r="D5" s="1" t="s">
        <v>31</v>
      </c>
      <c r="E5" s="1" t="s">
        <v>32</v>
      </c>
      <c r="F5" s="1" t="s">
        <v>33</v>
      </c>
      <c r="G5" s="27"/>
      <c r="H5" s="29" t="s">
        <v>34</v>
      </c>
      <c r="I5" s="30" t="s">
        <v>35</v>
      </c>
      <c r="J5" s="31" t="s">
        <v>36</v>
      </c>
      <c r="K5" s="30" t="s">
        <v>37</v>
      </c>
      <c r="L5" s="30" t="s">
        <v>38</v>
      </c>
      <c r="M5" s="29" t="s">
        <v>39</v>
      </c>
    </row>
    <row r="6" spans="1:36" ht="14.45" customHeight="1" x14ac:dyDescent="0.25">
      <c r="A6" s="32">
        <f t="shared" ref="A6" si="0">M6</f>
        <v>0</v>
      </c>
      <c r="B6" s="33" t="str">
        <f t="shared" ref="B6" si="1">IF(H6&gt;$H$2,"",(ROW()-5))</f>
        <v/>
      </c>
      <c r="C6" s="34"/>
      <c r="D6" s="34"/>
      <c r="E6" s="34"/>
      <c r="F6" s="34"/>
      <c r="G6" s="27"/>
      <c r="H6" s="35">
        <v>1</v>
      </c>
      <c r="I6" s="36" t="str">
        <f>IF(H2=1,50,IF(H6&lt;$H$2+1,($I$2-($I$2-1)*(LOG(H6)/LOG($H$2))),""))</f>
        <v/>
      </c>
      <c r="J6" s="35" t="e">
        <f>INT(LOG($H$2,2))-ROUNDUP(LOG(H6,2),0)+IF(OR($H$2=1,$H$2=2,$H$2=4,$H$2=8,$H$2=16,$H$2=32,$H$2=64,$H$2=128,$H$2=256),0,1)</f>
        <v>#NUM!</v>
      </c>
      <c r="K6" s="35" t="e">
        <f t="shared" ref="K6:K69" si="2">J6*$J$2</f>
        <v>#NUM!</v>
      </c>
      <c r="L6" s="37">
        <f>3*K2</f>
        <v>0</v>
      </c>
      <c r="M6" s="37">
        <f t="shared" ref="M6:M69" si="3">IF(I6&lt;&gt;"",K6+I6+L6,0)</f>
        <v>0</v>
      </c>
    </row>
    <row r="7" spans="1:36" ht="14.45" customHeight="1" x14ac:dyDescent="0.25">
      <c r="A7" s="38">
        <f t="shared" ref="A7:A37" si="4">M7</f>
        <v>0</v>
      </c>
      <c r="B7" s="39" t="str">
        <f t="shared" ref="B7:B13" si="5">IF(H7&gt;$H$2,"",(ROW()-5))</f>
        <v/>
      </c>
      <c r="C7" s="40"/>
      <c r="D7" s="40"/>
      <c r="E7" s="40"/>
      <c r="F7" s="40"/>
      <c r="G7" s="27"/>
      <c r="H7" s="41">
        <v>2</v>
      </c>
      <c r="I7" s="42" t="str">
        <f t="shared" ref="I7:I69" si="6">IF(H7&lt;$H$2+1,($I$2-($I$2-1)*(LOG(H7)/LOG($H$2))),"")</f>
        <v/>
      </c>
      <c r="J7" s="41" t="e">
        <f t="shared" ref="J7:J70" si="7">INT(LOG($H$2,2))-ROUNDUP(LOG(H7,2),0)+IF(OR($H$2=1,$H$2=2,$H$2=4,$H$2=8,$H$2=16,$H$2=32,$H$2=64,$H$2=128,$H$2=256),0,1)</f>
        <v>#NUM!</v>
      </c>
      <c r="K7" s="41" t="e">
        <f t="shared" si="2"/>
        <v>#NUM!</v>
      </c>
      <c r="L7" s="43">
        <f>2*K2</f>
        <v>0</v>
      </c>
      <c r="M7" s="43">
        <f t="shared" si="3"/>
        <v>0</v>
      </c>
    </row>
    <row r="8" spans="1:36" ht="14.45" customHeight="1" x14ac:dyDescent="0.25">
      <c r="A8" s="32">
        <f t="shared" si="4"/>
        <v>0</v>
      </c>
      <c r="B8" s="33" t="str">
        <f t="shared" si="5"/>
        <v/>
      </c>
      <c r="C8" s="34"/>
      <c r="D8" s="34"/>
      <c r="E8" s="34"/>
      <c r="F8" s="34"/>
      <c r="G8" s="27"/>
      <c r="H8" s="35">
        <v>3</v>
      </c>
      <c r="I8" s="36" t="str">
        <f t="shared" si="6"/>
        <v/>
      </c>
      <c r="J8" s="35" t="e">
        <f t="shared" si="7"/>
        <v>#NUM!</v>
      </c>
      <c r="K8" s="35" t="e">
        <f t="shared" si="2"/>
        <v>#NUM!</v>
      </c>
      <c r="L8" s="37">
        <f>K2</f>
        <v>0</v>
      </c>
      <c r="M8" s="37">
        <f t="shared" si="3"/>
        <v>0</v>
      </c>
    </row>
    <row r="9" spans="1:36" ht="14.45" customHeight="1" x14ac:dyDescent="0.25">
      <c r="A9" s="38">
        <f t="shared" si="4"/>
        <v>0</v>
      </c>
      <c r="B9" s="39" t="str">
        <f t="shared" si="5"/>
        <v/>
      </c>
      <c r="C9" s="40"/>
      <c r="D9" s="40"/>
      <c r="E9" s="40"/>
      <c r="F9" s="40"/>
      <c r="G9" s="27"/>
      <c r="H9" s="41">
        <v>4</v>
      </c>
      <c r="I9" s="42" t="str">
        <f t="shared" si="6"/>
        <v/>
      </c>
      <c r="J9" s="41" t="e">
        <f t="shared" si="7"/>
        <v>#NUM!</v>
      </c>
      <c r="K9" s="41" t="e">
        <f t="shared" si="2"/>
        <v>#NUM!</v>
      </c>
      <c r="L9" s="43"/>
      <c r="M9" s="43">
        <f t="shared" si="3"/>
        <v>0</v>
      </c>
      <c r="V9" s="44"/>
      <c r="Z9" s="45"/>
      <c r="AA9" s="45"/>
      <c r="AG9" s="46"/>
      <c r="AH9" s="18" t="s">
        <v>40</v>
      </c>
      <c r="AI9" s="18">
        <v>23</v>
      </c>
    </row>
    <row r="10" spans="1:36" ht="14.45" customHeight="1" x14ac:dyDescent="0.25">
      <c r="A10" s="32">
        <f t="shared" si="4"/>
        <v>0</v>
      </c>
      <c r="B10" s="33" t="str">
        <f t="shared" si="5"/>
        <v/>
      </c>
      <c r="C10" s="34"/>
      <c r="D10" s="34"/>
      <c r="E10" s="34"/>
      <c r="F10" s="34"/>
      <c r="G10" s="27"/>
      <c r="H10" s="35">
        <v>5</v>
      </c>
      <c r="I10" s="36" t="str">
        <f t="shared" si="6"/>
        <v/>
      </c>
      <c r="J10" s="35" t="e">
        <f t="shared" si="7"/>
        <v>#NUM!</v>
      </c>
      <c r="K10" s="35" t="e">
        <f t="shared" si="2"/>
        <v>#NUM!</v>
      </c>
      <c r="L10" s="35"/>
      <c r="M10" s="37">
        <f t="shared" si="3"/>
        <v>0</v>
      </c>
      <c r="V10" s="44"/>
      <c r="Z10" s="45"/>
      <c r="AA10" s="45"/>
      <c r="AG10" s="46"/>
      <c r="AH10" s="18" t="s">
        <v>41</v>
      </c>
      <c r="AI10" s="18">
        <v>45</v>
      </c>
    </row>
    <row r="11" spans="1:36" ht="14.45" customHeight="1" x14ac:dyDescent="0.25">
      <c r="A11" s="38">
        <f t="shared" si="4"/>
        <v>0</v>
      </c>
      <c r="B11" s="39" t="str">
        <f t="shared" si="5"/>
        <v/>
      </c>
      <c r="C11" s="40"/>
      <c r="D11" s="40"/>
      <c r="E11" s="40"/>
      <c r="F11" s="40"/>
      <c r="G11" s="27"/>
      <c r="H11" s="41">
        <v>6</v>
      </c>
      <c r="I11" s="42" t="str">
        <f t="shared" si="6"/>
        <v/>
      </c>
      <c r="J11" s="41" t="e">
        <f t="shared" si="7"/>
        <v>#NUM!</v>
      </c>
      <c r="K11" s="41" t="e">
        <f t="shared" si="2"/>
        <v>#NUM!</v>
      </c>
      <c r="L11" s="41"/>
      <c r="M11" s="43">
        <f t="shared" si="3"/>
        <v>0</v>
      </c>
      <c r="V11" s="47"/>
      <c r="Z11" s="45"/>
      <c r="AA11" s="45"/>
      <c r="AG11" s="46"/>
      <c r="AH11" s="18" t="s">
        <v>42</v>
      </c>
      <c r="AI11" s="18">
        <v>50</v>
      </c>
    </row>
    <row r="12" spans="1:36" ht="14.45" customHeight="1" x14ac:dyDescent="0.25">
      <c r="A12" s="32">
        <f t="shared" si="4"/>
        <v>0</v>
      </c>
      <c r="B12" s="33" t="str">
        <f t="shared" si="5"/>
        <v/>
      </c>
      <c r="C12" s="34"/>
      <c r="D12" s="34"/>
      <c r="E12" s="34"/>
      <c r="F12" s="34"/>
      <c r="G12" s="27"/>
      <c r="H12" s="35">
        <v>7</v>
      </c>
      <c r="I12" s="36" t="str">
        <f t="shared" si="6"/>
        <v/>
      </c>
      <c r="J12" s="35" t="e">
        <f t="shared" si="7"/>
        <v>#NUM!</v>
      </c>
      <c r="K12" s="35" t="e">
        <f t="shared" si="2"/>
        <v>#NUM!</v>
      </c>
      <c r="L12" s="35"/>
      <c r="M12" s="37">
        <f t="shared" si="3"/>
        <v>0</v>
      </c>
      <c r="Z12" s="45"/>
      <c r="AA12" s="45"/>
      <c r="AG12" s="46"/>
      <c r="AH12" s="18" t="s">
        <v>43</v>
      </c>
      <c r="AI12" s="18">
        <f>AI11-1</f>
        <v>49</v>
      </c>
    </row>
    <row r="13" spans="1:36" ht="14.45" customHeight="1" x14ac:dyDescent="0.25">
      <c r="A13" s="48">
        <f t="shared" si="4"/>
        <v>0</v>
      </c>
      <c r="B13" s="39" t="str">
        <f t="shared" si="5"/>
        <v/>
      </c>
      <c r="C13" s="40"/>
      <c r="D13" s="40"/>
      <c r="E13" s="40"/>
      <c r="F13" s="40"/>
      <c r="G13" s="27"/>
      <c r="H13" s="41">
        <v>8</v>
      </c>
      <c r="I13" s="42" t="str">
        <f t="shared" si="6"/>
        <v/>
      </c>
      <c r="J13" s="41" t="e">
        <f t="shared" si="7"/>
        <v>#NUM!</v>
      </c>
      <c r="K13" s="41" t="e">
        <f t="shared" si="2"/>
        <v>#NUM!</v>
      </c>
      <c r="L13" s="41"/>
      <c r="M13" s="43">
        <f t="shared" si="3"/>
        <v>0</v>
      </c>
      <c r="X13" s="44"/>
      <c r="AG13" s="46"/>
      <c r="AH13" s="18" t="s">
        <v>44</v>
      </c>
      <c r="AI13" s="18">
        <f>LOG(AI9)</f>
        <v>1.3617278360175928</v>
      </c>
    </row>
    <row r="14" spans="1:36" x14ac:dyDescent="0.25">
      <c r="A14" s="49">
        <f t="shared" si="4"/>
        <v>0</v>
      </c>
      <c r="B14" s="33" t="str">
        <f>IF(H14&gt;$H$2,"",(ROW()-5))</f>
        <v/>
      </c>
      <c r="C14" s="34"/>
      <c r="D14" s="34"/>
      <c r="E14" s="34"/>
      <c r="F14" s="34"/>
      <c r="G14" s="27"/>
      <c r="H14" s="35">
        <v>9</v>
      </c>
      <c r="I14" s="36" t="str">
        <f t="shared" si="6"/>
        <v/>
      </c>
      <c r="J14" s="35" t="e">
        <f t="shared" si="7"/>
        <v>#NUM!</v>
      </c>
      <c r="K14" s="35" t="e">
        <f t="shared" si="2"/>
        <v>#NUM!</v>
      </c>
      <c r="L14" s="35"/>
      <c r="M14" s="37">
        <f t="shared" si="3"/>
        <v>0</v>
      </c>
      <c r="X14" s="50"/>
      <c r="Z14" s="45"/>
      <c r="AA14" s="45"/>
      <c r="AG14" s="46"/>
      <c r="AH14" s="18" t="s">
        <v>45</v>
      </c>
      <c r="AI14" s="18">
        <f>LOG(AI10)</f>
        <v>1.6532125137753437</v>
      </c>
    </row>
    <row r="15" spans="1:36" x14ac:dyDescent="0.25">
      <c r="A15" s="48">
        <f t="shared" si="4"/>
        <v>0</v>
      </c>
      <c r="B15" s="39" t="str">
        <f t="shared" ref="B15:B65" si="8">IF(H15&gt;$H$2,"",(ROW()-5))</f>
        <v/>
      </c>
      <c r="C15" s="40"/>
      <c r="D15" s="40"/>
      <c r="E15" s="40"/>
      <c r="F15" s="40"/>
      <c r="G15" s="27"/>
      <c r="H15" s="41">
        <v>10</v>
      </c>
      <c r="I15" s="42" t="str">
        <f t="shared" si="6"/>
        <v/>
      </c>
      <c r="J15" s="41" t="e">
        <f t="shared" si="7"/>
        <v>#NUM!</v>
      </c>
      <c r="K15" s="41" t="e">
        <f t="shared" si="2"/>
        <v>#NUM!</v>
      </c>
      <c r="L15" s="41"/>
      <c r="M15" s="43">
        <f t="shared" si="3"/>
        <v>0</v>
      </c>
      <c r="X15" s="44"/>
      <c r="Z15" s="45"/>
      <c r="AA15" s="45"/>
    </row>
    <row r="16" spans="1:36" x14ac:dyDescent="0.25">
      <c r="A16" s="49">
        <f t="shared" si="4"/>
        <v>0</v>
      </c>
      <c r="B16" s="33" t="str">
        <f t="shared" si="8"/>
        <v/>
      </c>
      <c r="C16" s="34"/>
      <c r="D16" s="34"/>
      <c r="E16" s="34"/>
      <c r="F16" s="34"/>
      <c r="G16" s="27"/>
      <c r="H16" s="35">
        <v>11</v>
      </c>
      <c r="I16" s="36" t="str">
        <f t="shared" si="6"/>
        <v/>
      </c>
      <c r="J16" s="35" t="e">
        <f t="shared" si="7"/>
        <v>#NUM!</v>
      </c>
      <c r="K16" s="35" t="e">
        <f t="shared" si="2"/>
        <v>#NUM!</v>
      </c>
      <c r="L16" s="35"/>
      <c r="M16" s="37">
        <f t="shared" si="3"/>
        <v>0</v>
      </c>
      <c r="R16" s="51"/>
      <c r="Z16" s="45"/>
      <c r="AA16" s="45"/>
      <c r="AH16" s="52" t="s">
        <v>46</v>
      </c>
      <c r="AI16" s="18">
        <f>AI11-AI12*AI13/AI14</f>
        <v>9.6393909380186855</v>
      </c>
      <c r="AJ16" s="18" t="s">
        <v>47</v>
      </c>
    </row>
    <row r="17" spans="1:19" x14ac:dyDescent="0.25">
      <c r="A17" s="48">
        <f t="shared" si="4"/>
        <v>0</v>
      </c>
      <c r="B17" s="39" t="str">
        <f t="shared" si="8"/>
        <v/>
      </c>
      <c r="C17" s="40"/>
      <c r="D17" s="40"/>
      <c r="E17" s="40"/>
      <c r="F17" s="40"/>
      <c r="G17" s="27"/>
      <c r="H17" s="41">
        <v>12</v>
      </c>
      <c r="I17" s="42" t="str">
        <f t="shared" si="6"/>
        <v/>
      </c>
      <c r="J17" s="41" t="e">
        <f t="shared" si="7"/>
        <v>#NUM!</v>
      </c>
      <c r="K17" s="41" t="e">
        <f t="shared" si="2"/>
        <v>#NUM!</v>
      </c>
      <c r="L17" s="41"/>
      <c r="M17" s="43">
        <f t="shared" si="3"/>
        <v>0</v>
      </c>
    </row>
    <row r="18" spans="1:19" x14ac:dyDescent="0.25">
      <c r="A18" s="49">
        <f t="shared" si="4"/>
        <v>0</v>
      </c>
      <c r="B18" s="33" t="str">
        <f t="shared" si="8"/>
        <v/>
      </c>
      <c r="C18" s="34"/>
      <c r="D18" s="34"/>
      <c r="E18" s="34"/>
      <c r="F18" s="34"/>
      <c r="G18" s="27"/>
      <c r="H18" s="35">
        <v>13</v>
      </c>
      <c r="I18" s="36" t="str">
        <f t="shared" si="6"/>
        <v/>
      </c>
      <c r="J18" s="35" t="e">
        <f t="shared" si="7"/>
        <v>#NUM!</v>
      </c>
      <c r="K18" s="35" t="e">
        <f t="shared" si="2"/>
        <v>#NUM!</v>
      </c>
      <c r="L18" s="35"/>
      <c r="M18" s="37">
        <f t="shared" si="3"/>
        <v>0</v>
      </c>
    </row>
    <row r="19" spans="1:19" x14ac:dyDescent="0.25">
      <c r="A19" s="48">
        <f t="shared" si="4"/>
        <v>0</v>
      </c>
      <c r="B19" s="39" t="str">
        <f t="shared" si="8"/>
        <v/>
      </c>
      <c r="C19" s="40"/>
      <c r="D19" s="40"/>
      <c r="E19" s="40"/>
      <c r="F19" s="40"/>
      <c r="G19" s="27"/>
      <c r="H19" s="41">
        <v>14</v>
      </c>
      <c r="I19" s="42" t="str">
        <f t="shared" si="6"/>
        <v/>
      </c>
      <c r="J19" s="41" t="e">
        <f t="shared" si="7"/>
        <v>#NUM!</v>
      </c>
      <c r="K19" s="41" t="e">
        <f t="shared" si="2"/>
        <v>#NUM!</v>
      </c>
      <c r="L19" s="41"/>
      <c r="M19" s="43">
        <f t="shared" si="3"/>
        <v>0</v>
      </c>
    </row>
    <row r="20" spans="1:19" x14ac:dyDescent="0.25">
      <c r="A20" s="49">
        <f t="shared" si="4"/>
        <v>0</v>
      </c>
      <c r="B20" s="33" t="str">
        <f t="shared" si="8"/>
        <v/>
      </c>
      <c r="C20" s="34"/>
      <c r="D20" s="34"/>
      <c r="E20" s="34"/>
      <c r="F20" s="34"/>
      <c r="G20" s="27"/>
      <c r="H20" s="35">
        <v>15</v>
      </c>
      <c r="I20" s="36" t="str">
        <f t="shared" si="6"/>
        <v/>
      </c>
      <c r="J20" s="35" t="e">
        <f t="shared" si="7"/>
        <v>#NUM!</v>
      </c>
      <c r="K20" s="35" t="e">
        <f t="shared" si="2"/>
        <v>#NUM!</v>
      </c>
      <c r="L20" s="35"/>
      <c r="M20" s="37">
        <f t="shared" si="3"/>
        <v>0</v>
      </c>
      <c r="R20" s="53"/>
      <c r="S20" s="54"/>
    </row>
    <row r="21" spans="1:19" x14ac:dyDescent="0.25">
      <c r="A21" s="48">
        <f t="shared" si="4"/>
        <v>0</v>
      </c>
      <c r="B21" s="39" t="str">
        <f t="shared" si="8"/>
        <v/>
      </c>
      <c r="C21" s="40"/>
      <c r="D21" s="40"/>
      <c r="E21" s="40"/>
      <c r="F21" s="40"/>
      <c r="G21" s="27"/>
      <c r="H21" s="41">
        <v>16</v>
      </c>
      <c r="I21" s="42" t="str">
        <f t="shared" si="6"/>
        <v/>
      </c>
      <c r="J21" s="41" t="e">
        <f t="shared" si="7"/>
        <v>#NUM!</v>
      </c>
      <c r="K21" s="41" t="e">
        <f t="shared" si="2"/>
        <v>#NUM!</v>
      </c>
      <c r="L21" s="41"/>
      <c r="M21" s="43">
        <f t="shared" si="3"/>
        <v>0</v>
      </c>
    </row>
    <row r="22" spans="1:19" x14ac:dyDescent="0.25">
      <c r="A22" s="49">
        <f t="shared" si="4"/>
        <v>0</v>
      </c>
      <c r="B22" s="33" t="str">
        <f t="shared" si="8"/>
        <v/>
      </c>
      <c r="C22" s="34"/>
      <c r="D22" s="34"/>
      <c r="E22" s="34"/>
      <c r="F22" s="34"/>
      <c r="G22" s="27"/>
      <c r="H22" s="35">
        <v>17</v>
      </c>
      <c r="I22" s="36" t="str">
        <f t="shared" si="6"/>
        <v/>
      </c>
      <c r="J22" s="35" t="e">
        <f t="shared" si="7"/>
        <v>#NUM!</v>
      </c>
      <c r="K22" s="35" t="e">
        <f t="shared" si="2"/>
        <v>#NUM!</v>
      </c>
      <c r="L22" s="35"/>
      <c r="M22" s="37">
        <f t="shared" si="3"/>
        <v>0</v>
      </c>
    </row>
    <row r="23" spans="1:19" x14ac:dyDescent="0.25">
      <c r="A23" s="48">
        <f t="shared" si="4"/>
        <v>0</v>
      </c>
      <c r="B23" s="39" t="str">
        <f t="shared" si="8"/>
        <v/>
      </c>
      <c r="C23" s="40"/>
      <c r="D23" s="40"/>
      <c r="E23" s="40"/>
      <c r="F23" s="40"/>
      <c r="G23" s="27"/>
      <c r="H23" s="41">
        <v>18</v>
      </c>
      <c r="I23" s="42" t="str">
        <f t="shared" si="6"/>
        <v/>
      </c>
      <c r="J23" s="41" t="e">
        <f t="shared" si="7"/>
        <v>#NUM!</v>
      </c>
      <c r="K23" s="41" t="e">
        <f t="shared" si="2"/>
        <v>#NUM!</v>
      </c>
      <c r="L23" s="41"/>
      <c r="M23" s="43">
        <f t="shared" si="3"/>
        <v>0</v>
      </c>
    </row>
    <row r="24" spans="1:19" x14ac:dyDescent="0.25">
      <c r="A24" s="49">
        <f t="shared" si="4"/>
        <v>0</v>
      </c>
      <c r="B24" s="33" t="str">
        <f t="shared" si="8"/>
        <v/>
      </c>
      <c r="C24" s="34"/>
      <c r="D24" s="34"/>
      <c r="E24" s="34"/>
      <c r="F24" s="34"/>
      <c r="G24" s="27"/>
      <c r="H24" s="35">
        <v>19</v>
      </c>
      <c r="I24" s="36" t="str">
        <f t="shared" si="6"/>
        <v/>
      </c>
      <c r="J24" s="35" t="e">
        <f t="shared" si="7"/>
        <v>#NUM!</v>
      </c>
      <c r="K24" s="35" t="e">
        <f t="shared" si="2"/>
        <v>#NUM!</v>
      </c>
      <c r="L24" s="35"/>
      <c r="M24" s="37">
        <f t="shared" si="3"/>
        <v>0</v>
      </c>
      <c r="R24" s="53"/>
      <c r="S24" s="54"/>
    </row>
    <row r="25" spans="1:19" x14ac:dyDescent="0.25">
      <c r="A25" s="48">
        <f t="shared" si="4"/>
        <v>0</v>
      </c>
      <c r="B25" s="39" t="str">
        <f t="shared" si="8"/>
        <v/>
      </c>
      <c r="C25" s="40"/>
      <c r="D25" s="40"/>
      <c r="E25" s="40"/>
      <c r="F25" s="40"/>
      <c r="G25" s="27"/>
      <c r="H25" s="41">
        <v>20</v>
      </c>
      <c r="I25" s="42" t="str">
        <f t="shared" si="6"/>
        <v/>
      </c>
      <c r="J25" s="41" t="e">
        <f t="shared" si="7"/>
        <v>#NUM!</v>
      </c>
      <c r="K25" s="41" t="e">
        <f t="shared" si="2"/>
        <v>#NUM!</v>
      </c>
      <c r="L25" s="41"/>
      <c r="M25" s="43">
        <f t="shared" si="3"/>
        <v>0</v>
      </c>
    </row>
    <row r="26" spans="1:19" x14ac:dyDescent="0.25">
      <c r="A26" s="49">
        <f t="shared" si="4"/>
        <v>0</v>
      </c>
      <c r="B26" s="33" t="str">
        <f t="shared" si="8"/>
        <v/>
      </c>
      <c r="C26" s="34"/>
      <c r="D26" s="34"/>
      <c r="E26" s="34"/>
      <c r="F26" s="34"/>
      <c r="G26" s="27"/>
      <c r="H26" s="35">
        <v>21</v>
      </c>
      <c r="I26" s="36" t="str">
        <f t="shared" si="6"/>
        <v/>
      </c>
      <c r="J26" s="35" t="e">
        <f t="shared" si="7"/>
        <v>#NUM!</v>
      </c>
      <c r="K26" s="35" t="e">
        <f t="shared" si="2"/>
        <v>#NUM!</v>
      </c>
      <c r="L26" s="35"/>
      <c r="M26" s="37">
        <f t="shared" si="3"/>
        <v>0</v>
      </c>
    </row>
    <row r="27" spans="1:19" x14ac:dyDescent="0.25">
      <c r="A27" s="48">
        <f t="shared" si="4"/>
        <v>0</v>
      </c>
      <c r="B27" s="39" t="str">
        <f t="shared" si="8"/>
        <v/>
      </c>
      <c r="C27" s="40"/>
      <c r="D27" s="40"/>
      <c r="E27" s="40"/>
      <c r="F27" s="40"/>
      <c r="G27" s="27"/>
      <c r="H27" s="41">
        <v>22</v>
      </c>
      <c r="I27" s="42" t="str">
        <f t="shared" si="6"/>
        <v/>
      </c>
      <c r="J27" s="41" t="e">
        <f t="shared" si="7"/>
        <v>#NUM!</v>
      </c>
      <c r="K27" s="41" t="e">
        <f t="shared" si="2"/>
        <v>#NUM!</v>
      </c>
      <c r="L27" s="41"/>
      <c r="M27" s="43">
        <f t="shared" si="3"/>
        <v>0</v>
      </c>
    </row>
    <row r="28" spans="1:19" x14ac:dyDescent="0.25">
      <c r="A28" s="49">
        <f t="shared" si="4"/>
        <v>0</v>
      </c>
      <c r="B28" s="33" t="str">
        <f t="shared" si="8"/>
        <v/>
      </c>
      <c r="C28" s="34"/>
      <c r="D28" s="34"/>
      <c r="E28" s="34"/>
      <c r="F28" s="34"/>
      <c r="G28" s="27"/>
      <c r="H28" s="35">
        <v>23</v>
      </c>
      <c r="I28" s="36" t="str">
        <f t="shared" si="6"/>
        <v/>
      </c>
      <c r="J28" s="35" t="e">
        <f t="shared" si="7"/>
        <v>#NUM!</v>
      </c>
      <c r="K28" s="35" t="e">
        <f t="shared" si="2"/>
        <v>#NUM!</v>
      </c>
      <c r="L28" s="35"/>
      <c r="M28" s="37">
        <f t="shared" si="3"/>
        <v>0</v>
      </c>
      <c r="R28" s="53"/>
      <c r="S28" s="54"/>
    </row>
    <row r="29" spans="1:19" x14ac:dyDescent="0.25">
      <c r="A29" s="48">
        <f t="shared" si="4"/>
        <v>0</v>
      </c>
      <c r="B29" s="39" t="str">
        <f t="shared" si="8"/>
        <v/>
      </c>
      <c r="C29" s="40"/>
      <c r="D29" s="40"/>
      <c r="E29" s="40"/>
      <c r="F29" s="40"/>
      <c r="G29" s="13"/>
      <c r="H29" s="41">
        <v>24</v>
      </c>
      <c r="I29" s="42" t="str">
        <f t="shared" si="6"/>
        <v/>
      </c>
      <c r="J29" s="41" t="e">
        <f t="shared" si="7"/>
        <v>#NUM!</v>
      </c>
      <c r="K29" s="41" t="e">
        <f t="shared" si="2"/>
        <v>#NUM!</v>
      </c>
      <c r="L29" s="41"/>
      <c r="M29" s="43">
        <f t="shared" si="3"/>
        <v>0</v>
      </c>
    </row>
    <row r="30" spans="1:19" x14ac:dyDescent="0.25">
      <c r="A30" s="49">
        <f t="shared" si="4"/>
        <v>0</v>
      </c>
      <c r="B30" s="33" t="str">
        <f t="shared" si="8"/>
        <v/>
      </c>
      <c r="C30" s="34"/>
      <c r="D30" s="34"/>
      <c r="E30" s="34"/>
      <c r="F30" s="34"/>
      <c r="G30" s="13"/>
      <c r="H30" s="35">
        <v>25</v>
      </c>
      <c r="I30" s="36" t="str">
        <f t="shared" si="6"/>
        <v/>
      </c>
      <c r="J30" s="35" t="e">
        <f t="shared" si="7"/>
        <v>#NUM!</v>
      </c>
      <c r="K30" s="35" t="e">
        <f t="shared" si="2"/>
        <v>#NUM!</v>
      </c>
      <c r="L30" s="35"/>
      <c r="M30" s="37">
        <f t="shared" si="3"/>
        <v>0</v>
      </c>
    </row>
    <row r="31" spans="1:19" x14ac:dyDescent="0.25">
      <c r="A31" s="48">
        <f t="shared" si="4"/>
        <v>0</v>
      </c>
      <c r="B31" s="39" t="str">
        <f t="shared" si="8"/>
        <v/>
      </c>
      <c r="C31" s="40"/>
      <c r="D31" s="40"/>
      <c r="E31" s="40"/>
      <c r="F31" s="40"/>
      <c r="G31" s="13"/>
      <c r="H31" s="41">
        <v>26</v>
      </c>
      <c r="I31" s="42" t="str">
        <f t="shared" si="6"/>
        <v/>
      </c>
      <c r="J31" s="41" t="e">
        <f t="shared" si="7"/>
        <v>#NUM!</v>
      </c>
      <c r="K31" s="41" t="e">
        <f t="shared" si="2"/>
        <v>#NUM!</v>
      </c>
      <c r="L31" s="41"/>
      <c r="M31" s="43">
        <f t="shared" si="3"/>
        <v>0</v>
      </c>
    </row>
    <row r="32" spans="1:19" x14ac:dyDescent="0.25">
      <c r="A32" s="49">
        <f t="shared" si="4"/>
        <v>0</v>
      </c>
      <c r="B32" s="33" t="str">
        <f t="shared" si="8"/>
        <v/>
      </c>
      <c r="C32" s="34"/>
      <c r="D32" s="34"/>
      <c r="E32" s="34"/>
      <c r="F32" s="34"/>
      <c r="G32" s="13"/>
      <c r="H32" s="35">
        <v>27</v>
      </c>
      <c r="I32" s="36" t="str">
        <f t="shared" si="6"/>
        <v/>
      </c>
      <c r="J32" s="35" t="e">
        <f t="shared" si="7"/>
        <v>#NUM!</v>
      </c>
      <c r="K32" s="35" t="e">
        <f t="shared" si="2"/>
        <v>#NUM!</v>
      </c>
      <c r="L32" s="35"/>
      <c r="M32" s="37">
        <f t="shared" si="3"/>
        <v>0</v>
      </c>
      <c r="R32" s="53"/>
      <c r="S32" s="54"/>
    </row>
    <row r="33" spans="1:21" x14ac:dyDescent="0.25">
      <c r="A33" s="48">
        <f t="shared" si="4"/>
        <v>0</v>
      </c>
      <c r="B33" s="39" t="str">
        <f t="shared" si="8"/>
        <v/>
      </c>
      <c r="C33" s="40"/>
      <c r="D33" s="40"/>
      <c r="E33" s="40"/>
      <c r="F33" s="40"/>
      <c r="G33" s="13"/>
      <c r="H33" s="41">
        <v>28</v>
      </c>
      <c r="I33" s="42" t="str">
        <f t="shared" si="6"/>
        <v/>
      </c>
      <c r="J33" s="41" t="e">
        <f t="shared" si="7"/>
        <v>#NUM!</v>
      </c>
      <c r="K33" s="41" t="e">
        <f t="shared" si="2"/>
        <v>#NUM!</v>
      </c>
      <c r="L33" s="41"/>
      <c r="M33" s="43">
        <f t="shared" si="3"/>
        <v>0</v>
      </c>
    </row>
    <row r="34" spans="1:21" x14ac:dyDescent="0.25">
      <c r="A34" s="49">
        <f t="shared" si="4"/>
        <v>0</v>
      </c>
      <c r="B34" s="33" t="str">
        <f t="shared" si="8"/>
        <v/>
      </c>
      <c r="C34" s="34"/>
      <c r="D34" s="34"/>
      <c r="E34" s="34"/>
      <c r="F34" s="34"/>
      <c r="G34" s="13"/>
      <c r="H34" s="35">
        <v>29</v>
      </c>
      <c r="I34" s="36" t="str">
        <f t="shared" si="6"/>
        <v/>
      </c>
      <c r="J34" s="35" t="e">
        <f t="shared" si="7"/>
        <v>#NUM!</v>
      </c>
      <c r="K34" s="35" t="e">
        <f t="shared" si="2"/>
        <v>#NUM!</v>
      </c>
      <c r="L34" s="35"/>
      <c r="M34" s="37">
        <f t="shared" si="3"/>
        <v>0</v>
      </c>
    </row>
    <row r="35" spans="1:21" x14ac:dyDescent="0.25">
      <c r="A35" s="48">
        <f t="shared" si="4"/>
        <v>0</v>
      </c>
      <c r="B35" s="39" t="str">
        <f t="shared" si="8"/>
        <v/>
      </c>
      <c r="C35" s="40"/>
      <c r="D35" s="40"/>
      <c r="E35" s="40"/>
      <c r="F35" s="40"/>
      <c r="G35" s="13"/>
      <c r="H35" s="41">
        <v>30</v>
      </c>
      <c r="I35" s="42" t="str">
        <f t="shared" si="6"/>
        <v/>
      </c>
      <c r="J35" s="41" t="e">
        <f t="shared" si="7"/>
        <v>#NUM!</v>
      </c>
      <c r="K35" s="41" t="e">
        <f t="shared" si="2"/>
        <v>#NUM!</v>
      </c>
      <c r="L35" s="41"/>
      <c r="M35" s="43">
        <f t="shared" si="3"/>
        <v>0</v>
      </c>
    </row>
    <row r="36" spans="1:21" x14ac:dyDescent="0.25">
      <c r="A36" s="49">
        <f t="shared" si="4"/>
        <v>0</v>
      </c>
      <c r="B36" s="33" t="str">
        <f t="shared" si="8"/>
        <v/>
      </c>
      <c r="C36" s="34"/>
      <c r="D36" s="34"/>
      <c r="E36" s="34"/>
      <c r="F36" s="34"/>
      <c r="G36" s="13"/>
      <c r="H36" s="35">
        <v>31</v>
      </c>
      <c r="I36" s="36" t="str">
        <f t="shared" si="6"/>
        <v/>
      </c>
      <c r="J36" s="35" t="e">
        <f t="shared" si="7"/>
        <v>#NUM!</v>
      </c>
      <c r="K36" s="35" t="e">
        <f t="shared" si="2"/>
        <v>#NUM!</v>
      </c>
      <c r="L36" s="35"/>
      <c r="M36" s="37">
        <f t="shared" si="3"/>
        <v>0</v>
      </c>
      <c r="R36" s="53"/>
      <c r="S36" s="54"/>
    </row>
    <row r="37" spans="1:21" x14ac:dyDescent="0.25">
      <c r="A37" s="48">
        <f t="shared" si="4"/>
        <v>0</v>
      </c>
      <c r="B37" s="39" t="str">
        <f t="shared" si="8"/>
        <v/>
      </c>
      <c r="C37" s="40"/>
      <c r="D37" s="40"/>
      <c r="E37" s="40"/>
      <c r="F37" s="40"/>
      <c r="G37" s="13"/>
      <c r="H37" s="41">
        <v>32</v>
      </c>
      <c r="I37" s="42" t="str">
        <f t="shared" si="6"/>
        <v/>
      </c>
      <c r="J37" s="41" t="e">
        <f t="shared" si="7"/>
        <v>#NUM!</v>
      </c>
      <c r="K37" s="41" t="e">
        <f t="shared" si="2"/>
        <v>#NUM!</v>
      </c>
      <c r="L37" s="41"/>
      <c r="M37" s="43">
        <f t="shared" si="3"/>
        <v>0</v>
      </c>
    </row>
    <row r="38" spans="1:21" x14ac:dyDescent="0.25">
      <c r="A38" s="49"/>
      <c r="B38" s="33" t="str">
        <f t="shared" si="8"/>
        <v/>
      </c>
      <c r="C38" s="34"/>
      <c r="D38" s="34"/>
      <c r="E38" s="34"/>
      <c r="F38" s="34"/>
      <c r="G38" s="13"/>
      <c r="H38" s="35">
        <v>33</v>
      </c>
      <c r="I38" s="36" t="str">
        <f t="shared" si="6"/>
        <v/>
      </c>
      <c r="J38" s="35" t="e">
        <f t="shared" si="7"/>
        <v>#NUM!</v>
      </c>
      <c r="K38" s="35" t="e">
        <f t="shared" si="2"/>
        <v>#NUM!</v>
      </c>
      <c r="L38" s="35"/>
      <c r="M38" s="37">
        <f t="shared" si="3"/>
        <v>0</v>
      </c>
    </row>
    <row r="39" spans="1:21" x14ac:dyDescent="0.25">
      <c r="A39" s="48"/>
      <c r="B39" s="39" t="str">
        <f t="shared" si="8"/>
        <v/>
      </c>
      <c r="C39" s="40"/>
      <c r="D39" s="40"/>
      <c r="E39" s="40"/>
      <c r="F39" s="40"/>
      <c r="G39" s="13"/>
      <c r="H39" s="41">
        <v>34</v>
      </c>
      <c r="I39" s="42" t="str">
        <f t="shared" si="6"/>
        <v/>
      </c>
      <c r="J39" s="41" t="e">
        <f t="shared" si="7"/>
        <v>#NUM!</v>
      </c>
      <c r="K39" s="41" t="e">
        <f t="shared" si="2"/>
        <v>#NUM!</v>
      </c>
      <c r="L39" s="41"/>
      <c r="M39" s="43">
        <f t="shared" si="3"/>
        <v>0</v>
      </c>
    </row>
    <row r="40" spans="1:21" x14ac:dyDescent="0.25">
      <c r="A40" s="49"/>
      <c r="B40" s="33" t="str">
        <f t="shared" si="8"/>
        <v/>
      </c>
      <c r="C40" s="34"/>
      <c r="D40" s="34"/>
      <c r="E40" s="34"/>
      <c r="F40" s="34"/>
      <c r="G40" s="13"/>
      <c r="H40" s="35">
        <v>35</v>
      </c>
      <c r="I40" s="36" t="str">
        <f t="shared" si="6"/>
        <v/>
      </c>
      <c r="J40" s="35" t="e">
        <f t="shared" si="7"/>
        <v>#NUM!</v>
      </c>
      <c r="K40" s="35" t="e">
        <f t="shared" si="2"/>
        <v>#NUM!</v>
      </c>
      <c r="L40" s="35"/>
      <c r="M40" s="37">
        <f t="shared" si="3"/>
        <v>0</v>
      </c>
    </row>
    <row r="41" spans="1:21" x14ac:dyDescent="0.25">
      <c r="A41" s="48"/>
      <c r="B41" s="39" t="str">
        <f t="shared" si="8"/>
        <v/>
      </c>
      <c r="C41" s="40"/>
      <c r="D41" s="40"/>
      <c r="E41" s="40"/>
      <c r="F41" s="40"/>
      <c r="G41" s="13"/>
      <c r="H41" s="41">
        <v>36</v>
      </c>
      <c r="I41" s="42" t="str">
        <f t="shared" si="6"/>
        <v/>
      </c>
      <c r="J41" s="41" t="e">
        <f t="shared" si="7"/>
        <v>#NUM!</v>
      </c>
      <c r="K41" s="41" t="e">
        <f t="shared" si="2"/>
        <v>#NUM!</v>
      </c>
      <c r="L41" s="41"/>
      <c r="M41" s="43">
        <f t="shared" si="3"/>
        <v>0</v>
      </c>
      <c r="S41" s="55"/>
    </row>
    <row r="42" spans="1:21" x14ac:dyDescent="0.25">
      <c r="A42" s="49"/>
      <c r="B42" s="33" t="str">
        <f t="shared" si="8"/>
        <v/>
      </c>
      <c r="C42" s="34"/>
      <c r="D42" s="34"/>
      <c r="E42" s="34"/>
      <c r="F42" s="34"/>
      <c r="G42" s="13"/>
      <c r="H42" s="35">
        <v>37</v>
      </c>
      <c r="I42" s="36" t="str">
        <f t="shared" si="6"/>
        <v/>
      </c>
      <c r="J42" s="35" t="e">
        <f t="shared" si="7"/>
        <v>#NUM!</v>
      </c>
      <c r="K42" s="35" t="e">
        <f t="shared" si="2"/>
        <v>#NUM!</v>
      </c>
      <c r="L42" s="35"/>
      <c r="M42" s="37">
        <f t="shared" si="3"/>
        <v>0</v>
      </c>
    </row>
    <row r="43" spans="1:21" x14ac:dyDescent="0.25">
      <c r="A43" s="48"/>
      <c r="B43" s="39" t="str">
        <f t="shared" si="8"/>
        <v/>
      </c>
      <c r="C43" s="40"/>
      <c r="D43" s="40"/>
      <c r="E43" s="40"/>
      <c r="F43" s="40"/>
      <c r="G43" s="13"/>
      <c r="H43" s="41">
        <v>38</v>
      </c>
      <c r="I43" s="42" t="str">
        <f t="shared" si="6"/>
        <v/>
      </c>
      <c r="J43" s="41" t="e">
        <f t="shared" si="7"/>
        <v>#NUM!</v>
      </c>
      <c r="K43" s="41" t="e">
        <f t="shared" si="2"/>
        <v>#NUM!</v>
      </c>
      <c r="L43" s="41"/>
      <c r="M43" s="43">
        <f t="shared" si="3"/>
        <v>0</v>
      </c>
    </row>
    <row r="44" spans="1:21" x14ac:dyDescent="0.25">
      <c r="A44" s="49"/>
      <c r="B44" s="33" t="str">
        <f t="shared" si="8"/>
        <v/>
      </c>
      <c r="C44" s="34"/>
      <c r="D44" s="34"/>
      <c r="E44" s="34"/>
      <c r="F44" s="34"/>
      <c r="G44" s="13"/>
      <c r="H44" s="35">
        <v>39</v>
      </c>
      <c r="I44" s="36" t="str">
        <f t="shared" si="6"/>
        <v/>
      </c>
      <c r="J44" s="35" t="e">
        <f t="shared" si="7"/>
        <v>#NUM!</v>
      </c>
      <c r="K44" s="35" t="e">
        <f t="shared" si="2"/>
        <v>#NUM!</v>
      </c>
      <c r="L44" s="35"/>
      <c r="M44" s="37">
        <f t="shared" si="3"/>
        <v>0</v>
      </c>
    </row>
    <row r="45" spans="1:21" x14ac:dyDescent="0.25">
      <c r="A45" s="48"/>
      <c r="B45" s="39" t="str">
        <f t="shared" si="8"/>
        <v/>
      </c>
      <c r="C45" s="40"/>
      <c r="D45" s="40"/>
      <c r="E45" s="40"/>
      <c r="F45" s="40"/>
      <c r="G45" s="13"/>
      <c r="H45" s="41">
        <v>40</v>
      </c>
      <c r="I45" s="42" t="str">
        <f t="shared" si="6"/>
        <v/>
      </c>
      <c r="J45" s="41" t="e">
        <f t="shared" si="7"/>
        <v>#NUM!</v>
      </c>
      <c r="K45" s="41" t="e">
        <f t="shared" si="2"/>
        <v>#NUM!</v>
      </c>
      <c r="L45" s="41"/>
      <c r="M45" s="43">
        <f t="shared" si="3"/>
        <v>0</v>
      </c>
    </row>
    <row r="46" spans="1:21" x14ac:dyDescent="0.25">
      <c r="A46" s="49"/>
      <c r="B46" s="33" t="str">
        <f t="shared" si="8"/>
        <v/>
      </c>
      <c r="C46" s="34"/>
      <c r="D46" s="34"/>
      <c r="E46" s="34"/>
      <c r="F46" s="34"/>
      <c r="G46" s="13"/>
      <c r="H46" s="35">
        <v>41</v>
      </c>
      <c r="I46" s="36" t="str">
        <f t="shared" si="6"/>
        <v/>
      </c>
      <c r="J46" s="35" t="e">
        <f t="shared" si="7"/>
        <v>#NUM!</v>
      </c>
      <c r="K46" s="35" t="e">
        <f t="shared" si="2"/>
        <v>#NUM!</v>
      </c>
      <c r="L46" s="35"/>
      <c r="M46" s="37">
        <f t="shared" si="3"/>
        <v>0</v>
      </c>
      <c r="R46" s="13" t="e">
        <f>LOG($H$2,2)</f>
        <v>#NUM!</v>
      </c>
      <c r="T46" s="18">
        <f>LOG(H38,2)</f>
        <v>5.0443941193584534</v>
      </c>
      <c r="U46" s="18" t="e">
        <f>R46-T46</f>
        <v>#NUM!</v>
      </c>
    </row>
    <row r="47" spans="1:21" x14ac:dyDescent="0.25">
      <c r="A47" s="48"/>
      <c r="B47" s="39" t="str">
        <f t="shared" si="8"/>
        <v/>
      </c>
      <c r="C47" s="40"/>
      <c r="D47" s="40"/>
      <c r="E47" s="40"/>
      <c r="F47" s="40"/>
      <c r="G47" s="13"/>
      <c r="H47" s="41">
        <v>42</v>
      </c>
      <c r="I47" s="42" t="str">
        <f t="shared" si="6"/>
        <v/>
      </c>
      <c r="J47" s="41" t="e">
        <f t="shared" si="7"/>
        <v>#NUM!</v>
      </c>
      <c r="K47" s="41" t="e">
        <f t="shared" si="2"/>
        <v>#NUM!</v>
      </c>
      <c r="L47" s="41"/>
      <c r="M47" s="43">
        <f t="shared" si="3"/>
        <v>0</v>
      </c>
    </row>
    <row r="48" spans="1:21" x14ac:dyDescent="0.25">
      <c r="A48" s="49"/>
      <c r="B48" s="33" t="str">
        <f t="shared" si="8"/>
        <v/>
      </c>
      <c r="C48" s="34"/>
      <c r="D48" s="34"/>
      <c r="E48" s="34"/>
      <c r="F48" s="34"/>
      <c r="G48" s="13"/>
      <c r="H48" s="35">
        <v>43</v>
      </c>
      <c r="I48" s="36" t="str">
        <f t="shared" si="6"/>
        <v/>
      </c>
      <c r="J48" s="35" t="e">
        <f t="shared" si="7"/>
        <v>#NUM!</v>
      </c>
      <c r="K48" s="35" t="e">
        <f t="shared" si="2"/>
        <v>#NUM!</v>
      </c>
      <c r="L48" s="35"/>
      <c r="M48" s="37">
        <f t="shared" si="3"/>
        <v>0</v>
      </c>
    </row>
    <row r="49" spans="1:13" x14ac:dyDescent="0.25">
      <c r="A49" s="48"/>
      <c r="B49" s="39" t="str">
        <f t="shared" si="8"/>
        <v/>
      </c>
      <c r="C49" s="40"/>
      <c r="D49" s="40"/>
      <c r="E49" s="40"/>
      <c r="F49" s="40"/>
      <c r="G49" s="13"/>
      <c r="H49" s="41">
        <v>44</v>
      </c>
      <c r="I49" s="42" t="str">
        <f t="shared" si="6"/>
        <v/>
      </c>
      <c r="J49" s="41" t="e">
        <f t="shared" si="7"/>
        <v>#NUM!</v>
      </c>
      <c r="K49" s="41" t="e">
        <f t="shared" si="2"/>
        <v>#NUM!</v>
      </c>
      <c r="L49" s="41"/>
      <c r="M49" s="43">
        <f t="shared" si="3"/>
        <v>0</v>
      </c>
    </row>
    <row r="50" spans="1:13" x14ac:dyDescent="0.25">
      <c r="A50" s="49"/>
      <c r="B50" s="33" t="str">
        <f t="shared" si="8"/>
        <v/>
      </c>
      <c r="C50" s="34"/>
      <c r="D50" s="34"/>
      <c r="E50" s="34"/>
      <c r="F50" s="34"/>
      <c r="G50" s="13"/>
      <c r="H50" s="35">
        <v>45</v>
      </c>
      <c r="I50" s="36" t="str">
        <f t="shared" si="6"/>
        <v/>
      </c>
      <c r="J50" s="35" t="e">
        <f t="shared" si="7"/>
        <v>#NUM!</v>
      </c>
      <c r="K50" s="35" t="e">
        <f t="shared" si="2"/>
        <v>#NUM!</v>
      </c>
      <c r="L50" s="35"/>
      <c r="M50" s="37">
        <f t="shared" si="3"/>
        <v>0</v>
      </c>
    </row>
    <row r="51" spans="1:13" x14ac:dyDescent="0.25">
      <c r="A51" s="48"/>
      <c r="B51" s="39" t="str">
        <f t="shared" si="8"/>
        <v/>
      </c>
      <c r="C51" s="40"/>
      <c r="D51" s="40"/>
      <c r="E51" s="40"/>
      <c r="F51" s="40"/>
      <c r="G51" s="13"/>
      <c r="H51" s="41">
        <v>46</v>
      </c>
      <c r="I51" s="42" t="str">
        <f t="shared" si="6"/>
        <v/>
      </c>
      <c r="J51" s="41" t="e">
        <f t="shared" si="7"/>
        <v>#NUM!</v>
      </c>
      <c r="K51" s="41" t="e">
        <f t="shared" si="2"/>
        <v>#NUM!</v>
      </c>
      <c r="L51" s="41"/>
      <c r="M51" s="43">
        <f t="shared" si="3"/>
        <v>0</v>
      </c>
    </row>
    <row r="52" spans="1:13" x14ac:dyDescent="0.25">
      <c r="A52" s="49"/>
      <c r="B52" s="33" t="str">
        <f t="shared" si="8"/>
        <v/>
      </c>
      <c r="C52" s="34"/>
      <c r="D52" s="34"/>
      <c r="E52" s="34"/>
      <c r="F52" s="34"/>
      <c r="G52" s="13"/>
      <c r="H52" s="35">
        <v>47</v>
      </c>
      <c r="I52" s="36" t="str">
        <f t="shared" si="6"/>
        <v/>
      </c>
      <c r="J52" s="35" t="e">
        <f t="shared" si="7"/>
        <v>#NUM!</v>
      </c>
      <c r="K52" s="35" t="e">
        <f t="shared" si="2"/>
        <v>#NUM!</v>
      </c>
      <c r="L52" s="35"/>
      <c r="M52" s="37">
        <f t="shared" si="3"/>
        <v>0</v>
      </c>
    </row>
    <row r="53" spans="1:13" x14ac:dyDescent="0.25">
      <c r="A53" s="48"/>
      <c r="B53" s="39" t="str">
        <f t="shared" si="8"/>
        <v/>
      </c>
      <c r="C53" s="40"/>
      <c r="D53" s="40"/>
      <c r="E53" s="40"/>
      <c r="F53" s="40"/>
      <c r="G53" s="13"/>
      <c r="H53" s="41">
        <v>48</v>
      </c>
      <c r="I53" s="42" t="str">
        <f t="shared" si="6"/>
        <v/>
      </c>
      <c r="J53" s="41" t="e">
        <f t="shared" si="7"/>
        <v>#NUM!</v>
      </c>
      <c r="K53" s="41" t="e">
        <f t="shared" si="2"/>
        <v>#NUM!</v>
      </c>
      <c r="L53" s="41"/>
      <c r="M53" s="43">
        <f t="shared" si="3"/>
        <v>0</v>
      </c>
    </row>
    <row r="54" spans="1:13" x14ac:dyDescent="0.25">
      <c r="A54" s="49"/>
      <c r="B54" s="33" t="str">
        <f t="shared" si="8"/>
        <v/>
      </c>
      <c r="C54" s="34"/>
      <c r="D54" s="34"/>
      <c r="E54" s="34"/>
      <c r="F54" s="34"/>
      <c r="G54" s="13"/>
      <c r="H54" s="35">
        <v>49</v>
      </c>
      <c r="I54" s="36" t="str">
        <f t="shared" si="6"/>
        <v/>
      </c>
      <c r="J54" s="35" t="e">
        <f t="shared" si="7"/>
        <v>#NUM!</v>
      </c>
      <c r="K54" s="35" t="e">
        <f t="shared" si="2"/>
        <v>#NUM!</v>
      </c>
      <c r="L54" s="35"/>
      <c r="M54" s="37">
        <f t="shared" si="3"/>
        <v>0</v>
      </c>
    </row>
    <row r="55" spans="1:13" x14ac:dyDescent="0.25">
      <c r="A55" s="48"/>
      <c r="B55" s="39" t="str">
        <f t="shared" si="8"/>
        <v/>
      </c>
      <c r="C55" s="40"/>
      <c r="D55" s="40"/>
      <c r="E55" s="40"/>
      <c r="F55" s="40"/>
      <c r="G55" s="13"/>
      <c r="H55" s="41">
        <v>50</v>
      </c>
      <c r="I55" s="42" t="str">
        <f t="shared" si="6"/>
        <v/>
      </c>
      <c r="J55" s="41" t="e">
        <f t="shared" si="7"/>
        <v>#NUM!</v>
      </c>
      <c r="K55" s="41" t="e">
        <f t="shared" si="2"/>
        <v>#NUM!</v>
      </c>
      <c r="L55" s="41"/>
      <c r="M55" s="43">
        <f t="shared" si="3"/>
        <v>0</v>
      </c>
    </row>
    <row r="56" spans="1:13" x14ac:dyDescent="0.25">
      <c r="A56" s="49"/>
      <c r="B56" s="33" t="str">
        <f t="shared" si="8"/>
        <v/>
      </c>
      <c r="C56" s="34"/>
      <c r="D56" s="34"/>
      <c r="E56" s="34"/>
      <c r="F56" s="34"/>
      <c r="G56" s="13"/>
      <c r="H56" s="35">
        <v>51</v>
      </c>
      <c r="I56" s="36" t="str">
        <f t="shared" si="6"/>
        <v/>
      </c>
      <c r="J56" s="35" t="e">
        <f t="shared" si="7"/>
        <v>#NUM!</v>
      </c>
      <c r="K56" s="35" t="e">
        <f t="shared" si="2"/>
        <v>#NUM!</v>
      </c>
      <c r="L56" s="35"/>
      <c r="M56" s="37">
        <f t="shared" si="3"/>
        <v>0</v>
      </c>
    </row>
    <row r="57" spans="1:13" x14ac:dyDescent="0.25">
      <c r="A57" s="48"/>
      <c r="B57" s="39" t="str">
        <f t="shared" si="8"/>
        <v/>
      </c>
      <c r="C57" s="40"/>
      <c r="D57" s="40"/>
      <c r="E57" s="40"/>
      <c r="F57" s="40"/>
      <c r="G57" s="13"/>
      <c r="H57" s="41">
        <v>52</v>
      </c>
      <c r="I57" s="42" t="str">
        <f t="shared" si="6"/>
        <v/>
      </c>
      <c r="J57" s="41" t="e">
        <f t="shared" si="7"/>
        <v>#NUM!</v>
      </c>
      <c r="K57" s="41" t="e">
        <f t="shared" si="2"/>
        <v>#NUM!</v>
      </c>
      <c r="L57" s="41"/>
      <c r="M57" s="43">
        <f t="shared" si="3"/>
        <v>0</v>
      </c>
    </row>
    <row r="58" spans="1:13" x14ac:dyDescent="0.25">
      <c r="A58" s="49"/>
      <c r="B58" s="33" t="str">
        <f t="shared" si="8"/>
        <v/>
      </c>
      <c r="C58" s="34"/>
      <c r="D58" s="34"/>
      <c r="E58" s="34"/>
      <c r="F58" s="34"/>
      <c r="G58" s="13"/>
      <c r="H58" s="35">
        <v>53</v>
      </c>
      <c r="I58" s="36" t="str">
        <f t="shared" si="6"/>
        <v/>
      </c>
      <c r="J58" s="35" t="e">
        <f t="shared" si="7"/>
        <v>#NUM!</v>
      </c>
      <c r="K58" s="35" t="e">
        <f t="shared" si="2"/>
        <v>#NUM!</v>
      </c>
      <c r="L58" s="35"/>
      <c r="M58" s="37">
        <f t="shared" si="3"/>
        <v>0</v>
      </c>
    </row>
    <row r="59" spans="1:13" x14ac:dyDescent="0.25">
      <c r="A59" s="48"/>
      <c r="B59" s="39" t="str">
        <f t="shared" si="8"/>
        <v/>
      </c>
      <c r="C59" s="40"/>
      <c r="D59" s="40"/>
      <c r="E59" s="40"/>
      <c r="F59" s="40"/>
      <c r="G59" s="13"/>
      <c r="H59" s="41">
        <v>54</v>
      </c>
      <c r="I59" s="42" t="str">
        <f t="shared" si="6"/>
        <v/>
      </c>
      <c r="J59" s="41" t="e">
        <f t="shared" si="7"/>
        <v>#NUM!</v>
      </c>
      <c r="K59" s="41" t="e">
        <f t="shared" si="2"/>
        <v>#NUM!</v>
      </c>
      <c r="L59" s="41"/>
      <c r="M59" s="43">
        <f t="shared" si="3"/>
        <v>0</v>
      </c>
    </row>
    <row r="60" spans="1:13" x14ac:dyDescent="0.25">
      <c r="A60" s="49"/>
      <c r="B60" s="33" t="str">
        <f t="shared" si="8"/>
        <v/>
      </c>
      <c r="C60" s="34"/>
      <c r="D60" s="34"/>
      <c r="E60" s="34"/>
      <c r="F60" s="34"/>
      <c r="G60" s="13"/>
      <c r="H60" s="35">
        <v>55</v>
      </c>
      <c r="I60" s="36" t="str">
        <f t="shared" si="6"/>
        <v/>
      </c>
      <c r="J60" s="35" t="e">
        <f t="shared" si="7"/>
        <v>#NUM!</v>
      </c>
      <c r="K60" s="35" t="e">
        <f t="shared" si="2"/>
        <v>#NUM!</v>
      </c>
      <c r="L60" s="35"/>
      <c r="M60" s="37">
        <f t="shared" si="3"/>
        <v>0</v>
      </c>
    </row>
    <row r="61" spans="1:13" x14ac:dyDescent="0.25">
      <c r="A61" s="48"/>
      <c r="B61" s="39" t="str">
        <f t="shared" si="8"/>
        <v/>
      </c>
      <c r="C61" s="40"/>
      <c r="D61" s="40"/>
      <c r="E61" s="40"/>
      <c r="F61" s="40"/>
      <c r="G61" s="13"/>
      <c r="H61" s="41">
        <v>56</v>
      </c>
      <c r="I61" s="42" t="str">
        <f t="shared" si="6"/>
        <v/>
      </c>
      <c r="J61" s="41" t="e">
        <f t="shared" si="7"/>
        <v>#NUM!</v>
      </c>
      <c r="K61" s="41" t="e">
        <f t="shared" si="2"/>
        <v>#NUM!</v>
      </c>
      <c r="L61" s="41"/>
      <c r="M61" s="43">
        <f t="shared" si="3"/>
        <v>0</v>
      </c>
    </row>
    <row r="62" spans="1:13" x14ac:dyDescent="0.25">
      <c r="A62" s="49"/>
      <c r="B62" s="33" t="str">
        <f t="shared" si="8"/>
        <v/>
      </c>
      <c r="C62" s="34"/>
      <c r="D62" s="34"/>
      <c r="E62" s="34"/>
      <c r="F62" s="34"/>
      <c r="G62" s="13"/>
      <c r="H62" s="35">
        <v>57</v>
      </c>
      <c r="I62" s="36" t="str">
        <f t="shared" si="6"/>
        <v/>
      </c>
      <c r="J62" s="35" t="e">
        <f t="shared" si="7"/>
        <v>#NUM!</v>
      </c>
      <c r="K62" s="35" t="e">
        <f t="shared" si="2"/>
        <v>#NUM!</v>
      </c>
      <c r="L62" s="35"/>
      <c r="M62" s="37">
        <f t="shared" si="3"/>
        <v>0</v>
      </c>
    </row>
    <row r="63" spans="1:13" x14ac:dyDescent="0.25">
      <c r="A63" s="48"/>
      <c r="B63" s="39" t="str">
        <f t="shared" si="8"/>
        <v/>
      </c>
      <c r="C63" s="40"/>
      <c r="D63" s="40"/>
      <c r="E63" s="40"/>
      <c r="F63" s="40"/>
      <c r="G63" s="13"/>
      <c r="H63" s="41">
        <v>58</v>
      </c>
      <c r="I63" s="42" t="str">
        <f t="shared" si="6"/>
        <v/>
      </c>
      <c r="J63" s="41" t="e">
        <f t="shared" si="7"/>
        <v>#NUM!</v>
      </c>
      <c r="K63" s="41" t="e">
        <f t="shared" si="2"/>
        <v>#NUM!</v>
      </c>
      <c r="L63" s="41"/>
      <c r="M63" s="43">
        <f t="shared" si="3"/>
        <v>0</v>
      </c>
    </row>
    <row r="64" spans="1:13" x14ac:dyDescent="0.25">
      <c r="A64" s="49"/>
      <c r="B64" s="33" t="str">
        <f t="shared" si="8"/>
        <v/>
      </c>
      <c r="C64" s="34"/>
      <c r="D64" s="34"/>
      <c r="E64" s="34"/>
      <c r="F64" s="34"/>
      <c r="G64" s="13"/>
      <c r="H64" s="35">
        <v>59</v>
      </c>
      <c r="I64" s="36" t="str">
        <f t="shared" si="6"/>
        <v/>
      </c>
      <c r="J64" s="35" t="e">
        <f t="shared" si="7"/>
        <v>#NUM!</v>
      </c>
      <c r="K64" s="35" t="e">
        <f t="shared" si="2"/>
        <v>#NUM!</v>
      </c>
      <c r="L64" s="35"/>
      <c r="M64" s="37">
        <f t="shared" si="3"/>
        <v>0</v>
      </c>
    </row>
    <row r="65" spans="1:13" x14ac:dyDescent="0.25">
      <c r="A65" s="48"/>
      <c r="B65" s="39" t="str">
        <f t="shared" si="8"/>
        <v/>
      </c>
      <c r="C65" s="40"/>
      <c r="D65" s="40"/>
      <c r="E65" s="40"/>
      <c r="F65" s="40"/>
      <c r="G65" s="13"/>
      <c r="H65" s="41">
        <v>60</v>
      </c>
      <c r="I65" s="42" t="str">
        <f t="shared" si="6"/>
        <v/>
      </c>
      <c r="J65" s="41" t="e">
        <f t="shared" si="7"/>
        <v>#NUM!</v>
      </c>
      <c r="K65" s="41" t="e">
        <f t="shared" si="2"/>
        <v>#NUM!</v>
      </c>
      <c r="L65" s="41"/>
      <c r="M65" s="43">
        <f t="shared" si="3"/>
        <v>0</v>
      </c>
    </row>
    <row r="66" spans="1:13" x14ac:dyDescent="0.25">
      <c r="A66" s="56"/>
      <c r="B66" s="33"/>
      <c r="G66" s="13"/>
      <c r="H66" s="35">
        <v>61</v>
      </c>
      <c r="I66" s="36" t="str">
        <f t="shared" si="6"/>
        <v/>
      </c>
      <c r="J66" s="35" t="e">
        <f t="shared" si="7"/>
        <v>#NUM!</v>
      </c>
      <c r="K66" s="35" t="e">
        <f t="shared" si="2"/>
        <v>#NUM!</v>
      </c>
      <c r="L66" s="35"/>
      <c r="M66" s="37">
        <f t="shared" si="3"/>
        <v>0</v>
      </c>
    </row>
    <row r="67" spans="1:13" x14ac:dyDescent="0.25">
      <c r="A67" s="56"/>
      <c r="B67" s="39"/>
      <c r="G67" s="13"/>
      <c r="H67" s="35">
        <v>62</v>
      </c>
      <c r="I67" s="36" t="str">
        <f t="shared" si="6"/>
        <v/>
      </c>
      <c r="J67" s="35" t="e">
        <f t="shared" si="7"/>
        <v>#NUM!</v>
      </c>
      <c r="K67" s="35" t="e">
        <f t="shared" si="2"/>
        <v>#NUM!</v>
      </c>
      <c r="L67" s="35"/>
      <c r="M67" s="37">
        <f t="shared" si="3"/>
        <v>0</v>
      </c>
    </row>
    <row r="68" spans="1:13" x14ac:dyDescent="0.25">
      <c r="A68" s="56"/>
      <c r="B68" s="33"/>
      <c r="G68" s="13"/>
      <c r="H68" s="35">
        <v>63</v>
      </c>
      <c r="I68" s="36" t="str">
        <f t="shared" si="6"/>
        <v/>
      </c>
      <c r="J68" s="35" t="e">
        <f t="shared" si="7"/>
        <v>#NUM!</v>
      </c>
      <c r="K68" s="35" t="e">
        <f t="shared" si="2"/>
        <v>#NUM!</v>
      </c>
      <c r="L68" s="35"/>
      <c r="M68" s="37">
        <f t="shared" si="3"/>
        <v>0</v>
      </c>
    </row>
    <row r="69" spans="1:13" x14ac:dyDescent="0.25">
      <c r="A69" s="56"/>
      <c r="B69" s="39"/>
      <c r="G69" s="13"/>
      <c r="H69" s="35">
        <v>64</v>
      </c>
      <c r="I69" s="36" t="str">
        <f t="shared" si="6"/>
        <v/>
      </c>
      <c r="J69" s="35" t="e">
        <f t="shared" si="7"/>
        <v>#NUM!</v>
      </c>
      <c r="K69" s="35" t="e">
        <f t="shared" si="2"/>
        <v>#NUM!</v>
      </c>
      <c r="L69" s="35"/>
      <c r="M69" s="37">
        <f t="shared" si="3"/>
        <v>0</v>
      </c>
    </row>
    <row r="70" spans="1:13" x14ac:dyDescent="0.25">
      <c r="A70" s="56"/>
      <c r="G70" s="13"/>
      <c r="H70" s="35">
        <v>65</v>
      </c>
      <c r="I70" s="36" t="str">
        <f t="shared" ref="I70:I133" si="9">IF(H70&lt;$H$2+1,($I$2-($I$2-1)*(LOG(H70)/LOG($H$2))),"")</f>
        <v/>
      </c>
      <c r="J70" s="35" t="e">
        <f t="shared" si="7"/>
        <v>#NUM!</v>
      </c>
      <c r="K70" s="35" t="e">
        <f t="shared" ref="K70:K133" si="10">J70*$J$2</f>
        <v>#NUM!</v>
      </c>
      <c r="L70" s="35"/>
      <c r="M70" s="37">
        <f t="shared" ref="M70:M133" si="11">IF(I70&lt;&gt;"",K70+I70+L70,0)</f>
        <v>0</v>
      </c>
    </row>
    <row r="71" spans="1:13" x14ac:dyDescent="0.25">
      <c r="A71" s="56"/>
      <c r="G71" s="13"/>
      <c r="H71" s="35">
        <v>66</v>
      </c>
      <c r="I71" s="36" t="str">
        <f t="shared" si="9"/>
        <v/>
      </c>
      <c r="J71" s="35" t="e">
        <f t="shared" ref="J71:J134" si="12">INT(LOG($H$2,2))-ROUNDUP(LOG(H71,2),0)+IF(OR($H$2=1,$H$2=2,$H$2=4,$H$2=8,$H$2=16,$H$2=32,$H$2=64,$H$2=128,$H$2=256),0,1)</f>
        <v>#NUM!</v>
      </c>
      <c r="K71" s="35" t="e">
        <f t="shared" si="10"/>
        <v>#NUM!</v>
      </c>
      <c r="L71" s="35"/>
      <c r="M71" s="37">
        <f t="shared" si="11"/>
        <v>0</v>
      </c>
    </row>
    <row r="72" spans="1:13" x14ac:dyDescent="0.25">
      <c r="A72" s="56"/>
      <c r="G72" s="13"/>
      <c r="H72" s="35">
        <v>67</v>
      </c>
      <c r="I72" s="36" t="str">
        <f t="shared" si="9"/>
        <v/>
      </c>
      <c r="J72" s="35" t="e">
        <f t="shared" si="12"/>
        <v>#NUM!</v>
      </c>
      <c r="K72" s="35" t="e">
        <f t="shared" si="10"/>
        <v>#NUM!</v>
      </c>
      <c r="L72" s="35"/>
      <c r="M72" s="37">
        <f t="shared" si="11"/>
        <v>0</v>
      </c>
    </row>
    <row r="73" spans="1:13" x14ac:dyDescent="0.25">
      <c r="A73" s="56"/>
      <c r="G73" s="13"/>
      <c r="H73" s="35">
        <v>68</v>
      </c>
      <c r="I73" s="36" t="str">
        <f t="shared" si="9"/>
        <v/>
      </c>
      <c r="J73" s="35" t="e">
        <f t="shared" si="12"/>
        <v>#NUM!</v>
      </c>
      <c r="K73" s="35" t="e">
        <f t="shared" si="10"/>
        <v>#NUM!</v>
      </c>
      <c r="L73" s="35"/>
      <c r="M73" s="37">
        <f t="shared" si="11"/>
        <v>0</v>
      </c>
    </row>
    <row r="74" spans="1:13" x14ac:dyDescent="0.25">
      <c r="A74" s="56"/>
      <c r="G74" s="13"/>
      <c r="H74" s="35">
        <v>69</v>
      </c>
      <c r="I74" s="36" t="str">
        <f t="shared" si="9"/>
        <v/>
      </c>
      <c r="J74" s="35" t="e">
        <f t="shared" si="12"/>
        <v>#NUM!</v>
      </c>
      <c r="K74" s="35" t="e">
        <f t="shared" si="10"/>
        <v>#NUM!</v>
      </c>
      <c r="L74" s="35"/>
      <c r="M74" s="37">
        <f t="shared" si="11"/>
        <v>0</v>
      </c>
    </row>
    <row r="75" spans="1:13" x14ac:dyDescent="0.25">
      <c r="A75" s="56"/>
      <c r="G75" s="13"/>
      <c r="H75" s="35">
        <v>70</v>
      </c>
      <c r="I75" s="36" t="str">
        <f t="shared" si="9"/>
        <v/>
      </c>
      <c r="J75" s="35" t="e">
        <f t="shared" si="12"/>
        <v>#NUM!</v>
      </c>
      <c r="K75" s="35" t="e">
        <f t="shared" si="10"/>
        <v>#NUM!</v>
      </c>
      <c r="L75" s="35"/>
      <c r="M75" s="37">
        <f t="shared" si="11"/>
        <v>0</v>
      </c>
    </row>
    <row r="76" spans="1:13" x14ac:dyDescent="0.25">
      <c r="A76" s="56"/>
      <c r="G76" s="13"/>
      <c r="H76" s="35">
        <v>71</v>
      </c>
      <c r="I76" s="36" t="str">
        <f t="shared" si="9"/>
        <v/>
      </c>
      <c r="J76" s="35" t="e">
        <f t="shared" si="12"/>
        <v>#NUM!</v>
      </c>
      <c r="K76" s="35" t="e">
        <f t="shared" si="10"/>
        <v>#NUM!</v>
      </c>
      <c r="L76" s="35"/>
      <c r="M76" s="37">
        <f t="shared" si="11"/>
        <v>0</v>
      </c>
    </row>
    <row r="77" spans="1:13" x14ac:dyDescent="0.25">
      <c r="A77" s="56"/>
      <c r="G77" s="13"/>
      <c r="H77" s="35">
        <v>72</v>
      </c>
      <c r="I77" s="36" t="str">
        <f t="shared" si="9"/>
        <v/>
      </c>
      <c r="J77" s="35" t="e">
        <f t="shared" si="12"/>
        <v>#NUM!</v>
      </c>
      <c r="K77" s="35" t="e">
        <f t="shared" si="10"/>
        <v>#NUM!</v>
      </c>
      <c r="L77" s="35"/>
      <c r="M77" s="37">
        <f t="shared" si="11"/>
        <v>0</v>
      </c>
    </row>
    <row r="78" spans="1:13" x14ac:dyDescent="0.25">
      <c r="A78" s="56"/>
      <c r="G78" s="13"/>
      <c r="H78" s="35">
        <v>73</v>
      </c>
      <c r="I78" s="36" t="str">
        <f t="shared" si="9"/>
        <v/>
      </c>
      <c r="J78" s="35" t="e">
        <f t="shared" si="12"/>
        <v>#NUM!</v>
      </c>
      <c r="K78" s="35" t="e">
        <f t="shared" si="10"/>
        <v>#NUM!</v>
      </c>
      <c r="L78" s="35"/>
      <c r="M78" s="37">
        <f t="shared" si="11"/>
        <v>0</v>
      </c>
    </row>
    <row r="79" spans="1:13" x14ac:dyDescent="0.25">
      <c r="A79" s="56"/>
      <c r="G79" s="13"/>
      <c r="H79" s="35">
        <v>74</v>
      </c>
      <c r="I79" s="36" t="str">
        <f t="shared" si="9"/>
        <v/>
      </c>
      <c r="J79" s="35" t="e">
        <f t="shared" si="12"/>
        <v>#NUM!</v>
      </c>
      <c r="K79" s="35" t="e">
        <f t="shared" si="10"/>
        <v>#NUM!</v>
      </c>
      <c r="L79" s="35"/>
      <c r="M79" s="37">
        <f t="shared" si="11"/>
        <v>0</v>
      </c>
    </row>
    <row r="80" spans="1:13" x14ac:dyDescent="0.25">
      <c r="A80" s="56"/>
      <c r="G80" s="13"/>
      <c r="H80" s="35">
        <v>75</v>
      </c>
      <c r="I80" s="36" t="str">
        <f t="shared" si="9"/>
        <v/>
      </c>
      <c r="J80" s="35" t="e">
        <f t="shared" si="12"/>
        <v>#NUM!</v>
      </c>
      <c r="K80" s="35" t="e">
        <f t="shared" si="10"/>
        <v>#NUM!</v>
      </c>
      <c r="L80" s="35"/>
      <c r="M80" s="37">
        <f t="shared" si="11"/>
        <v>0</v>
      </c>
    </row>
    <row r="81" spans="1:13" x14ac:dyDescent="0.25">
      <c r="A81" s="56"/>
      <c r="G81" s="13"/>
      <c r="H81" s="35">
        <v>76</v>
      </c>
      <c r="I81" s="36" t="str">
        <f t="shared" si="9"/>
        <v/>
      </c>
      <c r="J81" s="35" t="e">
        <f t="shared" si="12"/>
        <v>#NUM!</v>
      </c>
      <c r="K81" s="35" t="e">
        <f t="shared" si="10"/>
        <v>#NUM!</v>
      </c>
      <c r="L81" s="35"/>
      <c r="M81" s="37">
        <f t="shared" si="11"/>
        <v>0</v>
      </c>
    </row>
    <row r="82" spans="1:13" x14ac:dyDescent="0.25">
      <c r="A82" s="56"/>
      <c r="G82" s="13"/>
      <c r="H82" s="35">
        <v>77</v>
      </c>
      <c r="I82" s="36" t="str">
        <f t="shared" si="9"/>
        <v/>
      </c>
      <c r="J82" s="35" t="e">
        <f t="shared" si="12"/>
        <v>#NUM!</v>
      </c>
      <c r="K82" s="35" t="e">
        <f t="shared" si="10"/>
        <v>#NUM!</v>
      </c>
      <c r="L82" s="35"/>
      <c r="M82" s="37">
        <f t="shared" si="11"/>
        <v>0</v>
      </c>
    </row>
    <row r="83" spans="1:13" x14ac:dyDescent="0.25">
      <c r="A83" s="56"/>
      <c r="G83" s="13"/>
      <c r="H83" s="35">
        <v>78</v>
      </c>
      <c r="I83" s="36" t="str">
        <f t="shared" si="9"/>
        <v/>
      </c>
      <c r="J83" s="35" t="e">
        <f t="shared" si="12"/>
        <v>#NUM!</v>
      </c>
      <c r="K83" s="35" t="e">
        <f t="shared" si="10"/>
        <v>#NUM!</v>
      </c>
      <c r="L83" s="35"/>
      <c r="M83" s="37">
        <f t="shared" si="11"/>
        <v>0</v>
      </c>
    </row>
    <row r="84" spans="1:13" x14ac:dyDescent="0.25">
      <c r="A84" s="56"/>
      <c r="G84" s="13"/>
      <c r="H84" s="35">
        <v>79</v>
      </c>
      <c r="I84" s="36" t="str">
        <f t="shared" si="9"/>
        <v/>
      </c>
      <c r="J84" s="35" t="e">
        <f t="shared" si="12"/>
        <v>#NUM!</v>
      </c>
      <c r="K84" s="35" t="e">
        <f t="shared" si="10"/>
        <v>#NUM!</v>
      </c>
      <c r="L84" s="35"/>
      <c r="M84" s="37">
        <f t="shared" si="11"/>
        <v>0</v>
      </c>
    </row>
    <row r="85" spans="1:13" x14ac:dyDescent="0.25">
      <c r="A85" s="56"/>
      <c r="G85" s="13"/>
      <c r="H85" s="35">
        <v>80</v>
      </c>
      <c r="I85" s="36" t="str">
        <f t="shared" si="9"/>
        <v/>
      </c>
      <c r="J85" s="35" t="e">
        <f t="shared" si="12"/>
        <v>#NUM!</v>
      </c>
      <c r="K85" s="35" t="e">
        <f t="shared" si="10"/>
        <v>#NUM!</v>
      </c>
      <c r="L85" s="35"/>
      <c r="M85" s="37">
        <f t="shared" si="11"/>
        <v>0</v>
      </c>
    </row>
    <row r="86" spans="1:13" x14ac:dyDescent="0.25">
      <c r="A86" s="56"/>
      <c r="G86" s="13"/>
      <c r="H86" s="35">
        <v>81</v>
      </c>
      <c r="I86" s="36" t="str">
        <f t="shared" si="9"/>
        <v/>
      </c>
      <c r="J86" s="35" t="e">
        <f t="shared" si="12"/>
        <v>#NUM!</v>
      </c>
      <c r="K86" s="35" t="e">
        <f t="shared" si="10"/>
        <v>#NUM!</v>
      </c>
      <c r="L86" s="35"/>
      <c r="M86" s="37">
        <f t="shared" si="11"/>
        <v>0</v>
      </c>
    </row>
    <row r="87" spans="1:13" x14ac:dyDescent="0.25">
      <c r="A87" s="56"/>
      <c r="G87" s="13"/>
      <c r="H87" s="35">
        <v>82</v>
      </c>
      <c r="I87" s="36" t="str">
        <f t="shared" si="9"/>
        <v/>
      </c>
      <c r="J87" s="35" t="e">
        <f t="shared" si="12"/>
        <v>#NUM!</v>
      </c>
      <c r="K87" s="35" t="e">
        <f t="shared" si="10"/>
        <v>#NUM!</v>
      </c>
      <c r="L87" s="35"/>
      <c r="M87" s="37">
        <f t="shared" si="11"/>
        <v>0</v>
      </c>
    </row>
    <row r="88" spans="1:13" x14ac:dyDescent="0.25">
      <c r="A88" s="56"/>
      <c r="G88" s="13"/>
      <c r="H88" s="35">
        <v>83</v>
      </c>
      <c r="I88" s="36" t="str">
        <f t="shared" si="9"/>
        <v/>
      </c>
      <c r="J88" s="35" t="e">
        <f t="shared" si="12"/>
        <v>#NUM!</v>
      </c>
      <c r="K88" s="35" t="e">
        <f t="shared" si="10"/>
        <v>#NUM!</v>
      </c>
      <c r="L88" s="35"/>
      <c r="M88" s="37">
        <f t="shared" si="11"/>
        <v>0</v>
      </c>
    </row>
    <row r="89" spans="1:13" x14ac:dyDescent="0.25">
      <c r="A89" s="56"/>
      <c r="G89" s="13"/>
      <c r="H89" s="35">
        <v>84</v>
      </c>
      <c r="I89" s="36" t="str">
        <f t="shared" si="9"/>
        <v/>
      </c>
      <c r="J89" s="35" t="e">
        <f t="shared" si="12"/>
        <v>#NUM!</v>
      </c>
      <c r="K89" s="35" t="e">
        <f t="shared" si="10"/>
        <v>#NUM!</v>
      </c>
      <c r="L89" s="35"/>
      <c r="M89" s="37">
        <f t="shared" si="11"/>
        <v>0</v>
      </c>
    </row>
    <row r="90" spans="1:13" x14ac:dyDescent="0.25">
      <c r="A90" s="56"/>
      <c r="G90" s="13"/>
      <c r="H90" s="35">
        <v>85</v>
      </c>
      <c r="I90" s="36" t="str">
        <f t="shared" si="9"/>
        <v/>
      </c>
      <c r="J90" s="35" t="e">
        <f t="shared" si="12"/>
        <v>#NUM!</v>
      </c>
      <c r="K90" s="35" t="e">
        <f t="shared" si="10"/>
        <v>#NUM!</v>
      </c>
      <c r="L90" s="35"/>
      <c r="M90" s="37">
        <f t="shared" si="11"/>
        <v>0</v>
      </c>
    </row>
    <row r="91" spans="1:13" x14ac:dyDescent="0.25">
      <c r="A91" s="56"/>
      <c r="G91" s="13"/>
      <c r="H91" s="35">
        <v>86</v>
      </c>
      <c r="I91" s="36" t="str">
        <f t="shared" si="9"/>
        <v/>
      </c>
      <c r="J91" s="35" t="e">
        <f t="shared" si="12"/>
        <v>#NUM!</v>
      </c>
      <c r="K91" s="35" t="e">
        <f t="shared" si="10"/>
        <v>#NUM!</v>
      </c>
      <c r="L91" s="35"/>
      <c r="M91" s="37">
        <f t="shared" si="11"/>
        <v>0</v>
      </c>
    </row>
    <row r="92" spans="1:13" x14ac:dyDescent="0.25">
      <c r="A92" s="56"/>
      <c r="G92" s="13"/>
      <c r="H92" s="35">
        <v>87</v>
      </c>
      <c r="I92" s="36" t="str">
        <f t="shared" si="9"/>
        <v/>
      </c>
      <c r="J92" s="35" t="e">
        <f t="shared" si="12"/>
        <v>#NUM!</v>
      </c>
      <c r="K92" s="35" t="e">
        <f t="shared" si="10"/>
        <v>#NUM!</v>
      </c>
      <c r="L92" s="35"/>
      <c r="M92" s="37">
        <f t="shared" si="11"/>
        <v>0</v>
      </c>
    </row>
    <row r="93" spans="1:13" x14ac:dyDescent="0.25">
      <c r="A93" s="56"/>
      <c r="G93" s="13"/>
      <c r="H93" s="35">
        <v>88</v>
      </c>
      <c r="I93" s="36" t="str">
        <f t="shared" si="9"/>
        <v/>
      </c>
      <c r="J93" s="35" t="e">
        <f t="shared" si="12"/>
        <v>#NUM!</v>
      </c>
      <c r="K93" s="35" t="e">
        <f t="shared" si="10"/>
        <v>#NUM!</v>
      </c>
      <c r="L93" s="35"/>
      <c r="M93" s="37">
        <f t="shared" si="11"/>
        <v>0</v>
      </c>
    </row>
    <row r="94" spans="1:13" x14ac:dyDescent="0.25">
      <c r="A94" s="56"/>
      <c r="G94" s="13"/>
      <c r="H94" s="35">
        <v>89</v>
      </c>
      <c r="I94" s="36" t="str">
        <f t="shared" si="9"/>
        <v/>
      </c>
      <c r="J94" s="35" t="e">
        <f t="shared" si="12"/>
        <v>#NUM!</v>
      </c>
      <c r="K94" s="35" t="e">
        <f t="shared" si="10"/>
        <v>#NUM!</v>
      </c>
      <c r="L94" s="35"/>
      <c r="M94" s="37">
        <f t="shared" si="11"/>
        <v>0</v>
      </c>
    </row>
    <row r="95" spans="1:13" x14ac:dyDescent="0.25">
      <c r="A95" s="56"/>
      <c r="G95" s="13"/>
      <c r="H95" s="35">
        <v>90</v>
      </c>
      <c r="I95" s="36" t="str">
        <f t="shared" si="9"/>
        <v/>
      </c>
      <c r="J95" s="35" t="e">
        <f t="shared" si="12"/>
        <v>#NUM!</v>
      </c>
      <c r="K95" s="35" t="e">
        <f t="shared" si="10"/>
        <v>#NUM!</v>
      </c>
      <c r="L95" s="35"/>
      <c r="M95" s="37">
        <f t="shared" si="11"/>
        <v>0</v>
      </c>
    </row>
    <row r="96" spans="1:13" x14ac:dyDescent="0.25">
      <c r="A96" s="56"/>
      <c r="G96" s="13"/>
      <c r="H96" s="35">
        <v>91</v>
      </c>
      <c r="I96" s="36" t="str">
        <f t="shared" si="9"/>
        <v/>
      </c>
      <c r="J96" s="35" t="e">
        <f t="shared" si="12"/>
        <v>#NUM!</v>
      </c>
      <c r="K96" s="35" t="e">
        <f t="shared" si="10"/>
        <v>#NUM!</v>
      </c>
      <c r="L96" s="35"/>
      <c r="M96" s="37">
        <f t="shared" si="11"/>
        <v>0</v>
      </c>
    </row>
    <row r="97" spans="1:13" x14ac:dyDescent="0.25">
      <c r="A97" s="56"/>
      <c r="G97" s="13"/>
      <c r="H97" s="35">
        <v>92</v>
      </c>
      <c r="I97" s="36" t="str">
        <f t="shared" si="9"/>
        <v/>
      </c>
      <c r="J97" s="35" t="e">
        <f t="shared" si="12"/>
        <v>#NUM!</v>
      </c>
      <c r="K97" s="35" t="e">
        <f t="shared" si="10"/>
        <v>#NUM!</v>
      </c>
      <c r="L97" s="35"/>
      <c r="M97" s="37">
        <f t="shared" si="11"/>
        <v>0</v>
      </c>
    </row>
    <row r="98" spans="1:13" x14ac:dyDescent="0.25">
      <c r="A98" s="56"/>
      <c r="G98" s="13"/>
      <c r="H98" s="35">
        <v>93</v>
      </c>
      <c r="I98" s="36" t="str">
        <f t="shared" si="9"/>
        <v/>
      </c>
      <c r="J98" s="35" t="e">
        <f t="shared" si="12"/>
        <v>#NUM!</v>
      </c>
      <c r="K98" s="35" t="e">
        <f t="shared" si="10"/>
        <v>#NUM!</v>
      </c>
      <c r="L98" s="35"/>
      <c r="M98" s="37">
        <f t="shared" si="11"/>
        <v>0</v>
      </c>
    </row>
    <row r="99" spans="1:13" x14ac:dyDescent="0.25">
      <c r="A99" s="56"/>
      <c r="G99" s="13"/>
      <c r="H99" s="35">
        <v>94</v>
      </c>
      <c r="I99" s="36" t="str">
        <f t="shared" si="9"/>
        <v/>
      </c>
      <c r="J99" s="35" t="e">
        <f t="shared" si="12"/>
        <v>#NUM!</v>
      </c>
      <c r="K99" s="35" t="e">
        <f t="shared" si="10"/>
        <v>#NUM!</v>
      </c>
      <c r="L99" s="35"/>
      <c r="M99" s="37">
        <f t="shared" si="11"/>
        <v>0</v>
      </c>
    </row>
    <row r="100" spans="1:13" x14ac:dyDescent="0.25">
      <c r="A100" s="56"/>
      <c r="G100" s="13"/>
      <c r="H100" s="35">
        <v>95</v>
      </c>
      <c r="I100" s="36" t="str">
        <f t="shared" si="9"/>
        <v/>
      </c>
      <c r="J100" s="35" t="e">
        <f t="shared" si="12"/>
        <v>#NUM!</v>
      </c>
      <c r="K100" s="35" t="e">
        <f t="shared" si="10"/>
        <v>#NUM!</v>
      </c>
      <c r="L100" s="35"/>
      <c r="M100" s="37">
        <f t="shared" si="11"/>
        <v>0</v>
      </c>
    </row>
    <row r="101" spans="1:13" x14ac:dyDescent="0.25">
      <c r="A101" s="56"/>
      <c r="G101" s="13"/>
      <c r="H101" s="35">
        <v>96</v>
      </c>
      <c r="I101" s="36" t="str">
        <f t="shared" si="9"/>
        <v/>
      </c>
      <c r="J101" s="35" t="e">
        <f t="shared" si="12"/>
        <v>#NUM!</v>
      </c>
      <c r="K101" s="35" t="e">
        <f t="shared" si="10"/>
        <v>#NUM!</v>
      </c>
      <c r="L101" s="35"/>
      <c r="M101" s="37">
        <f t="shared" si="11"/>
        <v>0</v>
      </c>
    </row>
    <row r="102" spans="1:13" x14ac:dyDescent="0.25">
      <c r="A102" s="56"/>
      <c r="G102" s="13"/>
      <c r="H102" s="35">
        <v>97</v>
      </c>
      <c r="I102" s="36" t="str">
        <f t="shared" si="9"/>
        <v/>
      </c>
      <c r="J102" s="35" t="e">
        <f t="shared" si="12"/>
        <v>#NUM!</v>
      </c>
      <c r="K102" s="35" t="e">
        <f t="shared" si="10"/>
        <v>#NUM!</v>
      </c>
      <c r="L102" s="35"/>
      <c r="M102" s="37">
        <f t="shared" si="11"/>
        <v>0</v>
      </c>
    </row>
    <row r="103" spans="1:13" x14ac:dyDescent="0.25">
      <c r="A103" s="56"/>
      <c r="G103" s="13"/>
      <c r="H103" s="35">
        <v>98</v>
      </c>
      <c r="I103" s="36" t="str">
        <f t="shared" si="9"/>
        <v/>
      </c>
      <c r="J103" s="35" t="e">
        <f t="shared" si="12"/>
        <v>#NUM!</v>
      </c>
      <c r="K103" s="35" t="e">
        <f t="shared" si="10"/>
        <v>#NUM!</v>
      </c>
      <c r="L103" s="35"/>
      <c r="M103" s="37">
        <f t="shared" si="11"/>
        <v>0</v>
      </c>
    </row>
    <row r="104" spans="1:13" x14ac:dyDescent="0.25">
      <c r="A104" s="56"/>
      <c r="G104" s="13"/>
      <c r="H104" s="35">
        <v>99</v>
      </c>
      <c r="I104" s="36" t="str">
        <f t="shared" si="9"/>
        <v/>
      </c>
      <c r="J104" s="35" t="e">
        <f t="shared" si="12"/>
        <v>#NUM!</v>
      </c>
      <c r="K104" s="35" t="e">
        <f t="shared" si="10"/>
        <v>#NUM!</v>
      </c>
      <c r="L104" s="35"/>
      <c r="M104" s="37">
        <f t="shared" si="11"/>
        <v>0</v>
      </c>
    </row>
    <row r="105" spans="1:13" x14ac:dyDescent="0.25">
      <c r="A105" s="56"/>
      <c r="G105" s="13"/>
      <c r="H105" s="35">
        <v>100</v>
      </c>
      <c r="I105" s="36" t="str">
        <f t="shared" si="9"/>
        <v/>
      </c>
      <c r="J105" s="35" t="e">
        <f t="shared" si="12"/>
        <v>#NUM!</v>
      </c>
      <c r="K105" s="35" t="e">
        <f t="shared" si="10"/>
        <v>#NUM!</v>
      </c>
      <c r="L105" s="35"/>
      <c r="M105" s="37">
        <f t="shared" si="11"/>
        <v>0</v>
      </c>
    </row>
    <row r="106" spans="1:13" x14ac:dyDescent="0.25">
      <c r="A106" s="56"/>
      <c r="G106" s="13"/>
      <c r="H106" s="35">
        <v>101</v>
      </c>
      <c r="I106" s="36" t="str">
        <f t="shared" si="9"/>
        <v/>
      </c>
      <c r="J106" s="35" t="e">
        <f t="shared" si="12"/>
        <v>#NUM!</v>
      </c>
      <c r="K106" s="35" t="e">
        <f t="shared" si="10"/>
        <v>#NUM!</v>
      </c>
      <c r="L106" s="35"/>
      <c r="M106" s="37">
        <f t="shared" si="11"/>
        <v>0</v>
      </c>
    </row>
    <row r="107" spans="1:13" x14ac:dyDescent="0.25">
      <c r="A107" s="56"/>
      <c r="G107" s="13"/>
      <c r="H107" s="35">
        <v>102</v>
      </c>
      <c r="I107" s="36" t="str">
        <f t="shared" si="9"/>
        <v/>
      </c>
      <c r="J107" s="35" t="e">
        <f t="shared" si="12"/>
        <v>#NUM!</v>
      </c>
      <c r="K107" s="35" t="e">
        <f t="shared" si="10"/>
        <v>#NUM!</v>
      </c>
      <c r="L107" s="35"/>
      <c r="M107" s="37">
        <f t="shared" si="11"/>
        <v>0</v>
      </c>
    </row>
    <row r="108" spans="1:13" x14ac:dyDescent="0.25">
      <c r="A108" s="56"/>
      <c r="G108" s="13"/>
      <c r="H108" s="35">
        <v>103</v>
      </c>
      <c r="I108" s="36" t="str">
        <f t="shared" si="9"/>
        <v/>
      </c>
      <c r="J108" s="35" t="e">
        <f t="shared" si="12"/>
        <v>#NUM!</v>
      </c>
      <c r="K108" s="35" t="e">
        <f t="shared" si="10"/>
        <v>#NUM!</v>
      </c>
      <c r="L108" s="35"/>
      <c r="M108" s="37">
        <f t="shared" si="11"/>
        <v>0</v>
      </c>
    </row>
    <row r="109" spans="1:13" x14ac:dyDescent="0.25">
      <c r="A109" s="56"/>
      <c r="G109" s="13"/>
      <c r="H109" s="35">
        <v>104</v>
      </c>
      <c r="I109" s="36" t="str">
        <f t="shared" si="9"/>
        <v/>
      </c>
      <c r="J109" s="35" t="e">
        <f t="shared" si="12"/>
        <v>#NUM!</v>
      </c>
      <c r="K109" s="35" t="e">
        <f t="shared" si="10"/>
        <v>#NUM!</v>
      </c>
      <c r="L109" s="35"/>
      <c r="M109" s="37">
        <f t="shared" si="11"/>
        <v>0</v>
      </c>
    </row>
    <row r="110" spans="1:13" x14ac:dyDescent="0.25">
      <c r="A110" s="56"/>
      <c r="G110" s="13"/>
      <c r="H110" s="35">
        <v>105</v>
      </c>
      <c r="I110" s="36" t="str">
        <f t="shared" si="9"/>
        <v/>
      </c>
      <c r="J110" s="35" t="e">
        <f t="shared" si="12"/>
        <v>#NUM!</v>
      </c>
      <c r="K110" s="35" t="e">
        <f t="shared" si="10"/>
        <v>#NUM!</v>
      </c>
      <c r="L110" s="35"/>
      <c r="M110" s="37">
        <f t="shared" si="11"/>
        <v>0</v>
      </c>
    </row>
    <row r="111" spans="1:13" x14ac:dyDescent="0.25">
      <c r="A111" s="56"/>
      <c r="G111" s="13"/>
      <c r="H111" s="35">
        <v>106</v>
      </c>
      <c r="I111" s="36" t="str">
        <f t="shared" si="9"/>
        <v/>
      </c>
      <c r="J111" s="35" t="e">
        <f t="shared" si="12"/>
        <v>#NUM!</v>
      </c>
      <c r="K111" s="35" t="e">
        <f t="shared" si="10"/>
        <v>#NUM!</v>
      </c>
      <c r="L111" s="35"/>
      <c r="M111" s="37">
        <f t="shared" si="11"/>
        <v>0</v>
      </c>
    </row>
    <row r="112" spans="1:13" x14ac:dyDescent="0.25">
      <c r="A112" s="56"/>
      <c r="G112" s="13"/>
      <c r="H112" s="35">
        <v>107</v>
      </c>
      <c r="I112" s="36" t="str">
        <f t="shared" si="9"/>
        <v/>
      </c>
      <c r="J112" s="35" t="e">
        <f t="shared" si="12"/>
        <v>#NUM!</v>
      </c>
      <c r="K112" s="35" t="e">
        <f t="shared" si="10"/>
        <v>#NUM!</v>
      </c>
      <c r="L112" s="35"/>
      <c r="M112" s="37">
        <f t="shared" si="11"/>
        <v>0</v>
      </c>
    </row>
    <row r="113" spans="1:13" x14ac:dyDescent="0.25">
      <c r="A113" s="56"/>
      <c r="G113" s="13"/>
      <c r="H113" s="35">
        <v>108</v>
      </c>
      <c r="I113" s="36" t="str">
        <f t="shared" si="9"/>
        <v/>
      </c>
      <c r="J113" s="35" t="e">
        <f t="shared" si="12"/>
        <v>#NUM!</v>
      </c>
      <c r="K113" s="35" t="e">
        <f t="shared" si="10"/>
        <v>#NUM!</v>
      </c>
      <c r="L113" s="35"/>
      <c r="M113" s="37">
        <f t="shared" si="11"/>
        <v>0</v>
      </c>
    </row>
    <row r="114" spans="1:13" x14ac:dyDescent="0.25">
      <c r="A114" s="56"/>
      <c r="G114" s="13"/>
      <c r="H114" s="35">
        <v>109</v>
      </c>
      <c r="I114" s="36" t="str">
        <f t="shared" si="9"/>
        <v/>
      </c>
      <c r="J114" s="35" t="e">
        <f t="shared" si="12"/>
        <v>#NUM!</v>
      </c>
      <c r="K114" s="35" t="e">
        <f t="shared" si="10"/>
        <v>#NUM!</v>
      </c>
      <c r="L114" s="35"/>
      <c r="M114" s="37">
        <f t="shared" si="11"/>
        <v>0</v>
      </c>
    </row>
    <row r="115" spans="1:13" x14ac:dyDescent="0.25">
      <c r="A115" s="56"/>
      <c r="G115" s="13"/>
      <c r="H115" s="35">
        <v>110</v>
      </c>
      <c r="I115" s="36" t="str">
        <f t="shared" si="9"/>
        <v/>
      </c>
      <c r="J115" s="35" t="e">
        <f t="shared" si="12"/>
        <v>#NUM!</v>
      </c>
      <c r="K115" s="35" t="e">
        <f t="shared" si="10"/>
        <v>#NUM!</v>
      </c>
      <c r="L115" s="35"/>
      <c r="M115" s="37">
        <f t="shared" si="11"/>
        <v>0</v>
      </c>
    </row>
    <row r="116" spans="1:13" x14ac:dyDescent="0.25">
      <c r="A116" s="56"/>
      <c r="G116" s="13"/>
      <c r="H116" s="35">
        <v>111</v>
      </c>
      <c r="I116" s="36" t="str">
        <f t="shared" si="9"/>
        <v/>
      </c>
      <c r="J116" s="35" t="e">
        <f t="shared" si="12"/>
        <v>#NUM!</v>
      </c>
      <c r="K116" s="35" t="e">
        <f t="shared" si="10"/>
        <v>#NUM!</v>
      </c>
      <c r="L116" s="35"/>
      <c r="M116" s="37">
        <f t="shared" si="11"/>
        <v>0</v>
      </c>
    </row>
    <row r="117" spans="1:13" x14ac:dyDescent="0.25">
      <c r="A117" s="56"/>
      <c r="G117" s="13"/>
      <c r="H117" s="35">
        <v>112</v>
      </c>
      <c r="I117" s="36" t="str">
        <f t="shared" si="9"/>
        <v/>
      </c>
      <c r="J117" s="35" t="e">
        <f t="shared" si="12"/>
        <v>#NUM!</v>
      </c>
      <c r="K117" s="35" t="e">
        <f t="shared" si="10"/>
        <v>#NUM!</v>
      </c>
      <c r="L117" s="35"/>
      <c r="M117" s="37">
        <f t="shared" si="11"/>
        <v>0</v>
      </c>
    </row>
    <row r="118" spans="1:13" x14ac:dyDescent="0.25">
      <c r="A118" s="56"/>
      <c r="G118" s="13"/>
      <c r="H118" s="35">
        <v>113</v>
      </c>
      <c r="I118" s="36" t="str">
        <f t="shared" si="9"/>
        <v/>
      </c>
      <c r="J118" s="35" t="e">
        <f t="shared" si="12"/>
        <v>#NUM!</v>
      </c>
      <c r="K118" s="35" t="e">
        <f t="shared" si="10"/>
        <v>#NUM!</v>
      </c>
      <c r="L118" s="35"/>
      <c r="M118" s="37">
        <f t="shared" si="11"/>
        <v>0</v>
      </c>
    </row>
    <row r="119" spans="1:13" x14ac:dyDescent="0.25">
      <c r="A119" s="56"/>
      <c r="G119" s="13"/>
      <c r="H119" s="35">
        <v>114</v>
      </c>
      <c r="I119" s="36" t="str">
        <f t="shared" si="9"/>
        <v/>
      </c>
      <c r="J119" s="35" t="e">
        <f t="shared" si="12"/>
        <v>#NUM!</v>
      </c>
      <c r="K119" s="35" t="e">
        <f t="shared" si="10"/>
        <v>#NUM!</v>
      </c>
      <c r="L119" s="35"/>
      <c r="M119" s="37">
        <f t="shared" si="11"/>
        <v>0</v>
      </c>
    </row>
    <row r="120" spans="1:13" x14ac:dyDescent="0.25">
      <c r="A120" s="56"/>
      <c r="G120" s="13"/>
      <c r="H120" s="35">
        <v>115</v>
      </c>
      <c r="I120" s="36" t="str">
        <f t="shared" si="9"/>
        <v/>
      </c>
      <c r="J120" s="35" t="e">
        <f t="shared" si="12"/>
        <v>#NUM!</v>
      </c>
      <c r="K120" s="35" t="e">
        <f t="shared" si="10"/>
        <v>#NUM!</v>
      </c>
      <c r="L120" s="35"/>
      <c r="M120" s="37">
        <f t="shared" si="11"/>
        <v>0</v>
      </c>
    </row>
    <row r="121" spans="1:13" x14ac:dyDescent="0.25">
      <c r="A121" s="56"/>
      <c r="G121" s="13"/>
      <c r="H121" s="35">
        <v>116</v>
      </c>
      <c r="I121" s="36" t="str">
        <f t="shared" si="9"/>
        <v/>
      </c>
      <c r="J121" s="35" t="e">
        <f t="shared" si="12"/>
        <v>#NUM!</v>
      </c>
      <c r="K121" s="35" t="e">
        <f t="shared" si="10"/>
        <v>#NUM!</v>
      </c>
      <c r="L121" s="35"/>
      <c r="M121" s="37">
        <f t="shared" si="11"/>
        <v>0</v>
      </c>
    </row>
    <row r="122" spans="1:13" x14ac:dyDescent="0.25">
      <c r="A122" s="56"/>
      <c r="G122" s="13"/>
      <c r="H122" s="35">
        <v>117</v>
      </c>
      <c r="I122" s="36" t="str">
        <f t="shared" si="9"/>
        <v/>
      </c>
      <c r="J122" s="35" t="e">
        <f t="shared" si="12"/>
        <v>#NUM!</v>
      </c>
      <c r="K122" s="35" t="e">
        <f t="shared" si="10"/>
        <v>#NUM!</v>
      </c>
      <c r="L122" s="35"/>
      <c r="M122" s="37">
        <f t="shared" si="11"/>
        <v>0</v>
      </c>
    </row>
    <row r="123" spans="1:13" x14ac:dyDescent="0.25">
      <c r="A123" s="56"/>
      <c r="G123" s="13"/>
      <c r="H123" s="35">
        <v>118</v>
      </c>
      <c r="I123" s="36" t="str">
        <f t="shared" si="9"/>
        <v/>
      </c>
      <c r="J123" s="35" t="e">
        <f t="shared" si="12"/>
        <v>#NUM!</v>
      </c>
      <c r="K123" s="35" t="e">
        <f t="shared" si="10"/>
        <v>#NUM!</v>
      </c>
      <c r="L123" s="35"/>
      <c r="M123" s="37">
        <f t="shared" si="11"/>
        <v>0</v>
      </c>
    </row>
    <row r="124" spans="1:13" x14ac:dyDescent="0.25">
      <c r="A124" s="56"/>
      <c r="G124" s="13"/>
      <c r="H124" s="35">
        <v>119</v>
      </c>
      <c r="I124" s="36" t="str">
        <f t="shared" si="9"/>
        <v/>
      </c>
      <c r="J124" s="35" t="e">
        <f t="shared" si="12"/>
        <v>#NUM!</v>
      </c>
      <c r="K124" s="35" t="e">
        <f t="shared" si="10"/>
        <v>#NUM!</v>
      </c>
      <c r="L124" s="35"/>
      <c r="M124" s="37">
        <f t="shared" si="11"/>
        <v>0</v>
      </c>
    </row>
    <row r="125" spans="1:13" x14ac:dyDescent="0.25">
      <c r="A125" s="56"/>
      <c r="G125" s="13"/>
      <c r="H125" s="35">
        <v>120</v>
      </c>
      <c r="I125" s="36" t="str">
        <f t="shared" si="9"/>
        <v/>
      </c>
      <c r="J125" s="35" t="e">
        <f t="shared" si="12"/>
        <v>#NUM!</v>
      </c>
      <c r="K125" s="35" t="e">
        <f t="shared" si="10"/>
        <v>#NUM!</v>
      </c>
      <c r="L125" s="35"/>
      <c r="M125" s="37">
        <f t="shared" si="11"/>
        <v>0</v>
      </c>
    </row>
    <row r="126" spans="1:13" x14ac:dyDescent="0.25">
      <c r="A126" s="56"/>
      <c r="G126" s="13"/>
      <c r="H126" s="35">
        <v>121</v>
      </c>
      <c r="I126" s="36" t="str">
        <f t="shared" si="9"/>
        <v/>
      </c>
      <c r="J126" s="35" t="e">
        <f t="shared" si="12"/>
        <v>#NUM!</v>
      </c>
      <c r="K126" s="35" t="e">
        <f t="shared" si="10"/>
        <v>#NUM!</v>
      </c>
      <c r="L126" s="35"/>
      <c r="M126" s="37">
        <f t="shared" si="11"/>
        <v>0</v>
      </c>
    </row>
    <row r="127" spans="1:13" x14ac:dyDescent="0.25">
      <c r="A127" s="56"/>
      <c r="G127" s="13"/>
      <c r="H127" s="35">
        <v>122</v>
      </c>
      <c r="I127" s="36" t="str">
        <f t="shared" si="9"/>
        <v/>
      </c>
      <c r="J127" s="35" t="e">
        <f t="shared" si="12"/>
        <v>#NUM!</v>
      </c>
      <c r="K127" s="35" t="e">
        <f t="shared" si="10"/>
        <v>#NUM!</v>
      </c>
      <c r="L127" s="35"/>
      <c r="M127" s="37">
        <f t="shared" si="11"/>
        <v>0</v>
      </c>
    </row>
    <row r="128" spans="1:13" x14ac:dyDescent="0.25">
      <c r="A128" s="56"/>
      <c r="G128" s="13"/>
      <c r="H128" s="35">
        <v>123</v>
      </c>
      <c r="I128" s="36" t="str">
        <f t="shared" si="9"/>
        <v/>
      </c>
      <c r="J128" s="35" t="e">
        <f t="shared" si="12"/>
        <v>#NUM!</v>
      </c>
      <c r="K128" s="35" t="e">
        <f t="shared" si="10"/>
        <v>#NUM!</v>
      </c>
      <c r="L128" s="35"/>
      <c r="M128" s="37">
        <f t="shared" si="11"/>
        <v>0</v>
      </c>
    </row>
    <row r="129" spans="1:13" x14ac:dyDescent="0.25">
      <c r="A129" s="56"/>
      <c r="G129" s="13"/>
      <c r="H129" s="35">
        <v>124</v>
      </c>
      <c r="I129" s="36" t="str">
        <f t="shared" si="9"/>
        <v/>
      </c>
      <c r="J129" s="35" t="e">
        <f t="shared" si="12"/>
        <v>#NUM!</v>
      </c>
      <c r="K129" s="35" t="e">
        <f t="shared" si="10"/>
        <v>#NUM!</v>
      </c>
      <c r="L129" s="35"/>
      <c r="M129" s="37">
        <f t="shared" si="11"/>
        <v>0</v>
      </c>
    </row>
    <row r="130" spans="1:13" x14ac:dyDescent="0.25">
      <c r="A130" s="56"/>
      <c r="G130" s="13"/>
      <c r="H130" s="35">
        <v>125</v>
      </c>
      <c r="I130" s="36" t="str">
        <f t="shared" si="9"/>
        <v/>
      </c>
      <c r="J130" s="35" t="e">
        <f t="shared" si="12"/>
        <v>#NUM!</v>
      </c>
      <c r="K130" s="35" t="e">
        <f t="shared" si="10"/>
        <v>#NUM!</v>
      </c>
      <c r="L130" s="35"/>
      <c r="M130" s="37">
        <f t="shared" si="11"/>
        <v>0</v>
      </c>
    </row>
    <row r="131" spans="1:13" x14ac:dyDescent="0.25">
      <c r="A131" s="56"/>
      <c r="G131" s="13"/>
      <c r="H131" s="35">
        <v>126</v>
      </c>
      <c r="I131" s="36" t="str">
        <f t="shared" si="9"/>
        <v/>
      </c>
      <c r="J131" s="35" t="e">
        <f t="shared" si="12"/>
        <v>#NUM!</v>
      </c>
      <c r="K131" s="35" t="e">
        <f t="shared" si="10"/>
        <v>#NUM!</v>
      </c>
      <c r="L131" s="35"/>
      <c r="M131" s="37">
        <f t="shared" si="11"/>
        <v>0</v>
      </c>
    </row>
    <row r="132" spans="1:13" x14ac:dyDescent="0.25">
      <c r="A132" s="56"/>
      <c r="G132" s="13"/>
      <c r="H132" s="35">
        <v>127</v>
      </c>
      <c r="I132" s="36" t="str">
        <f t="shared" si="9"/>
        <v/>
      </c>
      <c r="J132" s="35" t="e">
        <f t="shared" si="12"/>
        <v>#NUM!</v>
      </c>
      <c r="K132" s="35" t="e">
        <f t="shared" si="10"/>
        <v>#NUM!</v>
      </c>
      <c r="L132" s="35"/>
      <c r="M132" s="37">
        <f t="shared" si="11"/>
        <v>0</v>
      </c>
    </row>
    <row r="133" spans="1:13" x14ac:dyDescent="0.25">
      <c r="A133" s="56"/>
      <c r="G133" s="13"/>
      <c r="H133" s="35">
        <v>128</v>
      </c>
      <c r="I133" s="36" t="str">
        <f t="shared" si="9"/>
        <v/>
      </c>
      <c r="J133" s="35" t="e">
        <f t="shared" si="12"/>
        <v>#NUM!</v>
      </c>
      <c r="K133" s="35" t="e">
        <f t="shared" si="10"/>
        <v>#NUM!</v>
      </c>
      <c r="L133" s="35"/>
      <c r="M133" s="37">
        <f t="shared" si="11"/>
        <v>0</v>
      </c>
    </row>
    <row r="134" spans="1:13" x14ac:dyDescent="0.25">
      <c r="A134" s="56"/>
      <c r="G134" s="13"/>
      <c r="H134" s="35">
        <v>129</v>
      </c>
      <c r="I134" s="36" t="str">
        <f t="shared" ref="I134:I197" si="13">IF(H134&lt;$H$2+1,($I$2-($I$2-1)*(LOG(H134)/LOG($H$2))),"")</f>
        <v/>
      </c>
      <c r="J134" s="35" t="e">
        <f t="shared" si="12"/>
        <v>#NUM!</v>
      </c>
      <c r="K134" s="35" t="e">
        <f t="shared" ref="K134:K197" si="14">J134*$J$2</f>
        <v>#NUM!</v>
      </c>
      <c r="L134" s="35"/>
      <c r="M134" s="37">
        <f t="shared" ref="M134:M197" si="15">IF(I134&lt;&gt;"",K134+I134+L134,0)</f>
        <v>0</v>
      </c>
    </row>
    <row r="135" spans="1:13" x14ac:dyDescent="0.25">
      <c r="A135" s="56"/>
      <c r="G135" s="13"/>
      <c r="H135" s="35">
        <v>130</v>
      </c>
      <c r="I135" s="36" t="str">
        <f t="shared" si="13"/>
        <v/>
      </c>
      <c r="J135" s="35" t="e">
        <f t="shared" ref="J135:J198" si="16">INT(LOG($H$2,2))-ROUNDUP(LOG(H135,2),0)+IF(OR($H$2=1,$H$2=2,$H$2=4,$H$2=8,$H$2=16,$H$2=32,$H$2=64,$H$2=128,$H$2=256),0,1)</f>
        <v>#NUM!</v>
      </c>
      <c r="K135" s="35" t="e">
        <f t="shared" si="14"/>
        <v>#NUM!</v>
      </c>
      <c r="L135" s="35"/>
      <c r="M135" s="37">
        <f t="shared" si="15"/>
        <v>0</v>
      </c>
    </row>
    <row r="136" spans="1:13" x14ac:dyDescent="0.25">
      <c r="A136" s="56"/>
      <c r="G136" s="13"/>
      <c r="H136" s="35">
        <v>131</v>
      </c>
      <c r="I136" s="36" t="str">
        <f t="shared" si="13"/>
        <v/>
      </c>
      <c r="J136" s="35" t="e">
        <f t="shared" si="16"/>
        <v>#NUM!</v>
      </c>
      <c r="K136" s="35" t="e">
        <f t="shared" si="14"/>
        <v>#NUM!</v>
      </c>
      <c r="L136" s="35"/>
      <c r="M136" s="37">
        <f t="shared" si="15"/>
        <v>0</v>
      </c>
    </row>
    <row r="137" spans="1:13" x14ac:dyDescent="0.25">
      <c r="A137" s="56"/>
      <c r="G137" s="13"/>
      <c r="H137" s="35">
        <v>132</v>
      </c>
      <c r="I137" s="36" t="str">
        <f t="shared" si="13"/>
        <v/>
      </c>
      <c r="J137" s="35" t="e">
        <f t="shared" si="16"/>
        <v>#NUM!</v>
      </c>
      <c r="K137" s="35" t="e">
        <f t="shared" si="14"/>
        <v>#NUM!</v>
      </c>
      <c r="L137" s="35"/>
      <c r="M137" s="37">
        <f t="shared" si="15"/>
        <v>0</v>
      </c>
    </row>
    <row r="138" spans="1:13" x14ac:dyDescent="0.25">
      <c r="A138" s="56"/>
      <c r="G138" s="13"/>
      <c r="H138" s="35">
        <v>133</v>
      </c>
      <c r="I138" s="36" t="str">
        <f t="shared" si="13"/>
        <v/>
      </c>
      <c r="J138" s="35" t="e">
        <f t="shared" si="16"/>
        <v>#NUM!</v>
      </c>
      <c r="K138" s="35" t="e">
        <f t="shared" si="14"/>
        <v>#NUM!</v>
      </c>
      <c r="L138" s="35"/>
      <c r="M138" s="37">
        <f t="shared" si="15"/>
        <v>0</v>
      </c>
    </row>
    <row r="139" spans="1:13" x14ac:dyDescent="0.25">
      <c r="A139" s="56"/>
      <c r="G139" s="13"/>
      <c r="H139" s="35">
        <v>134</v>
      </c>
      <c r="I139" s="36" t="str">
        <f t="shared" si="13"/>
        <v/>
      </c>
      <c r="J139" s="35" t="e">
        <f t="shared" si="16"/>
        <v>#NUM!</v>
      </c>
      <c r="K139" s="35" t="e">
        <f t="shared" si="14"/>
        <v>#NUM!</v>
      </c>
      <c r="L139" s="35"/>
      <c r="M139" s="37">
        <f t="shared" si="15"/>
        <v>0</v>
      </c>
    </row>
    <row r="140" spans="1:13" x14ac:dyDescent="0.25">
      <c r="A140" s="56"/>
      <c r="G140" s="13"/>
      <c r="H140" s="35">
        <v>135</v>
      </c>
      <c r="I140" s="36" t="str">
        <f t="shared" si="13"/>
        <v/>
      </c>
      <c r="J140" s="35" t="e">
        <f t="shared" si="16"/>
        <v>#NUM!</v>
      </c>
      <c r="K140" s="35" t="e">
        <f t="shared" si="14"/>
        <v>#NUM!</v>
      </c>
      <c r="L140" s="35"/>
      <c r="M140" s="37">
        <f t="shared" si="15"/>
        <v>0</v>
      </c>
    </row>
    <row r="141" spans="1:13" x14ac:dyDescent="0.25">
      <c r="A141" s="56"/>
      <c r="G141" s="13"/>
      <c r="H141" s="35">
        <v>136</v>
      </c>
      <c r="I141" s="36" t="str">
        <f t="shared" si="13"/>
        <v/>
      </c>
      <c r="J141" s="35" t="e">
        <f t="shared" si="16"/>
        <v>#NUM!</v>
      </c>
      <c r="K141" s="35" t="e">
        <f t="shared" si="14"/>
        <v>#NUM!</v>
      </c>
      <c r="L141" s="35"/>
      <c r="M141" s="37">
        <f t="shared" si="15"/>
        <v>0</v>
      </c>
    </row>
    <row r="142" spans="1:13" x14ac:dyDescent="0.25">
      <c r="A142" s="56"/>
      <c r="G142" s="13"/>
      <c r="H142" s="35">
        <v>137</v>
      </c>
      <c r="I142" s="36" t="str">
        <f t="shared" si="13"/>
        <v/>
      </c>
      <c r="J142" s="35" t="e">
        <f t="shared" si="16"/>
        <v>#NUM!</v>
      </c>
      <c r="K142" s="35" t="e">
        <f t="shared" si="14"/>
        <v>#NUM!</v>
      </c>
      <c r="L142" s="35"/>
      <c r="M142" s="37">
        <f t="shared" si="15"/>
        <v>0</v>
      </c>
    </row>
    <row r="143" spans="1:13" x14ac:dyDescent="0.25">
      <c r="A143" s="56"/>
      <c r="G143" s="13"/>
      <c r="H143" s="35">
        <v>138</v>
      </c>
      <c r="I143" s="36" t="str">
        <f t="shared" si="13"/>
        <v/>
      </c>
      <c r="J143" s="35" t="e">
        <f t="shared" si="16"/>
        <v>#NUM!</v>
      </c>
      <c r="K143" s="35" t="e">
        <f t="shared" si="14"/>
        <v>#NUM!</v>
      </c>
      <c r="L143" s="35"/>
      <c r="M143" s="37">
        <f t="shared" si="15"/>
        <v>0</v>
      </c>
    </row>
    <row r="144" spans="1:13" x14ac:dyDescent="0.25">
      <c r="A144" s="56"/>
      <c r="G144" s="13"/>
      <c r="H144" s="35">
        <v>139</v>
      </c>
      <c r="I144" s="36" t="str">
        <f t="shared" si="13"/>
        <v/>
      </c>
      <c r="J144" s="35" t="e">
        <f t="shared" si="16"/>
        <v>#NUM!</v>
      </c>
      <c r="K144" s="35" t="e">
        <f t="shared" si="14"/>
        <v>#NUM!</v>
      </c>
      <c r="L144" s="35"/>
      <c r="M144" s="37">
        <f t="shared" si="15"/>
        <v>0</v>
      </c>
    </row>
    <row r="145" spans="1:13" x14ac:dyDescent="0.25">
      <c r="A145" s="56"/>
      <c r="G145" s="13"/>
      <c r="H145" s="35">
        <v>140</v>
      </c>
      <c r="I145" s="36" t="str">
        <f t="shared" si="13"/>
        <v/>
      </c>
      <c r="J145" s="35" t="e">
        <f t="shared" si="16"/>
        <v>#NUM!</v>
      </c>
      <c r="K145" s="35" t="e">
        <f t="shared" si="14"/>
        <v>#NUM!</v>
      </c>
      <c r="L145" s="35"/>
      <c r="M145" s="37">
        <f t="shared" si="15"/>
        <v>0</v>
      </c>
    </row>
    <row r="146" spans="1:13" x14ac:dyDescent="0.25">
      <c r="A146" s="56"/>
      <c r="G146" s="13"/>
      <c r="H146" s="35">
        <v>141</v>
      </c>
      <c r="I146" s="36" t="str">
        <f t="shared" si="13"/>
        <v/>
      </c>
      <c r="J146" s="35" t="e">
        <f t="shared" si="16"/>
        <v>#NUM!</v>
      </c>
      <c r="K146" s="35" t="e">
        <f t="shared" si="14"/>
        <v>#NUM!</v>
      </c>
      <c r="L146" s="35"/>
      <c r="M146" s="37">
        <f t="shared" si="15"/>
        <v>0</v>
      </c>
    </row>
    <row r="147" spans="1:13" x14ac:dyDescent="0.25">
      <c r="A147" s="56"/>
      <c r="G147" s="13"/>
      <c r="H147" s="35">
        <v>142</v>
      </c>
      <c r="I147" s="36" t="str">
        <f t="shared" si="13"/>
        <v/>
      </c>
      <c r="J147" s="35" t="e">
        <f t="shared" si="16"/>
        <v>#NUM!</v>
      </c>
      <c r="K147" s="35" t="e">
        <f t="shared" si="14"/>
        <v>#NUM!</v>
      </c>
      <c r="L147" s="35"/>
      <c r="M147" s="37">
        <f t="shared" si="15"/>
        <v>0</v>
      </c>
    </row>
    <row r="148" spans="1:13" x14ac:dyDescent="0.25">
      <c r="A148" s="56"/>
      <c r="G148" s="13"/>
      <c r="H148" s="35">
        <v>143</v>
      </c>
      <c r="I148" s="36" t="str">
        <f t="shared" si="13"/>
        <v/>
      </c>
      <c r="J148" s="35" t="e">
        <f t="shared" si="16"/>
        <v>#NUM!</v>
      </c>
      <c r="K148" s="35" t="e">
        <f t="shared" si="14"/>
        <v>#NUM!</v>
      </c>
      <c r="L148" s="35"/>
      <c r="M148" s="37">
        <f t="shared" si="15"/>
        <v>0</v>
      </c>
    </row>
    <row r="149" spans="1:13" x14ac:dyDescent="0.25">
      <c r="A149" s="56"/>
      <c r="G149" s="13"/>
      <c r="H149" s="35">
        <v>144</v>
      </c>
      <c r="I149" s="36" t="str">
        <f t="shared" si="13"/>
        <v/>
      </c>
      <c r="J149" s="35" t="e">
        <f t="shared" si="16"/>
        <v>#NUM!</v>
      </c>
      <c r="K149" s="35" t="e">
        <f t="shared" si="14"/>
        <v>#NUM!</v>
      </c>
      <c r="L149" s="35"/>
      <c r="M149" s="37">
        <f t="shared" si="15"/>
        <v>0</v>
      </c>
    </row>
    <row r="150" spans="1:13" x14ac:dyDescent="0.25">
      <c r="A150" s="56"/>
      <c r="G150" s="13"/>
      <c r="H150" s="35">
        <v>145</v>
      </c>
      <c r="I150" s="36" t="str">
        <f t="shared" si="13"/>
        <v/>
      </c>
      <c r="J150" s="35" t="e">
        <f t="shared" si="16"/>
        <v>#NUM!</v>
      </c>
      <c r="K150" s="35" t="e">
        <f t="shared" si="14"/>
        <v>#NUM!</v>
      </c>
      <c r="L150" s="35"/>
      <c r="M150" s="37">
        <f t="shared" si="15"/>
        <v>0</v>
      </c>
    </row>
    <row r="151" spans="1:13" x14ac:dyDescent="0.25">
      <c r="A151" s="56"/>
      <c r="G151" s="13"/>
      <c r="H151" s="35">
        <v>146</v>
      </c>
      <c r="I151" s="36" t="str">
        <f t="shared" si="13"/>
        <v/>
      </c>
      <c r="J151" s="35" t="e">
        <f t="shared" si="16"/>
        <v>#NUM!</v>
      </c>
      <c r="K151" s="35" t="e">
        <f t="shared" si="14"/>
        <v>#NUM!</v>
      </c>
      <c r="L151" s="35"/>
      <c r="M151" s="37">
        <f t="shared" si="15"/>
        <v>0</v>
      </c>
    </row>
    <row r="152" spans="1:13" x14ac:dyDescent="0.25">
      <c r="A152" s="56"/>
      <c r="G152" s="13"/>
      <c r="H152" s="35">
        <v>147</v>
      </c>
      <c r="I152" s="36" t="str">
        <f t="shared" si="13"/>
        <v/>
      </c>
      <c r="J152" s="35" t="e">
        <f t="shared" si="16"/>
        <v>#NUM!</v>
      </c>
      <c r="K152" s="35" t="e">
        <f t="shared" si="14"/>
        <v>#NUM!</v>
      </c>
      <c r="L152" s="35"/>
      <c r="M152" s="37">
        <f t="shared" si="15"/>
        <v>0</v>
      </c>
    </row>
    <row r="153" spans="1:13" x14ac:dyDescent="0.25">
      <c r="A153" s="56"/>
      <c r="G153" s="13"/>
      <c r="H153" s="35">
        <v>148</v>
      </c>
      <c r="I153" s="36" t="str">
        <f t="shared" si="13"/>
        <v/>
      </c>
      <c r="J153" s="35" t="e">
        <f t="shared" si="16"/>
        <v>#NUM!</v>
      </c>
      <c r="K153" s="35" t="e">
        <f t="shared" si="14"/>
        <v>#NUM!</v>
      </c>
      <c r="L153" s="35"/>
      <c r="M153" s="37">
        <f t="shared" si="15"/>
        <v>0</v>
      </c>
    </row>
    <row r="154" spans="1:13" x14ac:dyDescent="0.25">
      <c r="A154" s="56"/>
      <c r="G154" s="13"/>
      <c r="H154" s="35">
        <v>149</v>
      </c>
      <c r="I154" s="36" t="str">
        <f t="shared" si="13"/>
        <v/>
      </c>
      <c r="J154" s="35" t="e">
        <f t="shared" si="16"/>
        <v>#NUM!</v>
      </c>
      <c r="K154" s="35" t="e">
        <f t="shared" si="14"/>
        <v>#NUM!</v>
      </c>
      <c r="L154" s="35"/>
      <c r="M154" s="37">
        <f t="shared" si="15"/>
        <v>0</v>
      </c>
    </row>
    <row r="155" spans="1:13" x14ac:dyDescent="0.25">
      <c r="A155" s="56"/>
      <c r="G155" s="13"/>
      <c r="H155" s="35">
        <v>150</v>
      </c>
      <c r="I155" s="36" t="str">
        <f t="shared" si="13"/>
        <v/>
      </c>
      <c r="J155" s="35" t="e">
        <f t="shared" si="16"/>
        <v>#NUM!</v>
      </c>
      <c r="K155" s="35" t="e">
        <f t="shared" si="14"/>
        <v>#NUM!</v>
      </c>
      <c r="L155" s="35"/>
      <c r="M155" s="37">
        <f t="shared" si="15"/>
        <v>0</v>
      </c>
    </row>
    <row r="156" spans="1:13" x14ac:dyDescent="0.25">
      <c r="A156" s="56"/>
      <c r="G156" s="13"/>
      <c r="H156" s="35">
        <v>151</v>
      </c>
      <c r="I156" s="36" t="str">
        <f t="shared" si="13"/>
        <v/>
      </c>
      <c r="J156" s="35" t="e">
        <f t="shared" si="16"/>
        <v>#NUM!</v>
      </c>
      <c r="K156" s="35" t="e">
        <f t="shared" si="14"/>
        <v>#NUM!</v>
      </c>
      <c r="L156" s="35"/>
      <c r="M156" s="37">
        <f t="shared" si="15"/>
        <v>0</v>
      </c>
    </row>
    <row r="157" spans="1:13" x14ac:dyDescent="0.25">
      <c r="A157" s="56"/>
      <c r="G157" s="13"/>
      <c r="H157" s="35">
        <v>152</v>
      </c>
      <c r="I157" s="36" t="str">
        <f t="shared" si="13"/>
        <v/>
      </c>
      <c r="J157" s="35" t="e">
        <f t="shared" si="16"/>
        <v>#NUM!</v>
      </c>
      <c r="K157" s="35" t="e">
        <f t="shared" si="14"/>
        <v>#NUM!</v>
      </c>
      <c r="L157" s="35"/>
      <c r="M157" s="37">
        <f t="shared" si="15"/>
        <v>0</v>
      </c>
    </row>
    <row r="158" spans="1:13" x14ac:dyDescent="0.25">
      <c r="A158" s="56"/>
      <c r="G158" s="13"/>
      <c r="H158" s="35">
        <v>153</v>
      </c>
      <c r="I158" s="36" t="str">
        <f t="shared" si="13"/>
        <v/>
      </c>
      <c r="J158" s="35" t="e">
        <f t="shared" si="16"/>
        <v>#NUM!</v>
      </c>
      <c r="K158" s="35" t="e">
        <f t="shared" si="14"/>
        <v>#NUM!</v>
      </c>
      <c r="L158" s="35"/>
      <c r="M158" s="37">
        <f t="shared" si="15"/>
        <v>0</v>
      </c>
    </row>
    <row r="159" spans="1:13" x14ac:dyDescent="0.25">
      <c r="A159" s="56"/>
      <c r="G159" s="13"/>
      <c r="H159" s="35">
        <v>154</v>
      </c>
      <c r="I159" s="36" t="str">
        <f t="shared" si="13"/>
        <v/>
      </c>
      <c r="J159" s="35" t="e">
        <f t="shared" si="16"/>
        <v>#NUM!</v>
      </c>
      <c r="K159" s="35" t="e">
        <f t="shared" si="14"/>
        <v>#NUM!</v>
      </c>
      <c r="L159" s="35"/>
      <c r="M159" s="37">
        <f t="shared" si="15"/>
        <v>0</v>
      </c>
    </row>
    <row r="160" spans="1:13" x14ac:dyDescent="0.25">
      <c r="A160" s="56"/>
      <c r="G160" s="13"/>
      <c r="H160" s="35">
        <v>155</v>
      </c>
      <c r="I160" s="36" t="str">
        <f t="shared" si="13"/>
        <v/>
      </c>
      <c r="J160" s="35" t="e">
        <f t="shared" si="16"/>
        <v>#NUM!</v>
      </c>
      <c r="K160" s="35" t="e">
        <f t="shared" si="14"/>
        <v>#NUM!</v>
      </c>
      <c r="L160" s="35"/>
      <c r="M160" s="37">
        <f t="shared" si="15"/>
        <v>0</v>
      </c>
    </row>
    <row r="161" spans="1:13" x14ac:dyDescent="0.25">
      <c r="A161" s="56"/>
      <c r="G161" s="13"/>
      <c r="H161" s="35">
        <v>156</v>
      </c>
      <c r="I161" s="36" t="str">
        <f t="shared" si="13"/>
        <v/>
      </c>
      <c r="J161" s="35" t="e">
        <f t="shared" si="16"/>
        <v>#NUM!</v>
      </c>
      <c r="K161" s="35" t="e">
        <f t="shared" si="14"/>
        <v>#NUM!</v>
      </c>
      <c r="L161" s="35"/>
      <c r="M161" s="37">
        <f t="shared" si="15"/>
        <v>0</v>
      </c>
    </row>
    <row r="162" spans="1:13" x14ac:dyDescent="0.25">
      <c r="A162" s="56"/>
      <c r="G162" s="13"/>
      <c r="H162" s="35">
        <v>157</v>
      </c>
      <c r="I162" s="36" t="str">
        <f t="shared" si="13"/>
        <v/>
      </c>
      <c r="J162" s="35" t="e">
        <f t="shared" si="16"/>
        <v>#NUM!</v>
      </c>
      <c r="K162" s="35" t="e">
        <f t="shared" si="14"/>
        <v>#NUM!</v>
      </c>
      <c r="L162" s="35"/>
      <c r="M162" s="37">
        <f t="shared" si="15"/>
        <v>0</v>
      </c>
    </row>
    <row r="163" spans="1:13" x14ac:dyDescent="0.25">
      <c r="A163" s="56"/>
      <c r="G163" s="13"/>
      <c r="H163" s="35">
        <v>158</v>
      </c>
      <c r="I163" s="36" t="str">
        <f t="shared" si="13"/>
        <v/>
      </c>
      <c r="J163" s="35" t="e">
        <f t="shared" si="16"/>
        <v>#NUM!</v>
      </c>
      <c r="K163" s="35" t="e">
        <f t="shared" si="14"/>
        <v>#NUM!</v>
      </c>
      <c r="L163" s="35"/>
      <c r="M163" s="37">
        <f t="shared" si="15"/>
        <v>0</v>
      </c>
    </row>
    <row r="164" spans="1:13" x14ac:dyDescent="0.25">
      <c r="A164" s="56"/>
      <c r="G164" s="13"/>
      <c r="H164" s="35">
        <v>159</v>
      </c>
      <c r="I164" s="36" t="str">
        <f t="shared" si="13"/>
        <v/>
      </c>
      <c r="J164" s="35" t="e">
        <f t="shared" si="16"/>
        <v>#NUM!</v>
      </c>
      <c r="K164" s="35" t="e">
        <f t="shared" si="14"/>
        <v>#NUM!</v>
      </c>
      <c r="L164" s="35"/>
      <c r="M164" s="37">
        <f t="shared" si="15"/>
        <v>0</v>
      </c>
    </row>
    <row r="165" spans="1:13" x14ac:dyDescent="0.25">
      <c r="A165" s="56"/>
      <c r="G165" s="13"/>
      <c r="H165" s="35">
        <v>160</v>
      </c>
      <c r="I165" s="36" t="str">
        <f t="shared" si="13"/>
        <v/>
      </c>
      <c r="J165" s="35" t="e">
        <f t="shared" si="16"/>
        <v>#NUM!</v>
      </c>
      <c r="K165" s="35" t="e">
        <f t="shared" si="14"/>
        <v>#NUM!</v>
      </c>
      <c r="L165" s="35"/>
      <c r="M165" s="37">
        <f t="shared" si="15"/>
        <v>0</v>
      </c>
    </row>
    <row r="166" spans="1:13" x14ac:dyDescent="0.25">
      <c r="A166" s="56"/>
      <c r="G166" s="13"/>
      <c r="H166" s="35">
        <v>161</v>
      </c>
      <c r="I166" s="36" t="str">
        <f t="shared" si="13"/>
        <v/>
      </c>
      <c r="J166" s="35" t="e">
        <f t="shared" si="16"/>
        <v>#NUM!</v>
      </c>
      <c r="K166" s="35" t="e">
        <f t="shared" si="14"/>
        <v>#NUM!</v>
      </c>
      <c r="L166" s="35"/>
      <c r="M166" s="37">
        <f t="shared" si="15"/>
        <v>0</v>
      </c>
    </row>
    <row r="167" spans="1:13" x14ac:dyDescent="0.25">
      <c r="A167" s="56"/>
      <c r="G167" s="13"/>
      <c r="H167" s="35">
        <v>162</v>
      </c>
      <c r="I167" s="36" t="str">
        <f t="shared" si="13"/>
        <v/>
      </c>
      <c r="J167" s="35" t="e">
        <f t="shared" si="16"/>
        <v>#NUM!</v>
      </c>
      <c r="K167" s="35" t="e">
        <f t="shared" si="14"/>
        <v>#NUM!</v>
      </c>
      <c r="L167" s="35"/>
      <c r="M167" s="37">
        <f t="shared" si="15"/>
        <v>0</v>
      </c>
    </row>
    <row r="168" spans="1:13" x14ac:dyDescent="0.25">
      <c r="A168" s="56"/>
      <c r="G168" s="13"/>
      <c r="H168" s="35">
        <v>163</v>
      </c>
      <c r="I168" s="36" t="str">
        <f t="shared" si="13"/>
        <v/>
      </c>
      <c r="J168" s="35" t="e">
        <f t="shared" si="16"/>
        <v>#NUM!</v>
      </c>
      <c r="K168" s="35" t="e">
        <f t="shared" si="14"/>
        <v>#NUM!</v>
      </c>
      <c r="L168" s="35"/>
      <c r="M168" s="37">
        <f t="shared" si="15"/>
        <v>0</v>
      </c>
    </row>
    <row r="169" spans="1:13" x14ac:dyDescent="0.25">
      <c r="A169" s="56"/>
      <c r="G169" s="13"/>
      <c r="H169" s="35">
        <v>164</v>
      </c>
      <c r="I169" s="36" t="str">
        <f t="shared" si="13"/>
        <v/>
      </c>
      <c r="J169" s="35" t="e">
        <f t="shared" si="16"/>
        <v>#NUM!</v>
      </c>
      <c r="K169" s="35" t="e">
        <f t="shared" si="14"/>
        <v>#NUM!</v>
      </c>
      <c r="L169" s="35"/>
      <c r="M169" s="37">
        <f t="shared" si="15"/>
        <v>0</v>
      </c>
    </row>
    <row r="170" spans="1:13" x14ac:dyDescent="0.25">
      <c r="A170" s="56"/>
      <c r="G170" s="13"/>
      <c r="H170" s="35">
        <v>165</v>
      </c>
      <c r="I170" s="36" t="str">
        <f t="shared" si="13"/>
        <v/>
      </c>
      <c r="J170" s="35" t="e">
        <f t="shared" si="16"/>
        <v>#NUM!</v>
      </c>
      <c r="K170" s="35" t="e">
        <f t="shared" si="14"/>
        <v>#NUM!</v>
      </c>
      <c r="L170" s="35"/>
      <c r="M170" s="37">
        <f t="shared" si="15"/>
        <v>0</v>
      </c>
    </row>
    <row r="171" spans="1:13" x14ac:dyDescent="0.25">
      <c r="A171" s="56"/>
      <c r="G171" s="13"/>
      <c r="H171" s="35">
        <v>166</v>
      </c>
      <c r="I171" s="36" t="str">
        <f t="shared" si="13"/>
        <v/>
      </c>
      <c r="J171" s="35" t="e">
        <f t="shared" si="16"/>
        <v>#NUM!</v>
      </c>
      <c r="K171" s="35" t="e">
        <f t="shared" si="14"/>
        <v>#NUM!</v>
      </c>
      <c r="L171" s="35"/>
      <c r="M171" s="37">
        <f t="shared" si="15"/>
        <v>0</v>
      </c>
    </row>
    <row r="172" spans="1:13" x14ac:dyDescent="0.25">
      <c r="A172" s="56"/>
      <c r="G172" s="13"/>
      <c r="H172" s="35">
        <v>167</v>
      </c>
      <c r="I172" s="36" t="str">
        <f t="shared" si="13"/>
        <v/>
      </c>
      <c r="J172" s="35" t="e">
        <f t="shared" si="16"/>
        <v>#NUM!</v>
      </c>
      <c r="K172" s="35" t="e">
        <f t="shared" si="14"/>
        <v>#NUM!</v>
      </c>
      <c r="L172" s="35"/>
      <c r="M172" s="37">
        <f t="shared" si="15"/>
        <v>0</v>
      </c>
    </row>
    <row r="173" spans="1:13" x14ac:dyDescent="0.25">
      <c r="A173" s="56"/>
      <c r="G173" s="13"/>
      <c r="H173" s="35">
        <v>168</v>
      </c>
      <c r="I173" s="36" t="str">
        <f t="shared" si="13"/>
        <v/>
      </c>
      <c r="J173" s="35" t="e">
        <f t="shared" si="16"/>
        <v>#NUM!</v>
      </c>
      <c r="K173" s="35" t="e">
        <f t="shared" si="14"/>
        <v>#NUM!</v>
      </c>
      <c r="L173" s="35"/>
      <c r="M173" s="37">
        <f t="shared" si="15"/>
        <v>0</v>
      </c>
    </row>
    <row r="174" spans="1:13" x14ac:dyDescent="0.25">
      <c r="A174" s="56"/>
      <c r="G174" s="13"/>
      <c r="H174" s="35">
        <v>169</v>
      </c>
      <c r="I174" s="36" t="str">
        <f t="shared" si="13"/>
        <v/>
      </c>
      <c r="J174" s="35" t="e">
        <f t="shared" si="16"/>
        <v>#NUM!</v>
      </c>
      <c r="K174" s="35" t="e">
        <f t="shared" si="14"/>
        <v>#NUM!</v>
      </c>
      <c r="L174" s="35"/>
      <c r="M174" s="37">
        <f t="shared" si="15"/>
        <v>0</v>
      </c>
    </row>
    <row r="175" spans="1:13" x14ac:dyDescent="0.25">
      <c r="A175" s="56"/>
      <c r="G175" s="13"/>
      <c r="H175" s="35">
        <v>170</v>
      </c>
      <c r="I175" s="36" t="str">
        <f t="shared" si="13"/>
        <v/>
      </c>
      <c r="J175" s="35" t="e">
        <f t="shared" si="16"/>
        <v>#NUM!</v>
      </c>
      <c r="K175" s="35" t="e">
        <f t="shared" si="14"/>
        <v>#NUM!</v>
      </c>
      <c r="L175" s="35"/>
      <c r="M175" s="37">
        <f t="shared" si="15"/>
        <v>0</v>
      </c>
    </row>
    <row r="176" spans="1:13" x14ac:dyDescent="0.25">
      <c r="A176" s="56"/>
      <c r="G176" s="13"/>
      <c r="H176" s="35">
        <v>171</v>
      </c>
      <c r="I176" s="36" t="str">
        <f t="shared" si="13"/>
        <v/>
      </c>
      <c r="J176" s="35" t="e">
        <f t="shared" si="16"/>
        <v>#NUM!</v>
      </c>
      <c r="K176" s="35" t="e">
        <f t="shared" si="14"/>
        <v>#NUM!</v>
      </c>
      <c r="L176" s="35"/>
      <c r="M176" s="37">
        <f t="shared" si="15"/>
        <v>0</v>
      </c>
    </row>
    <row r="177" spans="1:13" x14ac:dyDescent="0.25">
      <c r="A177" s="56"/>
      <c r="G177" s="13"/>
      <c r="H177" s="35">
        <v>172</v>
      </c>
      <c r="I177" s="36" t="str">
        <f t="shared" si="13"/>
        <v/>
      </c>
      <c r="J177" s="35" t="e">
        <f t="shared" si="16"/>
        <v>#NUM!</v>
      </c>
      <c r="K177" s="35" t="e">
        <f t="shared" si="14"/>
        <v>#NUM!</v>
      </c>
      <c r="L177" s="35"/>
      <c r="M177" s="37">
        <f t="shared" si="15"/>
        <v>0</v>
      </c>
    </row>
    <row r="178" spans="1:13" x14ac:dyDescent="0.25">
      <c r="A178" s="56"/>
      <c r="G178" s="13"/>
      <c r="H178" s="35">
        <v>173</v>
      </c>
      <c r="I178" s="36" t="str">
        <f t="shared" si="13"/>
        <v/>
      </c>
      <c r="J178" s="35" t="e">
        <f t="shared" si="16"/>
        <v>#NUM!</v>
      </c>
      <c r="K178" s="35" t="e">
        <f t="shared" si="14"/>
        <v>#NUM!</v>
      </c>
      <c r="L178" s="35"/>
      <c r="M178" s="37">
        <f t="shared" si="15"/>
        <v>0</v>
      </c>
    </row>
    <row r="179" spans="1:13" x14ac:dyDescent="0.25">
      <c r="A179" s="56"/>
      <c r="G179" s="13"/>
      <c r="H179" s="35">
        <v>174</v>
      </c>
      <c r="I179" s="36" t="str">
        <f t="shared" si="13"/>
        <v/>
      </c>
      <c r="J179" s="35" t="e">
        <f t="shared" si="16"/>
        <v>#NUM!</v>
      </c>
      <c r="K179" s="35" t="e">
        <f t="shared" si="14"/>
        <v>#NUM!</v>
      </c>
      <c r="L179" s="35"/>
      <c r="M179" s="37">
        <f t="shared" si="15"/>
        <v>0</v>
      </c>
    </row>
    <row r="180" spans="1:13" x14ac:dyDescent="0.25">
      <c r="A180" s="56"/>
      <c r="G180" s="13"/>
      <c r="H180" s="35">
        <v>175</v>
      </c>
      <c r="I180" s="36" t="str">
        <f t="shared" si="13"/>
        <v/>
      </c>
      <c r="J180" s="35" t="e">
        <f t="shared" si="16"/>
        <v>#NUM!</v>
      </c>
      <c r="K180" s="35" t="e">
        <f t="shared" si="14"/>
        <v>#NUM!</v>
      </c>
      <c r="L180" s="35"/>
      <c r="M180" s="37">
        <f t="shared" si="15"/>
        <v>0</v>
      </c>
    </row>
    <row r="181" spans="1:13" x14ac:dyDescent="0.25">
      <c r="A181" s="56"/>
      <c r="G181" s="13"/>
      <c r="H181" s="35">
        <v>176</v>
      </c>
      <c r="I181" s="36" t="str">
        <f t="shared" si="13"/>
        <v/>
      </c>
      <c r="J181" s="35" t="e">
        <f t="shared" si="16"/>
        <v>#NUM!</v>
      </c>
      <c r="K181" s="35" t="e">
        <f t="shared" si="14"/>
        <v>#NUM!</v>
      </c>
      <c r="L181" s="35"/>
      <c r="M181" s="37">
        <f t="shared" si="15"/>
        <v>0</v>
      </c>
    </row>
    <row r="182" spans="1:13" x14ac:dyDescent="0.25">
      <c r="A182" s="56"/>
      <c r="G182" s="13"/>
      <c r="H182" s="35">
        <v>177</v>
      </c>
      <c r="I182" s="36" t="str">
        <f t="shared" si="13"/>
        <v/>
      </c>
      <c r="J182" s="35" t="e">
        <f t="shared" si="16"/>
        <v>#NUM!</v>
      </c>
      <c r="K182" s="35" t="e">
        <f t="shared" si="14"/>
        <v>#NUM!</v>
      </c>
      <c r="L182" s="35"/>
      <c r="M182" s="37">
        <f t="shared" si="15"/>
        <v>0</v>
      </c>
    </row>
    <row r="183" spans="1:13" x14ac:dyDescent="0.25">
      <c r="A183" s="56"/>
      <c r="G183" s="13"/>
      <c r="H183" s="35">
        <v>178</v>
      </c>
      <c r="I183" s="36" t="str">
        <f t="shared" si="13"/>
        <v/>
      </c>
      <c r="J183" s="35" t="e">
        <f t="shared" si="16"/>
        <v>#NUM!</v>
      </c>
      <c r="K183" s="35" t="e">
        <f t="shared" si="14"/>
        <v>#NUM!</v>
      </c>
      <c r="L183" s="35"/>
      <c r="M183" s="37">
        <f t="shared" si="15"/>
        <v>0</v>
      </c>
    </row>
    <row r="184" spans="1:13" x14ac:dyDescent="0.25">
      <c r="A184" s="56"/>
      <c r="G184" s="13"/>
      <c r="H184" s="35">
        <v>179</v>
      </c>
      <c r="I184" s="36" t="str">
        <f t="shared" si="13"/>
        <v/>
      </c>
      <c r="J184" s="35" t="e">
        <f t="shared" si="16"/>
        <v>#NUM!</v>
      </c>
      <c r="K184" s="35" t="e">
        <f t="shared" si="14"/>
        <v>#NUM!</v>
      </c>
      <c r="L184" s="35"/>
      <c r="M184" s="37">
        <f t="shared" si="15"/>
        <v>0</v>
      </c>
    </row>
    <row r="185" spans="1:13" x14ac:dyDescent="0.25">
      <c r="A185" s="56"/>
      <c r="G185" s="13"/>
      <c r="H185" s="35">
        <v>180</v>
      </c>
      <c r="I185" s="36" t="str">
        <f t="shared" si="13"/>
        <v/>
      </c>
      <c r="J185" s="35" t="e">
        <f t="shared" si="16"/>
        <v>#NUM!</v>
      </c>
      <c r="K185" s="35" t="e">
        <f t="shared" si="14"/>
        <v>#NUM!</v>
      </c>
      <c r="L185" s="35"/>
      <c r="M185" s="37">
        <f t="shared" si="15"/>
        <v>0</v>
      </c>
    </row>
    <row r="186" spans="1:13" x14ac:dyDescent="0.25">
      <c r="A186" s="56"/>
      <c r="G186" s="13"/>
      <c r="H186" s="35">
        <v>181</v>
      </c>
      <c r="I186" s="36" t="str">
        <f t="shared" si="13"/>
        <v/>
      </c>
      <c r="J186" s="35" t="e">
        <f t="shared" si="16"/>
        <v>#NUM!</v>
      </c>
      <c r="K186" s="35" t="e">
        <f t="shared" si="14"/>
        <v>#NUM!</v>
      </c>
      <c r="L186" s="35"/>
      <c r="M186" s="37">
        <f t="shared" si="15"/>
        <v>0</v>
      </c>
    </row>
    <row r="187" spans="1:13" x14ac:dyDescent="0.25">
      <c r="A187" s="56"/>
      <c r="G187" s="13"/>
      <c r="H187" s="35">
        <v>182</v>
      </c>
      <c r="I187" s="36" t="str">
        <f t="shared" si="13"/>
        <v/>
      </c>
      <c r="J187" s="35" t="e">
        <f t="shared" si="16"/>
        <v>#NUM!</v>
      </c>
      <c r="K187" s="35" t="e">
        <f t="shared" si="14"/>
        <v>#NUM!</v>
      </c>
      <c r="L187" s="35"/>
      <c r="M187" s="37">
        <f t="shared" si="15"/>
        <v>0</v>
      </c>
    </row>
    <row r="188" spans="1:13" x14ac:dyDescent="0.25">
      <c r="A188" s="56"/>
      <c r="G188" s="13"/>
      <c r="H188" s="35">
        <v>183</v>
      </c>
      <c r="I188" s="36" t="str">
        <f t="shared" si="13"/>
        <v/>
      </c>
      <c r="J188" s="35" t="e">
        <f t="shared" si="16"/>
        <v>#NUM!</v>
      </c>
      <c r="K188" s="35" t="e">
        <f t="shared" si="14"/>
        <v>#NUM!</v>
      </c>
      <c r="L188" s="35"/>
      <c r="M188" s="37">
        <f t="shared" si="15"/>
        <v>0</v>
      </c>
    </row>
    <row r="189" spans="1:13" x14ac:dyDescent="0.25">
      <c r="A189" s="56"/>
      <c r="G189" s="13"/>
      <c r="H189" s="35">
        <v>184</v>
      </c>
      <c r="I189" s="36" t="str">
        <f t="shared" si="13"/>
        <v/>
      </c>
      <c r="J189" s="35" t="e">
        <f t="shared" si="16"/>
        <v>#NUM!</v>
      </c>
      <c r="K189" s="35" t="e">
        <f t="shared" si="14"/>
        <v>#NUM!</v>
      </c>
      <c r="L189" s="35"/>
      <c r="M189" s="37">
        <f t="shared" si="15"/>
        <v>0</v>
      </c>
    </row>
    <row r="190" spans="1:13" x14ac:dyDescent="0.25">
      <c r="A190" s="56"/>
      <c r="G190" s="13"/>
      <c r="H190" s="35">
        <v>185</v>
      </c>
      <c r="I190" s="36" t="str">
        <f t="shared" si="13"/>
        <v/>
      </c>
      <c r="J190" s="35" t="e">
        <f t="shared" si="16"/>
        <v>#NUM!</v>
      </c>
      <c r="K190" s="35" t="e">
        <f t="shared" si="14"/>
        <v>#NUM!</v>
      </c>
      <c r="L190" s="35"/>
      <c r="M190" s="37">
        <f t="shared" si="15"/>
        <v>0</v>
      </c>
    </row>
    <row r="191" spans="1:13" x14ac:dyDescent="0.25">
      <c r="A191" s="56"/>
      <c r="G191" s="13"/>
      <c r="H191" s="35">
        <v>186</v>
      </c>
      <c r="I191" s="36" t="str">
        <f t="shared" si="13"/>
        <v/>
      </c>
      <c r="J191" s="35" t="e">
        <f t="shared" si="16"/>
        <v>#NUM!</v>
      </c>
      <c r="K191" s="35" t="e">
        <f t="shared" si="14"/>
        <v>#NUM!</v>
      </c>
      <c r="L191" s="35"/>
      <c r="M191" s="37">
        <f t="shared" si="15"/>
        <v>0</v>
      </c>
    </row>
    <row r="192" spans="1:13" x14ac:dyDescent="0.25">
      <c r="A192" s="56"/>
      <c r="G192" s="13"/>
      <c r="H192" s="35">
        <v>187</v>
      </c>
      <c r="I192" s="36" t="str">
        <f t="shared" si="13"/>
        <v/>
      </c>
      <c r="J192" s="35" t="e">
        <f t="shared" si="16"/>
        <v>#NUM!</v>
      </c>
      <c r="K192" s="35" t="e">
        <f t="shared" si="14"/>
        <v>#NUM!</v>
      </c>
      <c r="L192" s="35"/>
      <c r="M192" s="37">
        <f t="shared" si="15"/>
        <v>0</v>
      </c>
    </row>
    <row r="193" spans="1:13" x14ac:dyDescent="0.25">
      <c r="A193" s="56"/>
      <c r="G193" s="13"/>
      <c r="H193" s="35">
        <v>188</v>
      </c>
      <c r="I193" s="36" t="str">
        <f t="shared" si="13"/>
        <v/>
      </c>
      <c r="J193" s="35" t="e">
        <f t="shared" si="16"/>
        <v>#NUM!</v>
      </c>
      <c r="K193" s="35" t="e">
        <f t="shared" si="14"/>
        <v>#NUM!</v>
      </c>
      <c r="L193" s="35"/>
      <c r="M193" s="37">
        <f t="shared" si="15"/>
        <v>0</v>
      </c>
    </row>
    <row r="194" spans="1:13" x14ac:dyDescent="0.25">
      <c r="A194" s="56"/>
      <c r="G194" s="13"/>
      <c r="H194" s="35">
        <v>189</v>
      </c>
      <c r="I194" s="36" t="str">
        <f t="shared" si="13"/>
        <v/>
      </c>
      <c r="J194" s="35" t="e">
        <f t="shared" si="16"/>
        <v>#NUM!</v>
      </c>
      <c r="K194" s="35" t="e">
        <f t="shared" si="14"/>
        <v>#NUM!</v>
      </c>
      <c r="L194" s="35"/>
      <c r="M194" s="37">
        <f t="shared" si="15"/>
        <v>0</v>
      </c>
    </row>
    <row r="195" spans="1:13" x14ac:dyDescent="0.25">
      <c r="A195" s="56"/>
      <c r="G195" s="13"/>
      <c r="H195" s="35">
        <v>190</v>
      </c>
      <c r="I195" s="36" t="str">
        <f t="shared" si="13"/>
        <v/>
      </c>
      <c r="J195" s="35" t="e">
        <f t="shared" si="16"/>
        <v>#NUM!</v>
      </c>
      <c r="K195" s="35" t="e">
        <f t="shared" si="14"/>
        <v>#NUM!</v>
      </c>
      <c r="L195" s="35"/>
      <c r="M195" s="37">
        <f t="shared" si="15"/>
        <v>0</v>
      </c>
    </row>
    <row r="196" spans="1:13" x14ac:dyDescent="0.25">
      <c r="A196" s="56"/>
      <c r="G196" s="13"/>
      <c r="H196" s="35">
        <v>191</v>
      </c>
      <c r="I196" s="36" t="str">
        <f t="shared" si="13"/>
        <v/>
      </c>
      <c r="J196" s="35" t="e">
        <f t="shared" si="16"/>
        <v>#NUM!</v>
      </c>
      <c r="K196" s="35" t="e">
        <f t="shared" si="14"/>
        <v>#NUM!</v>
      </c>
      <c r="L196" s="35"/>
      <c r="M196" s="37">
        <f t="shared" si="15"/>
        <v>0</v>
      </c>
    </row>
    <row r="197" spans="1:13" x14ac:dyDescent="0.25">
      <c r="A197" s="56"/>
      <c r="G197" s="13"/>
      <c r="H197" s="35">
        <v>192</v>
      </c>
      <c r="I197" s="36" t="str">
        <f t="shared" si="13"/>
        <v/>
      </c>
      <c r="J197" s="35" t="e">
        <f t="shared" si="16"/>
        <v>#NUM!</v>
      </c>
      <c r="K197" s="35" t="e">
        <f t="shared" si="14"/>
        <v>#NUM!</v>
      </c>
      <c r="L197" s="35"/>
      <c r="M197" s="37">
        <f t="shared" si="15"/>
        <v>0</v>
      </c>
    </row>
    <row r="198" spans="1:13" x14ac:dyDescent="0.25">
      <c r="A198" s="56"/>
      <c r="G198" s="13"/>
      <c r="H198" s="35">
        <v>193</v>
      </c>
      <c r="I198" s="36" t="str">
        <f t="shared" ref="I198:I261" si="17">IF(H198&lt;$H$2+1,($I$2-($I$2-1)*(LOG(H198)/LOG($H$2))),"")</f>
        <v/>
      </c>
      <c r="J198" s="35" t="e">
        <f t="shared" si="16"/>
        <v>#NUM!</v>
      </c>
      <c r="K198" s="35" t="e">
        <f t="shared" ref="K198:K261" si="18">J198*$J$2</f>
        <v>#NUM!</v>
      </c>
      <c r="L198" s="35"/>
      <c r="M198" s="37">
        <f t="shared" ref="M198:M261" si="19">IF(I198&lt;&gt;"",K198+I198+L198,0)</f>
        <v>0</v>
      </c>
    </row>
    <row r="199" spans="1:13" x14ac:dyDescent="0.25">
      <c r="A199" s="56"/>
      <c r="G199" s="13"/>
      <c r="H199" s="35">
        <v>194</v>
      </c>
      <c r="I199" s="36" t="str">
        <f t="shared" si="17"/>
        <v/>
      </c>
      <c r="J199" s="35" t="e">
        <f t="shared" ref="J199:J262" si="20">INT(LOG($H$2,2))-ROUNDUP(LOG(H199,2),0)+IF(OR($H$2=1,$H$2=2,$H$2=4,$H$2=8,$H$2=16,$H$2=32,$H$2=64,$H$2=128,$H$2=256),0,1)</f>
        <v>#NUM!</v>
      </c>
      <c r="K199" s="35" t="e">
        <f t="shared" si="18"/>
        <v>#NUM!</v>
      </c>
      <c r="L199" s="35"/>
      <c r="M199" s="37">
        <f t="shared" si="19"/>
        <v>0</v>
      </c>
    </row>
    <row r="200" spans="1:13" x14ac:dyDescent="0.25">
      <c r="A200" s="56"/>
      <c r="G200" s="13"/>
      <c r="H200" s="35">
        <v>195</v>
      </c>
      <c r="I200" s="36" t="str">
        <f t="shared" si="17"/>
        <v/>
      </c>
      <c r="J200" s="35" t="e">
        <f t="shared" si="20"/>
        <v>#NUM!</v>
      </c>
      <c r="K200" s="35" t="e">
        <f t="shared" si="18"/>
        <v>#NUM!</v>
      </c>
      <c r="L200" s="35"/>
      <c r="M200" s="37">
        <f t="shared" si="19"/>
        <v>0</v>
      </c>
    </row>
    <row r="201" spans="1:13" x14ac:dyDescent="0.25">
      <c r="A201" s="56"/>
      <c r="G201" s="13"/>
      <c r="H201" s="35">
        <v>196</v>
      </c>
      <c r="I201" s="36" t="str">
        <f t="shared" si="17"/>
        <v/>
      </c>
      <c r="J201" s="35" t="e">
        <f t="shared" si="20"/>
        <v>#NUM!</v>
      </c>
      <c r="K201" s="35" t="e">
        <f t="shared" si="18"/>
        <v>#NUM!</v>
      </c>
      <c r="L201" s="35"/>
      <c r="M201" s="37">
        <f t="shared" si="19"/>
        <v>0</v>
      </c>
    </row>
    <row r="202" spans="1:13" x14ac:dyDescent="0.25">
      <c r="A202" s="56"/>
      <c r="G202" s="13"/>
      <c r="H202" s="35">
        <v>197</v>
      </c>
      <c r="I202" s="36" t="str">
        <f t="shared" si="17"/>
        <v/>
      </c>
      <c r="J202" s="35" t="e">
        <f t="shared" si="20"/>
        <v>#NUM!</v>
      </c>
      <c r="K202" s="35" t="e">
        <f t="shared" si="18"/>
        <v>#NUM!</v>
      </c>
      <c r="L202" s="35"/>
      <c r="M202" s="37">
        <f t="shared" si="19"/>
        <v>0</v>
      </c>
    </row>
    <row r="203" spans="1:13" x14ac:dyDescent="0.25">
      <c r="A203" s="56"/>
      <c r="G203" s="13"/>
      <c r="H203" s="35">
        <v>198</v>
      </c>
      <c r="I203" s="36" t="str">
        <f t="shared" si="17"/>
        <v/>
      </c>
      <c r="J203" s="35" t="e">
        <f t="shared" si="20"/>
        <v>#NUM!</v>
      </c>
      <c r="K203" s="35" t="e">
        <f t="shared" si="18"/>
        <v>#NUM!</v>
      </c>
      <c r="L203" s="35"/>
      <c r="M203" s="37">
        <f t="shared" si="19"/>
        <v>0</v>
      </c>
    </row>
    <row r="204" spans="1:13" x14ac:dyDescent="0.25">
      <c r="A204" s="56"/>
      <c r="G204" s="13"/>
      <c r="H204" s="35">
        <v>199</v>
      </c>
      <c r="I204" s="36" t="str">
        <f t="shared" si="17"/>
        <v/>
      </c>
      <c r="J204" s="35" t="e">
        <f t="shared" si="20"/>
        <v>#NUM!</v>
      </c>
      <c r="K204" s="35" t="e">
        <f t="shared" si="18"/>
        <v>#NUM!</v>
      </c>
      <c r="L204" s="35"/>
      <c r="M204" s="37">
        <f t="shared" si="19"/>
        <v>0</v>
      </c>
    </row>
    <row r="205" spans="1:13" x14ac:dyDescent="0.25">
      <c r="A205" s="56"/>
      <c r="G205" s="13"/>
      <c r="H205" s="35">
        <v>200</v>
      </c>
      <c r="I205" s="36" t="str">
        <f t="shared" si="17"/>
        <v/>
      </c>
      <c r="J205" s="35" t="e">
        <f t="shared" si="20"/>
        <v>#NUM!</v>
      </c>
      <c r="K205" s="35" t="e">
        <f t="shared" si="18"/>
        <v>#NUM!</v>
      </c>
      <c r="L205" s="35"/>
      <c r="M205" s="37">
        <f t="shared" si="19"/>
        <v>0</v>
      </c>
    </row>
    <row r="206" spans="1:13" x14ac:dyDescent="0.25">
      <c r="A206" s="56"/>
      <c r="G206" s="13"/>
      <c r="H206" s="35">
        <v>201</v>
      </c>
      <c r="I206" s="36" t="str">
        <f t="shared" si="17"/>
        <v/>
      </c>
      <c r="J206" s="35" t="e">
        <f t="shared" si="20"/>
        <v>#NUM!</v>
      </c>
      <c r="K206" s="35" t="e">
        <f t="shared" si="18"/>
        <v>#NUM!</v>
      </c>
      <c r="L206" s="35"/>
      <c r="M206" s="37">
        <f t="shared" si="19"/>
        <v>0</v>
      </c>
    </row>
    <row r="207" spans="1:13" x14ac:dyDescent="0.25">
      <c r="A207" s="56"/>
      <c r="G207" s="13"/>
      <c r="H207" s="35">
        <v>202</v>
      </c>
      <c r="I207" s="36" t="str">
        <f t="shared" si="17"/>
        <v/>
      </c>
      <c r="J207" s="35" t="e">
        <f t="shared" si="20"/>
        <v>#NUM!</v>
      </c>
      <c r="K207" s="35" t="e">
        <f t="shared" si="18"/>
        <v>#NUM!</v>
      </c>
      <c r="L207" s="35"/>
      <c r="M207" s="37">
        <f t="shared" si="19"/>
        <v>0</v>
      </c>
    </row>
    <row r="208" spans="1:13" x14ac:dyDescent="0.25">
      <c r="A208" s="56"/>
      <c r="G208" s="13"/>
      <c r="H208" s="35">
        <v>203</v>
      </c>
      <c r="I208" s="36" t="str">
        <f t="shared" si="17"/>
        <v/>
      </c>
      <c r="J208" s="35" t="e">
        <f t="shared" si="20"/>
        <v>#NUM!</v>
      </c>
      <c r="K208" s="35" t="e">
        <f t="shared" si="18"/>
        <v>#NUM!</v>
      </c>
      <c r="L208" s="35"/>
      <c r="M208" s="37">
        <f t="shared" si="19"/>
        <v>0</v>
      </c>
    </row>
    <row r="209" spans="1:13" x14ac:dyDescent="0.25">
      <c r="A209" s="56"/>
      <c r="G209" s="13"/>
      <c r="H209" s="35">
        <v>204</v>
      </c>
      <c r="I209" s="36" t="str">
        <f t="shared" si="17"/>
        <v/>
      </c>
      <c r="J209" s="35" t="e">
        <f t="shared" si="20"/>
        <v>#NUM!</v>
      </c>
      <c r="K209" s="35" t="e">
        <f t="shared" si="18"/>
        <v>#NUM!</v>
      </c>
      <c r="L209" s="35"/>
      <c r="M209" s="37">
        <f t="shared" si="19"/>
        <v>0</v>
      </c>
    </row>
    <row r="210" spans="1:13" x14ac:dyDescent="0.25">
      <c r="A210" s="56"/>
      <c r="G210" s="13"/>
      <c r="H210" s="35">
        <v>205</v>
      </c>
      <c r="I210" s="36" t="str">
        <f t="shared" si="17"/>
        <v/>
      </c>
      <c r="J210" s="35" t="e">
        <f t="shared" si="20"/>
        <v>#NUM!</v>
      </c>
      <c r="K210" s="35" t="e">
        <f t="shared" si="18"/>
        <v>#NUM!</v>
      </c>
      <c r="L210" s="35"/>
      <c r="M210" s="37">
        <f t="shared" si="19"/>
        <v>0</v>
      </c>
    </row>
    <row r="211" spans="1:13" x14ac:dyDescent="0.25">
      <c r="A211" s="56"/>
      <c r="G211" s="13"/>
      <c r="H211" s="35">
        <v>206</v>
      </c>
      <c r="I211" s="36" t="str">
        <f t="shared" si="17"/>
        <v/>
      </c>
      <c r="J211" s="35" t="e">
        <f t="shared" si="20"/>
        <v>#NUM!</v>
      </c>
      <c r="K211" s="35" t="e">
        <f t="shared" si="18"/>
        <v>#NUM!</v>
      </c>
      <c r="L211" s="35"/>
      <c r="M211" s="37">
        <f t="shared" si="19"/>
        <v>0</v>
      </c>
    </row>
    <row r="212" spans="1:13" x14ac:dyDescent="0.25">
      <c r="A212" s="56"/>
      <c r="G212" s="13"/>
      <c r="H212" s="35">
        <v>207</v>
      </c>
      <c r="I212" s="36" t="str">
        <f t="shared" si="17"/>
        <v/>
      </c>
      <c r="J212" s="35" t="e">
        <f t="shared" si="20"/>
        <v>#NUM!</v>
      </c>
      <c r="K212" s="35" t="e">
        <f t="shared" si="18"/>
        <v>#NUM!</v>
      </c>
      <c r="L212" s="35"/>
      <c r="M212" s="37">
        <f t="shared" si="19"/>
        <v>0</v>
      </c>
    </row>
    <row r="213" spans="1:13" x14ac:dyDescent="0.25">
      <c r="A213" s="56"/>
      <c r="G213" s="13"/>
      <c r="H213" s="35">
        <v>208</v>
      </c>
      <c r="I213" s="36" t="str">
        <f t="shared" si="17"/>
        <v/>
      </c>
      <c r="J213" s="35" t="e">
        <f t="shared" si="20"/>
        <v>#NUM!</v>
      </c>
      <c r="K213" s="35" t="e">
        <f t="shared" si="18"/>
        <v>#NUM!</v>
      </c>
      <c r="L213" s="35"/>
      <c r="M213" s="37">
        <f t="shared" si="19"/>
        <v>0</v>
      </c>
    </row>
    <row r="214" spans="1:13" x14ac:dyDescent="0.25">
      <c r="A214" s="56"/>
      <c r="G214" s="13"/>
      <c r="H214" s="35">
        <v>209</v>
      </c>
      <c r="I214" s="36" t="str">
        <f t="shared" si="17"/>
        <v/>
      </c>
      <c r="J214" s="35" t="e">
        <f t="shared" si="20"/>
        <v>#NUM!</v>
      </c>
      <c r="K214" s="35" t="e">
        <f t="shared" si="18"/>
        <v>#NUM!</v>
      </c>
      <c r="L214" s="35"/>
      <c r="M214" s="37">
        <f t="shared" si="19"/>
        <v>0</v>
      </c>
    </row>
    <row r="215" spans="1:13" x14ac:dyDescent="0.25">
      <c r="A215" s="56"/>
      <c r="G215" s="13"/>
      <c r="H215" s="35">
        <v>210</v>
      </c>
      <c r="I215" s="36" t="str">
        <f t="shared" si="17"/>
        <v/>
      </c>
      <c r="J215" s="35" t="e">
        <f t="shared" si="20"/>
        <v>#NUM!</v>
      </c>
      <c r="K215" s="35" t="e">
        <f t="shared" si="18"/>
        <v>#NUM!</v>
      </c>
      <c r="L215" s="35"/>
      <c r="M215" s="37">
        <f t="shared" si="19"/>
        <v>0</v>
      </c>
    </row>
    <row r="216" spans="1:13" x14ac:dyDescent="0.25">
      <c r="A216" s="56"/>
      <c r="G216" s="13"/>
      <c r="H216" s="35">
        <v>211</v>
      </c>
      <c r="I216" s="36" t="str">
        <f t="shared" si="17"/>
        <v/>
      </c>
      <c r="J216" s="35" t="e">
        <f t="shared" si="20"/>
        <v>#NUM!</v>
      </c>
      <c r="K216" s="35" t="e">
        <f t="shared" si="18"/>
        <v>#NUM!</v>
      </c>
      <c r="L216" s="35"/>
      <c r="M216" s="37">
        <f t="shared" si="19"/>
        <v>0</v>
      </c>
    </row>
    <row r="217" spans="1:13" x14ac:dyDescent="0.25">
      <c r="A217" s="56"/>
      <c r="G217" s="13"/>
      <c r="H217" s="35">
        <v>212</v>
      </c>
      <c r="I217" s="36" t="str">
        <f t="shared" si="17"/>
        <v/>
      </c>
      <c r="J217" s="35" t="e">
        <f t="shared" si="20"/>
        <v>#NUM!</v>
      </c>
      <c r="K217" s="35" t="e">
        <f t="shared" si="18"/>
        <v>#NUM!</v>
      </c>
      <c r="L217" s="35"/>
      <c r="M217" s="37">
        <f t="shared" si="19"/>
        <v>0</v>
      </c>
    </row>
    <row r="218" spans="1:13" x14ac:dyDescent="0.25">
      <c r="A218" s="56"/>
      <c r="G218" s="13"/>
      <c r="H218" s="35">
        <v>213</v>
      </c>
      <c r="I218" s="36" t="str">
        <f t="shared" si="17"/>
        <v/>
      </c>
      <c r="J218" s="35" t="e">
        <f t="shared" si="20"/>
        <v>#NUM!</v>
      </c>
      <c r="K218" s="35" t="e">
        <f t="shared" si="18"/>
        <v>#NUM!</v>
      </c>
      <c r="L218" s="35"/>
      <c r="M218" s="37">
        <f t="shared" si="19"/>
        <v>0</v>
      </c>
    </row>
    <row r="219" spans="1:13" x14ac:dyDescent="0.25">
      <c r="A219" s="56"/>
      <c r="G219" s="13"/>
      <c r="H219" s="35">
        <v>214</v>
      </c>
      <c r="I219" s="36" t="str">
        <f t="shared" si="17"/>
        <v/>
      </c>
      <c r="J219" s="35" t="e">
        <f t="shared" si="20"/>
        <v>#NUM!</v>
      </c>
      <c r="K219" s="35" t="e">
        <f t="shared" si="18"/>
        <v>#NUM!</v>
      </c>
      <c r="L219" s="35"/>
      <c r="M219" s="37">
        <f t="shared" si="19"/>
        <v>0</v>
      </c>
    </row>
    <row r="220" spans="1:13" x14ac:dyDescent="0.25">
      <c r="A220" s="56"/>
      <c r="G220" s="13"/>
      <c r="H220" s="35">
        <v>215</v>
      </c>
      <c r="I220" s="36" t="str">
        <f t="shared" si="17"/>
        <v/>
      </c>
      <c r="J220" s="35" t="e">
        <f t="shared" si="20"/>
        <v>#NUM!</v>
      </c>
      <c r="K220" s="35" t="e">
        <f t="shared" si="18"/>
        <v>#NUM!</v>
      </c>
      <c r="L220" s="35"/>
      <c r="M220" s="37">
        <f t="shared" si="19"/>
        <v>0</v>
      </c>
    </row>
    <row r="221" spans="1:13" x14ac:dyDescent="0.25">
      <c r="A221" s="56"/>
      <c r="G221" s="13"/>
      <c r="H221" s="35">
        <v>216</v>
      </c>
      <c r="I221" s="36" t="str">
        <f t="shared" si="17"/>
        <v/>
      </c>
      <c r="J221" s="35" t="e">
        <f t="shared" si="20"/>
        <v>#NUM!</v>
      </c>
      <c r="K221" s="35" t="e">
        <f t="shared" si="18"/>
        <v>#NUM!</v>
      </c>
      <c r="L221" s="35"/>
      <c r="M221" s="37">
        <f t="shared" si="19"/>
        <v>0</v>
      </c>
    </row>
    <row r="222" spans="1:13" x14ac:dyDescent="0.25">
      <c r="A222" s="56"/>
      <c r="G222" s="13"/>
      <c r="H222" s="35">
        <v>217</v>
      </c>
      <c r="I222" s="36" t="str">
        <f t="shared" si="17"/>
        <v/>
      </c>
      <c r="J222" s="35" t="e">
        <f t="shared" si="20"/>
        <v>#NUM!</v>
      </c>
      <c r="K222" s="35" t="e">
        <f t="shared" si="18"/>
        <v>#NUM!</v>
      </c>
      <c r="L222" s="35"/>
      <c r="M222" s="37">
        <f t="shared" si="19"/>
        <v>0</v>
      </c>
    </row>
    <row r="223" spans="1:13" x14ac:dyDescent="0.25">
      <c r="A223" s="56"/>
      <c r="G223" s="13"/>
      <c r="H223" s="35">
        <v>218</v>
      </c>
      <c r="I223" s="36" t="str">
        <f t="shared" si="17"/>
        <v/>
      </c>
      <c r="J223" s="35" t="e">
        <f t="shared" si="20"/>
        <v>#NUM!</v>
      </c>
      <c r="K223" s="35" t="e">
        <f t="shared" si="18"/>
        <v>#NUM!</v>
      </c>
      <c r="L223" s="35"/>
      <c r="M223" s="37">
        <f t="shared" si="19"/>
        <v>0</v>
      </c>
    </row>
    <row r="224" spans="1:13" x14ac:dyDescent="0.25">
      <c r="A224" s="56"/>
      <c r="G224" s="13"/>
      <c r="H224" s="35">
        <v>219</v>
      </c>
      <c r="I224" s="36" t="str">
        <f t="shared" si="17"/>
        <v/>
      </c>
      <c r="J224" s="35" t="e">
        <f t="shared" si="20"/>
        <v>#NUM!</v>
      </c>
      <c r="K224" s="35" t="e">
        <f t="shared" si="18"/>
        <v>#NUM!</v>
      </c>
      <c r="L224" s="35"/>
      <c r="M224" s="37">
        <f t="shared" si="19"/>
        <v>0</v>
      </c>
    </row>
    <row r="225" spans="1:13" x14ac:dyDescent="0.25">
      <c r="A225" s="56"/>
      <c r="G225" s="13"/>
      <c r="H225" s="35">
        <v>220</v>
      </c>
      <c r="I225" s="36" t="str">
        <f t="shared" si="17"/>
        <v/>
      </c>
      <c r="J225" s="35" t="e">
        <f t="shared" si="20"/>
        <v>#NUM!</v>
      </c>
      <c r="K225" s="35" t="e">
        <f t="shared" si="18"/>
        <v>#NUM!</v>
      </c>
      <c r="L225" s="35"/>
      <c r="M225" s="37">
        <f t="shared" si="19"/>
        <v>0</v>
      </c>
    </row>
    <row r="226" spans="1:13" x14ac:dyDescent="0.25">
      <c r="A226" s="56"/>
      <c r="G226" s="13"/>
      <c r="H226" s="35">
        <v>221</v>
      </c>
      <c r="I226" s="36" t="str">
        <f t="shared" si="17"/>
        <v/>
      </c>
      <c r="J226" s="35" t="e">
        <f t="shared" si="20"/>
        <v>#NUM!</v>
      </c>
      <c r="K226" s="35" t="e">
        <f t="shared" si="18"/>
        <v>#NUM!</v>
      </c>
      <c r="L226" s="35"/>
      <c r="M226" s="37">
        <f t="shared" si="19"/>
        <v>0</v>
      </c>
    </row>
    <row r="227" spans="1:13" x14ac:dyDescent="0.25">
      <c r="A227" s="56"/>
      <c r="G227" s="13"/>
      <c r="H227" s="35">
        <v>222</v>
      </c>
      <c r="I227" s="36" t="str">
        <f t="shared" si="17"/>
        <v/>
      </c>
      <c r="J227" s="35" t="e">
        <f t="shared" si="20"/>
        <v>#NUM!</v>
      </c>
      <c r="K227" s="35" t="e">
        <f t="shared" si="18"/>
        <v>#NUM!</v>
      </c>
      <c r="L227" s="35"/>
      <c r="M227" s="37">
        <f t="shared" si="19"/>
        <v>0</v>
      </c>
    </row>
    <row r="228" spans="1:13" x14ac:dyDescent="0.25">
      <c r="A228" s="56"/>
      <c r="G228" s="13"/>
      <c r="H228" s="35">
        <v>223</v>
      </c>
      <c r="I228" s="36" t="str">
        <f t="shared" si="17"/>
        <v/>
      </c>
      <c r="J228" s="35" t="e">
        <f t="shared" si="20"/>
        <v>#NUM!</v>
      </c>
      <c r="K228" s="35" t="e">
        <f t="shared" si="18"/>
        <v>#NUM!</v>
      </c>
      <c r="L228" s="35"/>
      <c r="M228" s="37">
        <f t="shared" si="19"/>
        <v>0</v>
      </c>
    </row>
    <row r="229" spans="1:13" x14ac:dyDescent="0.25">
      <c r="A229" s="56"/>
      <c r="G229" s="13"/>
      <c r="H229" s="35">
        <v>224</v>
      </c>
      <c r="I229" s="36" t="str">
        <f t="shared" si="17"/>
        <v/>
      </c>
      <c r="J229" s="35" t="e">
        <f t="shared" si="20"/>
        <v>#NUM!</v>
      </c>
      <c r="K229" s="35" t="e">
        <f t="shared" si="18"/>
        <v>#NUM!</v>
      </c>
      <c r="L229" s="35"/>
      <c r="M229" s="37">
        <f t="shared" si="19"/>
        <v>0</v>
      </c>
    </row>
    <row r="230" spans="1:13" x14ac:dyDescent="0.25">
      <c r="A230" s="56"/>
      <c r="G230" s="13"/>
      <c r="H230" s="35">
        <v>225</v>
      </c>
      <c r="I230" s="36" t="str">
        <f t="shared" si="17"/>
        <v/>
      </c>
      <c r="J230" s="35" t="e">
        <f t="shared" si="20"/>
        <v>#NUM!</v>
      </c>
      <c r="K230" s="35" t="e">
        <f t="shared" si="18"/>
        <v>#NUM!</v>
      </c>
      <c r="L230" s="35"/>
      <c r="M230" s="37">
        <f t="shared" si="19"/>
        <v>0</v>
      </c>
    </row>
    <row r="231" spans="1:13" x14ac:dyDescent="0.25">
      <c r="A231" s="56"/>
      <c r="G231" s="13"/>
      <c r="H231" s="35">
        <v>226</v>
      </c>
      <c r="I231" s="36" t="str">
        <f t="shared" si="17"/>
        <v/>
      </c>
      <c r="J231" s="35" t="e">
        <f t="shared" si="20"/>
        <v>#NUM!</v>
      </c>
      <c r="K231" s="35" t="e">
        <f t="shared" si="18"/>
        <v>#NUM!</v>
      </c>
      <c r="L231" s="35"/>
      <c r="M231" s="37">
        <f t="shared" si="19"/>
        <v>0</v>
      </c>
    </row>
    <row r="232" spans="1:13" x14ac:dyDescent="0.25">
      <c r="A232" s="56"/>
      <c r="G232" s="13"/>
      <c r="H232" s="35">
        <v>227</v>
      </c>
      <c r="I232" s="36" t="str">
        <f t="shared" si="17"/>
        <v/>
      </c>
      <c r="J232" s="35" t="e">
        <f t="shared" si="20"/>
        <v>#NUM!</v>
      </c>
      <c r="K232" s="35" t="e">
        <f t="shared" si="18"/>
        <v>#NUM!</v>
      </c>
      <c r="L232" s="35"/>
      <c r="M232" s="37">
        <f t="shared" si="19"/>
        <v>0</v>
      </c>
    </row>
    <row r="233" spans="1:13" x14ac:dyDescent="0.25">
      <c r="A233" s="56"/>
      <c r="G233" s="13"/>
      <c r="H233" s="35">
        <v>228</v>
      </c>
      <c r="I233" s="36" t="str">
        <f t="shared" si="17"/>
        <v/>
      </c>
      <c r="J233" s="35" t="e">
        <f t="shared" si="20"/>
        <v>#NUM!</v>
      </c>
      <c r="K233" s="35" t="e">
        <f t="shared" si="18"/>
        <v>#NUM!</v>
      </c>
      <c r="L233" s="35"/>
      <c r="M233" s="37">
        <f t="shared" si="19"/>
        <v>0</v>
      </c>
    </row>
    <row r="234" spans="1:13" x14ac:dyDescent="0.25">
      <c r="A234" s="56"/>
      <c r="G234" s="13"/>
      <c r="H234" s="35">
        <v>229</v>
      </c>
      <c r="I234" s="36" t="str">
        <f t="shared" si="17"/>
        <v/>
      </c>
      <c r="J234" s="35" t="e">
        <f t="shared" si="20"/>
        <v>#NUM!</v>
      </c>
      <c r="K234" s="35" t="e">
        <f t="shared" si="18"/>
        <v>#NUM!</v>
      </c>
      <c r="L234" s="35"/>
      <c r="M234" s="37">
        <f t="shared" si="19"/>
        <v>0</v>
      </c>
    </row>
    <row r="235" spans="1:13" x14ac:dyDescent="0.25">
      <c r="A235" s="56"/>
      <c r="G235" s="13"/>
      <c r="H235" s="35">
        <v>230</v>
      </c>
      <c r="I235" s="36" t="str">
        <f t="shared" si="17"/>
        <v/>
      </c>
      <c r="J235" s="35" t="e">
        <f t="shared" si="20"/>
        <v>#NUM!</v>
      </c>
      <c r="K235" s="35" t="e">
        <f t="shared" si="18"/>
        <v>#NUM!</v>
      </c>
      <c r="L235" s="35"/>
      <c r="M235" s="37">
        <f t="shared" si="19"/>
        <v>0</v>
      </c>
    </row>
    <row r="236" spans="1:13" x14ac:dyDescent="0.25">
      <c r="A236" s="56"/>
      <c r="G236" s="13"/>
      <c r="H236" s="35">
        <v>231</v>
      </c>
      <c r="I236" s="36" t="str">
        <f t="shared" si="17"/>
        <v/>
      </c>
      <c r="J236" s="35" t="e">
        <f t="shared" si="20"/>
        <v>#NUM!</v>
      </c>
      <c r="K236" s="35" t="e">
        <f t="shared" si="18"/>
        <v>#NUM!</v>
      </c>
      <c r="L236" s="35"/>
      <c r="M236" s="37">
        <f t="shared" si="19"/>
        <v>0</v>
      </c>
    </row>
    <row r="237" spans="1:13" x14ac:dyDescent="0.25">
      <c r="A237" s="56"/>
      <c r="G237" s="13"/>
      <c r="H237" s="35">
        <v>232</v>
      </c>
      <c r="I237" s="36" t="str">
        <f t="shared" si="17"/>
        <v/>
      </c>
      <c r="J237" s="35" t="e">
        <f t="shared" si="20"/>
        <v>#NUM!</v>
      </c>
      <c r="K237" s="35" t="e">
        <f t="shared" si="18"/>
        <v>#NUM!</v>
      </c>
      <c r="L237" s="35"/>
      <c r="M237" s="37">
        <f t="shared" si="19"/>
        <v>0</v>
      </c>
    </row>
    <row r="238" spans="1:13" x14ac:dyDescent="0.25">
      <c r="A238" s="56"/>
      <c r="G238" s="13"/>
      <c r="H238" s="35">
        <v>233</v>
      </c>
      <c r="I238" s="36" t="str">
        <f t="shared" si="17"/>
        <v/>
      </c>
      <c r="J238" s="35" t="e">
        <f t="shared" si="20"/>
        <v>#NUM!</v>
      </c>
      <c r="K238" s="35" t="e">
        <f t="shared" si="18"/>
        <v>#NUM!</v>
      </c>
      <c r="L238" s="35"/>
      <c r="M238" s="37">
        <f t="shared" si="19"/>
        <v>0</v>
      </c>
    </row>
    <row r="239" spans="1:13" x14ac:dyDescent="0.25">
      <c r="A239" s="56"/>
      <c r="G239" s="13"/>
      <c r="H239" s="35">
        <v>234</v>
      </c>
      <c r="I239" s="36" t="str">
        <f t="shared" si="17"/>
        <v/>
      </c>
      <c r="J239" s="35" t="e">
        <f t="shared" si="20"/>
        <v>#NUM!</v>
      </c>
      <c r="K239" s="35" t="e">
        <f t="shared" si="18"/>
        <v>#NUM!</v>
      </c>
      <c r="L239" s="35"/>
      <c r="M239" s="37">
        <f t="shared" si="19"/>
        <v>0</v>
      </c>
    </row>
    <row r="240" spans="1:13" x14ac:dyDescent="0.25">
      <c r="A240" s="56"/>
      <c r="G240" s="13"/>
      <c r="H240" s="35">
        <v>235</v>
      </c>
      <c r="I240" s="36" t="str">
        <f t="shared" si="17"/>
        <v/>
      </c>
      <c r="J240" s="35" t="e">
        <f t="shared" si="20"/>
        <v>#NUM!</v>
      </c>
      <c r="K240" s="35" t="e">
        <f t="shared" si="18"/>
        <v>#NUM!</v>
      </c>
      <c r="L240" s="35"/>
      <c r="M240" s="37">
        <f t="shared" si="19"/>
        <v>0</v>
      </c>
    </row>
    <row r="241" spans="1:13" x14ac:dyDescent="0.25">
      <c r="A241" s="56"/>
      <c r="G241" s="13"/>
      <c r="H241" s="35">
        <v>236</v>
      </c>
      <c r="I241" s="36" t="str">
        <f t="shared" si="17"/>
        <v/>
      </c>
      <c r="J241" s="35" t="e">
        <f t="shared" si="20"/>
        <v>#NUM!</v>
      </c>
      <c r="K241" s="35" t="e">
        <f t="shared" si="18"/>
        <v>#NUM!</v>
      </c>
      <c r="L241" s="35"/>
      <c r="M241" s="37">
        <f t="shared" si="19"/>
        <v>0</v>
      </c>
    </row>
    <row r="242" spans="1:13" x14ac:dyDescent="0.25">
      <c r="A242" s="56"/>
      <c r="G242" s="13"/>
      <c r="H242" s="35">
        <v>237</v>
      </c>
      <c r="I242" s="36" t="str">
        <f t="shared" si="17"/>
        <v/>
      </c>
      <c r="J242" s="35" t="e">
        <f t="shared" si="20"/>
        <v>#NUM!</v>
      </c>
      <c r="K242" s="35" t="e">
        <f t="shared" si="18"/>
        <v>#NUM!</v>
      </c>
      <c r="L242" s="35"/>
      <c r="M242" s="37">
        <f t="shared" si="19"/>
        <v>0</v>
      </c>
    </row>
    <row r="243" spans="1:13" x14ac:dyDescent="0.25">
      <c r="A243" s="56"/>
      <c r="G243" s="13"/>
      <c r="H243" s="35">
        <v>238</v>
      </c>
      <c r="I243" s="36" t="str">
        <f t="shared" si="17"/>
        <v/>
      </c>
      <c r="J243" s="35" t="e">
        <f t="shared" si="20"/>
        <v>#NUM!</v>
      </c>
      <c r="K243" s="35" t="e">
        <f t="shared" si="18"/>
        <v>#NUM!</v>
      </c>
      <c r="L243" s="35"/>
      <c r="M243" s="37">
        <f t="shared" si="19"/>
        <v>0</v>
      </c>
    </row>
    <row r="244" spans="1:13" x14ac:dyDescent="0.25">
      <c r="A244" s="56"/>
      <c r="G244" s="13"/>
      <c r="H244" s="35">
        <v>239</v>
      </c>
      <c r="I244" s="36" t="str">
        <f t="shared" si="17"/>
        <v/>
      </c>
      <c r="J244" s="35" t="e">
        <f t="shared" si="20"/>
        <v>#NUM!</v>
      </c>
      <c r="K244" s="35" t="e">
        <f t="shared" si="18"/>
        <v>#NUM!</v>
      </c>
      <c r="L244" s="35"/>
      <c r="M244" s="37">
        <f t="shared" si="19"/>
        <v>0</v>
      </c>
    </row>
    <row r="245" spans="1:13" x14ac:dyDescent="0.25">
      <c r="A245" s="56"/>
      <c r="G245" s="13"/>
      <c r="H245" s="35">
        <v>240</v>
      </c>
      <c r="I245" s="36" t="str">
        <f t="shared" si="17"/>
        <v/>
      </c>
      <c r="J245" s="35" t="e">
        <f t="shared" si="20"/>
        <v>#NUM!</v>
      </c>
      <c r="K245" s="35" t="e">
        <f t="shared" si="18"/>
        <v>#NUM!</v>
      </c>
      <c r="L245" s="35"/>
      <c r="M245" s="37">
        <f t="shared" si="19"/>
        <v>0</v>
      </c>
    </row>
    <row r="246" spans="1:13" x14ac:dyDescent="0.25">
      <c r="A246" s="56"/>
      <c r="G246" s="13"/>
      <c r="H246" s="35">
        <v>241</v>
      </c>
      <c r="I246" s="36" t="str">
        <f t="shared" si="17"/>
        <v/>
      </c>
      <c r="J246" s="35" t="e">
        <f t="shared" si="20"/>
        <v>#NUM!</v>
      </c>
      <c r="K246" s="35" t="e">
        <f t="shared" si="18"/>
        <v>#NUM!</v>
      </c>
      <c r="L246" s="35"/>
      <c r="M246" s="37">
        <f t="shared" si="19"/>
        <v>0</v>
      </c>
    </row>
    <row r="247" spans="1:13" x14ac:dyDescent="0.25">
      <c r="A247" s="56"/>
      <c r="G247" s="13"/>
      <c r="H247" s="35">
        <v>242</v>
      </c>
      <c r="I247" s="36" t="str">
        <f t="shared" si="17"/>
        <v/>
      </c>
      <c r="J247" s="35" t="e">
        <f t="shared" si="20"/>
        <v>#NUM!</v>
      </c>
      <c r="K247" s="35" t="e">
        <f t="shared" si="18"/>
        <v>#NUM!</v>
      </c>
      <c r="L247" s="35"/>
      <c r="M247" s="37">
        <f t="shared" si="19"/>
        <v>0</v>
      </c>
    </row>
    <row r="248" spans="1:13" x14ac:dyDescent="0.25">
      <c r="A248" s="56"/>
      <c r="G248" s="13"/>
      <c r="H248" s="35">
        <v>243</v>
      </c>
      <c r="I248" s="36" t="str">
        <f t="shared" si="17"/>
        <v/>
      </c>
      <c r="J248" s="35" t="e">
        <f t="shared" si="20"/>
        <v>#NUM!</v>
      </c>
      <c r="K248" s="35" t="e">
        <f t="shared" si="18"/>
        <v>#NUM!</v>
      </c>
      <c r="L248" s="35"/>
      <c r="M248" s="37">
        <f t="shared" si="19"/>
        <v>0</v>
      </c>
    </row>
    <row r="249" spans="1:13" x14ac:dyDescent="0.25">
      <c r="A249" s="56"/>
      <c r="G249" s="13"/>
      <c r="H249" s="35">
        <v>244</v>
      </c>
      <c r="I249" s="36" t="str">
        <f t="shared" si="17"/>
        <v/>
      </c>
      <c r="J249" s="35" t="e">
        <f t="shared" si="20"/>
        <v>#NUM!</v>
      </c>
      <c r="K249" s="35" t="e">
        <f t="shared" si="18"/>
        <v>#NUM!</v>
      </c>
      <c r="L249" s="35"/>
      <c r="M249" s="37">
        <f t="shared" si="19"/>
        <v>0</v>
      </c>
    </row>
    <row r="250" spans="1:13" x14ac:dyDescent="0.25">
      <c r="A250" s="56"/>
      <c r="G250" s="13"/>
      <c r="H250" s="35">
        <v>245</v>
      </c>
      <c r="I250" s="36" t="str">
        <f t="shared" si="17"/>
        <v/>
      </c>
      <c r="J250" s="35" t="e">
        <f t="shared" si="20"/>
        <v>#NUM!</v>
      </c>
      <c r="K250" s="35" t="e">
        <f t="shared" si="18"/>
        <v>#NUM!</v>
      </c>
      <c r="L250" s="35"/>
      <c r="M250" s="37">
        <f t="shared" si="19"/>
        <v>0</v>
      </c>
    </row>
    <row r="251" spans="1:13" x14ac:dyDescent="0.25">
      <c r="A251" s="56"/>
      <c r="G251" s="13"/>
      <c r="H251" s="35">
        <v>246</v>
      </c>
      <c r="I251" s="36" t="str">
        <f t="shared" si="17"/>
        <v/>
      </c>
      <c r="J251" s="35" t="e">
        <f t="shared" si="20"/>
        <v>#NUM!</v>
      </c>
      <c r="K251" s="35" t="e">
        <f t="shared" si="18"/>
        <v>#NUM!</v>
      </c>
      <c r="L251" s="35"/>
      <c r="M251" s="37">
        <f t="shared" si="19"/>
        <v>0</v>
      </c>
    </row>
    <row r="252" spans="1:13" x14ac:dyDescent="0.25">
      <c r="A252" s="56"/>
      <c r="G252" s="13"/>
      <c r="H252" s="35">
        <v>247</v>
      </c>
      <c r="I252" s="36" t="str">
        <f t="shared" si="17"/>
        <v/>
      </c>
      <c r="J252" s="35" t="e">
        <f t="shared" si="20"/>
        <v>#NUM!</v>
      </c>
      <c r="K252" s="35" t="e">
        <f t="shared" si="18"/>
        <v>#NUM!</v>
      </c>
      <c r="L252" s="35"/>
      <c r="M252" s="37">
        <f t="shared" si="19"/>
        <v>0</v>
      </c>
    </row>
    <row r="253" spans="1:13" x14ac:dyDescent="0.25">
      <c r="A253" s="56"/>
      <c r="G253" s="13"/>
      <c r="H253" s="35">
        <v>248</v>
      </c>
      <c r="I253" s="36" t="str">
        <f t="shared" si="17"/>
        <v/>
      </c>
      <c r="J253" s="35" t="e">
        <f t="shared" si="20"/>
        <v>#NUM!</v>
      </c>
      <c r="K253" s="35" t="e">
        <f t="shared" si="18"/>
        <v>#NUM!</v>
      </c>
      <c r="L253" s="35"/>
      <c r="M253" s="37">
        <f t="shared" si="19"/>
        <v>0</v>
      </c>
    </row>
    <row r="254" spans="1:13" x14ac:dyDescent="0.25">
      <c r="A254" s="56"/>
      <c r="G254" s="13"/>
      <c r="H254" s="35">
        <v>249</v>
      </c>
      <c r="I254" s="36" t="str">
        <f t="shared" si="17"/>
        <v/>
      </c>
      <c r="J254" s="35" t="e">
        <f t="shared" si="20"/>
        <v>#NUM!</v>
      </c>
      <c r="K254" s="35" t="e">
        <f t="shared" si="18"/>
        <v>#NUM!</v>
      </c>
      <c r="L254" s="35"/>
      <c r="M254" s="37">
        <f t="shared" si="19"/>
        <v>0</v>
      </c>
    </row>
    <row r="255" spans="1:13" x14ac:dyDescent="0.25">
      <c r="A255" s="56"/>
      <c r="G255" s="13"/>
      <c r="H255" s="35">
        <v>250</v>
      </c>
      <c r="I255" s="36" t="str">
        <f t="shared" si="17"/>
        <v/>
      </c>
      <c r="J255" s="35" t="e">
        <f t="shared" si="20"/>
        <v>#NUM!</v>
      </c>
      <c r="K255" s="35" t="e">
        <f t="shared" si="18"/>
        <v>#NUM!</v>
      </c>
      <c r="L255" s="35"/>
      <c r="M255" s="37">
        <f t="shared" si="19"/>
        <v>0</v>
      </c>
    </row>
    <row r="256" spans="1:13" x14ac:dyDescent="0.25">
      <c r="A256" s="56"/>
      <c r="G256" s="13"/>
      <c r="H256" s="35">
        <v>251</v>
      </c>
      <c r="I256" s="36" t="str">
        <f t="shared" si="17"/>
        <v/>
      </c>
      <c r="J256" s="35" t="e">
        <f t="shared" si="20"/>
        <v>#NUM!</v>
      </c>
      <c r="K256" s="35" t="e">
        <f t="shared" si="18"/>
        <v>#NUM!</v>
      </c>
      <c r="L256" s="35"/>
      <c r="M256" s="37">
        <f t="shared" si="19"/>
        <v>0</v>
      </c>
    </row>
    <row r="257" spans="1:13" x14ac:dyDescent="0.25">
      <c r="A257" s="56"/>
      <c r="G257" s="13"/>
      <c r="H257" s="35">
        <v>252</v>
      </c>
      <c r="I257" s="36" t="str">
        <f t="shared" si="17"/>
        <v/>
      </c>
      <c r="J257" s="35" t="e">
        <f t="shared" si="20"/>
        <v>#NUM!</v>
      </c>
      <c r="K257" s="35" t="e">
        <f t="shared" si="18"/>
        <v>#NUM!</v>
      </c>
      <c r="L257" s="35"/>
      <c r="M257" s="37">
        <f t="shared" si="19"/>
        <v>0</v>
      </c>
    </row>
    <row r="258" spans="1:13" x14ac:dyDescent="0.25">
      <c r="A258" s="56"/>
      <c r="G258" s="13"/>
      <c r="H258" s="35">
        <v>253</v>
      </c>
      <c r="I258" s="36" t="str">
        <f t="shared" si="17"/>
        <v/>
      </c>
      <c r="J258" s="35" t="e">
        <f t="shared" si="20"/>
        <v>#NUM!</v>
      </c>
      <c r="K258" s="35" t="e">
        <f t="shared" si="18"/>
        <v>#NUM!</v>
      </c>
      <c r="L258" s="35"/>
      <c r="M258" s="37">
        <f t="shared" si="19"/>
        <v>0</v>
      </c>
    </row>
    <row r="259" spans="1:13" x14ac:dyDescent="0.25">
      <c r="A259" s="56"/>
      <c r="G259" s="13"/>
      <c r="H259" s="35">
        <v>254</v>
      </c>
      <c r="I259" s="36" t="str">
        <f t="shared" si="17"/>
        <v/>
      </c>
      <c r="J259" s="35" t="e">
        <f t="shared" si="20"/>
        <v>#NUM!</v>
      </c>
      <c r="K259" s="35" t="e">
        <f t="shared" si="18"/>
        <v>#NUM!</v>
      </c>
      <c r="L259" s="35"/>
      <c r="M259" s="37">
        <f t="shared" si="19"/>
        <v>0</v>
      </c>
    </row>
    <row r="260" spans="1:13" x14ac:dyDescent="0.25">
      <c r="A260" s="56"/>
      <c r="G260" s="13"/>
      <c r="H260" s="35">
        <v>255</v>
      </c>
      <c r="I260" s="36" t="str">
        <f t="shared" si="17"/>
        <v/>
      </c>
      <c r="J260" s="35" t="e">
        <f t="shared" si="20"/>
        <v>#NUM!</v>
      </c>
      <c r="K260" s="35" t="e">
        <f t="shared" si="18"/>
        <v>#NUM!</v>
      </c>
      <c r="L260" s="35"/>
      <c r="M260" s="37">
        <f t="shared" si="19"/>
        <v>0</v>
      </c>
    </row>
    <row r="261" spans="1:13" x14ac:dyDescent="0.25">
      <c r="A261" s="56"/>
      <c r="G261" s="13"/>
      <c r="H261" s="35">
        <v>256</v>
      </c>
      <c r="I261" s="36" t="str">
        <f t="shared" si="17"/>
        <v/>
      </c>
      <c r="J261" s="35" t="e">
        <f t="shared" si="20"/>
        <v>#NUM!</v>
      </c>
      <c r="K261" s="35" t="e">
        <f t="shared" si="18"/>
        <v>#NUM!</v>
      </c>
      <c r="L261" s="35"/>
      <c r="M261" s="37">
        <f t="shared" si="19"/>
        <v>0</v>
      </c>
    </row>
    <row r="262" spans="1:13" x14ac:dyDescent="0.25">
      <c r="A262" s="56"/>
      <c r="G262" s="13"/>
      <c r="H262" s="35">
        <v>257</v>
      </c>
      <c r="I262" s="36" t="str">
        <f t="shared" ref="I262:I305" si="21">IF(H262&lt;$H$2+1,($I$2-($I$2-1)*(LOG(H262)/LOG($H$2))),"")</f>
        <v/>
      </c>
      <c r="J262" s="35" t="e">
        <f t="shared" si="20"/>
        <v>#NUM!</v>
      </c>
      <c r="K262" s="35" t="e">
        <f t="shared" ref="K262:K305" si="22">J262*$J$2</f>
        <v>#NUM!</v>
      </c>
      <c r="L262" s="35"/>
      <c r="M262" s="37">
        <f t="shared" ref="M262:M305" si="23">IF(I262&lt;&gt;"",K262+I262+L262,0)</f>
        <v>0</v>
      </c>
    </row>
    <row r="263" spans="1:13" x14ac:dyDescent="0.25">
      <c r="A263" s="56"/>
      <c r="G263" s="13"/>
      <c r="H263" s="35">
        <v>258</v>
      </c>
      <c r="I263" s="36" t="str">
        <f t="shared" si="21"/>
        <v/>
      </c>
      <c r="J263" s="35" t="e">
        <f t="shared" ref="J263:J305" si="24">INT(LOG($H$2,2))-ROUNDUP(LOG(H263,2),0)+IF(OR($H$2=1,$H$2=2,$H$2=4,$H$2=8,$H$2=16,$H$2=32,$H$2=64,$H$2=128,$H$2=256),0,1)</f>
        <v>#NUM!</v>
      </c>
      <c r="K263" s="35" t="e">
        <f t="shared" si="22"/>
        <v>#NUM!</v>
      </c>
      <c r="L263" s="35"/>
      <c r="M263" s="37">
        <f t="shared" si="23"/>
        <v>0</v>
      </c>
    </row>
    <row r="264" spans="1:13" x14ac:dyDescent="0.25">
      <c r="A264" s="56"/>
      <c r="G264" s="13"/>
      <c r="H264" s="35">
        <v>259</v>
      </c>
      <c r="I264" s="36" t="str">
        <f t="shared" si="21"/>
        <v/>
      </c>
      <c r="J264" s="35" t="e">
        <f t="shared" si="24"/>
        <v>#NUM!</v>
      </c>
      <c r="K264" s="35" t="e">
        <f t="shared" si="22"/>
        <v>#NUM!</v>
      </c>
      <c r="L264" s="35"/>
      <c r="M264" s="37">
        <f t="shared" si="23"/>
        <v>0</v>
      </c>
    </row>
    <row r="265" spans="1:13" x14ac:dyDescent="0.25">
      <c r="A265" s="56"/>
      <c r="G265" s="13"/>
      <c r="H265" s="35">
        <v>260</v>
      </c>
      <c r="I265" s="36" t="str">
        <f t="shared" si="21"/>
        <v/>
      </c>
      <c r="J265" s="35" t="e">
        <f t="shared" si="24"/>
        <v>#NUM!</v>
      </c>
      <c r="K265" s="35" t="e">
        <f t="shared" si="22"/>
        <v>#NUM!</v>
      </c>
      <c r="L265" s="35"/>
      <c r="M265" s="37">
        <f t="shared" si="23"/>
        <v>0</v>
      </c>
    </row>
    <row r="266" spans="1:13" x14ac:dyDescent="0.25">
      <c r="A266" s="56"/>
      <c r="G266" s="13"/>
      <c r="H266" s="35">
        <v>261</v>
      </c>
      <c r="I266" s="36" t="str">
        <f t="shared" si="21"/>
        <v/>
      </c>
      <c r="J266" s="35" t="e">
        <f t="shared" si="24"/>
        <v>#NUM!</v>
      </c>
      <c r="K266" s="35" t="e">
        <f t="shared" si="22"/>
        <v>#NUM!</v>
      </c>
      <c r="L266" s="35"/>
      <c r="M266" s="37">
        <f t="shared" si="23"/>
        <v>0</v>
      </c>
    </row>
    <row r="267" spans="1:13" x14ac:dyDescent="0.25">
      <c r="A267" s="56"/>
      <c r="G267" s="13"/>
      <c r="H267" s="35">
        <v>262</v>
      </c>
      <c r="I267" s="36" t="str">
        <f t="shared" si="21"/>
        <v/>
      </c>
      <c r="J267" s="35" t="e">
        <f t="shared" si="24"/>
        <v>#NUM!</v>
      </c>
      <c r="K267" s="35" t="e">
        <f t="shared" si="22"/>
        <v>#NUM!</v>
      </c>
      <c r="L267" s="35"/>
      <c r="M267" s="37">
        <f t="shared" si="23"/>
        <v>0</v>
      </c>
    </row>
    <row r="268" spans="1:13" x14ac:dyDescent="0.25">
      <c r="A268" s="56"/>
      <c r="G268" s="13"/>
      <c r="H268" s="35">
        <v>263</v>
      </c>
      <c r="I268" s="36" t="str">
        <f t="shared" si="21"/>
        <v/>
      </c>
      <c r="J268" s="35" t="e">
        <f t="shared" si="24"/>
        <v>#NUM!</v>
      </c>
      <c r="K268" s="35" t="e">
        <f t="shared" si="22"/>
        <v>#NUM!</v>
      </c>
      <c r="L268" s="35"/>
      <c r="M268" s="37">
        <f t="shared" si="23"/>
        <v>0</v>
      </c>
    </row>
    <row r="269" spans="1:13" x14ac:dyDescent="0.25">
      <c r="A269" s="56"/>
      <c r="G269" s="13"/>
      <c r="H269" s="35">
        <v>264</v>
      </c>
      <c r="I269" s="36" t="str">
        <f t="shared" si="21"/>
        <v/>
      </c>
      <c r="J269" s="35" t="e">
        <f t="shared" si="24"/>
        <v>#NUM!</v>
      </c>
      <c r="K269" s="35" t="e">
        <f t="shared" si="22"/>
        <v>#NUM!</v>
      </c>
      <c r="L269" s="35"/>
      <c r="M269" s="37">
        <f t="shared" si="23"/>
        <v>0</v>
      </c>
    </row>
    <row r="270" spans="1:13" x14ac:dyDescent="0.25">
      <c r="A270" s="56"/>
      <c r="G270" s="13"/>
      <c r="H270" s="35">
        <v>265</v>
      </c>
      <c r="I270" s="36" t="str">
        <f t="shared" si="21"/>
        <v/>
      </c>
      <c r="J270" s="35" t="e">
        <f t="shared" si="24"/>
        <v>#NUM!</v>
      </c>
      <c r="K270" s="35" t="e">
        <f t="shared" si="22"/>
        <v>#NUM!</v>
      </c>
      <c r="L270" s="35"/>
      <c r="M270" s="37">
        <f t="shared" si="23"/>
        <v>0</v>
      </c>
    </row>
    <row r="271" spans="1:13" x14ac:dyDescent="0.25">
      <c r="A271" s="56"/>
      <c r="G271" s="13"/>
      <c r="H271" s="35">
        <v>266</v>
      </c>
      <c r="I271" s="36" t="str">
        <f t="shared" si="21"/>
        <v/>
      </c>
      <c r="J271" s="35" t="e">
        <f t="shared" si="24"/>
        <v>#NUM!</v>
      </c>
      <c r="K271" s="35" t="e">
        <f t="shared" si="22"/>
        <v>#NUM!</v>
      </c>
      <c r="L271" s="35"/>
      <c r="M271" s="37">
        <f t="shared" si="23"/>
        <v>0</v>
      </c>
    </row>
    <row r="272" spans="1:13" x14ac:dyDescent="0.25">
      <c r="A272" s="56"/>
      <c r="G272" s="13"/>
      <c r="H272" s="35">
        <v>267</v>
      </c>
      <c r="I272" s="36" t="str">
        <f t="shared" si="21"/>
        <v/>
      </c>
      <c r="J272" s="35" t="e">
        <f t="shared" si="24"/>
        <v>#NUM!</v>
      </c>
      <c r="K272" s="35" t="e">
        <f t="shared" si="22"/>
        <v>#NUM!</v>
      </c>
      <c r="L272" s="35"/>
      <c r="M272" s="37">
        <f t="shared" si="23"/>
        <v>0</v>
      </c>
    </row>
    <row r="273" spans="1:13" x14ac:dyDescent="0.25">
      <c r="A273" s="56"/>
      <c r="G273" s="13"/>
      <c r="H273" s="35">
        <v>268</v>
      </c>
      <c r="I273" s="36" t="str">
        <f t="shared" si="21"/>
        <v/>
      </c>
      <c r="J273" s="35" t="e">
        <f t="shared" si="24"/>
        <v>#NUM!</v>
      </c>
      <c r="K273" s="35" t="e">
        <f t="shared" si="22"/>
        <v>#NUM!</v>
      </c>
      <c r="L273" s="35"/>
      <c r="M273" s="37">
        <f t="shared" si="23"/>
        <v>0</v>
      </c>
    </row>
    <row r="274" spans="1:13" x14ac:dyDescent="0.25">
      <c r="A274" s="56"/>
      <c r="G274" s="13"/>
      <c r="H274" s="35">
        <v>269</v>
      </c>
      <c r="I274" s="36" t="str">
        <f t="shared" si="21"/>
        <v/>
      </c>
      <c r="J274" s="35" t="e">
        <f t="shared" si="24"/>
        <v>#NUM!</v>
      </c>
      <c r="K274" s="35" t="e">
        <f t="shared" si="22"/>
        <v>#NUM!</v>
      </c>
      <c r="L274" s="35"/>
      <c r="M274" s="37">
        <f t="shared" si="23"/>
        <v>0</v>
      </c>
    </row>
    <row r="275" spans="1:13" x14ac:dyDescent="0.25">
      <c r="A275" s="56"/>
      <c r="G275" s="13"/>
      <c r="H275" s="35">
        <v>270</v>
      </c>
      <c r="I275" s="36" t="str">
        <f t="shared" si="21"/>
        <v/>
      </c>
      <c r="J275" s="35" t="e">
        <f t="shared" si="24"/>
        <v>#NUM!</v>
      </c>
      <c r="K275" s="35" t="e">
        <f t="shared" si="22"/>
        <v>#NUM!</v>
      </c>
      <c r="L275" s="35"/>
      <c r="M275" s="37">
        <f t="shared" si="23"/>
        <v>0</v>
      </c>
    </row>
    <row r="276" spans="1:13" x14ac:dyDescent="0.25">
      <c r="A276" s="56"/>
      <c r="G276" s="13"/>
      <c r="H276" s="35">
        <v>271</v>
      </c>
      <c r="I276" s="36" t="str">
        <f t="shared" si="21"/>
        <v/>
      </c>
      <c r="J276" s="35" t="e">
        <f t="shared" si="24"/>
        <v>#NUM!</v>
      </c>
      <c r="K276" s="35" t="e">
        <f t="shared" si="22"/>
        <v>#NUM!</v>
      </c>
      <c r="L276" s="35"/>
      <c r="M276" s="37">
        <f t="shared" si="23"/>
        <v>0</v>
      </c>
    </row>
    <row r="277" spans="1:13" x14ac:dyDescent="0.25">
      <c r="A277" s="56"/>
      <c r="G277" s="13"/>
      <c r="H277" s="35">
        <v>272</v>
      </c>
      <c r="I277" s="36" t="str">
        <f t="shared" si="21"/>
        <v/>
      </c>
      <c r="J277" s="35" t="e">
        <f t="shared" si="24"/>
        <v>#NUM!</v>
      </c>
      <c r="K277" s="35" t="e">
        <f t="shared" si="22"/>
        <v>#NUM!</v>
      </c>
      <c r="L277" s="35"/>
      <c r="M277" s="37">
        <f t="shared" si="23"/>
        <v>0</v>
      </c>
    </row>
    <row r="278" spans="1:13" x14ac:dyDescent="0.25">
      <c r="A278" s="56"/>
      <c r="G278" s="13"/>
      <c r="H278" s="35">
        <v>273</v>
      </c>
      <c r="I278" s="36" t="str">
        <f t="shared" si="21"/>
        <v/>
      </c>
      <c r="J278" s="35" t="e">
        <f t="shared" si="24"/>
        <v>#NUM!</v>
      </c>
      <c r="K278" s="35" t="e">
        <f t="shared" si="22"/>
        <v>#NUM!</v>
      </c>
      <c r="L278" s="35"/>
      <c r="M278" s="37">
        <f t="shared" si="23"/>
        <v>0</v>
      </c>
    </row>
    <row r="279" spans="1:13" x14ac:dyDescent="0.25">
      <c r="A279" s="56"/>
      <c r="G279" s="13"/>
      <c r="H279" s="35">
        <v>274</v>
      </c>
      <c r="I279" s="36" t="str">
        <f t="shared" si="21"/>
        <v/>
      </c>
      <c r="J279" s="35" t="e">
        <f t="shared" si="24"/>
        <v>#NUM!</v>
      </c>
      <c r="K279" s="35" t="e">
        <f t="shared" si="22"/>
        <v>#NUM!</v>
      </c>
      <c r="L279" s="35"/>
      <c r="M279" s="37">
        <f t="shared" si="23"/>
        <v>0</v>
      </c>
    </row>
    <row r="280" spans="1:13" x14ac:dyDescent="0.25">
      <c r="A280" s="56"/>
      <c r="G280" s="13"/>
      <c r="H280" s="35">
        <v>275</v>
      </c>
      <c r="I280" s="36" t="str">
        <f t="shared" si="21"/>
        <v/>
      </c>
      <c r="J280" s="35" t="e">
        <f t="shared" si="24"/>
        <v>#NUM!</v>
      </c>
      <c r="K280" s="35" t="e">
        <f t="shared" si="22"/>
        <v>#NUM!</v>
      </c>
      <c r="L280" s="35"/>
      <c r="M280" s="37">
        <f t="shared" si="23"/>
        <v>0</v>
      </c>
    </row>
    <row r="281" spans="1:13" x14ac:dyDescent="0.25">
      <c r="A281" s="56"/>
      <c r="G281" s="13"/>
      <c r="H281" s="35">
        <v>276</v>
      </c>
      <c r="I281" s="36" t="str">
        <f t="shared" si="21"/>
        <v/>
      </c>
      <c r="J281" s="35" t="e">
        <f t="shared" si="24"/>
        <v>#NUM!</v>
      </c>
      <c r="K281" s="35" t="e">
        <f t="shared" si="22"/>
        <v>#NUM!</v>
      </c>
      <c r="L281" s="35"/>
      <c r="M281" s="37">
        <f t="shared" si="23"/>
        <v>0</v>
      </c>
    </row>
    <row r="282" spans="1:13" x14ac:dyDescent="0.25">
      <c r="A282" s="56"/>
      <c r="G282" s="13"/>
      <c r="H282" s="35">
        <v>277</v>
      </c>
      <c r="I282" s="36" t="str">
        <f t="shared" si="21"/>
        <v/>
      </c>
      <c r="J282" s="35" t="e">
        <f t="shared" si="24"/>
        <v>#NUM!</v>
      </c>
      <c r="K282" s="35" t="e">
        <f t="shared" si="22"/>
        <v>#NUM!</v>
      </c>
      <c r="L282" s="35"/>
      <c r="M282" s="37">
        <f t="shared" si="23"/>
        <v>0</v>
      </c>
    </row>
    <row r="283" spans="1:13" x14ac:dyDescent="0.25">
      <c r="A283" s="56"/>
      <c r="G283" s="13"/>
      <c r="H283" s="35">
        <v>278</v>
      </c>
      <c r="I283" s="36" t="str">
        <f t="shared" si="21"/>
        <v/>
      </c>
      <c r="J283" s="35" t="e">
        <f t="shared" si="24"/>
        <v>#NUM!</v>
      </c>
      <c r="K283" s="35" t="e">
        <f t="shared" si="22"/>
        <v>#NUM!</v>
      </c>
      <c r="L283" s="35"/>
      <c r="M283" s="37">
        <f t="shared" si="23"/>
        <v>0</v>
      </c>
    </row>
    <row r="284" spans="1:13" x14ac:dyDescent="0.25">
      <c r="A284" s="56"/>
      <c r="G284" s="13"/>
      <c r="H284" s="35">
        <v>279</v>
      </c>
      <c r="I284" s="36" t="str">
        <f t="shared" si="21"/>
        <v/>
      </c>
      <c r="J284" s="35" t="e">
        <f t="shared" si="24"/>
        <v>#NUM!</v>
      </c>
      <c r="K284" s="35" t="e">
        <f t="shared" si="22"/>
        <v>#NUM!</v>
      </c>
      <c r="L284" s="35"/>
      <c r="M284" s="37">
        <f t="shared" si="23"/>
        <v>0</v>
      </c>
    </row>
    <row r="285" spans="1:13" x14ac:dyDescent="0.25">
      <c r="A285" s="56"/>
      <c r="G285" s="13"/>
      <c r="H285" s="35">
        <v>280</v>
      </c>
      <c r="I285" s="36" t="str">
        <f t="shared" si="21"/>
        <v/>
      </c>
      <c r="J285" s="35" t="e">
        <f t="shared" si="24"/>
        <v>#NUM!</v>
      </c>
      <c r="K285" s="35" t="e">
        <f t="shared" si="22"/>
        <v>#NUM!</v>
      </c>
      <c r="L285" s="35"/>
      <c r="M285" s="37">
        <f t="shared" si="23"/>
        <v>0</v>
      </c>
    </row>
    <row r="286" spans="1:13" x14ac:dyDescent="0.25">
      <c r="A286" s="56"/>
      <c r="G286" s="13"/>
      <c r="H286" s="35">
        <v>281</v>
      </c>
      <c r="I286" s="36" t="str">
        <f t="shared" si="21"/>
        <v/>
      </c>
      <c r="J286" s="35" t="e">
        <f t="shared" si="24"/>
        <v>#NUM!</v>
      </c>
      <c r="K286" s="35" t="e">
        <f t="shared" si="22"/>
        <v>#NUM!</v>
      </c>
      <c r="L286" s="35"/>
      <c r="M286" s="37">
        <f t="shared" si="23"/>
        <v>0</v>
      </c>
    </row>
    <row r="287" spans="1:13" x14ac:dyDescent="0.25">
      <c r="A287" s="56"/>
      <c r="G287" s="13"/>
      <c r="H287" s="35">
        <v>282</v>
      </c>
      <c r="I287" s="36" t="str">
        <f t="shared" si="21"/>
        <v/>
      </c>
      <c r="J287" s="35" t="e">
        <f t="shared" si="24"/>
        <v>#NUM!</v>
      </c>
      <c r="K287" s="35" t="e">
        <f t="shared" si="22"/>
        <v>#NUM!</v>
      </c>
      <c r="L287" s="35"/>
      <c r="M287" s="37">
        <f t="shared" si="23"/>
        <v>0</v>
      </c>
    </row>
    <row r="288" spans="1:13" x14ac:dyDescent="0.25">
      <c r="A288" s="56"/>
      <c r="G288" s="13"/>
      <c r="H288" s="35">
        <v>283</v>
      </c>
      <c r="I288" s="36" t="str">
        <f t="shared" si="21"/>
        <v/>
      </c>
      <c r="J288" s="35" t="e">
        <f t="shared" si="24"/>
        <v>#NUM!</v>
      </c>
      <c r="K288" s="35" t="e">
        <f t="shared" si="22"/>
        <v>#NUM!</v>
      </c>
      <c r="L288" s="35"/>
      <c r="M288" s="37">
        <f t="shared" si="23"/>
        <v>0</v>
      </c>
    </row>
    <row r="289" spans="1:13" x14ac:dyDescent="0.25">
      <c r="A289" s="56"/>
      <c r="G289" s="13"/>
      <c r="H289" s="35">
        <v>284</v>
      </c>
      <c r="I289" s="36" t="str">
        <f t="shared" si="21"/>
        <v/>
      </c>
      <c r="J289" s="35" t="e">
        <f t="shared" si="24"/>
        <v>#NUM!</v>
      </c>
      <c r="K289" s="35" t="e">
        <f t="shared" si="22"/>
        <v>#NUM!</v>
      </c>
      <c r="L289" s="35"/>
      <c r="M289" s="37">
        <f t="shared" si="23"/>
        <v>0</v>
      </c>
    </row>
    <row r="290" spans="1:13" x14ac:dyDescent="0.25">
      <c r="A290" s="56"/>
      <c r="G290" s="13"/>
      <c r="H290" s="35">
        <v>285</v>
      </c>
      <c r="I290" s="36" t="str">
        <f t="shared" si="21"/>
        <v/>
      </c>
      <c r="J290" s="35" t="e">
        <f t="shared" si="24"/>
        <v>#NUM!</v>
      </c>
      <c r="K290" s="35" t="e">
        <f t="shared" si="22"/>
        <v>#NUM!</v>
      </c>
      <c r="L290" s="35"/>
      <c r="M290" s="37">
        <f t="shared" si="23"/>
        <v>0</v>
      </c>
    </row>
    <row r="291" spans="1:13" x14ac:dyDescent="0.25">
      <c r="A291" s="56"/>
      <c r="G291" s="13"/>
      <c r="H291" s="35">
        <v>286</v>
      </c>
      <c r="I291" s="36" t="str">
        <f t="shared" si="21"/>
        <v/>
      </c>
      <c r="J291" s="35" t="e">
        <f t="shared" si="24"/>
        <v>#NUM!</v>
      </c>
      <c r="K291" s="35" t="e">
        <f t="shared" si="22"/>
        <v>#NUM!</v>
      </c>
      <c r="L291" s="35"/>
      <c r="M291" s="37">
        <f t="shared" si="23"/>
        <v>0</v>
      </c>
    </row>
    <row r="292" spans="1:13" x14ac:dyDescent="0.25">
      <c r="A292" s="56"/>
      <c r="G292" s="13"/>
      <c r="H292" s="35">
        <v>287</v>
      </c>
      <c r="I292" s="36" t="str">
        <f t="shared" si="21"/>
        <v/>
      </c>
      <c r="J292" s="35" t="e">
        <f t="shared" si="24"/>
        <v>#NUM!</v>
      </c>
      <c r="K292" s="35" t="e">
        <f t="shared" si="22"/>
        <v>#NUM!</v>
      </c>
      <c r="L292" s="35"/>
      <c r="M292" s="37">
        <f t="shared" si="23"/>
        <v>0</v>
      </c>
    </row>
    <row r="293" spans="1:13" x14ac:dyDescent="0.25">
      <c r="A293" s="56"/>
      <c r="G293" s="13"/>
      <c r="H293" s="35">
        <v>288</v>
      </c>
      <c r="I293" s="36" t="str">
        <f t="shared" si="21"/>
        <v/>
      </c>
      <c r="J293" s="35" t="e">
        <f t="shared" si="24"/>
        <v>#NUM!</v>
      </c>
      <c r="K293" s="35" t="e">
        <f t="shared" si="22"/>
        <v>#NUM!</v>
      </c>
      <c r="L293" s="35"/>
      <c r="M293" s="37">
        <f t="shared" si="23"/>
        <v>0</v>
      </c>
    </row>
    <row r="294" spans="1:13" x14ac:dyDescent="0.25">
      <c r="A294" s="56"/>
      <c r="G294" s="13"/>
      <c r="H294" s="35">
        <v>289</v>
      </c>
      <c r="I294" s="36" t="str">
        <f t="shared" si="21"/>
        <v/>
      </c>
      <c r="J294" s="35" t="e">
        <f t="shared" si="24"/>
        <v>#NUM!</v>
      </c>
      <c r="K294" s="35" t="e">
        <f t="shared" si="22"/>
        <v>#NUM!</v>
      </c>
      <c r="L294" s="35"/>
      <c r="M294" s="37">
        <f t="shared" si="23"/>
        <v>0</v>
      </c>
    </row>
    <row r="295" spans="1:13" x14ac:dyDescent="0.25">
      <c r="A295" s="56"/>
      <c r="G295" s="13"/>
      <c r="H295" s="35">
        <v>290</v>
      </c>
      <c r="I295" s="36" t="str">
        <f t="shared" si="21"/>
        <v/>
      </c>
      <c r="J295" s="35" t="e">
        <f t="shared" si="24"/>
        <v>#NUM!</v>
      </c>
      <c r="K295" s="35" t="e">
        <f t="shared" si="22"/>
        <v>#NUM!</v>
      </c>
      <c r="L295" s="35"/>
      <c r="M295" s="37">
        <f t="shared" si="23"/>
        <v>0</v>
      </c>
    </row>
    <row r="296" spans="1:13" x14ac:dyDescent="0.25">
      <c r="A296" s="56"/>
      <c r="G296" s="13"/>
      <c r="H296" s="35">
        <v>291</v>
      </c>
      <c r="I296" s="36" t="str">
        <f t="shared" si="21"/>
        <v/>
      </c>
      <c r="J296" s="35" t="e">
        <f t="shared" si="24"/>
        <v>#NUM!</v>
      </c>
      <c r="K296" s="35" t="e">
        <f t="shared" si="22"/>
        <v>#NUM!</v>
      </c>
      <c r="L296" s="35"/>
      <c r="M296" s="37">
        <f t="shared" si="23"/>
        <v>0</v>
      </c>
    </row>
    <row r="297" spans="1:13" x14ac:dyDescent="0.25">
      <c r="A297" s="56"/>
      <c r="G297" s="13"/>
      <c r="H297" s="35">
        <v>292</v>
      </c>
      <c r="I297" s="36" t="str">
        <f t="shared" si="21"/>
        <v/>
      </c>
      <c r="J297" s="35" t="e">
        <f t="shared" si="24"/>
        <v>#NUM!</v>
      </c>
      <c r="K297" s="35" t="e">
        <f t="shared" si="22"/>
        <v>#NUM!</v>
      </c>
      <c r="L297" s="35"/>
      <c r="M297" s="37">
        <f t="shared" si="23"/>
        <v>0</v>
      </c>
    </row>
    <row r="298" spans="1:13" x14ac:dyDescent="0.25">
      <c r="A298" s="56"/>
      <c r="G298" s="13"/>
      <c r="H298" s="35">
        <v>293</v>
      </c>
      <c r="I298" s="36" t="str">
        <f t="shared" si="21"/>
        <v/>
      </c>
      <c r="J298" s="35" t="e">
        <f t="shared" si="24"/>
        <v>#NUM!</v>
      </c>
      <c r="K298" s="35" t="e">
        <f t="shared" si="22"/>
        <v>#NUM!</v>
      </c>
      <c r="L298" s="35"/>
      <c r="M298" s="37">
        <f t="shared" si="23"/>
        <v>0</v>
      </c>
    </row>
    <row r="299" spans="1:13" x14ac:dyDescent="0.25">
      <c r="A299" s="56"/>
      <c r="G299" s="13"/>
      <c r="H299" s="35">
        <v>294</v>
      </c>
      <c r="I299" s="36" t="str">
        <f t="shared" si="21"/>
        <v/>
      </c>
      <c r="J299" s="35" t="e">
        <f t="shared" si="24"/>
        <v>#NUM!</v>
      </c>
      <c r="K299" s="35" t="e">
        <f t="shared" si="22"/>
        <v>#NUM!</v>
      </c>
      <c r="L299" s="35"/>
      <c r="M299" s="37">
        <f t="shared" si="23"/>
        <v>0</v>
      </c>
    </row>
    <row r="300" spans="1:13" x14ac:dyDescent="0.25">
      <c r="A300" s="56"/>
      <c r="G300" s="13"/>
      <c r="H300" s="35">
        <v>295</v>
      </c>
      <c r="I300" s="36" t="str">
        <f t="shared" si="21"/>
        <v/>
      </c>
      <c r="J300" s="35" t="e">
        <f t="shared" si="24"/>
        <v>#NUM!</v>
      </c>
      <c r="K300" s="35" t="e">
        <f t="shared" si="22"/>
        <v>#NUM!</v>
      </c>
      <c r="L300" s="35"/>
      <c r="M300" s="37">
        <f t="shared" si="23"/>
        <v>0</v>
      </c>
    </row>
    <row r="301" spans="1:13" x14ac:dyDescent="0.25">
      <c r="A301" s="56"/>
      <c r="G301" s="13"/>
      <c r="H301" s="35">
        <v>296</v>
      </c>
      <c r="I301" s="36" t="str">
        <f t="shared" si="21"/>
        <v/>
      </c>
      <c r="J301" s="35" t="e">
        <f t="shared" si="24"/>
        <v>#NUM!</v>
      </c>
      <c r="K301" s="35" t="e">
        <f t="shared" si="22"/>
        <v>#NUM!</v>
      </c>
      <c r="L301" s="35"/>
      <c r="M301" s="37">
        <f t="shared" si="23"/>
        <v>0</v>
      </c>
    </row>
    <row r="302" spans="1:13" x14ac:dyDescent="0.25">
      <c r="A302" s="56"/>
      <c r="G302" s="13"/>
      <c r="H302" s="35">
        <v>297</v>
      </c>
      <c r="I302" s="36" t="str">
        <f t="shared" si="21"/>
        <v/>
      </c>
      <c r="J302" s="35" t="e">
        <f t="shared" si="24"/>
        <v>#NUM!</v>
      </c>
      <c r="K302" s="35" t="e">
        <f t="shared" si="22"/>
        <v>#NUM!</v>
      </c>
      <c r="L302" s="35"/>
      <c r="M302" s="37">
        <f t="shared" si="23"/>
        <v>0</v>
      </c>
    </row>
    <row r="303" spans="1:13" x14ac:dyDescent="0.25">
      <c r="A303" s="56"/>
      <c r="G303" s="13"/>
      <c r="H303" s="35">
        <v>298</v>
      </c>
      <c r="I303" s="36" t="str">
        <f t="shared" si="21"/>
        <v/>
      </c>
      <c r="J303" s="35" t="e">
        <f t="shared" si="24"/>
        <v>#NUM!</v>
      </c>
      <c r="K303" s="35" t="e">
        <f t="shared" si="22"/>
        <v>#NUM!</v>
      </c>
      <c r="L303" s="35"/>
      <c r="M303" s="37">
        <f t="shared" si="23"/>
        <v>0</v>
      </c>
    </row>
    <row r="304" spans="1:13" x14ac:dyDescent="0.25">
      <c r="A304" s="56"/>
      <c r="G304" s="13"/>
      <c r="H304" s="35">
        <v>299</v>
      </c>
      <c r="I304" s="36" t="str">
        <f t="shared" si="21"/>
        <v/>
      </c>
      <c r="J304" s="35" t="e">
        <f t="shared" si="24"/>
        <v>#NUM!</v>
      </c>
      <c r="K304" s="35" t="e">
        <f t="shared" si="22"/>
        <v>#NUM!</v>
      </c>
      <c r="L304" s="35"/>
      <c r="M304" s="37">
        <f t="shared" si="23"/>
        <v>0</v>
      </c>
    </row>
    <row r="305" spans="1:16" x14ac:dyDescent="0.25">
      <c r="A305" s="56"/>
      <c r="G305" s="13"/>
      <c r="H305" s="35">
        <v>300</v>
      </c>
      <c r="I305" s="36" t="str">
        <f t="shared" si="21"/>
        <v/>
      </c>
      <c r="J305" s="35" t="e">
        <f t="shared" si="24"/>
        <v>#NUM!</v>
      </c>
      <c r="K305" s="35" t="e">
        <f t="shared" si="22"/>
        <v>#NUM!</v>
      </c>
      <c r="L305" s="35"/>
      <c r="M305" s="37">
        <f t="shared" si="23"/>
        <v>0</v>
      </c>
    </row>
    <row r="306" spans="1:16" x14ac:dyDescent="0.25">
      <c r="A306" s="58"/>
    </row>
    <row r="314" spans="1:16" x14ac:dyDescent="0.25">
      <c r="L314" s="61"/>
      <c r="P314" s="51"/>
    </row>
    <row r="315" spans="1:16" x14ac:dyDescent="0.25">
      <c r="L315" s="61"/>
      <c r="P315" s="51"/>
    </row>
    <row r="316" spans="1:16" x14ac:dyDescent="0.25">
      <c r="L316" s="61"/>
      <c r="P316" s="51"/>
    </row>
    <row r="317" spans="1:16" x14ac:dyDescent="0.25">
      <c r="L317" s="61"/>
      <c r="P317" s="51"/>
    </row>
  </sheetData>
  <mergeCells count="2">
    <mergeCell ref="C2:D2"/>
    <mergeCell ref="C3:D3"/>
  </mergeCells>
  <conditionalFormatting sqref="J6:K305">
    <cfRule type="cellIs" dxfId="30" priority="1" operator="lessThanOrEqual">
      <formula>0</formula>
    </cfRule>
  </conditionalFormatting>
  <dataValidations count="1">
    <dataValidation type="list" allowBlank="1" showInputMessage="1" showErrorMessage="1" sqref="C38:C69" xr:uid="{EC78DCE8-675E-4839-8B05-F34DC2B4B885}">
      <formula1>#REF!</formula1>
    </dataValidation>
  </dataValidations>
  <hyperlinks>
    <hyperlink ref="C2:D2" r:id="rId1" location="today" display="OPOLE" xr:uid="{D769B9FA-17C5-481F-85F6-DF393A622FA6}"/>
  </hyperlinks>
  <pageMargins left="0.7" right="0.7" top="0.75" bottom="0.75" header="0.3" footer="0.3"/>
  <pageSetup paperSize="9" orientation="portrait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D158A-150A-4C7E-BF5C-08C434D4A2BB}">
  <sheetPr>
    <tabColor rgb="FF92D050"/>
  </sheetPr>
  <dimension ref="A1:AL317"/>
  <sheetViews>
    <sheetView workbookViewId="0">
      <selection activeCell="C2" sqref="C2:D3"/>
    </sheetView>
  </sheetViews>
  <sheetFormatPr defaultColWidth="8.875" defaultRowHeight="14.3" x14ac:dyDescent="0.25"/>
  <cols>
    <col min="1" max="1" width="8" style="57" customWidth="1"/>
    <col min="2" max="2" width="8.25" style="57" customWidth="1"/>
    <col min="3" max="3" width="34.75" style="57" customWidth="1"/>
    <col min="4" max="4" width="11.25" style="57" customWidth="1"/>
    <col min="5" max="6" width="8.875" style="57"/>
    <col min="7" max="7" width="0.875" style="57" customWidth="1"/>
    <col min="8" max="8" width="8.875" style="59"/>
    <col min="9" max="9" width="11" style="59" customWidth="1"/>
    <col min="10" max="10" width="15.25" style="59" customWidth="1"/>
    <col min="11" max="11" width="8.75" style="59" customWidth="1"/>
    <col min="12" max="12" width="11" style="59" customWidth="1"/>
    <col min="13" max="13" width="11.75" style="60" customWidth="1"/>
    <col min="14" max="15" width="13.875" style="13" customWidth="1"/>
    <col min="16" max="18" width="8.875" style="13"/>
    <col min="19" max="20" width="8.875" style="18"/>
    <col min="21" max="21" width="12.125" style="18" customWidth="1"/>
    <col min="22" max="22" width="27.375" style="18" customWidth="1"/>
    <col min="23" max="38" width="8.875" style="18"/>
    <col min="39" max="16384" width="8.875" style="57"/>
  </cols>
  <sheetData>
    <row r="1" spans="1:36" x14ac:dyDescent="0.25">
      <c r="A1" s="13"/>
      <c r="B1" s="13"/>
      <c r="C1" s="13"/>
      <c r="D1" s="13"/>
      <c r="E1" s="13"/>
      <c r="F1" s="13"/>
      <c r="G1" s="13"/>
      <c r="H1" s="14" t="s">
        <v>20</v>
      </c>
      <c r="I1" s="15" t="s">
        <v>21</v>
      </c>
      <c r="J1" s="15" t="s">
        <v>22</v>
      </c>
      <c r="K1" s="16" t="s">
        <v>23</v>
      </c>
      <c r="L1" s="17"/>
      <c r="M1" s="17"/>
    </row>
    <row r="2" spans="1:36" ht="14.45" customHeight="1" x14ac:dyDescent="0.25">
      <c r="A2" s="13"/>
      <c r="B2" s="19" t="s">
        <v>24</v>
      </c>
      <c r="C2" s="277" t="s">
        <v>60</v>
      </c>
      <c r="D2" s="277"/>
      <c r="E2" s="20"/>
      <c r="F2" s="20"/>
      <c r="G2" s="20"/>
      <c r="H2" s="21">
        <v>0</v>
      </c>
      <c r="I2" s="22">
        <v>50</v>
      </c>
      <c r="J2" s="22">
        <v>10</v>
      </c>
      <c r="K2" s="23">
        <f>3*H2^(1/3)</f>
        <v>0</v>
      </c>
      <c r="L2" s="17"/>
      <c r="M2" s="17"/>
    </row>
    <row r="3" spans="1:36" ht="14.45" customHeight="1" x14ac:dyDescent="0.25">
      <c r="A3" s="13"/>
      <c r="B3" s="24" t="s">
        <v>26</v>
      </c>
      <c r="C3" s="278" t="s">
        <v>61</v>
      </c>
      <c r="D3" s="278"/>
      <c r="E3" s="25"/>
      <c r="F3" s="25"/>
      <c r="G3" s="25"/>
      <c r="H3" s="17"/>
      <c r="I3" s="17"/>
      <c r="J3" s="26"/>
      <c r="K3" s="17"/>
      <c r="L3" s="17"/>
      <c r="M3" s="17"/>
    </row>
    <row r="4" spans="1:36" ht="10.199999999999999" customHeight="1" x14ac:dyDescent="0.25">
      <c r="A4" s="27"/>
      <c r="B4" s="25"/>
      <c r="C4" s="27"/>
      <c r="D4" s="27"/>
      <c r="E4" s="27"/>
      <c r="F4" s="27"/>
      <c r="G4" s="27"/>
      <c r="H4" s="17"/>
      <c r="I4" s="17"/>
      <c r="J4" s="26"/>
      <c r="K4" s="17"/>
      <c r="L4" s="17"/>
      <c r="M4" s="17"/>
    </row>
    <row r="5" spans="1:36" ht="34.65" x14ac:dyDescent="0.25">
      <c r="A5" s="1" t="s">
        <v>28</v>
      </c>
      <c r="B5" s="28" t="s">
        <v>29</v>
      </c>
      <c r="C5" s="1" t="s">
        <v>30</v>
      </c>
      <c r="D5" s="1" t="s">
        <v>31</v>
      </c>
      <c r="E5" s="1" t="s">
        <v>32</v>
      </c>
      <c r="F5" s="1" t="s">
        <v>33</v>
      </c>
      <c r="G5" s="27"/>
      <c r="H5" s="29" t="s">
        <v>34</v>
      </c>
      <c r="I5" s="30" t="s">
        <v>35</v>
      </c>
      <c r="J5" s="31" t="s">
        <v>36</v>
      </c>
      <c r="K5" s="30" t="s">
        <v>37</v>
      </c>
      <c r="L5" s="30" t="s">
        <v>38</v>
      </c>
      <c r="M5" s="29" t="s">
        <v>39</v>
      </c>
    </row>
    <row r="6" spans="1:36" ht="14.45" customHeight="1" x14ac:dyDescent="0.25">
      <c r="A6" s="32">
        <f>M6</f>
        <v>0</v>
      </c>
      <c r="B6" s="33" t="str">
        <f t="shared" ref="B6:B13" si="0">IF(H6&gt;$H$2,"",(ROW()-5))</f>
        <v/>
      </c>
      <c r="C6" s="34"/>
      <c r="D6" s="34"/>
      <c r="E6" s="34"/>
      <c r="F6" s="34"/>
      <c r="G6" s="27"/>
      <c r="H6" s="35">
        <v>1</v>
      </c>
      <c r="I6" s="36" t="str">
        <f>IF(H2=1,50,IF(H6&lt;$H$2+1,($I$2-($I$2-1)*(LOG(H6)/LOG($H$2))),""))</f>
        <v/>
      </c>
      <c r="J6" s="35" t="e">
        <f>INT(LOG($H$2,2))-ROUNDUP(LOG(H6,2),0)+IF(OR($H$2=1,$H$2=2,$H$2=4,$H$2=8,$H$2=16,$H$2=32,$H$2=64,$H$2=128,$H$2=256),0,1)</f>
        <v>#NUM!</v>
      </c>
      <c r="K6" s="35" t="e">
        <f t="shared" ref="K6:K69" si="1">J6*$J$2</f>
        <v>#NUM!</v>
      </c>
      <c r="L6" s="37">
        <f>3*K2</f>
        <v>0</v>
      </c>
      <c r="M6" s="37">
        <f t="shared" ref="M6:M69" si="2">IF(I6&lt;&gt;"",K6+I6+L6,0)</f>
        <v>0</v>
      </c>
    </row>
    <row r="7" spans="1:36" ht="14.45" customHeight="1" x14ac:dyDescent="0.25">
      <c r="A7" s="38">
        <f t="shared" ref="A7:A37" si="3">M7</f>
        <v>0</v>
      </c>
      <c r="B7" s="39" t="str">
        <f t="shared" si="0"/>
        <v/>
      </c>
      <c r="C7" s="40"/>
      <c r="D7" s="40"/>
      <c r="E7" s="40"/>
      <c r="F7" s="40"/>
      <c r="G7" s="27"/>
      <c r="H7" s="41">
        <v>2</v>
      </c>
      <c r="I7" s="42" t="str">
        <f t="shared" ref="I7:I69" si="4">IF(H7&lt;$H$2+1,($I$2-($I$2-1)*(LOG(H7)/LOG($H$2))),"")</f>
        <v/>
      </c>
      <c r="J7" s="41" t="e">
        <f t="shared" ref="J7:J70" si="5">INT(LOG($H$2,2))-ROUNDUP(LOG(H7,2),0)+IF(OR($H$2=1,$H$2=2,$H$2=4,$H$2=8,$H$2=16,$H$2=32,$H$2=64,$H$2=128,$H$2=256),0,1)</f>
        <v>#NUM!</v>
      </c>
      <c r="K7" s="41" t="e">
        <f t="shared" si="1"/>
        <v>#NUM!</v>
      </c>
      <c r="L7" s="43">
        <f>2*K2</f>
        <v>0</v>
      </c>
      <c r="M7" s="43">
        <f t="shared" si="2"/>
        <v>0</v>
      </c>
    </row>
    <row r="8" spans="1:36" ht="14.45" customHeight="1" x14ac:dyDescent="0.25">
      <c r="A8" s="32">
        <f t="shared" si="3"/>
        <v>0</v>
      </c>
      <c r="B8" s="33" t="str">
        <f t="shared" si="0"/>
        <v/>
      </c>
      <c r="C8" s="34"/>
      <c r="D8" s="34"/>
      <c r="E8" s="34"/>
      <c r="F8" s="34"/>
      <c r="G8" s="27"/>
      <c r="H8" s="35">
        <v>3</v>
      </c>
      <c r="I8" s="36" t="str">
        <f t="shared" si="4"/>
        <v/>
      </c>
      <c r="J8" s="35" t="e">
        <f t="shared" si="5"/>
        <v>#NUM!</v>
      </c>
      <c r="K8" s="35" t="e">
        <f t="shared" si="1"/>
        <v>#NUM!</v>
      </c>
      <c r="L8" s="37">
        <f>K2</f>
        <v>0</v>
      </c>
      <c r="M8" s="37">
        <f t="shared" si="2"/>
        <v>0</v>
      </c>
    </row>
    <row r="9" spans="1:36" ht="14.45" customHeight="1" x14ac:dyDescent="0.25">
      <c r="A9" s="38">
        <f t="shared" si="3"/>
        <v>0</v>
      </c>
      <c r="B9" s="39" t="str">
        <f t="shared" si="0"/>
        <v/>
      </c>
      <c r="C9" s="40"/>
      <c r="D9" s="40"/>
      <c r="E9" s="40"/>
      <c r="F9" s="40"/>
      <c r="G9" s="27"/>
      <c r="H9" s="41">
        <v>4</v>
      </c>
      <c r="I9" s="42" t="str">
        <f t="shared" si="4"/>
        <v/>
      </c>
      <c r="J9" s="41" t="e">
        <f t="shared" si="5"/>
        <v>#NUM!</v>
      </c>
      <c r="K9" s="41" t="e">
        <f t="shared" si="1"/>
        <v>#NUM!</v>
      </c>
      <c r="L9" s="43"/>
      <c r="M9" s="43">
        <f t="shared" si="2"/>
        <v>0</v>
      </c>
      <c r="V9" s="44"/>
      <c r="Z9" s="45"/>
      <c r="AA9" s="45"/>
      <c r="AG9" s="46"/>
      <c r="AH9" s="18" t="s">
        <v>40</v>
      </c>
      <c r="AI9" s="18">
        <v>23</v>
      </c>
    </row>
    <row r="10" spans="1:36" ht="14.45" customHeight="1" x14ac:dyDescent="0.25">
      <c r="A10" s="32">
        <f t="shared" si="3"/>
        <v>0</v>
      </c>
      <c r="B10" s="33" t="str">
        <f t="shared" si="0"/>
        <v/>
      </c>
      <c r="C10" s="34"/>
      <c r="D10" s="34"/>
      <c r="E10" s="34"/>
      <c r="F10" s="34"/>
      <c r="G10" s="27"/>
      <c r="H10" s="35">
        <v>5</v>
      </c>
      <c r="I10" s="36" t="str">
        <f t="shared" si="4"/>
        <v/>
      </c>
      <c r="J10" s="35" t="e">
        <f t="shared" si="5"/>
        <v>#NUM!</v>
      </c>
      <c r="K10" s="35" t="e">
        <f t="shared" si="1"/>
        <v>#NUM!</v>
      </c>
      <c r="L10" s="35"/>
      <c r="M10" s="37">
        <f t="shared" si="2"/>
        <v>0</v>
      </c>
      <c r="V10" s="44"/>
      <c r="Z10" s="45"/>
      <c r="AA10" s="45"/>
      <c r="AG10" s="46"/>
      <c r="AH10" s="18" t="s">
        <v>41</v>
      </c>
      <c r="AI10" s="18">
        <v>45</v>
      </c>
    </row>
    <row r="11" spans="1:36" ht="14.45" customHeight="1" x14ac:dyDescent="0.25">
      <c r="A11" s="38">
        <f t="shared" si="3"/>
        <v>0</v>
      </c>
      <c r="B11" s="39" t="str">
        <f t="shared" si="0"/>
        <v/>
      </c>
      <c r="C11" s="40"/>
      <c r="D11" s="40"/>
      <c r="E11" s="40"/>
      <c r="F11" s="40"/>
      <c r="G11" s="27"/>
      <c r="H11" s="41">
        <v>6</v>
      </c>
      <c r="I11" s="42" t="str">
        <f t="shared" si="4"/>
        <v/>
      </c>
      <c r="J11" s="41" t="e">
        <f t="shared" si="5"/>
        <v>#NUM!</v>
      </c>
      <c r="K11" s="41" t="e">
        <f t="shared" si="1"/>
        <v>#NUM!</v>
      </c>
      <c r="L11" s="41"/>
      <c r="M11" s="43">
        <f t="shared" si="2"/>
        <v>0</v>
      </c>
      <c r="V11" s="47"/>
      <c r="Z11" s="45"/>
      <c r="AA11" s="45"/>
      <c r="AG11" s="46"/>
      <c r="AH11" s="18" t="s">
        <v>42</v>
      </c>
      <c r="AI11" s="18">
        <v>50</v>
      </c>
    </row>
    <row r="12" spans="1:36" ht="14.45" customHeight="1" x14ac:dyDescent="0.25">
      <c r="A12" s="32">
        <f t="shared" si="3"/>
        <v>0</v>
      </c>
      <c r="B12" s="33" t="str">
        <f t="shared" si="0"/>
        <v/>
      </c>
      <c r="C12" s="34"/>
      <c r="D12" s="34"/>
      <c r="E12" s="34"/>
      <c r="F12" s="34"/>
      <c r="G12" s="27"/>
      <c r="H12" s="35">
        <v>7</v>
      </c>
      <c r="I12" s="36" t="str">
        <f t="shared" si="4"/>
        <v/>
      </c>
      <c r="J12" s="35" t="e">
        <f t="shared" si="5"/>
        <v>#NUM!</v>
      </c>
      <c r="K12" s="35" t="e">
        <f t="shared" si="1"/>
        <v>#NUM!</v>
      </c>
      <c r="L12" s="35"/>
      <c r="M12" s="37">
        <f t="shared" si="2"/>
        <v>0</v>
      </c>
      <c r="Z12" s="45"/>
      <c r="AA12" s="45"/>
      <c r="AG12" s="46"/>
      <c r="AH12" s="18" t="s">
        <v>43</v>
      </c>
      <c r="AI12" s="18">
        <f>AI11-1</f>
        <v>49</v>
      </c>
    </row>
    <row r="13" spans="1:36" ht="14.45" customHeight="1" x14ac:dyDescent="0.25">
      <c r="A13" s="48">
        <f t="shared" si="3"/>
        <v>0</v>
      </c>
      <c r="B13" s="39" t="str">
        <f t="shared" si="0"/>
        <v/>
      </c>
      <c r="C13" s="40"/>
      <c r="D13" s="40"/>
      <c r="E13" s="40"/>
      <c r="F13" s="40"/>
      <c r="G13" s="27"/>
      <c r="H13" s="41">
        <v>8</v>
      </c>
      <c r="I13" s="42" t="str">
        <f t="shared" si="4"/>
        <v/>
      </c>
      <c r="J13" s="41" t="e">
        <f t="shared" si="5"/>
        <v>#NUM!</v>
      </c>
      <c r="K13" s="41" t="e">
        <f t="shared" si="1"/>
        <v>#NUM!</v>
      </c>
      <c r="L13" s="41"/>
      <c r="M13" s="43">
        <f t="shared" si="2"/>
        <v>0</v>
      </c>
      <c r="X13" s="44"/>
      <c r="AG13" s="46"/>
      <c r="AH13" s="18" t="s">
        <v>44</v>
      </c>
      <c r="AI13" s="18">
        <f>LOG(AI9)</f>
        <v>1.3617278360175928</v>
      </c>
    </row>
    <row r="14" spans="1:36" x14ac:dyDescent="0.25">
      <c r="A14" s="49">
        <f t="shared" si="3"/>
        <v>0</v>
      </c>
      <c r="B14" s="33" t="str">
        <f>IF(H14&gt;$H$2,"",(ROW()-5))</f>
        <v/>
      </c>
      <c r="C14" s="34"/>
      <c r="D14" s="34"/>
      <c r="E14" s="34"/>
      <c r="F14" s="34"/>
      <c r="G14" s="27"/>
      <c r="H14" s="35">
        <v>9</v>
      </c>
      <c r="I14" s="36" t="str">
        <f t="shared" si="4"/>
        <v/>
      </c>
      <c r="J14" s="35" t="e">
        <f t="shared" si="5"/>
        <v>#NUM!</v>
      </c>
      <c r="K14" s="35" t="e">
        <f t="shared" si="1"/>
        <v>#NUM!</v>
      </c>
      <c r="L14" s="35"/>
      <c r="M14" s="37">
        <f t="shared" si="2"/>
        <v>0</v>
      </c>
      <c r="X14" s="50"/>
      <c r="Z14" s="45"/>
      <c r="AA14" s="45"/>
      <c r="AG14" s="46"/>
      <c r="AH14" s="18" t="s">
        <v>45</v>
      </c>
      <c r="AI14" s="18">
        <f>LOG(AI10)</f>
        <v>1.6532125137753437</v>
      </c>
    </row>
    <row r="15" spans="1:36" x14ac:dyDescent="0.25">
      <c r="A15" s="48">
        <f t="shared" si="3"/>
        <v>0</v>
      </c>
      <c r="B15" s="39" t="str">
        <f t="shared" ref="B15:B65" si="6">IF(H15&gt;$H$2,"",(ROW()-5))</f>
        <v/>
      </c>
      <c r="C15" s="40"/>
      <c r="D15" s="40"/>
      <c r="E15" s="40"/>
      <c r="F15" s="40"/>
      <c r="G15" s="27"/>
      <c r="H15" s="41">
        <v>10</v>
      </c>
      <c r="I15" s="42" t="str">
        <f t="shared" si="4"/>
        <v/>
      </c>
      <c r="J15" s="41" t="e">
        <f t="shared" si="5"/>
        <v>#NUM!</v>
      </c>
      <c r="K15" s="41" t="e">
        <f t="shared" si="1"/>
        <v>#NUM!</v>
      </c>
      <c r="L15" s="41"/>
      <c r="M15" s="43">
        <f t="shared" si="2"/>
        <v>0</v>
      </c>
      <c r="X15" s="44"/>
      <c r="Z15" s="45"/>
      <c r="AA15" s="45"/>
    </row>
    <row r="16" spans="1:36" x14ac:dyDescent="0.25">
      <c r="A16" s="49">
        <f t="shared" si="3"/>
        <v>0</v>
      </c>
      <c r="B16" s="33" t="str">
        <f t="shared" si="6"/>
        <v/>
      </c>
      <c r="C16" s="34"/>
      <c r="D16" s="34"/>
      <c r="E16" s="34"/>
      <c r="F16" s="34"/>
      <c r="G16" s="27"/>
      <c r="H16" s="35">
        <v>11</v>
      </c>
      <c r="I16" s="36" t="str">
        <f t="shared" si="4"/>
        <v/>
      </c>
      <c r="J16" s="35" t="e">
        <f t="shared" si="5"/>
        <v>#NUM!</v>
      </c>
      <c r="K16" s="35" t="e">
        <f t="shared" si="1"/>
        <v>#NUM!</v>
      </c>
      <c r="L16" s="35"/>
      <c r="M16" s="37">
        <f t="shared" si="2"/>
        <v>0</v>
      </c>
      <c r="R16" s="51"/>
      <c r="Z16" s="45"/>
      <c r="AA16" s="45"/>
      <c r="AH16" s="52" t="s">
        <v>46</v>
      </c>
      <c r="AI16" s="18">
        <f>AI11-AI12*AI13/AI14</f>
        <v>9.6393909380186855</v>
      </c>
      <c r="AJ16" s="18" t="s">
        <v>47</v>
      </c>
    </row>
    <row r="17" spans="1:19" x14ac:dyDescent="0.25">
      <c r="A17" s="48">
        <f t="shared" si="3"/>
        <v>0</v>
      </c>
      <c r="B17" s="39" t="str">
        <f t="shared" si="6"/>
        <v/>
      </c>
      <c r="C17" s="40"/>
      <c r="D17" s="40"/>
      <c r="E17" s="40"/>
      <c r="F17" s="40"/>
      <c r="G17" s="27"/>
      <c r="H17" s="41">
        <v>12</v>
      </c>
      <c r="I17" s="42" t="str">
        <f t="shared" si="4"/>
        <v/>
      </c>
      <c r="J17" s="41" t="e">
        <f t="shared" si="5"/>
        <v>#NUM!</v>
      </c>
      <c r="K17" s="41" t="e">
        <f t="shared" si="1"/>
        <v>#NUM!</v>
      </c>
      <c r="L17" s="41"/>
      <c r="M17" s="43">
        <f t="shared" si="2"/>
        <v>0</v>
      </c>
    </row>
    <row r="18" spans="1:19" x14ac:dyDescent="0.25">
      <c r="A18" s="49">
        <f t="shared" si="3"/>
        <v>0</v>
      </c>
      <c r="B18" s="33" t="str">
        <f t="shared" si="6"/>
        <v/>
      </c>
      <c r="C18" s="34"/>
      <c r="D18" s="34"/>
      <c r="E18" s="34"/>
      <c r="F18" s="34"/>
      <c r="G18" s="27"/>
      <c r="H18" s="35">
        <v>13</v>
      </c>
      <c r="I18" s="36" t="str">
        <f t="shared" si="4"/>
        <v/>
      </c>
      <c r="J18" s="35" t="e">
        <f t="shared" si="5"/>
        <v>#NUM!</v>
      </c>
      <c r="K18" s="35" t="e">
        <f t="shared" si="1"/>
        <v>#NUM!</v>
      </c>
      <c r="L18" s="35"/>
      <c r="M18" s="37">
        <f t="shared" si="2"/>
        <v>0</v>
      </c>
    </row>
    <row r="19" spans="1:19" x14ac:dyDescent="0.25">
      <c r="A19" s="48">
        <f t="shared" si="3"/>
        <v>0</v>
      </c>
      <c r="B19" s="39" t="str">
        <f t="shared" si="6"/>
        <v/>
      </c>
      <c r="C19" s="40"/>
      <c r="D19" s="40"/>
      <c r="E19" s="40"/>
      <c r="F19" s="40"/>
      <c r="G19" s="27"/>
      <c r="H19" s="41">
        <v>14</v>
      </c>
      <c r="I19" s="42" t="str">
        <f t="shared" si="4"/>
        <v/>
      </c>
      <c r="J19" s="41" t="e">
        <f t="shared" si="5"/>
        <v>#NUM!</v>
      </c>
      <c r="K19" s="41" t="e">
        <f t="shared" si="1"/>
        <v>#NUM!</v>
      </c>
      <c r="L19" s="41"/>
      <c r="M19" s="43">
        <f t="shared" si="2"/>
        <v>0</v>
      </c>
    </row>
    <row r="20" spans="1:19" x14ac:dyDescent="0.25">
      <c r="A20" s="49">
        <f t="shared" si="3"/>
        <v>0</v>
      </c>
      <c r="B20" s="33" t="str">
        <f t="shared" si="6"/>
        <v/>
      </c>
      <c r="C20" s="34"/>
      <c r="D20" s="34"/>
      <c r="E20" s="34"/>
      <c r="F20" s="34"/>
      <c r="G20" s="27"/>
      <c r="H20" s="35">
        <v>15</v>
      </c>
      <c r="I20" s="36" t="str">
        <f t="shared" si="4"/>
        <v/>
      </c>
      <c r="J20" s="35" t="e">
        <f t="shared" si="5"/>
        <v>#NUM!</v>
      </c>
      <c r="K20" s="35" t="e">
        <f t="shared" si="1"/>
        <v>#NUM!</v>
      </c>
      <c r="L20" s="35"/>
      <c r="M20" s="37">
        <f t="shared" si="2"/>
        <v>0</v>
      </c>
      <c r="R20" s="53"/>
      <c r="S20" s="54"/>
    </row>
    <row r="21" spans="1:19" x14ac:dyDescent="0.25">
      <c r="A21" s="48">
        <f t="shared" si="3"/>
        <v>0</v>
      </c>
      <c r="B21" s="39" t="str">
        <f t="shared" si="6"/>
        <v/>
      </c>
      <c r="C21" s="40"/>
      <c r="D21" s="40"/>
      <c r="E21" s="40"/>
      <c r="F21" s="40"/>
      <c r="G21" s="27"/>
      <c r="H21" s="41">
        <v>16</v>
      </c>
      <c r="I21" s="42" t="str">
        <f t="shared" si="4"/>
        <v/>
      </c>
      <c r="J21" s="41" t="e">
        <f t="shared" si="5"/>
        <v>#NUM!</v>
      </c>
      <c r="K21" s="41" t="e">
        <f t="shared" si="1"/>
        <v>#NUM!</v>
      </c>
      <c r="L21" s="41"/>
      <c r="M21" s="43">
        <f t="shared" si="2"/>
        <v>0</v>
      </c>
    </row>
    <row r="22" spans="1:19" x14ac:dyDescent="0.25">
      <c r="A22" s="49">
        <f t="shared" si="3"/>
        <v>0</v>
      </c>
      <c r="B22" s="33" t="str">
        <f t="shared" si="6"/>
        <v/>
      </c>
      <c r="C22" s="34"/>
      <c r="D22" s="34"/>
      <c r="E22" s="34"/>
      <c r="F22" s="34"/>
      <c r="G22" s="27"/>
      <c r="H22" s="35">
        <v>17</v>
      </c>
      <c r="I22" s="36" t="str">
        <f t="shared" si="4"/>
        <v/>
      </c>
      <c r="J22" s="35" t="e">
        <f t="shared" si="5"/>
        <v>#NUM!</v>
      </c>
      <c r="K22" s="35" t="e">
        <f t="shared" si="1"/>
        <v>#NUM!</v>
      </c>
      <c r="L22" s="35"/>
      <c r="M22" s="37">
        <f t="shared" si="2"/>
        <v>0</v>
      </c>
    </row>
    <row r="23" spans="1:19" x14ac:dyDescent="0.25">
      <c r="A23" s="48">
        <f t="shared" si="3"/>
        <v>0</v>
      </c>
      <c r="B23" s="39" t="str">
        <f t="shared" si="6"/>
        <v/>
      </c>
      <c r="C23" s="40"/>
      <c r="D23" s="40"/>
      <c r="E23" s="40"/>
      <c r="F23" s="40"/>
      <c r="G23" s="27"/>
      <c r="H23" s="41">
        <v>18</v>
      </c>
      <c r="I23" s="42" t="str">
        <f t="shared" si="4"/>
        <v/>
      </c>
      <c r="J23" s="41" t="e">
        <f t="shared" si="5"/>
        <v>#NUM!</v>
      </c>
      <c r="K23" s="41" t="e">
        <f t="shared" si="1"/>
        <v>#NUM!</v>
      </c>
      <c r="L23" s="41"/>
      <c r="M23" s="43">
        <f t="shared" si="2"/>
        <v>0</v>
      </c>
    </row>
    <row r="24" spans="1:19" x14ac:dyDescent="0.25">
      <c r="A24" s="49">
        <f t="shared" si="3"/>
        <v>0</v>
      </c>
      <c r="B24" s="33" t="str">
        <f t="shared" si="6"/>
        <v/>
      </c>
      <c r="C24" s="34"/>
      <c r="D24" s="34"/>
      <c r="E24" s="34"/>
      <c r="F24" s="34"/>
      <c r="G24" s="27"/>
      <c r="H24" s="35">
        <v>19</v>
      </c>
      <c r="I24" s="36" t="str">
        <f t="shared" si="4"/>
        <v/>
      </c>
      <c r="J24" s="35" t="e">
        <f t="shared" si="5"/>
        <v>#NUM!</v>
      </c>
      <c r="K24" s="35" t="e">
        <f t="shared" si="1"/>
        <v>#NUM!</v>
      </c>
      <c r="L24" s="35"/>
      <c r="M24" s="37">
        <f t="shared" si="2"/>
        <v>0</v>
      </c>
      <c r="R24" s="53"/>
      <c r="S24" s="54"/>
    </row>
    <row r="25" spans="1:19" x14ac:dyDescent="0.25">
      <c r="A25" s="48">
        <f t="shared" si="3"/>
        <v>0</v>
      </c>
      <c r="B25" s="39" t="str">
        <f t="shared" si="6"/>
        <v/>
      </c>
      <c r="C25" s="40"/>
      <c r="D25" s="40"/>
      <c r="E25" s="40"/>
      <c r="F25" s="40"/>
      <c r="G25" s="27"/>
      <c r="H25" s="41">
        <v>20</v>
      </c>
      <c r="I25" s="42" t="str">
        <f t="shared" si="4"/>
        <v/>
      </c>
      <c r="J25" s="41" t="e">
        <f t="shared" si="5"/>
        <v>#NUM!</v>
      </c>
      <c r="K25" s="41" t="e">
        <f t="shared" si="1"/>
        <v>#NUM!</v>
      </c>
      <c r="L25" s="41"/>
      <c r="M25" s="43">
        <f t="shared" si="2"/>
        <v>0</v>
      </c>
    </row>
    <row r="26" spans="1:19" x14ac:dyDescent="0.25">
      <c r="A26" s="49">
        <f t="shared" si="3"/>
        <v>0</v>
      </c>
      <c r="B26" s="33" t="str">
        <f t="shared" si="6"/>
        <v/>
      </c>
      <c r="C26" s="34"/>
      <c r="D26" s="34"/>
      <c r="E26" s="34"/>
      <c r="F26" s="34"/>
      <c r="G26" s="27"/>
      <c r="H26" s="35">
        <v>21</v>
      </c>
      <c r="I26" s="36" t="str">
        <f t="shared" si="4"/>
        <v/>
      </c>
      <c r="J26" s="35" t="e">
        <f t="shared" si="5"/>
        <v>#NUM!</v>
      </c>
      <c r="K26" s="35" t="e">
        <f t="shared" si="1"/>
        <v>#NUM!</v>
      </c>
      <c r="L26" s="35"/>
      <c r="M26" s="37">
        <f t="shared" si="2"/>
        <v>0</v>
      </c>
    </row>
    <row r="27" spans="1:19" x14ac:dyDescent="0.25">
      <c r="A27" s="48">
        <f t="shared" si="3"/>
        <v>0</v>
      </c>
      <c r="B27" s="39" t="str">
        <f t="shared" si="6"/>
        <v/>
      </c>
      <c r="C27" s="40"/>
      <c r="D27" s="40"/>
      <c r="E27" s="40"/>
      <c r="F27" s="40"/>
      <c r="G27" s="27"/>
      <c r="H27" s="41">
        <v>22</v>
      </c>
      <c r="I27" s="42" t="str">
        <f t="shared" si="4"/>
        <v/>
      </c>
      <c r="J27" s="41" t="e">
        <f t="shared" si="5"/>
        <v>#NUM!</v>
      </c>
      <c r="K27" s="41" t="e">
        <f t="shared" si="1"/>
        <v>#NUM!</v>
      </c>
      <c r="L27" s="41"/>
      <c r="M27" s="43">
        <f t="shared" si="2"/>
        <v>0</v>
      </c>
    </row>
    <row r="28" spans="1:19" x14ac:dyDescent="0.25">
      <c r="A28" s="49">
        <f t="shared" si="3"/>
        <v>0</v>
      </c>
      <c r="B28" s="33" t="str">
        <f t="shared" si="6"/>
        <v/>
      </c>
      <c r="C28" s="34"/>
      <c r="D28" s="34"/>
      <c r="E28" s="34"/>
      <c r="F28" s="34"/>
      <c r="G28" s="27"/>
      <c r="H28" s="35">
        <v>23</v>
      </c>
      <c r="I28" s="36" t="str">
        <f t="shared" si="4"/>
        <v/>
      </c>
      <c r="J28" s="35" t="e">
        <f t="shared" si="5"/>
        <v>#NUM!</v>
      </c>
      <c r="K28" s="35" t="e">
        <f t="shared" si="1"/>
        <v>#NUM!</v>
      </c>
      <c r="L28" s="35"/>
      <c r="M28" s="37">
        <f t="shared" si="2"/>
        <v>0</v>
      </c>
      <c r="R28" s="53"/>
      <c r="S28" s="54"/>
    </row>
    <row r="29" spans="1:19" x14ac:dyDescent="0.25">
      <c r="A29" s="48">
        <f t="shared" si="3"/>
        <v>0</v>
      </c>
      <c r="B29" s="39" t="str">
        <f t="shared" si="6"/>
        <v/>
      </c>
      <c r="C29" s="40"/>
      <c r="D29" s="40"/>
      <c r="E29" s="40"/>
      <c r="F29" s="40"/>
      <c r="G29" s="13"/>
      <c r="H29" s="41">
        <v>24</v>
      </c>
      <c r="I29" s="42" t="str">
        <f t="shared" si="4"/>
        <v/>
      </c>
      <c r="J29" s="41" t="e">
        <f t="shared" si="5"/>
        <v>#NUM!</v>
      </c>
      <c r="K29" s="41" t="e">
        <f t="shared" si="1"/>
        <v>#NUM!</v>
      </c>
      <c r="L29" s="41"/>
      <c r="M29" s="43">
        <f t="shared" si="2"/>
        <v>0</v>
      </c>
    </row>
    <row r="30" spans="1:19" x14ac:dyDescent="0.25">
      <c r="A30" s="49">
        <f t="shared" si="3"/>
        <v>0</v>
      </c>
      <c r="B30" s="33" t="str">
        <f t="shared" si="6"/>
        <v/>
      </c>
      <c r="C30" s="34"/>
      <c r="D30" s="34"/>
      <c r="E30" s="34"/>
      <c r="F30" s="34"/>
      <c r="G30" s="13"/>
      <c r="H30" s="35">
        <v>25</v>
      </c>
      <c r="I30" s="36" t="str">
        <f t="shared" si="4"/>
        <v/>
      </c>
      <c r="J30" s="35" t="e">
        <f t="shared" si="5"/>
        <v>#NUM!</v>
      </c>
      <c r="K30" s="35" t="e">
        <f t="shared" si="1"/>
        <v>#NUM!</v>
      </c>
      <c r="L30" s="35"/>
      <c r="M30" s="37">
        <f t="shared" si="2"/>
        <v>0</v>
      </c>
    </row>
    <row r="31" spans="1:19" x14ac:dyDescent="0.25">
      <c r="A31" s="48">
        <f t="shared" si="3"/>
        <v>0</v>
      </c>
      <c r="B31" s="39" t="str">
        <f t="shared" si="6"/>
        <v/>
      </c>
      <c r="C31" s="40"/>
      <c r="D31" s="40"/>
      <c r="E31" s="40"/>
      <c r="F31" s="40"/>
      <c r="G31" s="13"/>
      <c r="H31" s="41">
        <v>26</v>
      </c>
      <c r="I31" s="42" t="str">
        <f t="shared" si="4"/>
        <v/>
      </c>
      <c r="J31" s="41" t="e">
        <f t="shared" si="5"/>
        <v>#NUM!</v>
      </c>
      <c r="K31" s="41" t="e">
        <f t="shared" si="1"/>
        <v>#NUM!</v>
      </c>
      <c r="L31" s="41"/>
      <c r="M31" s="43">
        <f t="shared" si="2"/>
        <v>0</v>
      </c>
    </row>
    <row r="32" spans="1:19" x14ac:dyDescent="0.25">
      <c r="A32" s="49">
        <f t="shared" si="3"/>
        <v>0</v>
      </c>
      <c r="B32" s="33" t="str">
        <f t="shared" si="6"/>
        <v/>
      </c>
      <c r="C32" s="34"/>
      <c r="D32" s="34"/>
      <c r="E32" s="34"/>
      <c r="F32" s="34"/>
      <c r="G32" s="13"/>
      <c r="H32" s="35">
        <v>27</v>
      </c>
      <c r="I32" s="36" t="str">
        <f t="shared" si="4"/>
        <v/>
      </c>
      <c r="J32" s="35" t="e">
        <f t="shared" si="5"/>
        <v>#NUM!</v>
      </c>
      <c r="K32" s="35" t="e">
        <f t="shared" si="1"/>
        <v>#NUM!</v>
      </c>
      <c r="L32" s="35"/>
      <c r="M32" s="37">
        <f t="shared" si="2"/>
        <v>0</v>
      </c>
      <c r="R32" s="53"/>
      <c r="S32" s="54"/>
    </row>
    <row r="33" spans="1:21" x14ac:dyDescent="0.25">
      <c r="A33" s="48">
        <f t="shared" si="3"/>
        <v>0</v>
      </c>
      <c r="B33" s="39" t="str">
        <f t="shared" si="6"/>
        <v/>
      </c>
      <c r="C33" s="40"/>
      <c r="D33" s="40"/>
      <c r="E33" s="40"/>
      <c r="F33" s="40"/>
      <c r="G33" s="13"/>
      <c r="H33" s="41">
        <v>28</v>
      </c>
      <c r="I33" s="42" t="str">
        <f t="shared" si="4"/>
        <v/>
      </c>
      <c r="J33" s="41" t="e">
        <f t="shared" si="5"/>
        <v>#NUM!</v>
      </c>
      <c r="K33" s="41" t="e">
        <f t="shared" si="1"/>
        <v>#NUM!</v>
      </c>
      <c r="L33" s="41"/>
      <c r="M33" s="43">
        <f t="shared" si="2"/>
        <v>0</v>
      </c>
    </row>
    <row r="34" spans="1:21" x14ac:dyDescent="0.25">
      <c r="A34" s="49">
        <f t="shared" si="3"/>
        <v>0</v>
      </c>
      <c r="B34" s="33" t="str">
        <f t="shared" si="6"/>
        <v/>
      </c>
      <c r="C34" s="34"/>
      <c r="D34" s="34"/>
      <c r="E34" s="34"/>
      <c r="F34" s="34"/>
      <c r="G34" s="13"/>
      <c r="H34" s="35">
        <v>29</v>
      </c>
      <c r="I34" s="36" t="str">
        <f t="shared" si="4"/>
        <v/>
      </c>
      <c r="J34" s="35" t="e">
        <f t="shared" si="5"/>
        <v>#NUM!</v>
      </c>
      <c r="K34" s="35" t="e">
        <f t="shared" si="1"/>
        <v>#NUM!</v>
      </c>
      <c r="L34" s="35"/>
      <c r="M34" s="37">
        <f t="shared" si="2"/>
        <v>0</v>
      </c>
    </row>
    <row r="35" spans="1:21" x14ac:dyDescent="0.25">
      <c r="A35" s="48">
        <f t="shared" si="3"/>
        <v>0</v>
      </c>
      <c r="B35" s="39" t="str">
        <f t="shared" si="6"/>
        <v/>
      </c>
      <c r="C35" s="40"/>
      <c r="D35" s="40"/>
      <c r="E35" s="40"/>
      <c r="F35" s="40"/>
      <c r="G35" s="13"/>
      <c r="H35" s="41">
        <v>30</v>
      </c>
      <c r="I35" s="42" t="str">
        <f t="shared" si="4"/>
        <v/>
      </c>
      <c r="J35" s="41" t="e">
        <f t="shared" si="5"/>
        <v>#NUM!</v>
      </c>
      <c r="K35" s="41" t="e">
        <f t="shared" si="1"/>
        <v>#NUM!</v>
      </c>
      <c r="L35" s="41"/>
      <c r="M35" s="43">
        <f t="shared" si="2"/>
        <v>0</v>
      </c>
    </row>
    <row r="36" spans="1:21" x14ac:dyDescent="0.25">
      <c r="A36" s="49">
        <f t="shared" si="3"/>
        <v>0</v>
      </c>
      <c r="B36" s="33" t="str">
        <f t="shared" si="6"/>
        <v/>
      </c>
      <c r="C36" s="34"/>
      <c r="D36" s="34"/>
      <c r="E36" s="34"/>
      <c r="F36" s="34"/>
      <c r="G36" s="13"/>
      <c r="H36" s="35">
        <v>31</v>
      </c>
      <c r="I36" s="36" t="str">
        <f t="shared" si="4"/>
        <v/>
      </c>
      <c r="J36" s="35" t="e">
        <f t="shared" si="5"/>
        <v>#NUM!</v>
      </c>
      <c r="K36" s="35" t="e">
        <f t="shared" si="1"/>
        <v>#NUM!</v>
      </c>
      <c r="L36" s="35"/>
      <c r="M36" s="37">
        <f t="shared" si="2"/>
        <v>0</v>
      </c>
      <c r="R36" s="53"/>
      <c r="S36" s="54"/>
    </row>
    <row r="37" spans="1:21" x14ac:dyDescent="0.25">
      <c r="A37" s="48">
        <f t="shared" si="3"/>
        <v>0</v>
      </c>
      <c r="B37" s="39" t="str">
        <f t="shared" si="6"/>
        <v/>
      </c>
      <c r="C37" s="40"/>
      <c r="D37" s="40"/>
      <c r="E37" s="40"/>
      <c r="F37" s="40"/>
      <c r="G37" s="13"/>
      <c r="H37" s="41">
        <v>32</v>
      </c>
      <c r="I37" s="42" t="str">
        <f t="shared" si="4"/>
        <v/>
      </c>
      <c r="J37" s="41" t="e">
        <f t="shared" si="5"/>
        <v>#NUM!</v>
      </c>
      <c r="K37" s="41" t="e">
        <f t="shared" si="1"/>
        <v>#NUM!</v>
      </c>
      <c r="L37" s="41"/>
      <c r="M37" s="43">
        <f t="shared" si="2"/>
        <v>0</v>
      </c>
    </row>
    <row r="38" spans="1:21" x14ac:dyDescent="0.25">
      <c r="A38" s="49"/>
      <c r="B38" s="33" t="str">
        <f t="shared" si="6"/>
        <v/>
      </c>
      <c r="C38" s="34"/>
      <c r="D38" s="34"/>
      <c r="E38" s="34"/>
      <c r="F38" s="34"/>
      <c r="G38" s="13"/>
      <c r="H38" s="35">
        <v>33</v>
      </c>
      <c r="I38" s="36" t="str">
        <f t="shared" si="4"/>
        <v/>
      </c>
      <c r="J38" s="35" t="e">
        <f t="shared" si="5"/>
        <v>#NUM!</v>
      </c>
      <c r="K38" s="35" t="e">
        <f t="shared" si="1"/>
        <v>#NUM!</v>
      </c>
      <c r="L38" s="35"/>
      <c r="M38" s="37">
        <f t="shared" si="2"/>
        <v>0</v>
      </c>
    </row>
    <row r="39" spans="1:21" x14ac:dyDescent="0.25">
      <c r="A39" s="48"/>
      <c r="B39" s="39" t="str">
        <f t="shared" si="6"/>
        <v/>
      </c>
      <c r="C39" s="40"/>
      <c r="D39" s="40"/>
      <c r="E39" s="40"/>
      <c r="F39" s="40"/>
      <c r="G39" s="13"/>
      <c r="H39" s="41">
        <v>34</v>
      </c>
      <c r="I39" s="42" t="str">
        <f t="shared" si="4"/>
        <v/>
      </c>
      <c r="J39" s="41" t="e">
        <f t="shared" si="5"/>
        <v>#NUM!</v>
      </c>
      <c r="K39" s="41" t="e">
        <f t="shared" si="1"/>
        <v>#NUM!</v>
      </c>
      <c r="L39" s="41"/>
      <c r="M39" s="43">
        <f t="shared" si="2"/>
        <v>0</v>
      </c>
    </row>
    <row r="40" spans="1:21" x14ac:dyDescent="0.25">
      <c r="A40" s="49"/>
      <c r="B40" s="33" t="str">
        <f t="shared" si="6"/>
        <v/>
      </c>
      <c r="C40" s="34"/>
      <c r="D40" s="34"/>
      <c r="E40" s="34"/>
      <c r="F40" s="34"/>
      <c r="G40" s="13"/>
      <c r="H40" s="35">
        <v>35</v>
      </c>
      <c r="I40" s="36" t="str">
        <f t="shared" si="4"/>
        <v/>
      </c>
      <c r="J40" s="35" t="e">
        <f t="shared" si="5"/>
        <v>#NUM!</v>
      </c>
      <c r="K40" s="35" t="e">
        <f t="shared" si="1"/>
        <v>#NUM!</v>
      </c>
      <c r="L40" s="35"/>
      <c r="M40" s="37">
        <f t="shared" si="2"/>
        <v>0</v>
      </c>
    </row>
    <row r="41" spans="1:21" x14ac:dyDescent="0.25">
      <c r="A41" s="48"/>
      <c r="B41" s="39" t="str">
        <f t="shared" si="6"/>
        <v/>
      </c>
      <c r="C41" s="40"/>
      <c r="D41" s="40"/>
      <c r="E41" s="40"/>
      <c r="F41" s="40"/>
      <c r="G41" s="13"/>
      <c r="H41" s="41">
        <v>36</v>
      </c>
      <c r="I41" s="42" t="str">
        <f t="shared" si="4"/>
        <v/>
      </c>
      <c r="J41" s="41" t="e">
        <f t="shared" si="5"/>
        <v>#NUM!</v>
      </c>
      <c r="K41" s="41" t="e">
        <f t="shared" si="1"/>
        <v>#NUM!</v>
      </c>
      <c r="L41" s="41"/>
      <c r="M41" s="43">
        <f t="shared" si="2"/>
        <v>0</v>
      </c>
      <c r="S41" s="55"/>
    </row>
    <row r="42" spans="1:21" x14ac:dyDescent="0.25">
      <c r="A42" s="49"/>
      <c r="B42" s="33" t="str">
        <f t="shared" si="6"/>
        <v/>
      </c>
      <c r="C42" s="34"/>
      <c r="D42" s="34"/>
      <c r="E42" s="34"/>
      <c r="F42" s="34"/>
      <c r="G42" s="13"/>
      <c r="H42" s="35">
        <v>37</v>
      </c>
      <c r="I42" s="36" t="str">
        <f t="shared" si="4"/>
        <v/>
      </c>
      <c r="J42" s="35" t="e">
        <f t="shared" si="5"/>
        <v>#NUM!</v>
      </c>
      <c r="K42" s="35" t="e">
        <f t="shared" si="1"/>
        <v>#NUM!</v>
      </c>
      <c r="L42" s="35"/>
      <c r="M42" s="37">
        <f t="shared" si="2"/>
        <v>0</v>
      </c>
    </row>
    <row r="43" spans="1:21" x14ac:dyDescent="0.25">
      <c r="A43" s="48"/>
      <c r="B43" s="39" t="str">
        <f t="shared" si="6"/>
        <v/>
      </c>
      <c r="C43" s="40"/>
      <c r="D43" s="40"/>
      <c r="E43" s="40"/>
      <c r="F43" s="40"/>
      <c r="G43" s="13"/>
      <c r="H43" s="41">
        <v>38</v>
      </c>
      <c r="I43" s="42" t="str">
        <f t="shared" si="4"/>
        <v/>
      </c>
      <c r="J43" s="41" t="e">
        <f t="shared" si="5"/>
        <v>#NUM!</v>
      </c>
      <c r="K43" s="41" t="e">
        <f t="shared" si="1"/>
        <v>#NUM!</v>
      </c>
      <c r="L43" s="41"/>
      <c r="M43" s="43">
        <f t="shared" si="2"/>
        <v>0</v>
      </c>
    </row>
    <row r="44" spans="1:21" x14ac:dyDescent="0.25">
      <c r="A44" s="49"/>
      <c r="B44" s="33" t="str">
        <f t="shared" si="6"/>
        <v/>
      </c>
      <c r="C44" s="34"/>
      <c r="D44" s="34"/>
      <c r="E44" s="34"/>
      <c r="F44" s="34"/>
      <c r="G44" s="13"/>
      <c r="H44" s="35">
        <v>39</v>
      </c>
      <c r="I44" s="36" t="str">
        <f t="shared" si="4"/>
        <v/>
      </c>
      <c r="J44" s="35" t="e">
        <f t="shared" si="5"/>
        <v>#NUM!</v>
      </c>
      <c r="K44" s="35" t="e">
        <f t="shared" si="1"/>
        <v>#NUM!</v>
      </c>
      <c r="L44" s="35"/>
      <c r="M44" s="37">
        <f t="shared" si="2"/>
        <v>0</v>
      </c>
    </row>
    <row r="45" spans="1:21" x14ac:dyDescent="0.25">
      <c r="A45" s="48"/>
      <c r="B45" s="39" t="str">
        <f t="shared" si="6"/>
        <v/>
      </c>
      <c r="C45" s="40"/>
      <c r="D45" s="40"/>
      <c r="E45" s="40"/>
      <c r="F45" s="40"/>
      <c r="G45" s="13"/>
      <c r="H45" s="41">
        <v>40</v>
      </c>
      <c r="I45" s="42" t="str">
        <f t="shared" si="4"/>
        <v/>
      </c>
      <c r="J45" s="41" t="e">
        <f t="shared" si="5"/>
        <v>#NUM!</v>
      </c>
      <c r="K45" s="41" t="e">
        <f t="shared" si="1"/>
        <v>#NUM!</v>
      </c>
      <c r="L45" s="41"/>
      <c r="M45" s="43">
        <f t="shared" si="2"/>
        <v>0</v>
      </c>
    </row>
    <row r="46" spans="1:21" x14ac:dyDescent="0.25">
      <c r="A46" s="49"/>
      <c r="B46" s="33" t="str">
        <f t="shared" si="6"/>
        <v/>
      </c>
      <c r="C46" s="34"/>
      <c r="D46" s="34"/>
      <c r="E46" s="34"/>
      <c r="F46" s="34"/>
      <c r="G46" s="13"/>
      <c r="H46" s="35">
        <v>41</v>
      </c>
      <c r="I46" s="36" t="str">
        <f t="shared" si="4"/>
        <v/>
      </c>
      <c r="J46" s="35" t="e">
        <f t="shared" si="5"/>
        <v>#NUM!</v>
      </c>
      <c r="K46" s="35" t="e">
        <f t="shared" si="1"/>
        <v>#NUM!</v>
      </c>
      <c r="L46" s="35"/>
      <c r="M46" s="37">
        <f t="shared" si="2"/>
        <v>0</v>
      </c>
      <c r="R46" s="13" t="e">
        <f>LOG($H$2,2)</f>
        <v>#NUM!</v>
      </c>
      <c r="T46" s="18">
        <f>LOG(H38,2)</f>
        <v>5.0443941193584534</v>
      </c>
      <c r="U46" s="18" t="e">
        <f>R46-T46</f>
        <v>#NUM!</v>
      </c>
    </row>
    <row r="47" spans="1:21" x14ac:dyDescent="0.25">
      <c r="A47" s="48"/>
      <c r="B47" s="39" t="str">
        <f t="shared" si="6"/>
        <v/>
      </c>
      <c r="C47" s="40"/>
      <c r="D47" s="40"/>
      <c r="E47" s="40"/>
      <c r="F47" s="40"/>
      <c r="G47" s="13"/>
      <c r="H47" s="41">
        <v>42</v>
      </c>
      <c r="I47" s="42" t="str">
        <f t="shared" si="4"/>
        <v/>
      </c>
      <c r="J47" s="41" t="e">
        <f t="shared" si="5"/>
        <v>#NUM!</v>
      </c>
      <c r="K47" s="41" t="e">
        <f t="shared" si="1"/>
        <v>#NUM!</v>
      </c>
      <c r="L47" s="41"/>
      <c r="M47" s="43">
        <f t="shared" si="2"/>
        <v>0</v>
      </c>
    </row>
    <row r="48" spans="1:21" x14ac:dyDescent="0.25">
      <c r="A48" s="49"/>
      <c r="B48" s="33" t="str">
        <f t="shared" si="6"/>
        <v/>
      </c>
      <c r="C48" s="34"/>
      <c r="D48" s="34"/>
      <c r="E48" s="34"/>
      <c r="F48" s="34"/>
      <c r="G48" s="13"/>
      <c r="H48" s="35">
        <v>43</v>
      </c>
      <c r="I48" s="36" t="str">
        <f t="shared" si="4"/>
        <v/>
      </c>
      <c r="J48" s="35" t="e">
        <f t="shared" si="5"/>
        <v>#NUM!</v>
      </c>
      <c r="K48" s="35" t="e">
        <f t="shared" si="1"/>
        <v>#NUM!</v>
      </c>
      <c r="L48" s="35"/>
      <c r="M48" s="37">
        <f t="shared" si="2"/>
        <v>0</v>
      </c>
    </row>
    <row r="49" spans="1:13" x14ac:dyDescent="0.25">
      <c r="A49" s="48"/>
      <c r="B49" s="39" t="str">
        <f t="shared" si="6"/>
        <v/>
      </c>
      <c r="C49" s="40"/>
      <c r="D49" s="40"/>
      <c r="E49" s="40"/>
      <c r="F49" s="40"/>
      <c r="G49" s="13"/>
      <c r="H49" s="41">
        <v>44</v>
      </c>
      <c r="I49" s="42" t="str">
        <f t="shared" si="4"/>
        <v/>
      </c>
      <c r="J49" s="41" t="e">
        <f t="shared" si="5"/>
        <v>#NUM!</v>
      </c>
      <c r="K49" s="41" t="e">
        <f t="shared" si="1"/>
        <v>#NUM!</v>
      </c>
      <c r="L49" s="41"/>
      <c r="M49" s="43">
        <f t="shared" si="2"/>
        <v>0</v>
      </c>
    </row>
    <row r="50" spans="1:13" x14ac:dyDescent="0.25">
      <c r="A50" s="49"/>
      <c r="B50" s="33" t="str">
        <f t="shared" si="6"/>
        <v/>
      </c>
      <c r="C50" s="34"/>
      <c r="D50" s="34"/>
      <c r="E50" s="34"/>
      <c r="F50" s="34"/>
      <c r="G50" s="13"/>
      <c r="H50" s="35">
        <v>45</v>
      </c>
      <c r="I50" s="36" t="str">
        <f t="shared" si="4"/>
        <v/>
      </c>
      <c r="J50" s="35" t="e">
        <f t="shared" si="5"/>
        <v>#NUM!</v>
      </c>
      <c r="K50" s="35" t="e">
        <f t="shared" si="1"/>
        <v>#NUM!</v>
      </c>
      <c r="L50" s="35"/>
      <c r="M50" s="37">
        <f t="shared" si="2"/>
        <v>0</v>
      </c>
    </row>
    <row r="51" spans="1:13" x14ac:dyDescent="0.25">
      <c r="A51" s="48"/>
      <c r="B51" s="39" t="str">
        <f t="shared" si="6"/>
        <v/>
      </c>
      <c r="C51" s="40"/>
      <c r="D51" s="40"/>
      <c r="E51" s="40"/>
      <c r="F51" s="40"/>
      <c r="G51" s="13"/>
      <c r="H51" s="41">
        <v>46</v>
      </c>
      <c r="I51" s="42" t="str">
        <f t="shared" si="4"/>
        <v/>
      </c>
      <c r="J51" s="41" t="e">
        <f t="shared" si="5"/>
        <v>#NUM!</v>
      </c>
      <c r="K51" s="41" t="e">
        <f t="shared" si="1"/>
        <v>#NUM!</v>
      </c>
      <c r="L51" s="41"/>
      <c r="M51" s="43">
        <f t="shared" si="2"/>
        <v>0</v>
      </c>
    </row>
    <row r="52" spans="1:13" x14ac:dyDescent="0.25">
      <c r="A52" s="49"/>
      <c r="B52" s="33" t="str">
        <f t="shared" si="6"/>
        <v/>
      </c>
      <c r="C52" s="34"/>
      <c r="D52" s="34"/>
      <c r="E52" s="34"/>
      <c r="F52" s="34"/>
      <c r="G52" s="13"/>
      <c r="H52" s="35">
        <v>47</v>
      </c>
      <c r="I52" s="36" t="str">
        <f t="shared" si="4"/>
        <v/>
      </c>
      <c r="J52" s="35" t="e">
        <f t="shared" si="5"/>
        <v>#NUM!</v>
      </c>
      <c r="K52" s="35" t="e">
        <f t="shared" si="1"/>
        <v>#NUM!</v>
      </c>
      <c r="L52" s="35"/>
      <c r="M52" s="37">
        <f t="shared" si="2"/>
        <v>0</v>
      </c>
    </row>
    <row r="53" spans="1:13" x14ac:dyDescent="0.25">
      <c r="A53" s="48"/>
      <c r="B53" s="39" t="str">
        <f t="shared" si="6"/>
        <v/>
      </c>
      <c r="C53" s="40"/>
      <c r="D53" s="40"/>
      <c r="E53" s="40"/>
      <c r="F53" s="40"/>
      <c r="G53" s="13"/>
      <c r="H53" s="41">
        <v>48</v>
      </c>
      <c r="I53" s="42" t="str">
        <f t="shared" si="4"/>
        <v/>
      </c>
      <c r="J53" s="41" t="e">
        <f t="shared" si="5"/>
        <v>#NUM!</v>
      </c>
      <c r="K53" s="41" t="e">
        <f t="shared" si="1"/>
        <v>#NUM!</v>
      </c>
      <c r="L53" s="41"/>
      <c r="M53" s="43">
        <f t="shared" si="2"/>
        <v>0</v>
      </c>
    </row>
    <row r="54" spans="1:13" x14ac:dyDescent="0.25">
      <c r="A54" s="49"/>
      <c r="B54" s="33" t="str">
        <f t="shared" si="6"/>
        <v/>
      </c>
      <c r="C54" s="34"/>
      <c r="D54" s="34"/>
      <c r="E54" s="34"/>
      <c r="F54" s="34"/>
      <c r="G54" s="13"/>
      <c r="H54" s="35">
        <v>49</v>
      </c>
      <c r="I54" s="36" t="str">
        <f t="shared" si="4"/>
        <v/>
      </c>
      <c r="J54" s="35" t="e">
        <f t="shared" si="5"/>
        <v>#NUM!</v>
      </c>
      <c r="K54" s="35" t="e">
        <f t="shared" si="1"/>
        <v>#NUM!</v>
      </c>
      <c r="L54" s="35"/>
      <c r="M54" s="37">
        <f t="shared" si="2"/>
        <v>0</v>
      </c>
    </row>
    <row r="55" spans="1:13" x14ac:dyDescent="0.25">
      <c r="A55" s="48"/>
      <c r="B55" s="39" t="str">
        <f t="shared" si="6"/>
        <v/>
      </c>
      <c r="C55" s="40"/>
      <c r="D55" s="40"/>
      <c r="E55" s="40"/>
      <c r="F55" s="40"/>
      <c r="G55" s="13"/>
      <c r="H55" s="41">
        <v>50</v>
      </c>
      <c r="I55" s="42" t="str">
        <f t="shared" si="4"/>
        <v/>
      </c>
      <c r="J55" s="41" t="e">
        <f t="shared" si="5"/>
        <v>#NUM!</v>
      </c>
      <c r="K55" s="41" t="e">
        <f t="shared" si="1"/>
        <v>#NUM!</v>
      </c>
      <c r="L55" s="41"/>
      <c r="M55" s="43">
        <f t="shared" si="2"/>
        <v>0</v>
      </c>
    </row>
    <row r="56" spans="1:13" x14ac:dyDescent="0.25">
      <c r="A56" s="49"/>
      <c r="B56" s="33" t="str">
        <f t="shared" si="6"/>
        <v/>
      </c>
      <c r="C56" s="34"/>
      <c r="D56" s="34"/>
      <c r="E56" s="34"/>
      <c r="F56" s="34"/>
      <c r="G56" s="13"/>
      <c r="H56" s="35">
        <v>51</v>
      </c>
      <c r="I56" s="36" t="str">
        <f t="shared" si="4"/>
        <v/>
      </c>
      <c r="J56" s="35" t="e">
        <f t="shared" si="5"/>
        <v>#NUM!</v>
      </c>
      <c r="K56" s="35" t="e">
        <f t="shared" si="1"/>
        <v>#NUM!</v>
      </c>
      <c r="L56" s="35"/>
      <c r="M56" s="37">
        <f t="shared" si="2"/>
        <v>0</v>
      </c>
    </row>
    <row r="57" spans="1:13" x14ac:dyDescent="0.25">
      <c r="A57" s="48"/>
      <c r="B57" s="39" t="str">
        <f t="shared" si="6"/>
        <v/>
      </c>
      <c r="C57" s="40"/>
      <c r="D57" s="40"/>
      <c r="E57" s="40"/>
      <c r="F57" s="40"/>
      <c r="G57" s="13"/>
      <c r="H57" s="41">
        <v>52</v>
      </c>
      <c r="I57" s="42" t="str">
        <f t="shared" si="4"/>
        <v/>
      </c>
      <c r="J57" s="41" t="e">
        <f t="shared" si="5"/>
        <v>#NUM!</v>
      </c>
      <c r="K57" s="41" t="e">
        <f t="shared" si="1"/>
        <v>#NUM!</v>
      </c>
      <c r="L57" s="41"/>
      <c r="M57" s="43">
        <f t="shared" si="2"/>
        <v>0</v>
      </c>
    </row>
    <row r="58" spans="1:13" x14ac:dyDescent="0.25">
      <c r="A58" s="49"/>
      <c r="B58" s="33" t="str">
        <f t="shared" si="6"/>
        <v/>
      </c>
      <c r="C58" s="34"/>
      <c r="D58" s="34"/>
      <c r="E58" s="34"/>
      <c r="F58" s="34"/>
      <c r="G58" s="13"/>
      <c r="H58" s="35">
        <v>53</v>
      </c>
      <c r="I58" s="36" t="str">
        <f t="shared" si="4"/>
        <v/>
      </c>
      <c r="J58" s="35" t="e">
        <f t="shared" si="5"/>
        <v>#NUM!</v>
      </c>
      <c r="K58" s="35" t="e">
        <f t="shared" si="1"/>
        <v>#NUM!</v>
      </c>
      <c r="L58" s="35"/>
      <c r="M58" s="37">
        <f t="shared" si="2"/>
        <v>0</v>
      </c>
    </row>
    <row r="59" spans="1:13" x14ac:dyDescent="0.25">
      <c r="A59" s="48"/>
      <c r="B59" s="39" t="str">
        <f t="shared" si="6"/>
        <v/>
      </c>
      <c r="C59" s="40"/>
      <c r="D59" s="40"/>
      <c r="E59" s="40"/>
      <c r="F59" s="40"/>
      <c r="G59" s="13"/>
      <c r="H59" s="41">
        <v>54</v>
      </c>
      <c r="I59" s="42" t="str">
        <f t="shared" si="4"/>
        <v/>
      </c>
      <c r="J59" s="41" t="e">
        <f t="shared" si="5"/>
        <v>#NUM!</v>
      </c>
      <c r="K59" s="41" t="e">
        <f t="shared" si="1"/>
        <v>#NUM!</v>
      </c>
      <c r="L59" s="41"/>
      <c r="M59" s="43">
        <f t="shared" si="2"/>
        <v>0</v>
      </c>
    </row>
    <row r="60" spans="1:13" x14ac:dyDescent="0.25">
      <c r="A60" s="49"/>
      <c r="B60" s="33" t="str">
        <f t="shared" si="6"/>
        <v/>
      </c>
      <c r="C60" s="34"/>
      <c r="D60" s="34"/>
      <c r="E60" s="34"/>
      <c r="F60" s="34"/>
      <c r="G60" s="13"/>
      <c r="H60" s="35">
        <v>55</v>
      </c>
      <c r="I60" s="36" t="str">
        <f t="shared" si="4"/>
        <v/>
      </c>
      <c r="J60" s="35" t="e">
        <f t="shared" si="5"/>
        <v>#NUM!</v>
      </c>
      <c r="K60" s="35" t="e">
        <f t="shared" si="1"/>
        <v>#NUM!</v>
      </c>
      <c r="L60" s="35"/>
      <c r="M60" s="37">
        <f t="shared" si="2"/>
        <v>0</v>
      </c>
    </row>
    <row r="61" spans="1:13" x14ac:dyDescent="0.25">
      <c r="A61" s="48"/>
      <c r="B61" s="39" t="str">
        <f t="shared" si="6"/>
        <v/>
      </c>
      <c r="C61" s="40"/>
      <c r="D61" s="40"/>
      <c r="E61" s="40"/>
      <c r="F61" s="40"/>
      <c r="G61" s="13"/>
      <c r="H61" s="41">
        <v>56</v>
      </c>
      <c r="I61" s="42" t="str">
        <f t="shared" si="4"/>
        <v/>
      </c>
      <c r="J61" s="41" t="e">
        <f t="shared" si="5"/>
        <v>#NUM!</v>
      </c>
      <c r="K61" s="41" t="e">
        <f t="shared" si="1"/>
        <v>#NUM!</v>
      </c>
      <c r="L61" s="41"/>
      <c r="M61" s="43">
        <f t="shared" si="2"/>
        <v>0</v>
      </c>
    </row>
    <row r="62" spans="1:13" x14ac:dyDescent="0.25">
      <c r="A62" s="49"/>
      <c r="B62" s="33" t="str">
        <f t="shared" si="6"/>
        <v/>
      </c>
      <c r="C62" s="34"/>
      <c r="D62" s="34"/>
      <c r="E62" s="34"/>
      <c r="F62" s="34"/>
      <c r="G62" s="13"/>
      <c r="H62" s="35">
        <v>57</v>
      </c>
      <c r="I62" s="36" t="str">
        <f t="shared" si="4"/>
        <v/>
      </c>
      <c r="J62" s="35" t="e">
        <f t="shared" si="5"/>
        <v>#NUM!</v>
      </c>
      <c r="K62" s="35" t="e">
        <f t="shared" si="1"/>
        <v>#NUM!</v>
      </c>
      <c r="L62" s="35"/>
      <c r="M62" s="37">
        <f t="shared" si="2"/>
        <v>0</v>
      </c>
    </row>
    <row r="63" spans="1:13" x14ac:dyDescent="0.25">
      <c r="A63" s="48"/>
      <c r="B63" s="39" t="str">
        <f t="shared" si="6"/>
        <v/>
      </c>
      <c r="C63" s="40"/>
      <c r="D63" s="40"/>
      <c r="E63" s="40"/>
      <c r="F63" s="40"/>
      <c r="G63" s="13"/>
      <c r="H63" s="41">
        <v>58</v>
      </c>
      <c r="I63" s="42" t="str">
        <f t="shared" si="4"/>
        <v/>
      </c>
      <c r="J63" s="41" t="e">
        <f t="shared" si="5"/>
        <v>#NUM!</v>
      </c>
      <c r="K63" s="41" t="e">
        <f t="shared" si="1"/>
        <v>#NUM!</v>
      </c>
      <c r="L63" s="41"/>
      <c r="M63" s="43">
        <f t="shared" si="2"/>
        <v>0</v>
      </c>
    </row>
    <row r="64" spans="1:13" x14ac:dyDescent="0.25">
      <c r="A64" s="49"/>
      <c r="B64" s="33" t="str">
        <f t="shared" si="6"/>
        <v/>
      </c>
      <c r="C64" s="34"/>
      <c r="D64" s="34"/>
      <c r="E64" s="34"/>
      <c r="F64" s="34"/>
      <c r="G64" s="13"/>
      <c r="H64" s="35">
        <v>59</v>
      </c>
      <c r="I64" s="36" t="str">
        <f t="shared" si="4"/>
        <v/>
      </c>
      <c r="J64" s="35" t="e">
        <f t="shared" si="5"/>
        <v>#NUM!</v>
      </c>
      <c r="K64" s="35" t="e">
        <f t="shared" si="1"/>
        <v>#NUM!</v>
      </c>
      <c r="L64" s="35"/>
      <c r="M64" s="37">
        <f t="shared" si="2"/>
        <v>0</v>
      </c>
    </row>
    <row r="65" spans="1:13" x14ac:dyDescent="0.25">
      <c r="A65" s="48"/>
      <c r="B65" s="39" t="str">
        <f t="shared" si="6"/>
        <v/>
      </c>
      <c r="C65" s="40"/>
      <c r="D65" s="40"/>
      <c r="E65" s="40"/>
      <c r="F65" s="40"/>
      <c r="G65" s="13"/>
      <c r="H65" s="41">
        <v>60</v>
      </c>
      <c r="I65" s="42" t="str">
        <f t="shared" si="4"/>
        <v/>
      </c>
      <c r="J65" s="41" t="e">
        <f t="shared" si="5"/>
        <v>#NUM!</v>
      </c>
      <c r="K65" s="41" t="e">
        <f t="shared" si="1"/>
        <v>#NUM!</v>
      </c>
      <c r="L65" s="41"/>
      <c r="M65" s="43">
        <f t="shared" si="2"/>
        <v>0</v>
      </c>
    </row>
    <row r="66" spans="1:13" x14ac:dyDescent="0.25">
      <c r="A66" s="56"/>
      <c r="B66" s="33"/>
      <c r="G66" s="13"/>
      <c r="H66" s="35">
        <v>61</v>
      </c>
      <c r="I66" s="36" t="str">
        <f t="shared" si="4"/>
        <v/>
      </c>
      <c r="J66" s="35" t="e">
        <f t="shared" si="5"/>
        <v>#NUM!</v>
      </c>
      <c r="K66" s="35" t="e">
        <f t="shared" si="1"/>
        <v>#NUM!</v>
      </c>
      <c r="L66" s="35"/>
      <c r="M66" s="37">
        <f t="shared" si="2"/>
        <v>0</v>
      </c>
    </row>
    <row r="67" spans="1:13" x14ac:dyDescent="0.25">
      <c r="A67" s="56"/>
      <c r="B67" s="39"/>
      <c r="G67" s="13"/>
      <c r="H67" s="35">
        <v>62</v>
      </c>
      <c r="I67" s="36" t="str">
        <f t="shared" si="4"/>
        <v/>
      </c>
      <c r="J67" s="35" t="e">
        <f t="shared" si="5"/>
        <v>#NUM!</v>
      </c>
      <c r="K67" s="35" t="e">
        <f t="shared" si="1"/>
        <v>#NUM!</v>
      </c>
      <c r="L67" s="35"/>
      <c r="M67" s="37">
        <f t="shared" si="2"/>
        <v>0</v>
      </c>
    </row>
    <row r="68" spans="1:13" x14ac:dyDescent="0.25">
      <c r="A68" s="56"/>
      <c r="B68" s="33"/>
      <c r="G68" s="13"/>
      <c r="H68" s="35">
        <v>63</v>
      </c>
      <c r="I68" s="36" t="str">
        <f t="shared" si="4"/>
        <v/>
      </c>
      <c r="J68" s="35" t="e">
        <f t="shared" si="5"/>
        <v>#NUM!</v>
      </c>
      <c r="K68" s="35" t="e">
        <f t="shared" si="1"/>
        <v>#NUM!</v>
      </c>
      <c r="L68" s="35"/>
      <c r="M68" s="37">
        <f t="shared" si="2"/>
        <v>0</v>
      </c>
    </row>
    <row r="69" spans="1:13" x14ac:dyDescent="0.25">
      <c r="A69" s="56"/>
      <c r="B69" s="39"/>
      <c r="G69" s="13"/>
      <c r="H69" s="35">
        <v>64</v>
      </c>
      <c r="I69" s="36" t="str">
        <f t="shared" si="4"/>
        <v/>
      </c>
      <c r="J69" s="35" t="e">
        <f t="shared" si="5"/>
        <v>#NUM!</v>
      </c>
      <c r="K69" s="35" t="e">
        <f t="shared" si="1"/>
        <v>#NUM!</v>
      </c>
      <c r="L69" s="35"/>
      <c r="M69" s="37">
        <f t="shared" si="2"/>
        <v>0</v>
      </c>
    </row>
    <row r="70" spans="1:13" x14ac:dyDescent="0.25">
      <c r="A70" s="56"/>
      <c r="G70" s="13"/>
      <c r="H70" s="35">
        <v>65</v>
      </c>
      <c r="I70" s="36" t="str">
        <f t="shared" ref="I70:I133" si="7">IF(H70&lt;$H$2+1,($I$2-($I$2-1)*(LOG(H70)/LOG($H$2))),"")</f>
        <v/>
      </c>
      <c r="J70" s="35" t="e">
        <f t="shared" si="5"/>
        <v>#NUM!</v>
      </c>
      <c r="K70" s="35" t="e">
        <f t="shared" ref="K70:K133" si="8">J70*$J$2</f>
        <v>#NUM!</v>
      </c>
      <c r="L70" s="35"/>
      <c r="M70" s="37">
        <f t="shared" ref="M70:M133" si="9">IF(I70&lt;&gt;"",K70+I70+L70,0)</f>
        <v>0</v>
      </c>
    </row>
    <row r="71" spans="1:13" x14ac:dyDescent="0.25">
      <c r="A71" s="56"/>
      <c r="G71" s="13"/>
      <c r="H71" s="35">
        <v>66</v>
      </c>
      <c r="I71" s="36" t="str">
        <f t="shared" si="7"/>
        <v/>
      </c>
      <c r="J71" s="35" t="e">
        <f t="shared" ref="J71:J134" si="10">INT(LOG($H$2,2))-ROUNDUP(LOG(H71,2),0)+IF(OR($H$2=1,$H$2=2,$H$2=4,$H$2=8,$H$2=16,$H$2=32,$H$2=64,$H$2=128,$H$2=256),0,1)</f>
        <v>#NUM!</v>
      </c>
      <c r="K71" s="35" t="e">
        <f t="shared" si="8"/>
        <v>#NUM!</v>
      </c>
      <c r="L71" s="35"/>
      <c r="M71" s="37">
        <f t="shared" si="9"/>
        <v>0</v>
      </c>
    </row>
    <row r="72" spans="1:13" x14ac:dyDescent="0.25">
      <c r="A72" s="56"/>
      <c r="G72" s="13"/>
      <c r="H72" s="35">
        <v>67</v>
      </c>
      <c r="I72" s="36" t="str">
        <f t="shared" si="7"/>
        <v/>
      </c>
      <c r="J72" s="35" t="e">
        <f t="shared" si="10"/>
        <v>#NUM!</v>
      </c>
      <c r="K72" s="35" t="e">
        <f t="shared" si="8"/>
        <v>#NUM!</v>
      </c>
      <c r="L72" s="35"/>
      <c r="M72" s="37">
        <f t="shared" si="9"/>
        <v>0</v>
      </c>
    </row>
    <row r="73" spans="1:13" x14ac:dyDescent="0.25">
      <c r="A73" s="56"/>
      <c r="G73" s="13"/>
      <c r="H73" s="35">
        <v>68</v>
      </c>
      <c r="I73" s="36" t="str">
        <f t="shared" si="7"/>
        <v/>
      </c>
      <c r="J73" s="35" t="e">
        <f t="shared" si="10"/>
        <v>#NUM!</v>
      </c>
      <c r="K73" s="35" t="e">
        <f t="shared" si="8"/>
        <v>#NUM!</v>
      </c>
      <c r="L73" s="35"/>
      <c r="M73" s="37">
        <f t="shared" si="9"/>
        <v>0</v>
      </c>
    </row>
    <row r="74" spans="1:13" x14ac:dyDescent="0.25">
      <c r="A74" s="56"/>
      <c r="G74" s="13"/>
      <c r="H74" s="35">
        <v>69</v>
      </c>
      <c r="I74" s="36" t="str">
        <f t="shared" si="7"/>
        <v/>
      </c>
      <c r="J74" s="35" t="e">
        <f t="shared" si="10"/>
        <v>#NUM!</v>
      </c>
      <c r="K74" s="35" t="e">
        <f t="shared" si="8"/>
        <v>#NUM!</v>
      </c>
      <c r="L74" s="35"/>
      <c r="M74" s="37">
        <f t="shared" si="9"/>
        <v>0</v>
      </c>
    </row>
    <row r="75" spans="1:13" x14ac:dyDescent="0.25">
      <c r="A75" s="56"/>
      <c r="G75" s="13"/>
      <c r="H75" s="35">
        <v>70</v>
      </c>
      <c r="I75" s="36" t="str">
        <f t="shared" si="7"/>
        <v/>
      </c>
      <c r="J75" s="35" t="e">
        <f t="shared" si="10"/>
        <v>#NUM!</v>
      </c>
      <c r="K75" s="35" t="e">
        <f t="shared" si="8"/>
        <v>#NUM!</v>
      </c>
      <c r="L75" s="35"/>
      <c r="M75" s="37">
        <f t="shared" si="9"/>
        <v>0</v>
      </c>
    </row>
    <row r="76" spans="1:13" x14ac:dyDescent="0.25">
      <c r="A76" s="56"/>
      <c r="G76" s="13"/>
      <c r="H76" s="35">
        <v>71</v>
      </c>
      <c r="I76" s="36" t="str">
        <f t="shared" si="7"/>
        <v/>
      </c>
      <c r="J76" s="35" t="e">
        <f t="shared" si="10"/>
        <v>#NUM!</v>
      </c>
      <c r="K76" s="35" t="e">
        <f t="shared" si="8"/>
        <v>#NUM!</v>
      </c>
      <c r="L76" s="35"/>
      <c r="M76" s="37">
        <f t="shared" si="9"/>
        <v>0</v>
      </c>
    </row>
    <row r="77" spans="1:13" x14ac:dyDescent="0.25">
      <c r="A77" s="56"/>
      <c r="G77" s="13"/>
      <c r="H77" s="35">
        <v>72</v>
      </c>
      <c r="I77" s="36" t="str">
        <f t="shared" si="7"/>
        <v/>
      </c>
      <c r="J77" s="35" t="e">
        <f t="shared" si="10"/>
        <v>#NUM!</v>
      </c>
      <c r="K77" s="35" t="e">
        <f t="shared" si="8"/>
        <v>#NUM!</v>
      </c>
      <c r="L77" s="35"/>
      <c r="M77" s="37">
        <f t="shared" si="9"/>
        <v>0</v>
      </c>
    </row>
    <row r="78" spans="1:13" x14ac:dyDescent="0.25">
      <c r="A78" s="56"/>
      <c r="G78" s="13"/>
      <c r="H78" s="35">
        <v>73</v>
      </c>
      <c r="I78" s="36" t="str">
        <f t="shared" si="7"/>
        <v/>
      </c>
      <c r="J78" s="35" t="e">
        <f t="shared" si="10"/>
        <v>#NUM!</v>
      </c>
      <c r="K78" s="35" t="e">
        <f t="shared" si="8"/>
        <v>#NUM!</v>
      </c>
      <c r="L78" s="35"/>
      <c r="M78" s="37">
        <f t="shared" si="9"/>
        <v>0</v>
      </c>
    </row>
    <row r="79" spans="1:13" x14ac:dyDescent="0.25">
      <c r="A79" s="56"/>
      <c r="G79" s="13"/>
      <c r="H79" s="35">
        <v>74</v>
      </c>
      <c r="I79" s="36" t="str">
        <f t="shared" si="7"/>
        <v/>
      </c>
      <c r="J79" s="35" t="e">
        <f t="shared" si="10"/>
        <v>#NUM!</v>
      </c>
      <c r="K79" s="35" t="e">
        <f t="shared" si="8"/>
        <v>#NUM!</v>
      </c>
      <c r="L79" s="35"/>
      <c r="M79" s="37">
        <f t="shared" si="9"/>
        <v>0</v>
      </c>
    </row>
    <row r="80" spans="1:13" x14ac:dyDescent="0.25">
      <c r="A80" s="56"/>
      <c r="G80" s="13"/>
      <c r="H80" s="35">
        <v>75</v>
      </c>
      <c r="I80" s="36" t="str">
        <f t="shared" si="7"/>
        <v/>
      </c>
      <c r="J80" s="35" t="e">
        <f t="shared" si="10"/>
        <v>#NUM!</v>
      </c>
      <c r="K80" s="35" t="e">
        <f t="shared" si="8"/>
        <v>#NUM!</v>
      </c>
      <c r="L80" s="35"/>
      <c r="M80" s="37">
        <f t="shared" si="9"/>
        <v>0</v>
      </c>
    </row>
    <row r="81" spans="1:13" x14ac:dyDescent="0.25">
      <c r="A81" s="56"/>
      <c r="G81" s="13"/>
      <c r="H81" s="35">
        <v>76</v>
      </c>
      <c r="I81" s="36" t="str">
        <f t="shared" si="7"/>
        <v/>
      </c>
      <c r="J81" s="35" t="e">
        <f t="shared" si="10"/>
        <v>#NUM!</v>
      </c>
      <c r="K81" s="35" t="e">
        <f t="shared" si="8"/>
        <v>#NUM!</v>
      </c>
      <c r="L81" s="35"/>
      <c r="M81" s="37">
        <f t="shared" si="9"/>
        <v>0</v>
      </c>
    </row>
    <row r="82" spans="1:13" x14ac:dyDescent="0.25">
      <c r="A82" s="56"/>
      <c r="G82" s="13"/>
      <c r="H82" s="35">
        <v>77</v>
      </c>
      <c r="I82" s="36" t="str">
        <f t="shared" si="7"/>
        <v/>
      </c>
      <c r="J82" s="35" t="e">
        <f t="shared" si="10"/>
        <v>#NUM!</v>
      </c>
      <c r="K82" s="35" t="e">
        <f t="shared" si="8"/>
        <v>#NUM!</v>
      </c>
      <c r="L82" s="35"/>
      <c r="M82" s="37">
        <f t="shared" si="9"/>
        <v>0</v>
      </c>
    </row>
    <row r="83" spans="1:13" x14ac:dyDescent="0.25">
      <c r="A83" s="56"/>
      <c r="G83" s="13"/>
      <c r="H83" s="35">
        <v>78</v>
      </c>
      <c r="I83" s="36" t="str">
        <f t="shared" si="7"/>
        <v/>
      </c>
      <c r="J83" s="35" t="e">
        <f t="shared" si="10"/>
        <v>#NUM!</v>
      </c>
      <c r="K83" s="35" t="e">
        <f t="shared" si="8"/>
        <v>#NUM!</v>
      </c>
      <c r="L83" s="35"/>
      <c r="M83" s="37">
        <f t="shared" si="9"/>
        <v>0</v>
      </c>
    </row>
    <row r="84" spans="1:13" x14ac:dyDescent="0.25">
      <c r="A84" s="56"/>
      <c r="G84" s="13"/>
      <c r="H84" s="35">
        <v>79</v>
      </c>
      <c r="I84" s="36" t="str">
        <f t="shared" si="7"/>
        <v/>
      </c>
      <c r="J84" s="35" t="e">
        <f t="shared" si="10"/>
        <v>#NUM!</v>
      </c>
      <c r="K84" s="35" t="e">
        <f t="shared" si="8"/>
        <v>#NUM!</v>
      </c>
      <c r="L84" s="35"/>
      <c r="M84" s="37">
        <f t="shared" si="9"/>
        <v>0</v>
      </c>
    </row>
    <row r="85" spans="1:13" x14ac:dyDescent="0.25">
      <c r="A85" s="56"/>
      <c r="G85" s="13"/>
      <c r="H85" s="35">
        <v>80</v>
      </c>
      <c r="I85" s="36" t="str">
        <f t="shared" si="7"/>
        <v/>
      </c>
      <c r="J85" s="35" t="e">
        <f t="shared" si="10"/>
        <v>#NUM!</v>
      </c>
      <c r="K85" s="35" t="e">
        <f t="shared" si="8"/>
        <v>#NUM!</v>
      </c>
      <c r="L85" s="35"/>
      <c r="M85" s="37">
        <f t="shared" si="9"/>
        <v>0</v>
      </c>
    </row>
    <row r="86" spans="1:13" x14ac:dyDescent="0.25">
      <c r="A86" s="56"/>
      <c r="G86" s="13"/>
      <c r="H86" s="35">
        <v>81</v>
      </c>
      <c r="I86" s="36" t="str">
        <f t="shared" si="7"/>
        <v/>
      </c>
      <c r="J86" s="35" t="e">
        <f t="shared" si="10"/>
        <v>#NUM!</v>
      </c>
      <c r="K86" s="35" t="e">
        <f t="shared" si="8"/>
        <v>#NUM!</v>
      </c>
      <c r="L86" s="35"/>
      <c r="M86" s="37">
        <f t="shared" si="9"/>
        <v>0</v>
      </c>
    </row>
    <row r="87" spans="1:13" x14ac:dyDescent="0.25">
      <c r="A87" s="56"/>
      <c r="G87" s="13"/>
      <c r="H87" s="35">
        <v>82</v>
      </c>
      <c r="I87" s="36" t="str">
        <f t="shared" si="7"/>
        <v/>
      </c>
      <c r="J87" s="35" t="e">
        <f t="shared" si="10"/>
        <v>#NUM!</v>
      </c>
      <c r="K87" s="35" t="e">
        <f t="shared" si="8"/>
        <v>#NUM!</v>
      </c>
      <c r="L87" s="35"/>
      <c r="M87" s="37">
        <f t="shared" si="9"/>
        <v>0</v>
      </c>
    </row>
    <row r="88" spans="1:13" x14ac:dyDescent="0.25">
      <c r="A88" s="56"/>
      <c r="G88" s="13"/>
      <c r="H88" s="35">
        <v>83</v>
      </c>
      <c r="I88" s="36" t="str">
        <f t="shared" si="7"/>
        <v/>
      </c>
      <c r="J88" s="35" t="e">
        <f t="shared" si="10"/>
        <v>#NUM!</v>
      </c>
      <c r="K88" s="35" t="e">
        <f t="shared" si="8"/>
        <v>#NUM!</v>
      </c>
      <c r="L88" s="35"/>
      <c r="M88" s="37">
        <f t="shared" si="9"/>
        <v>0</v>
      </c>
    </row>
    <row r="89" spans="1:13" x14ac:dyDescent="0.25">
      <c r="A89" s="56"/>
      <c r="G89" s="13"/>
      <c r="H89" s="35">
        <v>84</v>
      </c>
      <c r="I89" s="36" t="str">
        <f t="shared" si="7"/>
        <v/>
      </c>
      <c r="J89" s="35" t="e">
        <f t="shared" si="10"/>
        <v>#NUM!</v>
      </c>
      <c r="K89" s="35" t="e">
        <f t="shared" si="8"/>
        <v>#NUM!</v>
      </c>
      <c r="L89" s="35"/>
      <c r="M89" s="37">
        <f t="shared" si="9"/>
        <v>0</v>
      </c>
    </row>
    <row r="90" spans="1:13" x14ac:dyDescent="0.25">
      <c r="A90" s="56"/>
      <c r="G90" s="13"/>
      <c r="H90" s="35">
        <v>85</v>
      </c>
      <c r="I90" s="36" t="str">
        <f t="shared" si="7"/>
        <v/>
      </c>
      <c r="J90" s="35" t="e">
        <f t="shared" si="10"/>
        <v>#NUM!</v>
      </c>
      <c r="K90" s="35" t="e">
        <f t="shared" si="8"/>
        <v>#NUM!</v>
      </c>
      <c r="L90" s="35"/>
      <c r="M90" s="37">
        <f t="shared" si="9"/>
        <v>0</v>
      </c>
    </row>
    <row r="91" spans="1:13" x14ac:dyDescent="0.25">
      <c r="A91" s="56"/>
      <c r="G91" s="13"/>
      <c r="H91" s="35">
        <v>86</v>
      </c>
      <c r="I91" s="36" t="str">
        <f t="shared" si="7"/>
        <v/>
      </c>
      <c r="J91" s="35" t="e">
        <f t="shared" si="10"/>
        <v>#NUM!</v>
      </c>
      <c r="K91" s="35" t="e">
        <f t="shared" si="8"/>
        <v>#NUM!</v>
      </c>
      <c r="L91" s="35"/>
      <c r="M91" s="37">
        <f t="shared" si="9"/>
        <v>0</v>
      </c>
    </row>
    <row r="92" spans="1:13" x14ac:dyDescent="0.25">
      <c r="A92" s="56"/>
      <c r="G92" s="13"/>
      <c r="H92" s="35">
        <v>87</v>
      </c>
      <c r="I92" s="36" t="str">
        <f t="shared" si="7"/>
        <v/>
      </c>
      <c r="J92" s="35" t="e">
        <f t="shared" si="10"/>
        <v>#NUM!</v>
      </c>
      <c r="K92" s="35" t="e">
        <f t="shared" si="8"/>
        <v>#NUM!</v>
      </c>
      <c r="L92" s="35"/>
      <c r="M92" s="37">
        <f t="shared" si="9"/>
        <v>0</v>
      </c>
    </row>
    <row r="93" spans="1:13" x14ac:dyDescent="0.25">
      <c r="A93" s="56"/>
      <c r="G93" s="13"/>
      <c r="H93" s="35">
        <v>88</v>
      </c>
      <c r="I93" s="36" t="str">
        <f t="shared" si="7"/>
        <v/>
      </c>
      <c r="J93" s="35" t="e">
        <f t="shared" si="10"/>
        <v>#NUM!</v>
      </c>
      <c r="K93" s="35" t="e">
        <f t="shared" si="8"/>
        <v>#NUM!</v>
      </c>
      <c r="L93" s="35"/>
      <c r="M93" s="37">
        <f t="shared" si="9"/>
        <v>0</v>
      </c>
    </row>
    <row r="94" spans="1:13" x14ac:dyDescent="0.25">
      <c r="A94" s="56"/>
      <c r="G94" s="13"/>
      <c r="H94" s="35">
        <v>89</v>
      </c>
      <c r="I94" s="36" t="str">
        <f t="shared" si="7"/>
        <v/>
      </c>
      <c r="J94" s="35" t="e">
        <f t="shared" si="10"/>
        <v>#NUM!</v>
      </c>
      <c r="K94" s="35" t="e">
        <f t="shared" si="8"/>
        <v>#NUM!</v>
      </c>
      <c r="L94" s="35"/>
      <c r="M94" s="37">
        <f t="shared" si="9"/>
        <v>0</v>
      </c>
    </row>
    <row r="95" spans="1:13" x14ac:dyDescent="0.25">
      <c r="A95" s="56"/>
      <c r="G95" s="13"/>
      <c r="H95" s="35">
        <v>90</v>
      </c>
      <c r="I95" s="36" t="str">
        <f t="shared" si="7"/>
        <v/>
      </c>
      <c r="J95" s="35" t="e">
        <f t="shared" si="10"/>
        <v>#NUM!</v>
      </c>
      <c r="K95" s="35" t="e">
        <f t="shared" si="8"/>
        <v>#NUM!</v>
      </c>
      <c r="L95" s="35"/>
      <c r="M95" s="37">
        <f t="shared" si="9"/>
        <v>0</v>
      </c>
    </row>
    <row r="96" spans="1:13" x14ac:dyDescent="0.25">
      <c r="A96" s="56"/>
      <c r="G96" s="13"/>
      <c r="H96" s="35">
        <v>91</v>
      </c>
      <c r="I96" s="36" t="str">
        <f t="shared" si="7"/>
        <v/>
      </c>
      <c r="J96" s="35" t="e">
        <f t="shared" si="10"/>
        <v>#NUM!</v>
      </c>
      <c r="K96" s="35" t="e">
        <f t="shared" si="8"/>
        <v>#NUM!</v>
      </c>
      <c r="L96" s="35"/>
      <c r="M96" s="37">
        <f t="shared" si="9"/>
        <v>0</v>
      </c>
    </row>
    <row r="97" spans="1:13" x14ac:dyDescent="0.25">
      <c r="A97" s="56"/>
      <c r="G97" s="13"/>
      <c r="H97" s="35">
        <v>92</v>
      </c>
      <c r="I97" s="36" t="str">
        <f t="shared" si="7"/>
        <v/>
      </c>
      <c r="J97" s="35" t="e">
        <f t="shared" si="10"/>
        <v>#NUM!</v>
      </c>
      <c r="K97" s="35" t="e">
        <f t="shared" si="8"/>
        <v>#NUM!</v>
      </c>
      <c r="L97" s="35"/>
      <c r="M97" s="37">
        <f t="shared" si="9"/>
        <v>0</v>
      </c>
    </row>
    <row r="98" spans="1:13" x14ac:dyDescent="0.25">
      <c r="A98" s="56"/>
      <c r="G98" s="13"/>
      <c r="H98" s="35">
        <v>93</v>
      </c>
      <c r="I98" s="36" t="str">
        <f t="shared" si="7"/>
        <v/>
      </c>
      <c r="J98" s="35" t="e">
        <f t="shared" si="10"/>
        <v>#NUM!</v>
      </c>
      <c r="K98" s="35" t="e">
        <f t="shared" si="8"/>
        <v>#NUM!</v>
      </c>
      <c r="L98" s="35"/>
      <c r="M98" s="37">
        <f t="shared" si="9"/>
        <v>0</v>
      </c>
    </row>
    <row r="99" spans="1:13" x14ac:dyDescent="0.25">
      <c r="A99" s="56"/>
      <c r="G99" s="13"/>
      <c r="H99" s="35">
        <v>94</v>
      </c>
      <c r="I99" s="36" t="str">
        <f t="shared" si="7"/>
        <v/>
      </c>
      <c r="J99" s="35" t="e">
        <f t="shared" si="10"/>
        <v>#NUM!</v>
      </c>
      <c r="K99" s="35" t="e">
        <f t="shared" si="8"/>
        <v>#NUM!</v>
      </c>
      <c r="L99" s="35"/>
      <c r="M99" s="37">
        <f t="shared" si="9"/>
        <v>0</v>
      </c>
    </row>
    <row r="100" spans="1:13" x14ac:dyDescent="0.25">
      <c r="A100" s="56"/>
      <c r="G100" s="13"/>
      <c r="H100" s="35">
        <v>95</v>
      </c>
      <c r="I100" s="36" t="str">
        <f t="shared" si="7"/>
        <v/>
      </c>
      <c r="J100" s="35" t="e">
        <f t="shared" si="10"/>
        <v>#NUM!</v>
      </c>
      <c r="K100" s="35" t="e">
        <f t="shared" si="8"/>
        <v>#NUM!</v>
      </c>
      <c r="L100" s="35"/>
      <c r="M100" s="37">
        <f t="shared" si="9"/>
        <v>0</v>
      </c>
    </row>
    <row r="101" spans="1:13" x14ac:dyDescent="0.25">
      <c r="A101" s="56"/>
      <c r="G101" s="13"/>
      <c r="H101" s="35">
        <v>96</v>
      </c>
      <c r="I101" s="36" t="str">
        <f t="shared" si="7"/>
        <v/>
      </c>
      <c r="J101" s="35" t="e">
        <f t="shared" si="10"/>
        <v>#NUM!</v>
      </c>
      <c r="K101" s="35" t="e">
        <f t="shared" si="8"/>
        <v>#NUM!</v>
      </c>
      <c r="L101" s="35"/>
      <c r="M101" s="37">
        <f t="shared" si="9"/>
        <v>0</v>
      </c>
    </row>
    <row r="102" spans="1:13" x14ac:dyDescent="0.25">
      <c r="A102" s="56"/>
      <c r="G102" s="13"/>
      <c r="H102" s="35">
        <v>97</v>
      </c>
      <c r="I102" s="36" t="str">
        <f t="shared" si="7"/>
        <v/>
      </c>
      <c r="J102" s="35" t="e">
        <f t="shared" si="10"/>
        <v>#NUM!</v>
      </c>
      <c r="K102" s="35" t="e">
        <f t="shared" si="8"/>
        <v>#NUM!</v>
      </c>
      <c r="L102" s="35"/>
      <c r="M102" s="37">
        <f t="shared" si="9"/>
        <v>0</v>
      </c>
    </row>
    <row r="103" spans="1:13" x14ac:dyDescent="0.25">
      <c r="A103" s="56"/>
      <c r="G103" s="13"/>
      <c r="H103" s="35">
        <v>98</v>
      </c>
      <c r="I103" s="36" t="str">
        <f t="shared" si="7"/>
        <v/>
      </c>
      <c r="J103" s="35" t="e">
        <f t="shared" si="10"/>
        <v>#NUM!</v>
      </c>
      <c r="K103" s="35" t="e">
        <f t="shared" si="8"/>
        <v>#NUM!</v>
      </c>
      <c r="L103" s="35"/>
      <c r="M103" s="37">
        <f t="shared" si="9"/>
        <v>0</v>
      </c>
    </row>
    <row r="104" spans="1:13" x14ac:dyDescent="0.25">
      <c r="A104" s="56"/>
      <c r="G104" s="13"/>
      <c r="H104" s="35">
        <v>99</v>
      </c>
      <c r="I104" s="36" t="str">
        <f t="shared" si="7"/>
        <v/>
      </c>
      <c r="J104" s="35" t="e">
        <f t="shared" si="10"/>
        <v>#NUM!</v>
      </c>
      <c r="K104" s="35" t="e">
        <f t="shared" si="8"/>
        <v>#NUM!</v>
      </c>
      <c r="L104" s="35"/>
      <c r="M104" s="37">
        <f t="shared" si="9"/>
        <v>0</v>
      </c>
    </row>
    <row r="105" spans="1:13" x14ac:dyDescent="0.25">
      <c r="A105" s="56"/>
      <c r="G105" s="13"/>
      <c r="H105" s="35">
        <v>100</v>
      </c>
      <c r="I105" s="36" t="str">
        <f t="shared" si="7"/>
        <v/>
      </c>
      <c r="J105" s="35" t="e">
        <f t="shared" si="10"/>
        <v>#NUM!</v>
      </c>
      <c r="K105" s="35" t="e">
        <f t="shared" si="8"/>
        <v>#NUM!</v>
      </c>
      <c r="L105" s="35"/>
      <c r="M105" s="37">
        <f t="shared" si="9"/>
        <v>0</v>
      </c>
    </row>
    <row r="106" spans="1:13" x14ac:dyDescent="0.25">
      <c r="A106" s="56"/>
      <c r="G106" s="13"/>
      <c r="H106" s="35">
        <v>101</v>
      </c>
      <c r="I106" s="36" t="str">
        <f t="shared" si="7"/>
        <v/>
      </c>
      <c r="J106" s="35" t="e">
        <f t="shared" si="10"/>
        <v>#NUM!</v>
      </c>
      <c r="K106" s="35" t="e">
        <f t="shared" si="8"/>
        <v>#NUM!</v>
      </c>
      <c r="L106" s="35"/>
      <c r="M106" s="37">
        <f t="shared" si="9"/>
        <v>0</v>
      </c>
    </row>
    <row r="107" spans="1:13" x14ac:dyDescent="0.25">
      <c r="A107" s="56"/>
      <c r="G107" s="13"/>
      <c r="H107" s="35">
        <v>102</v>
      </c>
      <c r="I107" s="36" t="str">
        <f t="shared" si="7"/>
        <v/>
      </c>
      <c r="J107" s="35" t="e">
        <f t="shared" si="10"/>
        <v>#NUM!</v>
      </c>
      <c r="K107" s="35" t="e">
        <f t="shared" si="8"/>
        <v>#NUM!</v>
      </c>
      <c r="L107" s="35"/>
      <c r="M107" s="37">
        <f t="shared" si="9"/>
        <v>0</v>
      </c>
    </row>
    <row r="108" spans="1:13" x14ac:dyDescent="0.25">
      <c r="A108" s="56"/>
      <c r="G108" s="13"/>
      <c r="H108" s="35">
        <v>103</v>
      </c>
      <c r="I108" s="36" t="str">
        <f t="shared" si="7"/>
        <v/>
      </c>
      <c r="J108" s="35" t="e">
        <f t="shared" si="10"/>
        <v>#NUM!</v>
      </c>
      <c r="K108" s="35" t="e">
        <f t="shared" si="8"/>
        <v>#NUM!</v>
      </c>
      <c r="L108" s="35"/>
      <c r="M108" s="37">
        <f t="shared" si="9"/>
        <v>0</v>
      </c>
    </row>
    <row r="109" spans="1:13" x14ac:dyDescent="0.25">
      <c r="A109" s="56"/>
      <c r="G109" s="13"/>
      <c r="H109" s="35">
        <v>104</v>
      </c>
      <c r="I109" s="36" t="str">
        <f t="shared" si="7"/>
        <v/>
      </c>
      <c r="J109" s="35" t="e">
        <f t="shared" si="10"/>
        <v>#NUM!</v>
      </c>
      <c r="K109" s="35" t="e">
        <f t="shared" si="8"/>
        <v>#NUM!</v>
      </c>
      <c r="L109" s="35"/>
      <c r="M109" s="37">
        <f t="shared" si="9"/>
        <v>0</v>
      </c>
    </row>
    <row r="110" spans="1:13" x14ac:dyDescent="0.25">
      <c r="A110" s="56"/>
      <c r="G110" s="13"/>
      <c r="H110" s="35">
        <v>105</v>
      </c>
      <c r="I110" s="36" t="str">
        <f t="shared" si="7"/>
        <v/>
      </c>
      <c r="J110" s="35" t="e">
        <f t="shared" si="10"/>
        <v>#NUM!</v>
      </c>
      <c r="K110" s="35" t="e">
        <f t="shared" si="8"/>
        <v>#NUM!</v>
      </c>
      <c r="L110" s="35"/>
      <c r="M110" s="37">
        <f t="shared" si="9"/>
        <v>0</v>
      </c>
    </row>
    <row r="111" spans="1:13" x14ac:dyDescent="0.25">
      <c r="A111" s="56"/>
      <c r="G111" s="13"/>
      <c r="H111" s="35">
        <v>106</v>
      </c>
      <c r="I111" s="36" t="str">
        <f t="shared" si="7"/>
        <v/>
      </c>
      <c r="J111" s="35" t="e">
        <f t="shared" si="10"/>
        <v>#NUM!</v>
      </c>
      <c r="K111" s="35" t="e">
        <f t="shared" si="8"/>
        <v>#NUM!</v>
      </c>
      <c r="L111" s="35"/>
      <c r="M111" s="37">
        <f t="shared" si="9"/>
        <v>0</v>
      </c>
    </row>
    <row r="112" spans="1:13" x14ac:dyDescent="0.25">
      <c r="A112" s="56"/>
      <c r="G112" s="13"/>
      <c r="H112" s="35">
        <v>107</v>
      </c>
      <c r="I112" s="36" t="str">
        <f t="shared" si="7"/>
        <v/>
      </c>
      <c r="J112" s="35" t="e">
        <f t="shared" si="10"/>
        <v>#NUM!</v>
      </c>
      <c r="K112" s="35" t="e">
        <f t="shared" si="8"/>
        <v>#NUM!</v>
      </c>
      <c r="L112" s="35"/>
      <c r="M112" s="37">
        <f t="shared" si="9"/>
        <v>0</v>
      </c>
    </row>
    <row r="113" spans="1:13" x14ac:dyDescent="0.25">
      <c r="A113" s="56"/>
      <c r="G113" s="13"/>
      <c r="H113" s="35">
        <v>108</v>
      </c>
      <c r="I113" s="36" t="str">
        <f t="shared" si="7"/>
        <v/>
      </c>
      <c r="J113" s="35" t="e">
        <f t="shared" si="10"/>
        <v>#NUM!</v>
      </c>
      <c r="K113" s="35" t="e">
        <f t="shared" si="8"/>
        <v>#NUM!</v>
      </c>
      <c r="L113" s="35"/>
      <c r="M113" s="37">
        <f t="shared" si="9"/>
        <v>0</v>
      </c>
    </row>
    <row r="114" spans="1:13" x14ac:dyDescent="0.25">
      <c r="A114" s="56"/>
      <c r="G114" s="13"/>
      <c r="H114" s="35">
        <v>109</v>
      </c>
      <c r="I114" s="36" t="str">
        <f t="shared" si="7"/>
        <v/>
      </c>
      <c r="J114" s="35" t="e">
        <f t="shared" si="10"/>
        <v>#NUM!</v>
      </c>
      <c r="K114" s="35" t="e">
        <f t="shared" si="8"/>
        <v>#NUM!</v>
      </c>
      <c r="L114" s="35"/>
      <c r="M114" s="37">
        <f t="shared" si="9"/>
        <v>0</v>
      </c>
    </row>
    <row r="115" spans="1:13" x14ac:dyDescent="0.25">
      <c r="A115" s="56"/>
      <c r="G115" s="13"/>
      <c r="H115" s="35">
        <v>110</v>
      </c>
      <c r="I115" s="36" t="str">
        <f t="shared" si="7"/>
        <v/>
      </c>
      <c r="J115" s="35" t="e">
        <f t="shared" si="10"/>
        <v>#NUM!</v>
      </c>
      <c r="K115" s="35" t="e">
        <f t="shared" si="8"/>
        <v>#NUM!</v>
      </c>
      <c r="L115" s="35"/>
      <c r="M115" s="37">
        <f t="shared" si="9"/>
        <v>0</v>
      </c>
    </row>
    <row r="116" spans="1:13" x14ac:dyDescent="0.25">
      <c r="A116" s="56"/>
      <c r="G116" s="13"/>
      <c r="H116" s="35">
        <v>111</v>
      </c>
      <c r="I116" s="36" t="str">
        <f t="shared" si="7"/>
        <v/>
      </c>
      <c r="J116" s="35" t="e">
        <f t="shared" si="10"/>
        <v>#NUM!</v>
      </c>
      <c r="K116" s="35" t="e">
        <f t="shared" si="8"/>
        <v>#NUM!</v>
      </c>
      <c r="L116" s="35"/>
      <c r="M116" s="37">
        <f t="shared" si="9"/>
        <v>0</v>
      </c>
    </row>
    <row r="117" spans="1:13" x14ac:dyDescent="0.25">
      <c r="A117" s="56"/>
      <c r="G117" s="13"/>
      <c r="H117" s="35">
        <v>112</v>
      </c>
      <c r="I117" s="36" t="str">
        <f t="shared" si="7"/>
        <v/>
      </c>
      <c r="J117" s="35" t="e">
        <f t="shared" si="10"/>
        <v>#NUM!</v>
      </c>
      <c r="K117" s="35" t="e">
        <f t="shared" si="8"/>
        <v>#NUM!</v>
      </c>
      <c r="L117" s="35"/>
      <c r="M117" s="37">
        <f t="shared" si="9"/>
        <v>0</v>
      </c>
    </row>
    <row r="118" spans="1:13" x14ac:dyDescent="0.25">
      <c r="A118" s="56"/>
      <c r="G118" s="13"/>
      <c r="H118" s="35">
        <v>113</v>
      </c>
      <c r="I118" s="36" t="str">
        <f t="shared" si="7"/>
        <v/>
      </c>
      <c r="J118" s="35" t="e">
        <f t="shared" si="10"/>
        <v>#NUM!</v>
      </c>
      <c r="K118" s="35" t="e">
        <f t="shared" si="8"/>
        <v>#NUM!</v>
      </c>
      <c r="L118" s="35"/>
      <c r="M118" s="37">
        <f t="shared" si="9"/>
        <v>0</v>
      </c>
    </row>
    <row r="119" spans="1:13" x14ac:dyDescent="0.25">
      <c r="A119" s="56"/>
      <c r="G119" s="13"/>
      <c r="H119" s="35">
        <v>114</v>
      </c>
      <c r="I119" s="36" t="str">
        <f t="shared" si="7"/>
        <v/>
      </c>
      <c r="J119" s="35" t="e">
        <f t="shared" si="10"/>
        <v>#NUM!</v>
      </c>
      <c r="K119" s="35" t="e">
        <f t="shared" si="8"/>
        <v>#NUM!</v>
      </c>
      <c r="L119" s="35"/>
      <c r="M119" s="37">
        <f t="shared" si="9"/>
        <v>0</v>
      </c>
    </row>
    <row r="120" spans="1:13" x14ac:dyDescent="0.25">
      <c r="A120" s="56"/>
      <c r="G120" s="13"/>
      <c r="H120" s="35">
        <v>115</v>
      </c>
      <c r="I120" s="36" t="str">
        <f t="shared" si="7"/>
        <v/>
      </c>
      <c r="J120" s="35" t="e">
        <f t="shared" si="10"/>
        <v>#NUM!</v>
      </c>
      <c r="K120" s="35" t="e">
        <f t="shared" si="8"/>
        <v>#NUM!</v>
      </c>
      <c r="L120" s="35"/>
      <c r="M120" s="37">
        <f t="shared" si="9"/>
        <v>0</v>
      </c>
    </row>
    <row r="121" spans="1:13" x14ac:dyDescent="0.25">
      <c r="A121" s="56"/>
      <c r="G121" s="13"/>
      <c r="H121" s="35">
        <v>116</v>
      </c>
      <c r="I121" s="36" t="str">
        <f t="shared" si="7"/>
        <v/>
      </c>
      <c r="J121" s="35" t="e">
        <f t="shared" si="10"/>
        <v>#NUM!</v>
      </c>
      <c r="K121" s="35" t="e">
        <f t="shared" si="8"/>
        <v>#NUM!</v>
      </c>
      <c r="L121" s="35"/>
      <c r="M121" s="37">
        <f t="shared" si="9"/>
        <v>0</v>
      </c>
    </row>
    <row r="122" spans="1:13" x14ac:dyDescent="0.25">
      <c r="A122" s="56"/>
      <c r="G122" s="13"/>
      <c r="H122" s="35">
        <v>117</v>
      </c>
      <c r="I122" s="36" t="str">
        <f t="shared" si="7"/>
        <v/>
      </c>
      <c r="J122" s="35" t="e">
        <f t="shared" si="10"/>
        <v>#NUM!</v>
      </c>
      <c r="K122" s="35" t="e">
        <f t="shared" si="8"/>
        <v>#NUM!</v>
      </c>
      <c r="L122" s="35"/>
      <c r="M122" s="37">
        <f t="shared" si="9"/>
        <v>0</v>
      </c>
    </row>
    <row r="123" spans="1:13" x14ac:dyDescent="0.25">
      <c r="A123" s="56"/>
      <c r="G123" s="13"/>
      <c r="H123" s="35">
        <v>118</v>
      </c>
      <c r="I123" s="36" t="str">
        <f t="shared" si="7"/>
        <v/>
      </c>
      <c r="J123" s="35" t="e">
        <f t="shared" si="10"/>
        <v>#NUM!</v>
      </c>
      <c r="K123" s="35" t="e">
        <f t="shared" si="8"/>
        <v>#NUM!</v>
      </c>
      <c r="L123" s="35"/>
      <c r="M123" s="37">
        <f t="shared" si="9"/>
        <v>0</v>
      </c>
    </row>
    <row r="124" spans="1:13" x14ac:dyDescent="0.25">
      <c r="A124" s="56"/>
      <c r="G124" s="13"/>
      <c r="H124" s="35">
        <v>119</v>
      </c>
      <c r="I124" s="36" t="str">
        <f t="shared" si="7"/>
        <v/>
      </c>
      <c r="J124" s="35" t="e">
        <f t="shared" si="10"/>
        <v>#NUM!</v>
      </c>
      <c r="K124" s="35" t="e">
        <f t="shared" si="8"/>
        <v>#NUM!</v>
      </c>
      <c r="L124" s="35"/>
      <c r="M124" s="37">
        <f t="shared" si="9"/>
        <v>0</v>
      </c>
    </row>
    <row r="125" spans="1:13" x14ac:dyDescent="0.25">
      <c r="A125" s="56"/>
      <c r="G125" s="13"/>
      <c r="H125" s="35">
        <v>120</v>
      </c>
      <c r="I125" s="36" t="str">
        <f t="shared" si="7"/>
        <v/>
      </c>
      <c r="J125" s="35" t="e">
        <f t="shared" si="10"/>
        <v>#NUM!</v>
      </c>
      <c r="K125" s="35" t="e">
        <f t="shared" si="8"/>
        <v>#NUM!</v>
      </c>
      <c r="L125" s="35"/>
      <c r="M125" s="37">
        <f t="shared" si="9"/>
        <v>0</v>
      </c>
    </row>
    <row r="126" spans="1:13" x14ac:dyDescent="0.25">
      <c r="A126" s="56"/>
      <c r="G126" s="13"/>
      <c r="H126" s="35">
        <v>121</v>
      </c>
      <c r="I126" s="36" t="str">
        <f t="shared" si="7"/>
        <v/>
      </c>
      <c r="J126" s="35" t="e">
        <f t="shared" si="10"/>
        <v>#NUM!</v>
      </c>
      <c r="K126" s="35" t="e">
        <f t="shared" si="8"/>
        <v>#NUM!</v>
      </c>
      <c r="L126" s="35"/>
      <c r="M126" s="37">
        <f t="shared" si="9"/>
        <v>0</v>
      </c>
    </row>
    <row r="127" spans="1:13" x14ac:dyDescent="0.25">
      <c r="A127" s="56"/>
      <c r="G127" s="13"/>
      <c r="H127" s="35">
        <v>122</v>
      </c>
      <c r="I127" s="36" t="str">
        <f t="shared" si="7"/>
        <v/>
      </c>
      <c r="J127" s="35" t="e">
        <f t="shared" si="10"/>
        <v>#NUM!</v>
      </c>
      <c r="K127" s="35" t="e">
        <f t="shared" si="8"/>
        <v>#NUM!</v>
      </c>
      <c r="L127" s="35"/>
      <c r="M127" s="37">
        <f t="shared" si="9"/>
        <v>0</v>
      </c>
    </row>
    <row r="128" spans="1:13" x14ac:dyDescent="0.25">
      <c r="A128" s="56"/>
      <c r="G128" s="13"/>
      <c r="H128" s="35">
        <v>123</v>
      </c>
      <c r="I128" s="36" t="str">
        <f t="shared" si="7"/>
        <v/>
      </c>
      <c r="J128" s="35" t="e">
        <f t="shared" si="10"/>
        <v>#NUM!</v>
      </c>
      <c r="K128" s="35" t="e">
        <f t="shared" si="8"/>
        <v>#NUM!</v>
      </c>
      <c r="L128" s="35"/>
      <c r="M128" s="37">
        <f t="shared" si="9"/>
        <v>0</v>
      </c>
    </row>
    <row r="129" spans="1:13" x14ac:dyDescent="0.25">
      <c r="A129" s="56"/>
      <c r="G129" s="13"/>
      <c r="H129" s="35">
        <v>124</v>
      </c>
      <c r="I129" s="36" t="str">
        <f t="shared" si="7"/>
        <v/>
      </c>
      <c r="J129" s="35" t="e">
        <f t="shared" si="10"/>
        <v>#NUM!</v>
      </c>
      <c r="K129" s="35" t="e">
        <f t="shared" si="8"/>
        <v>#NUM!</v>
      </c>
      <c r="L129" s="35"/>
      <c r="M129" s="37">
        <f t="shared" si="9"/>
        <v>0</v>
      </c>
    </row>
    <row r="130" spans="1:13" x14ac:dyDescent="0.25">
      <c r="A130" s="56"/>
      <c r="G130" s="13"/>
      <c r="H130" s="35">
        <v>125</v>
      </c>
      <c r="I130" s="36" t="str">
        <f t="shared" si="7"/>
        <v/>
      </c>
      <c r="J130" s="35" t="e">
        <f t="shared" si="10"/>
        <v>#NUM!</v>
      </c>
      <c r="K130" s="35" t="e">
        <f t="shared" si="8"/>
        <v>#NUM!</v>
      </c>
      <c r="L130" s="35"/>
      <c r="M130" s="37">
        <f t="shared" si="9"/>
        <v>0</v>
      </c>
    </row>
    <row r="131" spans="1:13" x14ac:dyDescent="0.25">
      <c r="A131" s="56"/>
      <c r="G131" s="13"/>
      <c r="H131" s="35">
        <v>126</v>
      </c>
      <c r="I131" s="36" t="str">
        <f t="shared" si="7"/>
        <v/>
      </c>
      <c r="J131" s="35" t="e">
        <f t="shared" si="10"/>
        <v>#NUM!</v>
      </c>
      <c r="K131" s="35" t="e">
        <f t="shared" si="8"/>
        <v>#NUM!</v>
      </c>
      <c r="L131" s="35"/>
      <c r="M131" s="37">
        <f t="shared" si="9"/>
        <v>0</v>
      </c>
    </row>
    <row r="132" spans="1:13" x14ac:dyDescent="0.25">
      <c r="A132" s="56"/>
      <c r="G132" s="13"/>
      <c r="H132" s="35">
        <v>127</v>
      </c>
      <c r="I132" s="36" t="str">
        <f t="shared" si="7"/>
        <v/>
      </c>
      <c r="J132" s="35" t="e">
        <f t="shared" si="10"/>
        <v>#NUM!</v>
      </c>
      <c r="K132" s="35" t="e">
        <f t="shared" si="8"/>
        <v>#NUM!</v>
      </c>
      <c r="L132" s="35"/>
      <c r="M132" s="37">
        <f t="shared" si="9"/>
        <v>0</v>
      </c>
    </row>
    <row r="133" spans="1:13" x14ac:dyDescent="0.25">
      <c r="A133" s="56"/>
      <c r="G133" s="13"/>
      <c r="H133" s="35">
        <v>128</v>
      </c>
      <c r="I133" s="36" t="str">
        <f t="shared" si="7"/>
        <v/>
      </c>
      <c r="J133" s="35" t="e">
        <f t="shared" si="10"/>
        <v>#NUM!</v>
      </c>
      <c r="K133" s="35" t="e">
        <f t="shared" si="8"/>
        <v>#NUM!</v>
      </c>
      <c r="L133" s="35"/>
      <c r="M133" s="37">
        <f t="shared" si="9"/>
        <v>0</v>
      </c>
    </row>
    <row r="134" spans="1:13" x14ac:dyDescent="0.25">
      <c r="A134" s="56"/>
      <c r="G134" s="13"/>
      <c r="H134" s="35">
        <v>129</v>
      </c>
      <c r="I134" s="36" t="str">
        <f t="shared" ref="I134:I197" si="11">IF(H134&lt;$H$2+1,($I$2-($I$2-1)*(LOG(H134)/LOG($H$2))),"")</f>
        <v/>
      </c>
      <c r="J134" s="35" t="e">
        <f t="shared" si="10"/>
        <v>#NUM!</v>
      </c>
      <c r="K134" s="35" t="e">
        <f t="shared" ref="K134:K197" si="12">J134*$J$2</f>
        <v>#NUM!</v>
      </c>
      <c r="L134" s="35"/>
      <c r="M134" s="37">
        <f t="shared" ref="M134:M197" si="13">IF(I134&lt;&gt;"",K134+I134+L134,0)</f>
        <v>0</v>
      </c>
    </row>
    <row r="135" spans="1:13" x14ac:dyDescent="0.25">
      <c r="A135" s="56"/>
      <c r="G135" s="13"/>
      <c r="H135" s="35">
        <v>130</v>
      </c>
      <c r="I135" s="36" t="str">
        <f t="shared" si="11"/>
        <v/>
      </c>
      <c r="J135" s="35" t="e">
        <f t="shared" ref="J135:J198" si="14">INT(LOG($H$2,2))-ROUNDUP(LOG(H135,2),0)+IF(OR($H$2=1,$H$2=2,$H$2=4,$H$2=8,$H$2=16,$H$2=32,$H$2=64,$H$2=128,$H$2=256),0,1)</f>
        <v>#NUM!</v>
      </c>
      <c r="K135" s="35" t="e">
        <f t="shared" si="12"/>
        <v>#NUM!</v>
      </c>
      <c r="L135" s="35"/>
      <c r="M135" s="37">
        <f t="shared" si="13"/>
        <v>0</v>
      </c>
    </row>
    <row r="136" spans="1:13" x14ac:dyDescent="0.25">
      <c r="A136" s="56"/>
      <c r="G136" s="13"/>
      <c r="H136" s="35">
        <v>131</v>
      </c>
      <c r="I136" s="36" t="str">
        <f t="shared" si="11"/>
        <v/>
      </c>
      <c r="J136" s="35" t="e">
        <f t="shared" si="14"/>
        <v>#NUM!</v>
      </c>
      <c r="K136" s="35" t="e">
        <f t="shared" si="12"/>
        <v>#NUM!</v>
      </c>
      <c r="L136" s="35"/>
      <c r="M136" s="37">
        <f t="shared" si="13"/>
        <v>0</v>
      </c>
    </row>
    <row r="137" spans="1:13" x14ac:dyDescent="0.25">
      <c r="A137" s="56"/>
      <c r="G137" s="13"/>
      <c r="H137" s="35">
        <v>132</v>
      </c>
      <c r="I137" s="36" t="str">
        <f t="shared" si="11"/>
        <v/>
      </c>
      <c r="J137" s="35" t="e">
        <f t="shared" si="14"/>
        <v>#NUM!</v>
      </c>
      <c r="K137" s="35" t="e">
        <f t="shared" si="12"/>
        <v>#NUM!</v>
      </c>
      <c r="L137" s="35"/>
      <c r="M137" s="37">
        <f t="shared" si="13"/>
        <v>0</v>
      </c>
    </row>
    <row r="138" spans="1:13" x14ac:dyDescent="0.25">
      <c r="A138" s="56"/>
      <c r="G138" s="13"/>
      <c r="H138" s="35">
        <v>133</v>
      </c>
      <c r="I138" s="36" t="str">
        <f t="shared" si="11"/>
        <v/>
      </c>
      <c r="J138" s="35" t="e">
        <f t="shared" si="14"/>
        <v>#NUM!</v>
      </c>
      <c r="K138" s="35" t="e">
        <f t="shared" si="12"/>
        <v>#NUM!</v>
      </c>
      <c r="L138" s="35"/>
      <c r="M138" s="37">
        <f t="shared" si="13"/>
        <v>0</v>
      </c>
    </row>
    <row r="139" spans="1:13" x14ac:dyDescent="0.25">
      <c r="A139" s="56"/>
      <c r="G139" s="13"/>
      <c r="H139" s="35">
        <v>134</v>
      </c>
      <c r="I139" s="36" t="str">
        <f t="shared" si="11"/>
        <v/>
      </c>
      <c r="J139" s="35" t="e">
        <f t="shared" si="14"/>
        <v>#NUM!</v>
      </c>
      <c r="K139" s="35" t="e">
        <f t="shared" si="12"/>
        <v>#NUM!</v>
      </c>
      <c r="L139" s="35"/>
      <c r="M139" s="37">
        <f t="shared" si="13"/>
        <v>0</v>
      </c>
    </row>
    <row r="140" spans="1:13" x14ac:dyDescent="0.25">
      <c r="A140" s="56"/>
      <c r="G140" s="13"/>
      <c r="H140" s="35">
        <v>135</v>
      </c>
      <c r="I140" s="36" t="str">
        <f t="shared" si="11"/>
        <v/>
      </c>
      <c r="J140" s="35" t="e">
        <f t="shared" si="14"/>
        <v>#NUM!</v>
      </c>
      <c r="K140" s="35" t="e">
        <f t="shared" si="12"/>
        <v>#NUM!</v>
      </c>
      <c r="L140" s="35"/>
      <c r="M140" s="37">
        <f t="shared" si="13"/>
        <v>0</v>
      </c>
    </row>
    <row r="141" spans="1:13" x14ac:dyDescent="0.25">
      <c r="A141" s="56"/>
      <c r="G141" s="13"/>
      <c r="H141" s="35">
        <v>136</v>
      </c>
      <c r="I141" s="36" t="str">
        <f t="shared" si="11"/>
        <v/>
      </c>
      <c r="J141" s="35" t="e">
        <f t="shared" si="14"/>
        <v>#NUM!</v>
      </c>
      <c r="K141" s="35" t="e">
        <f t="shared" si="12"/>
        <v>#NUM!</v>
      </c>
      <c r="L141" s="35"/>
      <c r="M141" s="37">
        <f t="shared" si="13"/>
        <v>0</v>
      </c>
    </row>
    <row r="142" spans="1:13" x14ac:dyDescent="0.25">
      <c r="A142" s="56"/>
      <c r="G142" s="13"/>
      <c r="H142" s="35">
        <v>137</v>
      </c>
      <c r="I142" s="36" t="str">
        <f t="shared" si="11"/>
        <v/>
      </c>
      <c r="J142" s="35" t="e">
        <f t="shared" si="14"/>
        <v>#NUM!</v>
      </c>
      <c r="K142" s="35" t="e">
        <f t="shared" si="12"/>
        <v>#NUM!</v>
      </c>
      <c r="L142" s="35"/>
      <c r="M142" s="37">
        <f t="shared" si="13"/>
        <v>0</v>
      </c>
    </row>
    <row r="143" spans="1:13" x14ac:dyDescent="0.25">
      <c r="A143" s="56"/>
      <c r="G143" s="13"/>
      <c r="H143" s="35">
        <v>138</v>
      </c>
      <c r="I143" s="36" t="str">
        <f t="shared" si="11"/>
        <v/>
      </c>
      <c r="J143" s="35" t="e">
        <f t="shared" si="14"/>
        <v>#NUM!</v>
      </c>
      <c r="K143" s="35" t="e">
        <f t="shared" si="12"/>
        <v>#NUM!</v>
      </c>
      <c r="L143" s="35"/>
      <c r="M143" s="37">
        <f t="shared" si="13"/>
        <v>0</v>
      </c>
    </row>
    <row r="144" spans="1:13" x14ac:dyDescent="0.25">
      <c r="A144" s="56"/>
      <c r="G144" s="13"/>
      <c r="H144" s="35">
        <v>139</v>
      </c>
      <c r="I144" s="36" t="str">
        <f t="shared" si="11"/>
        <v/>
      </c>
      <c r="J144" s="35" t="e">
        <f t="shared" si="14"/>
        <v>#NUM!</v>
      </c>
      <c r="K144" s="35" t="e">
        <f t="shared" si="12"/>
        <v>#NUM!</v>
      </c>
      <c r="L144" s="35"/>
      <c r="M144" s="37">
        <f t="shared" si="13"/>
        <v>0</v>
      </c>
    </row>
    <row r="145" spans="1:13" x14ac:dyDescent="0.25">
      <c r="A145" s="56"/>
      <c r="G145" s="13"/>
      <c r="H145" s="35">
        <v>140</v>
      </c>
      <c r="I145" s="36" t="str">
        <f t="shared" si="11"/>
        <v/>
      </c>
      <c r="J145" s="35" t="e">
        <f t="shared" si="14"/>
        <v>#NUM!</v>
      </c>
      <c r="K145" s="35" t="e">
        <f t="shared" si="12"/>
        <v>#NUM!</v>
      </c>
      <c r="L145" s="35"/>
      <c r="M145" s="37">
        <f t="shared" si="13"/>
        <v>0</v>
      </c>
    </row>
    <row r="146" spans="1:13" x14ac:dyDescent="0.25">
      <c r="A146" s="56"/>
      <c r="G146" s="13"/>
      <c r="H146" s="35">
        <v>141</v>
      </c>
      <c r="I146" s="36" t="str">
        <f t="shared" si="11"/>
        <v/>
      </c>
      <c r="J146" s="35" t="e">
        <f t="shared" si="14"/>
        <v>#NUM!</v>
      </c>
      <c r="K146" s="35" t="e">
        <f t="shared" si="12"/>
        <v>#NUM!</v>
      </c>
      <c r="L146" s="35"/>
      <c r="M146" s="37">
        <f t="shared" si="13"/>
        <v>0</v>
      </c>
    </row>
    <row r="147" spans="1:13" x14ac:dyDescent="0.25">
      <c r="A147" s="56"/>
      <c r="G147" s="13"/>
      <c r="H147" s="35">
        <v>142</v>
      </c>
      <c r="I147" s="36" t="str">
        <f t="shared" si="11"/>
        <v/>
      </c>
      <c r="J147" s="35" t="e">
        <f t="shared" si="14"/>
        <v>#NUM!</v>
      </c>
      <c r="K147" s="35" t="e">
        <f t="shared" si="12"/>
        <v>#NUM!</v>
      </c>
      <c r="L147" s="35"/>
      <c r="M147" s="37">
        <f t="shared" si="13"/>
        <v>0</v>
      </c>
    </row>
    <row r="148" spans="1:13" x14ac:dyDescent="0.25">
      <c r="A148" s="56"/>
      <c r="G148" s="13"/>
      <c r="H148" s="35">
        <v>143</v>
      </c>
      <c r="I148" s="36" t="str">
        <f t="shared" si="11"/>
        <v/>
      </c>
      <c r="J148" s="35" t="e">
        <f t="shared" si="14"/>
        <v>#NUM!</v>
      </c>
      <c r="K148" s="35" t="e">
        <f t="shared" si="12"/>
        <v>#NUM!</v>
      </c>
      <c r="L148" s="35"/>
      <c r="M148" s="37">
        <f t="shared" si="13"/>
        <v>0</v>
      </c>
    </row>
    <row r="149" spans="1:13" x14ac:dyDescent="0.25">
      <c r="A149" s="56"/>
      <c r="G149" s="13"/>
      <c r="H149" s="35">
        <v>144</v>
      </c>
      <c r="I149" s="36" t="str">
        <f t="shared" si="11"/>
        <v/>
      </c>
      <c r="J149" s="35" t="e">
        <f t="shared" si="14"/>
        <v>#NUM!</v>
      </c>
      <c r="K149" s="35" t="e">
        <f t="shared" si="12"/>
        <v>#NUM!</v>
      </c>
      <c r="L149" s="35"/>
      <c r="M149" s="37">
        <f t="shared" si="13"/>
        <v>0</v>
      </c>
    </row>
    <row r="150" spans="1:13" x14ac:dyDescent="0.25">
      <c r="A150" s="56"/>
      <c r="G150" s="13"/>
      <c r="H150" s="35">
        <v>145</v>
      </c>
      <c r="I150" s="36" t="str">
        <f t="shared" si="11"/>
        <v/>
      </c>
      <c r="J150" s="35" t="e">
        <f t="shared" si="14"/>
        <v>#NUM!</v>
      </c>
      <c r="K150" s="35" t="e">
        <f t="shared" si="12"/>
        <v>#NUM!</v>
      </c>
      <c r="L150" s="35"/>
      <c r="M150" s="37">
        <f t="shared" si="13"/>
        <v>0</v>
      </c>
    </row>
    <row r="151" spans="1:13" x14ac:dyDescent="0.25">
      <c r="A151" s="56"/>
      <c r="G151" s="13"/>
      <c r="H151" s="35">
        <v>146</v>
      </c>
      <c r="I151" s="36" t="str">
        <f t="shared" si="11"/>
        <v/>
      </c>
      <c r="J151" s="35" t="e">
        <f t="shared" si="14"/>
        <v>#NUM!</v>
      </c>
      <c r="K151" s="35" t="e">
        <f t="shared" si="12"/>
        <v>#NUM!</v>
      </c>
      <c r="L151" s="35"/>
      <c r="M151" s="37">
        <f t="shared" si="13"/>
        <v>0</v>
      </c>
    </row>
    <row r="152" spans="1:13" x14ac:dyDescent="0.25">
      <c r="A152" s="56"/>
      <c r="G152" s="13"/>
      <c r="H152" s="35">
        <v>147</v>
      </c>
      <c r="I152" s="36" t="str">
        <f t="shared" si="11"/>
        <v/>
      </c>
      <c r="J152" s="35" t="e">
        <f t="shared" si="14"/>
        <v>#NUM!</v>
      </c>
      <c r="K152" s="35" t="e">
        <f t="shared" si="12"/>
        <v>#NUM!</v>
      </c>
      <c r="L152" s="35"/>
      <c r="M152" s="37">
        <f t="shared" si="13"/>
        <v>0</v>
      </c>
    </row>
    <row r="153" spans="1:13" x14ac:dyDescent="0.25">
      <c r="A153" s="56"/>
      <c r="G153" s="13"/>
      <c r="H153" s="35">
        <v>148</v>
      </c>
      <c r="I153" s="36" t="str">
        <f t="shared" si="11"/>
        <v/>
      </c>
      <c r="J153" s="35" t="e">
        <f t="shared" si="14"/>
        <v>#NUM!</v>
      </c>
      <c r="K153" s="35" t="e">
        <f t="shared" si="12"/>
        <v>#NUM!</v>
      </c>
      <c r="L153" s="35"/>
      <c r="M153" s="37">
        <f t="shared" si="13"/>
        <v>0</v>
      </c>
    </row>
    <row r="154" spans="1:13" x14ac:dyDescent="0.25">
      <c r="A154" s="56"/>
      <c r="G154" s="13"/>
      <c r="H154" s="35">
        <v>149</v>
      </c>
      <c r="I154" s="36" t="str">
        <f t="shared" si="11"/>
        <v/>
      </c>
      <c r="J154" s="35" t="e">
        <f t="shared" si="14"/>
        <v>#NUM!</v>
      </c>
      <c r="K154" s="35" t="e">
        <f t="shared" si="12"/>
        <v>#NUM!</v>
      </c>
      <c r="L154" s="35"/>
      <c r="M154" s="37">
        <f t="shared" si="13"/>
        <v>0</v>
      </c>
    </row>
    <row r="155" spans="1:13" x14ac:dyDescent="0.25">
      <c r="A155" s="56"/>
      <c r="G155" s="13"/>
      <c r="H155" s="35">
        <v>150</v>
      </c>
      <c r="I155" s="36" t="str">
        <f t="shared" si="11"/>
        <v/>
      </c>
      <c r="J155" s="35" t="e">
        <f t="shared" si="14"/>
        <v>#NUM!</v>
      </c>
      <c r="K155" s="35" t="e">
        <f t="shared" si="12"/>
        <v>#NUM!</v>
      </c>
      <c r="L155" s="35"/>
      <c r="M155" s="37">
        <f t="shared" si="13"/>
        <v>0</v>
      </c>
    </row>
    <row r="156" spans="1:13" x14ac:dyDescent="0.25">
      <c r="A156" s="56"/>
      <c r="G156" s="13"/>
      <c r="H156" s="35">
        <v>151</v>
      </c>
      <c r="I156" s="36" t="str">
        <f t="shared" si="11"/>
        <v/>
      </c>
      <c r="J156" s="35" t="e">
        <f t="shared" si="14"/>
        <v>#NUM!</v>
      </c>
      <c r="K156" s="35" t="e">
        <f t="shared" si="12"/>
        <v>#NUM!</v>
      </c>
      <c r="L156" s="35"/>
      <c r="M156" s="37">
        <f t="shared" si="13"/>
        <v>0</v>
      </c>
    </row>
    <row r="157" spans="1:13" x14ac:dyDescent="0.25">
      <c r="A157" s="56"/>
      <c r="G157" s="13"/>
      <c r="H157" s="35">
        <v>152</v>
      </c>
      <c r="I157" s="36" t="str">
        <f t="shared" si="11"/>
        <v/>
      </c>
      <c r="J157" s="35" t="e">
        <f t="shared" si="14"/>
        <v>#NUM!</v>
      </c>
      <c r="K157" s="35" t="e">
        <f t="shared" si="12"/>
        <v>#NUM!</v>
      </c>
      <c r="L157" s="35"/>
      <c r="M157" s="37">
        <f t="shared" si="13"/>
        <v>0</v>
      </c>
    </row>
    <row r="158" spans="1:13" x14ac:dyDescent="0.25">
      <c r="A158" s="56"/>
      <c r="G158" s="13"/>
      <c r="H158" s="35">
        <v>153</v>
      </c>
      <c r="I158" s="36" t="str">
        <f t="shared" si="11"/>
        <v/>
      </c>
      <c r="J158" s="35" t="e">
        <f t="shared" si="14"/>
        <v>#NUM!</v>
      </c>
      <c r="K158" s="35" t="e">
        <f t="shared" si="12"/>
        <v>#NUM!</v>
      </c>
      <c r="L158" s="35"/>
      <c r="M158" s="37">
        <f t="shared" si="13"/>
        <v>0</v>
      </c>
    </row>
    <row r="159" spans="1:13" x14ac:dyDescent="0.25">
      <c r="A159" s="56"/>
      <c r="G159" s="13"/>
      <c r="H159" s="35">
        <v>154</v>
      </c>
      <c r="I159" s="36" t="str">
        <f t="shared" si="11"/>
        <v/>
      </c>
      <c r="J159" s="35" t="e">
        <f t="shared" si="14"/>
        <v>#NUM!</v>
      </c>
      <c r="K159" s="35" t="e">
        <f t="shared" si="12"/>
        <v>#NUM!</v>
      </c>
      <c r="L159" s="35"/>
      <c r="M159" s="37">
        <f t="shared" si="13"/>
        <v>0</v>
      </c>
    </row>
    <row r="160" spans="1:13" x14ac:dyDescent="0.25">
      <c r="A160" s="56"/>
      <c r="G160" s="13"/>
      <c r="H160" s="35">
        <v>155</v>
      </c>
      <c r="I160" s="36" t="str">
        <f t="shared" si="11"/>
        <v/>
      </c>
      <c r="J160" s="35" t="e">
        <f t="shared" si="14"/>
        <v>#NUM!</v>
      </c>
      <c r="K160" s="35" t="e">
        <f t="shared" si="12"/>
        <v>#NUM!</v>
      </c>
      <c r="L160" s="35"/>
      <c r="M160" s="37">
        <f t="shared" si="13"/>
        <v>0</v>
      </c>
    </row>
    <row r="161" spans="1:13" x14ac:dyDescent="0.25">
      <c r="A161" s="56"/>
      <c r="G161" s="13"/>
      <c r="H161" s="35">
        <v>156</v>
      </c>
      <c r="I161" s="36" t="str">
        <f t="shared" si="11"/>
        <v/>
      </c>
      <c r="J161" s="35" t="e">
        <f t="shared" si="14"/>
        <v>#NUM!</v>
      </c>
      <c r="K161" s="35" t="e">
        <f t="shared" si="12"/>
        <v>#NUM!</v>
      </c>
      <c r="L161" s="35"/>
      <c r="M161" s="37">
        <f t="shared" si="13"/>
        <v>0</v>
      </c>
    </row>
    <row r="162" spans="1:13" x14ac:dyDescent="0.25">
      <c r="A162" s="56"/>
      <c r="G162" s="13"/>
      <c r="H162" s="35">
        <v>157</v>
      </c>
      <c r="I162" s="36" t="str">
        <f t="shared" si="11"/>
        <v/>
      </c>
      <c r="J162" s="35" t="e">
        <f t="shared" si="14"/>
        <v>#NUM!</v>
      </c>
      <c r="K162" s="35" t="e">
        <f t="shared" si="12"/>
        <v>#NUM!</v>
      </c>
      <c r="L162" s="35"/>
      <c r="M162" s="37">
        <f t="shared" si="13"/>
        <v>0</v>
      </c>
    </row>
    <row r="163" spans="1:13" x14ac:dyDescent="0.25">
      <c r="A163" s="56"/>
      <c r="G163" s="13"/>
      <c r="H163" s="35">
        <v>158</v>
      </c>
      <c r="I163" s="36" t="str">
        <f t="shared" si="11"/>
        <v/>
      </c>
      <c r="J163" s="35" t="e">
        <f t="shared" si="14"/>
        <v>#NUM!</v>
      </c>
      <c r="K163" s="35" t="e">
        <f t="shared" si="12"/>
        <v>#NUM!</v>
      </c>
      <c r="L163" s="35"/>
      <c r="M163" s="37">
        <f t="shared" si="13"/>
        <v>0</v>
      </c>
    </row>
    <row r="164" spans="1:13" x14ac:dyDescent="0.25">
      <c r="A164" s="56"/>
      <c r="G164" s="13"/>
      <c r="H164" s="35">
        <v>159</v>
      </c>
      <c r="I164" s="36" t="str">
        <f t="shared" si="11"/>
        <v/>
      </c>
      <c r="J164" s="35" t="e">
        <f t="shared" si="14"/>
        <v>#NUM!</v>
      </c>
      <c r="K164" s="35" t="e">
        <f t="shared" si="12"/>
        <v>#NUM!</v>
      </c>
      <c r="L164" s="35"/>
      <c r="M164" s="37">
        <f t="shared" si="13"/>
        <v>0</v>
      </c>
    </row>
    <row r="165" spans="1:13" x14ac:dyDescent="0.25">
      <c r="A165" s="56"/>
      <c r="G165" s="13"/>
      <c r="H165" s="35">
        <v>160</v>
      </c>
      <c r="I165" s="36" t="str">
        <f t="shared" si="11"/>
        <v/>
      </c>
      <c r="J165" s="35" t="e">
        <f t="shared" si="14"/>
        <v>#NUM!</v>
      </c>
      <c r="K165" s="35" t="e">
        <f t="shared" si="12"/>
        <v>#NUM!</v>
      </c>
      <c r="L165" s="35"/>
      <c r="M165" s="37">
        <f t="shared" si="13"/>
        <v>0</v>
      </c>
    </row>
    <row r="166" spans="1:13" x14ac:dyDescent="0.25">
      <c r="A166" s="56"/>
      <c r="G166" s="13"/>
      <c r="H166" s="35">
        <v>161</v>
      </c>
      <c r="I166" s="36" t="str">
        <f t="shared" si="11"/>
        <v/>
      </c>
      <c r="J166" s="35" t="e">
        <f t="shared" si="14"/>
        <v>#NUM!</v>
      </c>
      <c r="K166" s="35" t="e">
        <f t="shared" si="12"/>
        <v>#NUM!</v>
      </c>
      <c r="L166" s="35"/>
      <c r="M166" s="37">
        <f t="shared" si="13"/>
        <v>0</v>
      </c>
    </row>
    <row r="167" spans="1:13" x14ac:dyDescent="0.25">
      <c r="A167" s="56"/>
      <c r="G167" s="13"/>
      <c r="H167" s="35">
        <v>162</v>
      </c>
      <c r="I167" s="36" t="str">
        <f t="shared" si="11"/>
        <v/>
      </c>
      <c r="J167" s="35" t="e">
        <f t="shared" si="14"/>
        <v>#NUM!</v>
      </c>
      <c r="K167" s="35" t="e">
        <f t="shared" si="12"/>
        <v>#NUM!</v>
      </c>
      <c r="L167" s="35"/>
      <c r="M167" s="37">
        <f t="shared" si="13"/>
        <v>0</v>
      </c>
    </row>
    <row r="168" spans="1:13" x14ac:dyDescent="0.25">
      <c r="A168" s="56"/>
      <c r="G168" s="13"/>
      <c r="H168" s="35">
        <v>163</v>
      </c>
      <c r="I168" s="36" t="str">
        <f t="shared" si="11"/>
        <v/>
      </c>
      <c r="J168" s="35" t="e">
        <f t="shared" si="14"/>
        <v>#NUM!</v>
      </c>
      <c r="K168" s="35" t="e">
        <f t="shared" si="12"/>
        <v>#NUM!</v>
      </c>
      <c r="L168" s="35"/>
      <c r="M168" s="37">
        <f t="shared" si="13"/>
        <v>0</v>
      </c>
    </row>
    <row r="169" spans="1:13" x14ac:dyDescent="0.25">
      <c r="A169" s="56"/>
      <c r="G169" s="13"/>
      <c r="H169" s="35">
        <v>164</v>
      </c>
      <c r="I169" s="36" t="str">
        <f t="shared" si="11"/>
        <v/>
      </c>
      <c r="J169" s="35" t="e">
        <f t="shared" si="14"/>
        <v>#NUM!</v>
      </c>
      <c r="K169" s="35" t="e">
        <f t="shared" si="12"/>
        <v>#NUM!</v>
      </c>
      <c r="L169" s="35"/>
      <c r="M169" s="37">
        <f t="shared" si="13"/>
        <v>0</v>
      </c>
    </row>
    <row r="170" spans="1:13" x14ac:dyDescent="0.25">
      <c r="A170" s="56"/>
      <c r="G170" s="13"/>
      <c r="H170" s="35">
        <v>165</v>
      </c>
      <c r="I170" s="36" t="str">
        <f t="shared" si="11"/>
        <v/>
      </c>
      <c r="J170" s="35" t="e">
        <f t="shared" si="14"/>
        <v>#NUM!</v>
      </c>
      <c r="K170" s="35" t="e">
        <f t="shared" si="12"/>
        <v>#NUM!</v>
      </c>
      <c r="L170" s="35"/>
      <c r="M170" s="37">
        <f t="shared" si="13"/>
        <v>0</v>
      </c>
    </row>
    <row r="171" spans="1:13" x14ac:dyDescent="0.25">
      <c r="A171" s="56"/>
      <c r="G171" s="13"/>
      <c r="H171" s="35">
        <v>166</v>
      </c>
      <c r="I171" s="36" t="str">
        <f t="shared" si="11"/>
        <v/>
      </c>
      <c r="J171" s="35" t="e">
        <f t="shared" si="14"/>
        <v>#NUM!</v>
      </c>
      <c r="K171" s="35" t="e">
        <f t="shared" si="12"/>
        <v>#NUM!</v>
      </c>
      <c r="L171" s="35"/>
      <c r="M171" s="37">
        <f t="shared" si="13"/>
        <v>0</v>
      </c>
    </row>
    <row r="172" spans="1:13" x14ac:dyDescent="0.25">
      <c r="A172" s="56"/>
      <c r="G172" s="13"/>
      <c r="H172" s="35">
        <v>167</v>
      </c>
      <c r="I172" s="36" t="str">
        <f t="shared" si="11"/>
        <v/>
      </c>
      <c r="J172" s="35" t="e">
        <f t="shared" si="14"/>
        <v>#NUM!</v>
      </c>
      <c r="K172" s="35" t="e">
        <f t="shared" si="12"/>
        <v>#NUM!</v>
      </c>
      <c r="L172" s="35"/>
      <c r="M172" s="37">
        <f t="shared" si="13"/>
        <v>0</v>
      </c>
    </row>
    <row r="173" spans="1:13" x14ac:dyDescent="0.25">
      <c r="A173" s="56"/>
      <c r="G173" s="13"/>
      <c r="H173" s="35">
        <v>168</v>
      </c>
      <c r="I173" s="36" t="str">
        <f t="shared" si="11"/>
        <v/>
      </c>
      <c r="J173" s="35" t="e">
        <f t="shared" si="14"/>
        <v>#NUM!</v>
      </c>
      <c r="K173" s="35" t="e">
        <f t="shared" si="12"/>
        <v>#NUM!</v>
      </c>
      <c r="L173" s="35"/>
      <c r="M173" s="37">
        <f t="shared" si="13"/>
        <v>0</v>
      </c>
    </row>
    <row r="174" spans="1:13" x14ac:dyDescent="0.25">
      <c r="A174" s="56"/>
      <c r="G174" s="13"/>
      <c r="H174" s="35">
        <v>169</v>
      </c>
      <c r="I174" s="36" t="str">
        <f t="shared" si="11"/>
        <v/>
      </c>
      <c r="J174" s="35" t="e">
        <f t="shared" si="14"/>
        <v>#NUM!</v>
      </c>
      <c r="K174" s="35" t="e">
        <f t="shared" si="12"/>
        <v>#NUM!</v>
      </c>
      <c r="L174" s="35"/>
      <c r="M174" s="37">
        <f t="shared" si="13"/>
        <v>0</v>
      </c>
    </row>
    <row r="175" spans="1:13" x14ac:dyDescent="0.25">
      <c r="A175" s="56"/>
      <c r="G175" s="13"/>
      <c r="H175" s="35">
        <v>170</v>
      </c>
      <c r="I175" s="36" t="str">
        <f t="shared" si="11"/>
        <v/>
      </c>
      <c r="J175" s="35" t="e">
        <f t="shared" si="14"/>
        <v>#NUM!</v>
      </c>
      <c r="K175" s="35" t="e">
        <f t="shared" si="12"/>
        <v>#NUM!</v>
      </c>
      <c r="L175" s="35"/>
      <c r="M175" s="37">
        <f t="shared" si="13"/>
        <v>0</v>
      </c>
    </row>
    <row r="176" spans="1:13" x14ac:dyDescent="0.25">
      <c r="A176" s="56"/>
      <c r="G176" s="13"/>
      <c r="H176" s="35">
        <v>171</v>
      </c>
      <c r="I176" s="36" t="str">
        <f t="shared" si="11"/>
        <v/>
      </c>
      <c r="J176" s="35" t="e">
        <f t="shared" si="14"/>
        <v>#NUM!</v>
      </c>
      <c r="K176" s="35" t="e">
        <f t="shared" si="12"/>
        <v>#NUM!</v>
      </c>
      <c r="L176" s="35"/>
      <c r="M176" s="37">
        <f t="shared" si="13"/>
        <v>0</v>
      </c>
    </row>
    <row r="177" spans="1:13" x14ac:dyDescent="0.25">
      <c r="A177" s="56"/>
      <c r="G177" s="13"/>
      <c r="H177" s="35">
        <v>172</v>
      </c>
      <c r="I177" s="36" t="str">
        <f t="shared" si="11"/>
        <v/>
      </c>
      <c r="J177" s="35" t="e">
        <f t="shared" si="14"/>
        <v>#NUM!</v>
      </c>
      <c r="K177" s="35" t="e">
        <f t="shared" si="12"/>
        <v>#NUM!</v>
      </c>
      <c r="L177" s="35"/>
      <c r="M177" s="37">
        <f t="shared" si="13"/>
        <v>0</v>
      </c>
    </row>
    <row r="178" spans="1:13" x14ac:dyDescent="0.25">
      <c r="A178" s="56"/>
      <c r="G178" s="13"/>
      <c r="H178" s="35">
        <v>173</v>
      </c>
      <c r="I178" s="36" t="str">
        <f t="shared" si="11"/>
        <v/>
      </c>
      <c r="J178" s="35" t="e">
        <f t="shared" si="14"/>
        <v>#NUM!</v>
      </c>
      <c r="K178" s="35" t="e">
        <f t="shared" si="12"/>
        <v>#NUM!</v>
      </c>
      <c r="L178" s="35"/>
      <c r="M178" s="37">
        <f t="shared" si="13"/>
        <v>0</v>
      </c>
    </row>
    <row r="179" spans="1:13" x14ac:dyDescent="0.25">
      <c r="A179" s="56"/>
      <c r="G179" s="13"/>
      <c r="H179" s="35">
        <v>174</v>
      </c>
      <c r="I179" s="36" t="str">
        <f t="shared" si="11"/>
        <v/>
      </c>
      <c r="J179" s="35" t="e">
        <f t="shared" si="14"/>
        <v>#NUM!</v>
      </c>
      <c r="K179" s="35" t="e">
        <f t="shared" si="12"/>
        <v>#NUM!</v>
      </c>
      <c r="L179" s="35"/>
      <c r="M179" s="37">
        <f t="shared" si="13"/>
        <v>0</v>
      </c>
    </row>
    <row r="180" spans="1:13" x14ac:dyDescent="0.25">
      <c r="A180" s="56"/>
      <c r="G180" s="13"/>
      <c r="H180" s="35">
        <v>175</v>
      </c>
      <c r="I180" s="36" t="str">
        <f t="shared" si="11"/>
        <v/>
      </c>
      <c r="J180" s="35" t="e">
        <f t="shared" si="14"/>
        <v>#NUM!</v>
      </c>
      <c r="K180" s="35" t="e">
        <f t="shared" si="12"/>
        <v>#NUM!</v>
      </c>
      <c r="L180" s="35"/>
      <c r="M180" s="37">
        <f t="shared" si="13"/>
        <v>0</v>
      </c>
    </row>
    <row r="181" spans="1:13" x14ac:dyDescent="0.25">
      <c r="A181" s="56"/>
      <c r="G181" s="13"/>
      <c r="H181" s="35">
        <v>176</v>
      </c>
      <c r="I181" s="36" t="str">
        <f t="shared" si="11"/>
        <v/>
      </c>
      <c r="J181" s="35" t="e">
        <f t="shared" si="14"/>
        <v>#NUM!</v>
      </c>
      <c r="K181" s="35" t="e">
        <f t="shared" si="12"/>
        <v>#NUM!</v>
      </c>
      <c r="L181" s="35"/>
      <c r="M181" s="37">
        <f t="shared" si="13"/>
        <v>0</v>
      </c>
    </row>
    <row r="182" spans="1:13" x14ac:dyDescent="0.25">
      <c r="A182" s="56"/>
      <c r="G182" s="13"/>
      <c r="H182" s="35">
        <v>177</v>
      </c>
      <c r="I182" s="36" t="str">
        <f t="shared" si="11"/>
        <v/>
      </c>
      <c r="J182" s="35" t="e">
        <f t="shared" si="14"/>
        <v>#NUM!</v>
      </c>
      <c r="K182" s="35" t="e">
        <f t="shared" si="12"/>
        <v>#NUM!</v>
      </c>
      <c r="L182" s="35"/>
      <c r="M182" s="37">
        <f t="shared" si="13"/>
        <v>0</v>
      </c>
    </row>
    <row r="183" spans="1:13" x14ac:dyDescent="0.25">
      <c r="A183" s="56"/>
      <c r="G183" s="13"/>
      <c r="H183" s="35">
        <v>178</v>
      </c>
      <c r="I183" s="36" t="str">
        <f t="shared" si="11"/>
        <v/>
      </c>
      <c r="J183" s="35" t="e">
        <f t="shared" si="14"/>
        <v>#NUM!</v>
      </c>
      <c r="K183" s="35" t="e">
        <f t="shared" si="12"/>
        <v>#NUM!</v>
      </c>
      <c r="L183" s="35"/>
      <c r="M183" s="37">
        <f t="shared" si="13"/>
        <v>0</v>
      </c>
    </row>
    <row r="184" spans="1:13" x14ac:dyDescent="0.25">
      <c r="A184" s="56"/>
      <c r="G184" s="13"/>
      <c r="H184" s="35">
        <v>179</v>
      </c>
      <c r="I184" s="36" t="str">
        <f t="shared" si="11"/>
        <v/>
      </c>
      <c r="J184" s="35" t="e">
        <f t="shared" si="14"/>
        <v>#NUM!</v>
      </c>
      <c r="K184" s="35" t="e">
        <f t="shared" si="12"/>
        <v>#NUM!</v>
      </c>
      <c r="L184" s="35"/>
      <c r="M184" s="37">
        <f t="shared" si="13"/>
        <v>0</v>
      </c>
    </row>
    <row r="185" spans="1:13" x14ac:dyDescent="0.25">
      <c r="A185" s="56"/>
      <c r="G185" s="13"/>
      <c r="H185" s="35">
        <v>180</v>
      </c>
      <c r="I185" s="36" t="str">
        <f t="shared" si="11"/>
        <v/>
      </c>
      <c r="J185" s="35" t="e">
        <f t="shared" si="14"/>
        <v>#NUM!</v>
      </c>
      <c r="K185" s="35" t="e">
        <f t="shared" si="12"/>
        <v>#NUM!</v>
      </c>
      <c r="L185" s="35"/>
      <c r="M185" s="37">
        <f t="shared" si="13"/>
        <v>0</v>
      </c>
    </row>
    <row r="186" spans="1:13" x14ac:dyDescent="0.25">
      <c r="A186" s="56"/>
      <c r="G186" s="13"/>
      <c r="H186" s="35">
        <v>181</v>
      </c>
      <c r="I186" s="36" t="str">
        <f t="shared" si="11"/>
        <v/>
      </c>
      <c r="J186" s="35" t="e">
        <f t="shared" si="14"/>
        <v>#NUM!</v>
      </c>
      <c r="K186" s="35" t="e">
        <f t="shared" si="12"/>
        <v>#NUM!</v>
      </c>
      <c r="L186" s="35"/>
      <c r="M186" s="37">
        <f t="shared" si="13"/>
        <v>0</v>
      </c>
    </row>
    <row r="187" spans="1:13" x14ac:dyDescent="0.25">
      <c r="A187" s="56"/>
      <c r="G187" s="13"/>
      <c r="H187" s="35">
        <v>182</v>
      </c>
      <c r="I187" s="36" t="str">
        <f t="shared" si="11"/>
        <v/>
      </c>
      <c r="J187" s="35" t="e">
        <f t="shared" si="14"/>
        <v>#NUM!</v>
      </c>
      <c r="K187" s="35" t="e">
        <f t="shared" si="12"/>
        <v>#NUM!</v>
      </c>
      <c r="L187" s="35"/>
      <c r="M187" s="37">
        <f t="shared" si="13"/>
        <v>0</v>
      </c>
    </row>
    <row r="188" spans="1:13" x14ac:dyDescent="0.25">
      <c r="A188" s="56"/>
      <c r="G188" s="13"/>
      <c r="H188" s="35">
        <v>183</v>
      </c>
      <c r="I188" s="36" t="str">
        <f t="shared" si="11"/>
        <v/>
      </c>
      <c r="J188" s="35" t="e">
        <f t="shared" si="14"/>
        <v>#NUM!</v>
      </c>
      <c r="K188" s="35" t="e">
        <f t="shared" si="12"/>
        <v>#NUM!</v>
      </c>
      <c r="L188" s="35"/>
      <c r="M188" s="37">
        <f t="shared" si="13"/>
        <v>0</v>
      </c>
    </row>
    <row r="189" spans="1:13" x14ac:dyDescent="0.25">
      <c r="A189" s="56"/>
      <c r="G189" s="13"/>
      <c r="H189" s="35">
        <v>184</v>
      </c>
      <c r="I189" s="36" t="str">
        <f t="shared" si="11"/>
        <v/>
      </c>
      <c r="J189" s="35" t="e">
        <f t="shared" si="14"/>
        <v>#NUM!</v>
      </c>
      <c r="K189" s="35" t="e">
        <f t="shared" si="12"/>
        <v>#NUM!</v>
      </c>
      <c r="L189" s="35"/>
      <c r="M189" s="37">
        <f t="shared" si="13"/>
        <v>0</v>
      </c>
    </row>
    <row r="190" spans="1:13" x14ac:dyDescent="0.25">
      <c r="A190" s="56"/>
      <c r="G190" s="13"/>
      <c r="H190" s="35">
        <v>185</v>
      </c>
      <c r="I190" s="36" t="str">
        <f t="shared" si="11"/>
        <v/>
      </c>
      <c r="J190" s="35" t="e">
        <f t="shared" si="14"/>
        <v>#NUM!</v>
      </c>
      <c r="K190" s="35" t="e">
        <f t="shared" si="12"/>
        <v>#NUM!</v>
      </c>
      <c r="L190" s="35"/>
      <c r="M190" s="37">
        <f t="shared" si="13"/>
        <v>0</v>
      </c>
    </row>
    <row r="191" spans="1:13" x14ac:dyDescent="0.25">
      <c r="A191" s="56"/>
      <c r="G191" s="13"/>
      <c r="H191" s="35">
        <v>186</v>
      </c>
      <c r="I191" s="36" t="str">
        <f t="shared" si="11"/>
        <v/>
      </c>
      <c r="J191" s="35" t="e">
        <f t="shared" si="14"/>
        <v>#NUM!</v>
      </c>
      <c r="K191" s="35" t="e">
        <f t="shared" si="12"/>
        <v>#NUM!</v>
      </c>
      <c r="L191" s="35"/>
      <c r="M191" s="37">
        <f t="shared" si="13"/>
        <v>0</v>
      </c>
    </row>
    <row r="192" spans="1:13" x14ac:dyDescent="0.25">
      <c r="A192" s="56"/>
      <c r="G192" s="13"/>
      <c r="H192" s="35">
        <v>187</v>
      </c>
      <c r="I192" s="36" t="str">
        <f t="shared" si="11"/>
        <v/>
      </c>
      <c r="J192" s="35" t="e">
        <f t="shared" si="14"/>
        <v>#NUM!</v>
      </c>
      <c r="K192" s="35" t="e">
        <f t="shared" si="12"/>
        <v>#NUM!</v>
      </c>
      <c r="L192" s="35"/>
      <c r="M192" s="37">
        <f t="shared" si="13"/>
        <v>0</v>
      </c>
    </row>
    <row r="193" spans="1:13" x14ac:dyDescent="0.25">
      <c r="A193" s="56"/>
      <c r="G193" s="13"/>
      <c r="H193" s="35">
        <v>188</v>
      </c>
      <c r="I193" s="36" t="str">
        <f t="shared" si="11"/>
        <v/>
      </c>
      <c r="J193" s="35" t="e">
        <f t="shared" si="14"/>
        <v>#NUM!</v>
      </c>
      <c r="K193" s="35" t="e">
        <f t="shared" si="12"/>
        <v>#NUM!</v>
      </c>
      <c r="L193" s="35"/>
      <c r="M193" s="37">
        <f t="shared" si="13"/>
        <v>0</v>
      </c>
    </row>
    <row r="194" spans="1:13" x14ac:dyDescent="0.25">
      <c r="A194" s="56"/>
      <c r="G194" s="13"/>
      <c r="H194" s="35">
        <v>189</v>
      </c>
      <c r="I194" s="36" t="str">
        <f t="shared" si="11"/>
        <v/>
      </c>
      <c r="J194" s="35" t="e">
        <f t="shared" si="14"/>
        <v>#NUM!</v>
      </c>
      <c r="K194" s="35" t="e">
        <f t="shared" si="12"/>
        <v>#NUM!</v>
      </c>
      <c r="L194" s="35"/>
      <c r="M194" s="37">
        <f t="shared" si="13"/>
        <v>0</v>
      </c>
    </row>
    <row r="195" spans="1:13" x14ac:dyDescent="0.25">
      <c r="A195" s="56"/>
      <c r="G195" s="13"/>
      <c r="H195" s="35">
        <v>190</v>
      </c>
      <c r="I195" s="36" t="str">
        <f t="shared" si="11"/>
        <v/>
      </c>
      <c r="J195" s="35" t="e">
        <f t="shared" si="14"/>
        <v>#NUM!</v>
      </c>
      <c r="K195" s="35" t="e">
        <f t="shared" si="12"/>
        <v>#NUM!</v>
      </c>
      <c r="L195" s="35"/>
      <c r="M195" s="37">
        <f t="shared" si="13"/>
        <v>0</v>
      </c>
    </row>
    <row r="196" spans="1:13" x14ac:dyDescent="0.25">
      <c r="A196" s="56"/>
      <c r="G196" s="13"/>
      <c r="H196" s="35">
        <v>191</v>
      </c>
      <c r="I196" s="36" t="str">
        <f t="shared" si="11"/>
        <v/>
      </c>
      <c r="J196" s="35" t="e">
        <f t="shared" si="14"/>
        <v>#NUM!</v>
      </c>
      <c r="K196" s="35" t="e">
        <f t="shared" si="12"/>
        <v>#NUM!</v>
      </c>
      <c r="L196" s="35"/>
      <c r="M196" s="37">
        <f t="shared" si="13"/>
        <v>0</v>
      </c>
    </row>
    <row r="197" spans="1:13" x14ac:dyDescent="0.25">
      <c r="A197" s="56"/>
      <c r="G197" s="13"/>
      <c r="H197" s="35">
        <v>192</v>
      </c>
      <c r="I197" s="36" t="str">
        <f t="shared" si="11"/>
        <v/>
      </c>
      <c r="J197" s="35" t="e">
        <f t="shared" si="14"/>
        <v>#NUM!</v>
      </c>
      <c r="K197" s="35" t="e">
        <f t="shared" si="12"/>
        <v>#NUM!</v>
      </c>
      <c r="L197" s="35"/>
      <c r="M197" s="37">
        <f t="shared" si="13"/>
        <v>0</v>
      </c>
    </row>
    <row r="198" spans="1:13" x14ac:dyDescent="0.25">
      <c r="A198" s="56"/>
      <c r="G198" s="13"/>
      <c r="H198" s="35">
        <v>193</v>
      </c>
      <c r="I198" s="36" t="str">
        <f t="shared" ref="I198:I261" si="15">IF(H198&lt;$H$2+1,($I$2-($I$2-1)*(LOG(H198)/LOG($H$2))),"")</f>
        <v/>
      </c>
      <c r="J198" s="35" t="e">
        <f t="shared" si="14"/>
        <v>#NUM!</v>
      </c>
      <c r="K198" s="35" t="e">
        <f t="shared" ref="K198:K261" si="16">J198*$J$2</f>
        <v>#NUM!</v>
      </c>
      <c r="L198" s="35"/>
      <c r="M198" s="37">
        <f t="shared" ref="M198:M261" si="17">IF(I198&lt;&gt;"",K198+I198+L198,0)</f>
        <v>0</v>
      </c>
    </row>
    <row r="199" spans="1:13" x14ac:dyDescent="0.25">
      <c r="A199" s="56"/>
      <c r="G199" s="13"/>
      <c r="H199" s="35">
        <v>194</v>
      </c>
      <c r="I199" s="36" t="str">
        <f t="shared" si="15"/>
        <v/>
      </c>
      <c r="J199" s="35" t="e">
        <f t="shared" ref="J199:J262" si="18">INT(LOG($H$2,2))-ROUNDUP(LOG(H199,2),0)+IF(OR($H$2=1,$H$2=2,$H$2=4,$H$2=8,$H$2=16,$H$2=32,$H$2=64,$H$2=128,$H$2=256),0,1)</f>
        <v>#NUM!</v>
      </c>
      <c r="K199" s="35" t="e">
        <f t="shared" si="16"/>
        <v>#NUM!</v>
      </c>
      <c r="L199" s="35"/>
      <c r="M199" s="37">
        <f t="shared" si="17"/>
        <v>0</v>
      </c>
    </row>
    <row r="200" spans="1:13" x14ac:dyDescent="0.25">
      <c r="A200" s="56"/>
      <c r="G200" s="13"/>
      <c r="H200" s="35">
        <v>195</v>
      </c>
      <c r="I200" s="36" t="str">
        <f t="shared" si="15"/>
        <v/>
      </c>
      <c r="J200" s="35" t="e">
        <f t="shared" si="18"/>
        <v>#NUM!</v>
      </c>
      <c r="K200" s="35" t="e">
        <f t="shared" si="16"/>
        <v>#NUM!</v>
      </c>
      <c r="L200" s="35"/>
      <c r="M200" s="37">
        <f t="shared" si="17"/>
        <v>0</v>
      </c>
    </row>
    <row r="201" spans="1:13" x14ac:dyDescent="0.25">
      <c r="A201" s="56"/>
      <c r="G201" s="13"/>
      <c r="H201" s="35">
        <v>196</v>
      </c>
      <c r="I201" s="36" t="str">
        <f t="shared" si="15"/>
        <v/>
      </c>
      <c r="J201" s="35" t="e">
        <f t="shared" si="18"/>
        <v>#NUM!</v>
      </c>
      <c r="K201" s="35" t="e">
        <f t="shared" si="16"/>
        <v>#NUM!</v>
      </c>
      <c r="L201" s="35"/>
      <c r="M201" s="37">
        <f t="shared" si="17"/>
        <v>0</v>
      </c>
    </row>
    <row r="202" spans="1:13" x14ac:dyDescent="0.25">
      <c r="A202" s="56"/>
      <c r="G202" s="13"/>
      <c r="H202" s="35">
        <v>197</v>
      </c>
      <c r="I202" s="36" t="str">
        <f t="shared" si="15"/>
        <v/>
      </c>
      <c r="J202" s="35" t="e">
        <f t="shared" si="18"/>
        <v>#NUM!</v>
      </c>
      <c r="K202" s="35" t="e">
        <f t="shared" si="16"/>
        <v>#NUM!</v>
      </c>
      <c r="L202" s="35"/>
      <c r="M202" s="37">
        <f t="shared" si="17"/>
        <v>0</v>
      </c>
    </row>
    <row r="203" spans="1:13" x14ac:dyDescent="0.25">
      <c r="A203" s="56"/>
      <c r="G203" s="13"/>
      <c r="H203" s="35">
        <v>198</v>
      </c>
      <c r="I203" s="36" t="str">
        <f t="shared" si="15"/>
        <v/>
      </c>
      <c r="J203" s="35" t="e">
        <f t="shared" si="18"/>
        <v>#NUM!</v>
      </c>
      <c r="K203" s="35" t="e">
        <f t="shared" si="16"/>
        <v>#NUM!</v>
      </c>
      <c r="L203" s="35"/>
      <c r="M203" s="37">
        <f t="shared" si="17"/>
        <v>0</v>
      </c>
    </row>
    <row r="204" spans="1:13" x14ac:dyDescent="0.25">
      <c r="A204" s="56"/>
      <c r="G204" s="13"/>
      <c r="H204" s="35">
        <v>199</v>
      </c>
      <c r="I204" s="36" t="str">
        <f t="shared" si="15"/>
        <v/>
      </c>
      <c r="J204" s="35" t="e">
        <f t="shared" si="18"/>
        <v>#NUM!</v>
      </c>
      <c r="K204" s="35" t="e">
        <f t="shared" si="16"/>
        <v>#NUM!</v>
      </c>
      <c r="L204" s="35"/>
      <c r="M204" s="37">
        <f t="shared" si="17"/>
        <v>0</v>
      </c>
    </row>
    <row r="205" spans="1:13" x14ac:dyDescent="0.25">
      <c r="A205" s="56"/>
      <c r="G205" s="13"/>
      <c r="H205" s="35">
        <v>200</v>
      </c>
      <c r="I205" s="36" t="str">
        <f t="shared" si="15"/>
        <v/>
      </c>
      <c r="J205" s="35" t="e">
        <f t="shared" si="18"/>
        <v>#NUM!</v>
      </c>
      <c r="K205" s="35" t="e">
        <f t="shared" si="16"/>
        <v>#NUM!</v>
      </c>
      <c r="L205" s="35"/>
      <c r="M205" s="37">
        <f t="shared" si="17"/>
        <v>0</v>
      </c>
    </row>
    <row r="206" spans="1:13" x14ac:dyDescent="0.25">
      <c r="A206" s="56"/>
      <c r="G206" s="13"/>
      <c r="H206" s="35">
        <v>201</v>
      </c>
      <c r="I206" s="36" t="str">
        <f t="shared" si="15"/>
        <v/>
      </c>
      <c r="J206" s="35" t="e">
        <f t="shared" si="18"/>
        <v>#NUM!</v>
      </c>
      <c r="K206" s="35" t="e">
        <f t="shared" si="16"/>
        <v>#NUM!</v>
      </c>
      <c r="L206" s="35"/>
      <c r="M206" s="37">
        <f t="shared" si="17"/>
        <v>0</v>
      </c>
    </row>
    <row r="207" spans="1:13" x14ac:dyDescent="0.25">
      <c r="A207" s="56"/>
      <c r="G207" s="13"/>
      <c r="H207" s="35">
        <v>202</v>
      </c>
      <c r="I207" s="36" t="str">
        <f t="shared" si="15"/>
        <v/>
      </c>
      <c r="J207" s="35" t="e">
        <f t="shared" si="18"/>
        <v>#NUM!</v>
      </c>
      <c r="K207" s="35" t="e">
        <f t="shared" si="16"/>
        <v>#NUM!</v>
      </c>
      <c r="L207" s="35"/>
      <c r="M207" s="37">
        <f t="shared" si="17"/>
        <v>0</v>
      </c>
    </row>
    <row r="208" spans="1:13" x14ac:dyDescent="0.25">
      <c r="A208" s="56"/>
      <c r="G208" s="13"/>
      <c r="H208" s="35">
        <v>203</v>
      </c>
      <c r="I208" s="36" t="str">
        <f t="shared" si="15"/>
        <v/>
      </c>
      <c r="J208" s="35" t="e">
        <f t="shared" si="18"/>
        <v>#NUM!</v>
      </c>
      <c r="K208" s="35" t="e">
        <f t="shared" si="16"/>
        <v>#NUM!</v>
      </c>
      <c r="L208" s="35"/>
      <c r="M208" s="37">
        <f t="shared" si="17"/>
        <v>0</v>
      </c>
    </row>
    <row r="209" spans="1:13" x14ac:dyDescent="0.25">
      <c r="A209" s="56"/>
      <c r="G209" s="13"/>
      <c r="H209" s="35">
        <v>204</v>
      </c>
      <c r="I209" s="36" t="str">
        <f t="shared" si="15"/>
        <v/>
      </c>
      <c r="J209" s="35" t="e">
        <f t="shared" si="18"/>
        <v>#NUM!</v>
      </c>
      <c r="K209" s="35" t="e">
        <f t="shared" si="16"/>
        <v>#NUM!</v>
      </c>
      <c r="L209" s="35"/>
      <c r="M209" s="37">
        <f t="shared" si="17"/>
        <v>0</v>
      </c>
    </row>
    <row r="210" spans="1:13" x14ac:dyDescent="0.25">
      <c r="A210" s="56"/>
      <c r="G210" s="13"/>
      <c r="H210" s="35">
        <v>205</v>
      </c>
      <c r="I210" s="36" t="str">
        <f t="shared" si="15"/>
        <v/>
      </c>
      <c r="J210" s="35" t="e">
        <f t="shared" si="18"/>
        <v>#NUM!</v>
      </c>
      <c r="K210" s="35" t="e">
        <f t="shared" si="16"/>
        <v>#NUM!</v>
      </c>
      <c r="L210" s="35"/>
      <c r="M210" s="37">
        <f t="shared" si="17"/>
        <v>0</v>
      </c>
    </row>
    <row r="211" spans="1:13" x14ac:dyDescent="0.25">
      <c r="A211" s="56"/>
      <c r="G211" s="13"/>
      <c r="H211" s="35">
        <v>206</v>
      </c>
      <c r="I211" s="36" t="str">
        <f t="shared" si="15"/>
        <v/>
      </c>
      <c r="J211" s="35" t="e">
        <f t="shared" si="18"/>
        <v>#NUM!</v>
      </c>
      <c r="K211" s="35" t="e">
        <f t="shared" si="16"/>
        <v>#NUM!</v>
      </c>
      <c r="L211" s="35"/>
      <c r="M211" s="37">
        <f t="shared" si="17"/>
        <v>0</v>
      </c>
    </row>
    <row r="212" spans="1:13" x14ac:dyDescent="0.25">
      <c r="A212" s="56"/>
      <c r="G212" s="13"/>
      <c r="H212" s="35">
        <v>207</v>
      </c>
      <c r="I212" s="36" t="str">
        <f t="shared" si="15"/>
        <v/>
      </c>
      <c r="J212" s="35" t="e">
        <f t="shared" si="18"/>
        <v>#NUM!</v>
      </c>
      <c r="K212" s="35" t="e">
        <f t="shared" si="16"/>
        <v>#NUM!</v>
      </c>
      <c r="L212" s="35"/>
      <c r="M212" s="37">
        <f t="shared" si="17"/>
        <v>0</v>
      </c>
    </row>
    <row r="213" spans="1:13" x14ac:dyDescent="0.25">
      <c r="A213" s="56"/>
      <c r="G213" s="13"/>
      <c r="H213" s="35">
        <v>208</v>
      </c>
      <c r="I213" s="36" t="str">
        <f t="shared" si="15"/>
        <v/>
      </c>
      <c r="J213" s="35" t="e">
        <f t="shared" si="18"/>
        <v>#NUM!</v>
      </c>
      <c r="K213" s="35" t="e">
        <f t="shared" si="16"/>
        <v>#NUM!</v>
      </c>
      <c r="L213" s="35"/>
      <c r="M213" s="37">
        <f t="shared" si="17"/>
        <v>0</v>
      </c>
    </row>
    <row r="214" spans="1:13" x14ac:dyDescent="0.25">
      <c r="A214" s="56"/>
      <c r="G214" s="13"/>
      <c r="H214" s="35">
        <v>209</v>
      </c>
      <c r="I214" s="36" t="str">
        <f t="shared" si="15"/>
        <v/>
      </c>
      <c r="J214" s="35" t="e">
        <f t="shared" si="18"/>
        <v>#NUM!</v>
      </c>
      <c r="K214" s="35" t="e">
        <f t="shared" si="16"/>
        <v>#NUM!</v>
      </c>
      <c r="L214" s="35"/>
      <c r="M214" s="37">
        <f t="shared" si="17"/>
        <v>0</v>
      </c>
    </row>
    <row r="215" spans="1:13" x14ac:dyDescent="0.25">
      <c r="A215" s="56"/>
      <c r="G215" s="13"/>
      <c r="H215" s="35">
        <v>210</v>
      </c>
      <c r="I215" s="36" t="str">
        <f t="shared" si="15"/>
        <v/>
      </c>
      <c r="J215" s="35" t="e">
        <f t="shared" si="18"/>
        <v>#NUM!</v>
      </c>
      <c r="K215" s="35" t="e">
        <f t="shared" si="16"/>
        <v>#NUM!</v>
      </c>
      <c r="L215" s="35"/>
      <c r="M215" s="37">
        <f t="shared" si="17"/>
        <v>0</v>
      </c>
    </row>
    <row r="216" spans="1:13" x14ac:dyDescent="0.25">
      <c r="A216" s="56"/>
      <c r="G216" s="13"/>
      <c r="H216" s="35">
        <v>211</v>
      </c>
      <c r="I216" s="36" t="str">
        <f t="shared" si="15"/>
        <v/>
      </c>
      <c r="J216" s="35" t="e">
        <f t="shared" si="18"/>
        <v>#NUM!</v>
      </c>
      <c r="K216" s="35" t="e">
        <f t="shared" si="16"/>
        <v>#NUM!</v>
      </c>
      <c r="L216" s="35"/>
      <c r="M216" s="37">
        <f t="shared" si="17"/>
        <v>0</v>
      </c>
    </row>
    <row r="217" spans="1:13" x14ac:dyDescent="0.25">
      <c r="A217" s="56"/>
      <c r="G217" s="13"/>
      <c r="H217" s="35">
        <v>212</v>
      </c>
      <c r="I217" s="36" t="str">
        <f t="shared" si="15"/>
        <v/>
      </c>
      <c r="J217" s="35" t="e">
        <f t="shared" si="18"/>
        <v>#NUM!</v>
      </c>
      <c r="K217" s="35" t="e">
        <f t="shared" si="16"/>
        <v>#NUM!</v>
      </c>
      <c r="L217" s="35"/>
      <c r="M217" s="37">
        <f t="shared" si="17"/>
        <v>0</v>
      </c>
    </row>
    <row r="218" spans="1:13" x14ac:dyDescent="0.25">
      <c r="A218" s="56"/>
      <c r="G218" s="13"/>
      <c r="H218" s="35">
        <v>213</v>
      </c>
      <c r="I218" s="36" t="str">
        <f t="shared" si="15"/>
        <v/>
      </c>
      <c r="J218" s="35" t="e">
        <f t="shared" si="18"/>
        <v>#NUM!</v>
      </c>
      <c r="K218" s="35" t="e">
        <f t="shared" si="16"/>
        <v>#NUM!</v>
      </c>
      <c r="L218" s="35"/>
      <c r="M218" s="37">
        <f t="shared" si="17"/>
        <v>0</v>
      </c>
    </row>
    <row r="219" spans="1:13" x14ac:dyDescent="0.25">
      <c r="A219" s="56"/>
      <c r="G219" s="13"/>
      <c r="H219" s="35">
        <v>214</v>
      </c>
      <c r="I219" s="36" t="str">
        <f t="shared" si="15"/>
        <v/>
      </c>
      <c r="J219" s="35" t="e">
        <f t="shared" si="18"/>
        <v>#NUM!</v>
      </c>
      <c r="K219" s="35" t="e">
        <f t="shared" si="16"/>
        <v>#NUM!</v>
      </c>
      <c r="L219" s="35"/>
      <c r="M219" s="37">
        <f t="shared" si="17"/>
        <v>0</v>
      </c>
    </row>
    <row r="220" spans="1:13" x14ac:dyDescent="0.25">
      <c r="A220" s="56"/>
      <c r="G220" s="13"/>
      <c r="H220" s="35">
        <v>215</v>
      </c>
      <c r="I220" s="36" t="str">
        <f t="shared" si="15"/>
        <v/>
      </c>
      <c r="J220" s="35" t="e">
        <f t="shared" si="18"/>
        <v>#NUM!</v>
      </c>
      <c r="K220" s="35" t="e">
        <f t="shared" si="16"/>
        <v>#NUM!</v>
      </c>
      <c r="L220" s="35"/>
      <c r="M220" s="37">
        <f t="shared" si="17"/>
        <v>0</v>
      </c>
    </row>
    <row r="221" spans="1:13" x14ac:dyDescent="0.25">
      <c r="A221" s="56"/>
      <c r="G221" s="13"/>
      <c r="H221" s="35">
        <v>216</v>
      </c>
      <c r="I221" s="36" t="str">
        <f t="shared" si="15"/>
        <v/>
      </c>
      <c r="J221" s="35" t="e">
        <f t="shared" si="18"/>
        <v>#NUM!</v>
      </c>
      <c r="K221" s="35" t="e">
        <f t="shared" si="16"/>
        <v>#NUM!</v>
      </c>
      <c r="L221" s="35"/>
      <c r="M221" s="37">
        <f t="shared" si="17"/>
        <v>0</v>
      </c>
    </row>
    <row r="222" spans="1:13" x14ac:dyDescent="0.25">
      <c r="A222" s="56"/>
      <c r="G222" s="13"/>
      <c r="H222" s="35">
        <v>217</v>
      </c>
      <c r="I222" s="36" t="str">
        <f t="shared" si="15"/>
        <v/>
      </c>
      <c r="J222" s="35" t="e">
        <f t="shared" si="18"/>
        <v>#NUM!</v>
      </c>
      <c r="K222" s="35" t="e">
        <f t="shared" si="16"/>
        <v>#NUM!</v>
      </c>
      <c r="L222" s="35"/>
      <c r="M222" s="37">
        <f t="shared" si="17"/>
        <v>0</v>
      </c>
    </row>
    <row r="223" spans="1:13" x14ac:dyDescent="0.25">
      <c r="A223" s="56"/>
      <c r="G223" s="13"/>
      <c r="H223" s="35">
        <v>218</v>
      </c>
      <c r="I223" s="36" t="str">
        <f t="shared" si="15"/>
        <v/>
      </c>
      <c r="J223" s="35" t="e">
        <f t="shared" si="18"/>
        <v>#NUM!</v>
      </c>
      <c r="K223" s="35" t="e">
        <f t="shared" si="16"/>
        <v>#NUM!</v>
      </c>
      <c r="L223" s="35"/>
      <c r="M223" s="37">
        <f t="shared" si="17"/>
        <v>0</v>
      </c>
    </row>
    <row r="224" spans="1:13" x14ac:dyDescent="0.25">
      <c r="A224" s="56"/>
      <c r="G224" s="13"/>
      <c r="H224" s="35">
        <v>219</v>
      </c>
      <c r="I224" s="36" t="str">
        <f t="shared" si="15"/>
        <v/>
      </c>
      <c r="J224" s="35" t="e">
        <f t="shared" si="18"/>
        <v>#NUM!</v>
      </c>
      <c r="K224" s="35" t="e">
        <f t="shared" si="16"/>
        <v>#NUM!</v>
      </c>
      <c r="L224" s="35"/>
      <c r="M224" s="37">
        <f t="shared" si="17"/>
        <v>0</v>
      </c>
    </row>
    <row r="225" spans="1:13" x14ac:dyDescent="0.25">
      <c r="A225" s="56"/>
      <c r="G225" s="13"/>
      <c r="H225" s="35">
        <v>220</v>
      </c>
      <c r="I225" s="36" t="str">
        <f t="shared" si="15"/>
        <v/>
      </c>
      <c r="J225" s="35" t="e">
        <f t="shared" si="18"/>
        <v>#NUM!</v>
      </c>
      <c r="K225" s="35" t="e">
        <f t="shared" si="16"/>
        <v>#NUM!</v>
      </c>
      <c r="L225" s="35"/>
      <c r="M225" s="37">
        <f t="shared" si="17"/>
        <v>0</v>
      </c>
    </row>
    <row r="226" spans="1:13" x14ac:dyDescent="0.25">
      <c r="A226" s="56"/>
      <c r="G226" s="13"/>
      <c r="H226" s="35">
        <v>221</v>
      </c>
      <c r="I226" s="36" t="str">
        <f t="shared" si="15"/>
        <v/>
      </c>
      <c r="J226" s="35" t="e">
        <f t="shared" si="18"/>
        <v>#NUM!</v>
      </c>
      <c r="K226" s="35" t="e">
        <f t="shared" si="16"/>
        <v>#NUM!</v>
      </c>
      <c r="L226" s="35"/>
      <c r="M226" s="37">
        <f t="shared" si="17"/>
        <v>0</v>
      </c>
    </row>
    <row r="227" spans="1:13" x14ac:dyDescent="0.25">
      <c r="A227" s="56"/>
      <c r="G227" s="13"/>
      <c r="H227" s="35">
        <v>222</v>
      </c>
      <c r="I227" s="36" t="str">
        <f t="shared" si="15"/>
        <v/>
      </c>
      <c r="J227" s="35" t="e">
        <f t="shared" si="18"/>
        <v>#NUM!</v>
      </c>
      <c r="K227" s="35" t="e">
        <f t="shared" si="16"/>
        <v>#NUM!</v>
      </c>
      <c r="L227" s="35"/>
      <c r="M227" s="37">
        <f t="shared" si="17"/>
        <v>0</v>
      </c>
    </row>
    <row r="228" spans="1:13" x14ac:dyDescent="0.25">
      <c r="A228" s="56"/>
      <c r="G228" s="13"/>
      <c r="H228" s="35">
        <v>223</v>
      </c>
      <c r="I228" s="36" t="str">
        <f t="shared" si="15"/>
        <v/>
      </c>
      <c r="J228" s="35" t="e">
        <f t="shared" si="18"/>
        <v>#NUM!</v>
      </c>
      <c r="K228" s="35" t="e">
        <f t="shared" si="16"/>
        <v>#NUM!</v>
      </c>
      <c r="L228" s="35"/>
      <c r="M228" s="37">
        <f t="shared" si="17"/>
        <v>0</v>
      </c>
    </row>
    <row r="229" spans="1:13" x14ac:dyDescent="0.25">
      <c r="A229" s="56"/>
      <c r="G229" s="13"/>
      <c r="H229" s="35">
        <v>224</v>
      </c>
      <c r="I229" s="36" t="str">
        <f t="shared" si="15"/>
        <v/>
      </c>
      <c r="J229" s="35" t="e">
        <f t="shared" si="18"/>
        <v>#NUM!</v>
      </c>
      <c r="K229" s="35" t="e">
        <f t="shared" si="16"/>
        <v>#NUM!</v>
      </c>
      <c r="L229" s="35"/>
      <c r="M229" s="37">
        <f t="shared" si="17"/>
        <v>0</v>
      </c>
    </row>
    <row r="230" spans="1:13" x14ac:dyDescent="0.25">
      <c r="A230" s="56"/>
      <c r="G230" s="13"/>
      <c r="H230" s="35">
        <v>225</v>
      </c>
      <c r="I230" s="36" t="str">
        <f t="shared" si="15"/>
        <v/>
      </c>
      <c r="J230" s="35" t="e">
        <f t="shared" si="18"/>
        <v>#NUM!</v>
      </c>
      <c r="K230" s="35" t="e">
        <f t="shared" si="16"/>
        <v>#NUM!</v>
      </c>
      <c r="L230" s="35"/>
      <c r="M230" s="37">
        <f t="shared" si="17"/>
        <v>0</v>
      </c>
    </row>
    <row r="231" spans="1:13" x14ac:dyDescent="0.25">
      <c r="A231" s="56"/>
      <c r="G231" s="13"/>
      <c r="H231" s="35">
        <v>226</v>
      </c>
      <c r="I231" s="36" t="str">
        <f t="shared" si="15"/>
        <v/>
      </c>
      <c r="J231" s="35" t="e">
        <f t="shared" si="18"/>
        <v>#NUM!</v>
      </c>
      <c r="K231" s="35" t="e">
        <f t="shared" si="16"/>
        <v>#NUM!</v>
      </c>
      <c r="L231" s="35"/>
      <c r="M231" s="37">
        <f t="shared" si="17"/>
        <v>0</v>
      </c>
    </row>
    <row r="232" spans="1:13" x14ac:dyDescent="0.25">
      <c r="A232" s="56"/>
      <c r="G232" s="13"/>
      <c r="H232" s="35">
        <v>227</v>
      </c>
      <c r="I232" s="36" t="str">
        <f t="shared" si="15"/>
        <v/>
      </c>
      <c r="J232" s="35" t="e">
        <f t="shared" si="18"/>
        <v>#NUM!</v>
      </c>
      <c r="K232" s="35" t="e">
        <f t="shared" si="16"/>
        <v>#NUM!</v>
      </c>
      <c r="L232" s="35"/>
      <c r="M232" s="37">
        <f t="shared" si="17"/>
        <v>0</v>
      </c>
    </row>
    <row r="233" spans="1:13" x14ac:dyDescent="0.25">
      <c r="A233" s="56"/>
      <c r="G233" s="13"/>
      <c r="H233" s="35">
        <v>228</v>
      </c>
      <c r="I233" s="36" t="str">
        <f t="shared" si="15"/>
        <v/>
      </c>
      <c r="J233" s="35" t="e">
        <f t="shared" si="18"/>
        <v>#NUM!</v>
      </c>
      <c r="K233" s="35" t="e">
        <f t="shared" si="16"/>
        <v>#NUM!</v>
      </c>
      <c r="L233" s="35"/>
      <c r="M233" s="37">
        <f t="shared" si="17"/>
        <v>0</v>
      </c>
    </row>
    <row r="234" spans="1:13" x14ac:dyDescent="0.25">
      <c r="A234" s="56"/>
      <c r="G234" s="13"/>
      <c r="H234" s="35">
        <v>229</v>
      </c>
      <c r="I234" s="36" t="str">
        <f t="shared" si="15"/>
        <v/>
      </c>
      <c r="J234" s="35" t="e">
        <f t="shared" si="18"/>
        <v>#NUM!</v>
      </c>
      <c r="K234" s="35" t="e">
        <f t="shared" si="16"/>
        <v>#NUM!</v>
      </c>
      <c r="L234" s="35"/>
      <c r="M234" s="37">
        <f t="shared" si="17"/>
        <v>0</v>
      </c>
    </row>
    <row r="235" spans="1:13" x14ac:dyDescent="0.25">
      <c r="A235" s="56"/>
      <c r="G235" s="13"/>
      <c r="H235" s="35">
        <v>230</v>
      </c>
      <c r="I235" s="36" t="str">
        <f t="shared" si="15"/>
        <v/>
      </c>
      <c r="J235" s="35" t="e">
        <f t="shared" si="18"/>
        <v>#NUM!</v>
      </c>
      <c r="K235" s="35" t="e">
        <f t="shared" si="16"/>
        <v>#NUM!</v>
      </c>
      <c r="L235" s="35"/>
      <c r="M235" s="37">
        <f t="shared" si="17"/>
        <v>0</v>
      </c>
    </row>
    <row r="236" spans="1:13" x14ac:dyDescent="0.25">
      <c r="A236" s="56"/>
      <c r="G236" s="13"/>
      <c r="H236" s="35">
        <v>231</v>
      </c>
      <c r="I236" s="36" t="str">
        <f t="shared" si="15"/>
        <v/>
      </c>
      <c r="J236" s="35" t="e">
        <f t="shared" si="18"/>
        <v>#NUM!</v>
      </c>
      <c r="K236" s="35" t="e">
        <f t="shared" si="16"/>
        <v>#NUM!</v>
      </c>
      <c r="L236" s="35"/>
      <c r="M236" s="37">
        <f t="shared" si="17"/>
        <v>0</v>
      </c>
    </row>
    <row r="237" spans="1:13" x14ac:dyDescent="0.25">
      <c r="A237" s="56"/>
      <c r="G237" s="13"/>
      <c r="H237" s="35">
        <v>232</v>
      </c>
      <c r="I237" s="36" t="str">
        <f t="shared" si="15"/>
        <v/>
      </c>
      <c r="J237" s="35" t="e">
        <f t="shared" si="18"/>
        <v>#NUM!</v>
      </c>
      <c r="K237" s="35" t="e">
        <f t="shared" si="16"/>
        <v>#NUM!</v>
      </c>
      <c r="L237" s="35"/>
      <c r="M237" s="37">
        <f t="shared" si="17"/>
        <v>0</v>
      </c>
    </row>
    <row r="238" spans="1:13" x14ac:dyDescent="0.25">
      <c r="A238" s="56"/>
      <c r="G238" s="13"/>
      <c r="H238" s="35">
        <v>233</v>
      </c>
      <c r="I238" s="36" t="str">
        <f t="shared" si="15"/>
        <v/>
      </c>
      <c r="J238" s="35" t="e">
        <f t="shared" si="18"/>
        <v>#NUM!</v>
      </c>
      <c r="K238" s="35" t="e">
        <f t="shared" si="16"/>
        <v>#NUM!</v>
      </c>
      <c r="L238" s="35"/>
      <c r="M238" s="37">
        <f t="shared" si="17"/>
        <v>0</v>
      </c>
    </row>
    <row r="239" spans="1:13" x14ac:dyDescent="0.25">
      <c r="A239" s="56"/>
      <c r="G239" s="13"/>
      <c r="H239" s="35">
        <v>234</v>
      </c>
      <c r="I239" s="36" t="str">
        <f t="shared" si="15"/>
        <v/>
      </c>
      <c r="J239" s="35" t="e">
        <f t="shared" si="18"/>
        <v>#NUM!</v>
      </c>
      <c r="K239" s="35" t="e">
        <f t="shared" si="16"/>
        <v>#NUM!</v>
      </c>
      <c r="L239" s="35"/>
      <c r="M239" s="37">
        <f t="shared" si="17"/>
        <v>0</v>
      </c>
    </row>
    <row r="240" spans="1:13" x14ac:dyDescent="0.25">
      <c r="A240" s="56"/>
      <c r="G240" s="13"/>
      <c r="H240" s="35">
        <v>235</v>
      </c>
      <c r="I240" s="36" t="str">
        <f t="shared" si="15"/>
        <v/>
      </c>
      <c r="J240" s="35" t="e">
        <f t="shared" si="18"/>
        <v>#NUM!</v>
      </c>
      <c r="K240" s="35" t="e">
        <f t="shared" si="16"/>
        <v>#NUM!</v>
      </c>
      <c r="L240" s="35"/>
      <c r="M240" s="37">
        <f t="shared" si="17"/>
        <v>0</v>
      </c>
    </row>
    <row r="241" spans="1:13" x14ac:dyDescent="0.25">
      <c r="A241" s="56"/>
      <c r="G241" s="13"/>
      <c r="H241" s="35">
        <v>236</v>
      </c>
      <c r="I241" s="36" t="str">
        <f t="shared" si="15"/>
        <v/>
      </c>
      <c r="J241" s="35" t="e">
        <f t="shared" si="18"/>
        <v>#NUM!</v>
      </c>
      <c r="K241" s="35" t="e">
        <f t="shared" si="16"/>
        <v>#NUM!</v>
      </c>
      <c r="L241" s="35"/>
      <c r="M241" s="37">
        <f t="shared" si="17"/>
        <v>0</v>
      </c>
    </row>
    <row r="242" spans="1:13" x14ac:dyDescent="0.25">
      <c r="A242" s="56"/>
      <c r="G242" s="13"/>
      <c r="H242" s="35">
        <v>237</v>
      </c>
      <c r="I242" s="36" t="str">
        <f t="shared" si="15"/>
        <v/>
      </c>
      <c r="J242" s="35" t="e">
        <f t="shared" si="18"/>
        <v>#NUM!</v>
      </c>
      <c r="K242" s="35" t="e">
        <f t="shared" si="16"/>
        <v>#NUM!</v>
      </c>
      <c r="L242" s="35"/>
      <c r="M242" s="37">
        <f t="shared" si="17"/>
        <v>0</v>
      </c>
    </row>
    <row r="243" spans="1:13" x14ac:dyDescent="0.25">
      <c r="A243" s="56"/>
      <c r="G243" s="13"/>
      <c r="H243" s="35">
        <v>238</v>
      </c>
      <c r="I243" s="36" t="str">
        <f t="shared" si="15"/>
        <v/>
      </c>
      <c r="J243" s="35" t="e">
        <f t="shared" si="18"/>
        <v>#NUM!</v>
      </c>
      <c r="K243" s="35" t="e">
        <f t="shared" si="16"/>
        <v>#NUM!</v>
      </c>
      <c r="L243" s="35"/>
      <c r="M243" s="37">
        <f t="shared" si="17"/>
        <v>0</v>
      </c>
    </row>
    <row r="244" spans="1:13" x14ac:dyDescent="0.25">
      <c r="A244" s="56"/>
      <c r="G244" s="13"/>
      <c r="H244" s="35">
        <v>239</v>
      </c>
      <c r="I244" s="36" t="str">
        <f t="shared" si="15"/>
        <v/>
      </c>
      <c r="J244" s="35" t="e">
        <f t="shared" si="18"/>
        <v>#NUM!</v>
      </c>
      <c r="K244" s="35" t="e">
        <f t="shared" si="16"/>
        <v>#NUM!</v>
      </c>
      <c r="L244" s="35"/>
      <c r="M244" s="37">
        <f t="shared" si="17"/>
        <v>0</v>
      </c>
    </row>
    <row r="245" spans="1:13" x14ac:dyDescent="0.25">
      <c r="A245" s="56"/>
      <c r="G245" s="13"/>
      <c r="H245" s="35">
        <v>240</v>
      </c>
      <c r="I245" s="36" t="str">
        <f t="shared" si="15"/>
        <v/>
      </c>
      <c r="J245" s="35" t="e">
        <f t="shared" si="18"/>
        <v>#NUM!</v>
      </c>
      <c r="K245" s="35" t="e">
        <f t="shared" si="16"/>
        <v>#NUM!</v>
      </c>
      <c r="L245" s="35"/>
      <c r="M245" s="37">
        <f t="shared" si="17"/>
        <v>0</v>
      </c>
    </row>
    <row r="246" spans="1:13" x14ac:dyDescent="0.25">
      <c r="A246" s="56"/>
      <c r="G246" s="13"/>
      <c r="H246" s="35">
        <v>241</v>
      </c>
      <c r="I246" s="36" t="str">
        <f t="shared" si="15"/>
        <v/>
      </c>
      <c r="J246" s="35" t="e">
        <f t="shared" si="18"/>
        <v>#NUM!</v>
      </c>
      <c r="K246" s="35" t="e">
        <f t="shared" si="16"/>
        <v>#NUM!</v>
      </c>
      <c r="L246" s="35"/>
      <c r="M246" s="37">
        <f t="shared" si="17"/>
        <v>0</v>
      </c>
    </row>
    <row r="247" spans="1:13" x14ac:dyDescent="0.25">
      <c r="A247" s="56"/>
      <c r="G247" s="13"/>
      <c r="H247" s="35">
        <v>242</v>
      </c>
      <c r="I247" s="36" t="str">
        <f t="shared" si="15"/>
        <v/>
      </c>
      <c r="J247" s="35" t="e">
        <f t="shared" si="18"/>
        <v>#NUM!</v>
      </c>
      <c r="K247" s="35" t="e">
        <f t="shared" si="16"/>
        <v>#NUM!</v>
      </c>
      <c r="L247" s="35"/>
      <c r="M247" s="37">
        <f t="shared" si="17"/>
        <v>0</v>
      </c>
    </row>
    <row r="248" spans="1:13" x14ac:dyDescent="0.25">
      <c r="A248" s="56"/>
      <c r="G248" s="13"/>
      <c r="H248" s="35">
        <v>243</v>
      </c>
      <c r="I248" s="36" t="str">
        <f t="shared" si="15"/>
        <v/>
      </c>
      <c r="J248" s="35" t="e">
        <f t="shared" si="18"/>
        <v>#NUM!</v>
      </c>
      <c r="K248" s="35" t="e">
        <f t="shared" si="16"/>
        <v>#NUM!</v>
      </c>
      <c r="L248" s="35"/>
      <c r="M248" s="37">
        <f t="shared" si="17"/>
        <v>0</v>
      </c>
    </row>
    <row r="249" spans="1:13" x14ac:dyDescent="0.25">
      <c r="A249" s="56"/>
      <c r="G249" s="13"/>
      <c r="H249" s="35">
        <v>244</v>
      </c>
      <c r="I249" s="36" t="str">
        <f t="shared" si="15"/>
        <v/>
      </c>
      <c r="J249" s="35" t="e">
        <f t="shared" si="18"/>
        <v>#NUM!</v>
      </c>
      <c r="K249" s="35" t="e">
        <f t="shared" si="16"/>
        <v>#NUM!</v>
      </c>
      <c r="L249" s="35"/>
      <c r="M249" s="37">
        <f t="shared" si="17"/>
        <v>0</v>
      </c>
    </row>
    <row r="250" spans="1:13" x14ac:dyDescent="0.25">
      <c r="A250" s="56"/>
      <c r="G250" s="13"/>
      <c r="H250" s="35">
        <v>245</v>
      </c>
      <c r="I250" s="36" t="str">
        <f t="shared" si="15"/>
        <v/>
      </c>
      <c r="J250" s="35" t="e">
        <f t="shared" si="18"/>
        <v>#NUM!</v>
      </c>
      <c r="K250" s="35" t="e">
        <f t="shared" si="16"/>
        <v>#NUM!</v>
      </c>
      <c r="L250" s="35"/>
      <c r="M250" s="37">
        <f t="shared" si="17"/>
        <v>0</v>
      </c>
    </row>
    <row r="251" spans="1:13" x14ac:dyDescent="0.25">
      <c r="A251" s="56"/>
      <c r="G251" s="13"/>
      <c r="H251" s="35">
        <v>246</v>
      </c>
      <c r="I251" s="36" t="str">
        <f t="shared" si="15"/>
        <v/>
      </c>
      <c r="J251" s="35" t="e">
        <f t="shared" si="18"/>
        <v>#NUM!</v>
      </c>
      <c r="K251" s="35" t="e">
        <f t="shared" si="16"/>
        <v>#NUM!</v>
      </c>
      <c r="L251" s="35"/>
      <c r="M251" s="37">
        <f t="shared" si="17"/>
        <v>0</v>
      </c>
    </row>
    <row r="252" spans="1:13" x14ac:dyDescent="0.25">
      <c r="A252" s="56"/>
      <c r="G252" s="13"/>
      <c r="H252" s="35">
        <v>247</v>
      </c>
      <c r="I252" s="36" t="str">
        <f t="shared" si="15"/>
        <v/>
      </c>
      <c r="J252" s="35" t="e">
        <f t="shared" si="18"/>
        <v>#NUM!</v>
      </c>
      <c r="K252" s="35" t="e">
        <f t="shared" si="16"/>
        <v>#NUM!</v>
      </c>
      <c r="L252" s="35"/>
      <c r="M252" s="37">
        <f t="shared" si="17"/>
        <v>0</v>
      </c>
    </row>
    <row r="253" spans="1:13" x14ac:dyDescent="0.25">
      <c r="A253" s="56"/>
      <c r="G253" s="13"/>
      <c r="H253" s="35">
        <v>248</v>
      </c>
      <c r="I253" s="36" t="str">
        <f t="shared" si="15"/>
        <v/>
      </c>
      <c r="J253" s="35" t="e">
        <f t="shared" si="18"/>
        <v>#NUM!</v>
      </c>
      <c r="K253" s="35" t="e">
        <f t="shared" si="16"/>
        <v>#NUM!</v>
      </c>
      <c r="L253" s="35"/>
      <c r="M253" s="37">
        <f t="shared" si="17"/>
        <v>0</v>
      </c>
    </row>
    <row r="254" spans="1:13" x14ac:dyDescent="0.25">
      <c r="A254" s="56"/>
      <c r="G254" s="13"/>
      <c r="H254" s="35">
        <v>249</v>
      </c>
      <c r="I254" s="36" t="str">
        <f t="shared" si="15"/>
        <v/>
      </c>
      <c r="J254" s="35" t="e">
        <f t="shared" si="18"/>
        <v>#NUM!</v>
      </c>
      <c r="K254" s="35" t="e">
        <f t="shared" si="16"/>
        <v>#NUM!</v>
      </c>
      <c r="L254" s="35"/>
      <c r="M254" s="37">
        <f t="shared" si="17"/>
        <v>0</v>
      </c>
    </row>
    <row r="255" spans="1:13" x14ac:dyDescent="0.25">
      <c r="A255" s="56"/>
      <c r="G255" s="13"/>
      <c r="H255" s="35">
        <v>250</v>
      </c>
      <c r="I255" s="36" t="str">
        <f t="shared" si="15"/>
        <v/>
      </c>
      <c r="J255" s="35" t="e">
        <f t="shared" si="18"/>
        <v>#NUM!</v>
      </c>
      <c r="K255" s="35" t="e">
        <f t="shared" si="16"/>
        <v>#NUM!</v>
      </c>
      <c r="L255" s="35"/>
      <c r="M255" s="37">
        <f t="shared" si="17"/>
        <v>0</v>
      </c>
    </row>
    <row r="256" spans="1:13" x14ac:dyDescent="0.25">
      <c r="A256" s="56"/>
      <c r="G256" s="13"/>
      <c r="H256" s="35">
        <v>251</v>
      </c>
      <c r="I256" s="36" t="str">
        <f t="shared" si="15"/>
        <v/>
      </c>
      <c r="J256" s="35" t="e">
        <f t="shared" si="18"/>
        <v>#NUM!</v>
      </c>
      <c r="K256" s="35" t="e">
        <f t="shared" si="16"/>
        <v>#NUM!</v>
      </c>
      <c r="L256" s="35"/>
      <c r="M256" s="37">
        <f t="shared" si="17"/>
        <v>0</v>
      </c>
    </row>
    <row r="257" spans="1:13" x14ac:dyDescent="0.25">
      <c r="A257" s="56"/>
      <c r="G257" s="13"/>
      <c r="H257" s="35">
        <v>252</v>
      </c>
      <c r="I257" s="36" t="str">
        <f t="shared" si="15"/>
        <v/>
      </c>
      <c r="J257" s="35" t="e">
        <f t="shared" si="18"/>
        <v>#NUM!</v>
      </c>
      <c r="K257" s="35" t="e">
        <f t="shared" si="16"/>
        <v>#NUM!</v>
      </c>
      <c r="L257" s="35"/>
      <c r="M257" s="37">
        <f t="shared" si="17"/>
        <v>0</v>
      </c>
    </row>
    <row r="258" spans="1:13" x14ac:dyDescent="0.25">
      <c r="A258" s="56"/>
      <c r="G258" s="13"/>
      <c r="H258" s="35">
        <v>253</v>
      </c>
      <c r="I258" s="36" t="str">
        <f t="shared" si="15"/>
        <v/>
      </c>
      <c r="J258" s="35" t="e">
        <f t="shared" si="18"/>
        <v>#NUM!</v>
      </c>
      <c r="K258" s="35" t="e">
        <f t="shared" si="16"/>
        <v>#NUM!</v>
      </c>
      <c r="L258" s="35"/>
      <c r="M258" s="37">
        <f t="shared" si="17"/>
        <v>0</v>
      </c>
    </row>
    <row r="259" spans="1:13" x14ac:dyDescent="0.25">
      <c r="A259" s="56"/>
      <c r="G259" s="13"/>
      <c r="H259" s="35">
        <v>254</v>
      </c>
      <c r="I259" s="36" t="str">
        <f t="shared" si="15"/>
        <v/>
      </c>
      <c r="J259" s="35" t="e">
        <f t="shared" si="18"/>
        <v>#NUM!</v>
      </c>
      <c r="K259" s="35" t="e">
        <f t="shared" si="16"/>
        <v>#NUM!</v>
      </c>
      <c r="L259" s="35"/>
      <c r="M259" s="37">
        <f t="shared" si="17"/>
        <v>0</v>
      </c>
    </row>
    <row r="260" spans="1:13" x14ac:dyDescent="0.25">
      <c r="A260" s="56"/>
      <c r="G260" s="13"/>
      <c r="H260" s="35">
        <v>255</v>
      </c>
      <c r="I260" s="36" t="str">
        <f t="shared" si="15"/>
        <v/>
      </c>
      <c r="J260" s="35" t="e">
        <f t="shared" si="18"/>
        <v>#NUM!</v>
      </c>
      <c r="K260" s="35" t="e">
        <f t="shared" si="16"/>
        <v>#NUM!</v>
      </c>
      <c r="L260" s="35"/>
      <c r="M260" s="37">
        <f t="shared" si="17"/>
        <v>0</v>
      </c>
    </row>
    <row r="261" spans="1:13" x14ac:dyDescent="0.25">
      <c r="A261" s="56"/>
      <c r="G261" s="13"/>
      <c r="H261" s="35">
        <v>256</v>
      </c>
      <c r="I261" s="36" t="str">
        <f t="shared" si="15"/>
        <v/>
      </c>
      <c r="J261" s="35" t="e">
        <f t="shared" si="18"/>
        <v>#NUM!</v>
      </c>
      <c r="K261" s="35" t="e">
        <f t="shared" si="16"/>
        <v>#NUM!</v>
      </c>
      <c r="L261" s="35"/>
      <c r="M261" s="37">
        <f t="shared" si="17"/>
        <v>0</v>
      </c>
    </row>
    <row r="262" spans="1:13" x14ac:dyDescent="0.25">
      <c r="A262" s="56"/>
      <c r="G262" s="13"/>
      <c r="H262" s="35">
        <v>257</v>
      </c>
      <c r="I262" s="36" t="str">
        <f t="shared" ref="I262:I305" si="19">IF(H262&lt;$H$2+1,($I$2-($I$2-1)*(LOG(H262)/LOG($H$2))),"")</f>
        <v/>
      </c>
      <c r="J262" s="35" t="e">
        <f t="shared" si="18"/>
        <v>#NUM!</v>
      </c>
      <c r="K262" s="35" t="e">
        <f t="shared" ref="K262:K305" si="20">J262*$J$2</f>
        <v>#NUM!</v>
      </c>
      <c r="L262" s="35"/>
      <c r="M262" s="37">
        <f t="shared" ref="M262:M305" si="21">IF(I262&lt;&gt;"",K262+I262+L262,0)</f>
        <v>0</v>
      </c>
    </row>
    <row r="263" spans="1:13" x14ac:dyDescent="0.25">
      <c r="A263" s="56"/>
      <c r="G263" s="13"/>
      <c r="H263" s="35">
        <v>258</v>
      </c>
      <c r="I263" s="36" t="str">
        <f t="shared" si="19"/>
        <v/>
      </c>
      <c r="J263" s="35" t="e">
        <f t="shared" ref="J263:J305" si="22">INT(LOG($H$2,2))-ROUNDUP(LOG(H263,2),0)+IF(OR($H$2=1,$H$2=2,$H$2=4,$H$2=8,$H$2=16,$H$2=32,$H$2=64,$H$2=128,$H$2=256),0,1)</f>
        <v>#NUM!</v>
      </c>
      <c r="K263" s="35" t="e">
        <f t="shared" si="20"/>
        <v>#NUM!</v>
      </c>
      <c r="L263" s="35"/>
      <c r="M263" s="37">
        <f t="shared" si="21"/>
        <v>0</v>
      </c>
    </row>
    <row r="264" spans="1:13" x14ac:dyDescent="0.25">
      <c r="A264" s="56"/>
      <c r="G264" s="13"/>
      <c r="H264" s="35">
        <v>259</v>
      </c>
      <c r="I264" s="36" t="str">
        <f t="shared" si="19"/>
        <v/>
      </c>
      <c r="J264" s="35" t="e">
        <f t="shared" si="22"/>
        <v>#NUM!</v>
      </c>
      <c r="K264" s="35" t="e">
        <f t="shared" si="20"/>
        <v>#NUM!</v>
      </c>
      <c r="L264" s="35"/>
      <c r="M264" s="37">
        <f t="shared" si="21"/>
        <v>0</v>
      </c>
    </row>
    <row r="265" spans="1:13" x14ac:dyDescent="0.25">
      <c r="A265" s="56"/>
      <c r="G265" s="13"/>
      <c r="H265" s="35">
        <v>260</v>
      </c>
      <c r="I265" s="36" t="str">
        <f t="shared" si="19"/>
        <v/>
      </c>
      <c r="J265" s="35" t="e">
        <f t="shared" si="22"/>
        <v>#NUM!</v>
      </c>
      <c r="K265" s="35" t="e">
        <f t="shared" si="20"/>
        <v>#NUM!</v>
      </c>
      <c r="L265" s="35"/>
      <c r="M265" s="37">
        <f t="shared" si="21"/>
        <v>0</v>
      </c>
    </row>
    <row r="266" spans="1:13" x14ac:dyDescent="0.25">
      <c r="A266" s="56"/>
      <c r="G266" s="13"/>
      <c r="H266" s="35">
        <v>261</v>
      </c>
      <c r="I266" s="36" t="str">
        <f t="shared" si="19"/>
        <v/>
      </c>
      <c r="J266" s="35" t="e">
        <f t="shared" si="22"/>
        <v>#NUM!</v>
      </c>
      <c r="K266" s="35" t="e">
        <f t="shared" si="20"/>
        <v>#NUM!</v>
      </c>
      <c r="L266" s="35"/>
      <c r="M266" s="37">
        <f t="shared" si="21"/>
        <v>0</v>
      </c>
    </row>
    <row r="267" spans="1:13" x14ac:dyDescent="0.25">
      <c r="A267" s="56"/>
      <c r="G267" s="13"/>
      <c r="H267" s="35">
        <v>262</v>
      </c>
      <c r="I267" s="36" t="str">
        <f t="shared" si="19"/>
        <v/>
      </c>
      <c r="J267" s="35" t="e">
        <f t="shared" si="22"/>
        <v>#NUM!</v>
      </c>
      <c r="K267" s="35" t="e">
        <f t="shared" si="20"/>
        <v>#NUM!</v>
      </c>
      <c r="L267" s="35"/>
      <c r="M267" s="37">
        <f t="shared" si="21"/>
        <v>0</v>
      </c>
    </row>
    <row r="268" spans="1:13" x14ac:dyDescent="0.25">
      <c r="A268" s="56"/>
      <c r="G268" s="13"/>
      <c r="H268" s="35">
        <v>263</v>
      </c>
      <c r="I268" s="36" t="str">
        <f t="shared" si="19"/>
        <v/>
      </c>
      <c r="J268" s="35" t="e">
        <f t="shared" si="22"/>
        <v>#NUM!</v>
      </c>
      <c r="K268" s="35" t="e">
        <f t="shared" si="20"/>
        <v>#NUM!</v>
      </c>
      <c r="L268" s="35"/>
      <c r="M268" s="37">
        <f t="shared" si="21"/>
        <v>0</v>
      </c>
    </row>
    <row r="269" spans="1:13" x14ac:dyDescent="0.25">
      <c r="A269" s="56"/>
      <c r="G269" s="13"/>
      <c r="H269" s="35">
        <v>264</v>
      </c>
      <c r="I269" s="36" t="str">
        <f t="shared" si="19"/>
        <v/>
      </c>
      <c r="J269" s="35" t="e">
        <f t="shared" si="22"/>
        <v>#NUM!</v>
      </c>
      <c r="K269" s="35" t="e">
        <f t="shared" si="20"/>
        <v>#NUM!</v>
      </c>
      <c r="L269" s="35"/>
      <c r="M269" s="37">
        <f t="shared" si="21"/>
        <v>0</v>
      </c>
    </row>
    <row r="270" spans="1:13" x14ac:dyDescent="0.25">
      <c r="A270" s="56"/>
      <c r="G270" s="13"/>
      <c r="H270" s="35">
        <v>265</v>
      </c>
      <c r="I270" s="36" t="str">
        <f t="shared" si="19"/>
        <v/>
      </c>
      <c r="J270" s="35" t="e">
        <f t="shared" si="22"/>
        <v>#NUM!</v>
      </c>
      <c r="K270" s="35" t="e">
        <f t="shared" si="20"/>
        <v>#NUM!</v>
      </c>
      <c r="L270" s="35"/>
      <c r="M270" s="37">
        <f t="shared" si="21"/>
        <v>0</v>
      </c>
    </row>
    <row r="271" spans="1:13" x14ac:dyDescent="0.25">
      <c r="A271" s="56"/>
      <c r="G271" s="13"/>
      <c r="H271" s="35">
        <v>266</v>
      </c>
      <c r="I271" s="36" t="str">
        <f t="shared" si="19"/>
        <v/>
      </c>
      <c r="J271" s="35" t="e">
        <f t="shared" si="22"/>
        <v>#NUM!</v>
      </c>
      <c r="K271" s="35" t="e">
        <f t="shared" si="20"/>
        <v>#NUM!</v>
      </c>
      <c r="L271" s="35"/>
      <c r="M271" s="37">
        <f t="shared" si="21"/>
        <v>0</v>
      </c>
    </row>
    <row r="272" spans="1:13" x14ac:dyDescent="0.25">
      <c r="A272" s="56"/>
      <c r="G272" s="13"/>
      <c r="H272" s="35">
        <v>267</v>
      </c>
      <c r="I272" s="36" t="str">
        <f t="shared" si="19"/>
        <v/>
      </c>
      <c r="J272" s="35" t="e">
        <f t="shared" si="22"/>
        <v>#NUM!</v>
      </c>
      <c r="K272" s="35" t="e">
        <f t="shared" si="20"/>
        <v>#NUM!</v>
      </c>
      <c r="L272" s="35"/>
      <c r="M272" s="37">
        <f t="shared" si="21"/>
        <v>0</v>
      </c>
    </row>
    <row r="273" spans="1:13" x14ac:dyDescent="0.25">
      <c r="A273" s="56"/>
      <c r="G273" s="13"/>
      <c r="H273" s="35">
        <v>268</v>
      </c>
      <c r="I273" s="36" t="str">
        <f t="shared" si="19"/>
        <v/>
      </c>
      <c r="J273" s="35" t="e">
        <f t="shared" si="22"/>
        <v>#NUM!</v>
      </c>
      <c r="K273" s="35" t="e">
        <f t="shared" si="20"/>
        <v>#NUM!</v>
      </c>
      <c r="L273" s="35"/>
      <c r="M273" s="37">
        <f t="shared" si="21"/>
        <v>0</v>
      </c>
    </row>
    <row r="274" spans="1:13" x14ac:dyDescent="0.25">
      <c r="A274" s="56"/>
      <c r="G274" s="13"/>
      <c r="H274" s="35">
        <v>269</v>
      </c>
      <c r="I274" s="36" t="str">
        <f t="shared" si="19"/>
        <v/>
      </c>
      <c r="J274" s="35" t="e">
        <f t="shared" si="22"/>
        <v>#NUM!</v>
      </c>
      <c r="K274" s="35" t="e">
        <f t="shared" si="20"/>
        <v>#NUM!</v>
      </c>
      <c r="L274" s="35"/>
      <c r="M274" s="37">
        <f t="shared" si="21"/>
        <v>0</v>
      </c>
    </row>
    <row r="275" spans="1:13" x14ac:dyDescent="0.25">
      <c r="A275" s="56"/>
      <c r="G275" s="13"/>
      <c r="H275" s="35">
        <v>270</v>
      </c>
      <c r="I275" s="36" t="str">
        <f t="shared" si="19"/>
        <v/>
      </c>
      <c r="J275" s="35" t="e">
        <f t="shared" si="22"/>
        <v>#NUM!</v>
      </c>
      <c r="K275" s="35" t="e">
        <f t="shared" si="20"/>
        <v>#NUM!</v>
      </c>
      <c r="L275" s="35"/>
      <c r="M275" s="37">
        <f t="shared" si="21"/>
        <v>0</v>
      </c>
    </row>
    <row r="276" spans="1:13" x14ac:dyDescent="0.25">
      <c r="A276" s="56"/>
      <c r="G276" s="13"/>
      <c r="H276" s="35">
        <v>271</v>
      </c>
      <c r="I276" s="36" t="str">
        <f t="shared" si="19"/>
        <v/>
      </c>
      <c r="J276" s="35" t="e">
        <f t="shared" si="22"/>
        <v>#NUM!</v>
      </c>
      <c r="K276" s="35" t="e">
        <f t="shared" si="20"/>
        <v>#NUM!</v>
      </c>
      <c r="L276" s="35"/>
      <c r="M276" s="37">
        <f t="shared" si="21"/>
        <v>0</v>
      </c>
    </row>
    <row r="277" spans="1:13" x14ac:dyDescent="0.25">
      <c r="A277" s="56"/>
      <c r="G277" s="13"/>
      <c r="H277" s="35">
        <v>272</v>
      </c>
      <c r="I277" s="36" t="str">
        <f t="shared" si="19"/>
        <v/>
      </c>
      <c r="J277" s="35" t="e">
        <f t="shared" si="22"/>
        <v>#NUM!</v>
      </c>
      <c r="K277" s="35" t="e">
        <f t="shared" si="20"/>
        <v>#NUM!</v>
      </c>
      <c r="L277" s="35"/>
      <c r="M277" s="37">
        <f t="shared" si="21"/>
        <v>0</v>
      </c>
    </row>
    <row r="278" spans="1:13" x14ac:dyDescent="0.25">
      <c r="A278" s="56"/>
      <c r="G278" s="13"/>
      <c r="H278" s="35">
        <v>273</v>
      </c>
      <c r="I278" s="36" t="str">
        <f t="shared" si="19"/>
        <v/>
      </c>
      <c r="J278" s="35" t="e">
        <f t="shared" si="22"/>
        <v>#NUM!</v>
      </c>
      <c r="K278" s="35" t="e">
        <f t="shared" si="20"/>
        <v>#NUM!</v>
      </c>
      <c r="L278" s="35"/>
      <c r="M278" s="37">
        <f t="shared" si="21"/>
        <v>0</v>
      </c>
    </row>
    <row r="279" spans="1:13" x14ac:dyDescent="0.25">
      <c r="A279" s="56"/>
      <c r="G279" s="13"/>
      <c r="H279" s="35">
        <v>274</v>
      </c>
      <c r="I279" s="36" t="str">
        <f t="shared" si="19"/>
        <v/>
      </c>
      <c r="J279" s="35" t="e">
        <f t="shared" si="22"/>
        <v>#NUM!</v>
      </c>
      <c r="K279" s="35" t="e">
        <f t="shared" si="20"/>
        <v>#NUM!</v>
      </c>
      <c r="L279" s="35"/>
      <c r="M279" s="37">
        <f t="shared" si="21"/>
        <v>0</v>
      </c>
    </row>
    <row r="280" spans="1:13" x14ac:dyDescent="0.25">
      <c r="A280" s="56"/>
      <c r="G280" s="13"/>
      <c r="H280" s="35">
        <v>275</v>
      </c>
      <c r="I280" s="36" t="str">
        <f t="shared" si="19"/>
        <v/>
      </c>
      <c r="J280" s="35" t="e">
        <f t="shared" si="22"/>
        <v>#NUM!</v>
      </c>
      <c r="K280" s="35" t="e">
        <f t="shared" si="20"/>
        <v>#NUM!</v>
      </c>
      <c r="L280" s="35"/>
      <c r="M280" s="37">
        <f t="shared" si="21"/>
        <v>0</v>
      </c>
    </row>
    <row r="281" spans="1:13" x14ac:dyDescent="0.25">
      <c r="A281" s="56"/>
      <c r="G281" s="13"/>
      <c r="H281" s="35">
        <v>276</v>
      </c>
      <c r="I281" s="36" t="str">
        <f t="shared" si="19"/>
        <v/>
      </c>
      <c r="J281" s="35" t="e">
        <f t="shared" si="22"/>
        <v>#NUM!</v>
      </c>
      <c r="K281" s="35" t="e">
        <f t="shared" si="20"/>
        <v>#NUM!</v>
      </c>
      <c r="L281" s="35"/>
      <c r="M281" s="37">
        <f t="shared" si="21"/>
        <v>0</v>
      </c>
    </row>
    <row r="282" spans="1:13" x14ac:dyDescent="0.25">
      <c r="A282" s="56"/>
      <c r="G282" s="13"/>
      <c r="H282" s="35">
        <v>277</v>
      </c>
      <c r="I282" s="36" t="str">
        <f t="shared" si="19"/>
        <v/>
      </c>
      <c r="J282" s="35" t="e">
        <f t="shared" si="22"/>
        <v>#NUM!</v>
      </c>
      <c r="K282" s="35" t="e">
        <f t="shared" si="20"/>
        <v>#NUM!</v>
      </c>
      <c r="L282" s="35"/>
      <c r="M282" s="37">
        <f t="shared" si="21"/>
        <v>0</v>
      </c>
    </row>
    <row r="283" spans="1:13" x14ac:dyDescent="0.25">
      <c r="A283" s="56"/>
      <c r="G283" s="13"/>
      <c r="H283" s="35">
        <v>278</v>
      </c>
      <c r="I283" s="36" t="str">
        <f t="shared" si="19"/>
        <v/>
      </c>
      <c r="J283" s="35" t="e">
        <f t="shared" si="22"/>
        <v>#NUM!</v>
      </c>
      <c r="K283" s="35" t="e">
        <f t="shared" si="20"/>
        <v>#NUM!</v>
      </c>
      <c r="L283" s="35"/>
      <c r="M283" s="37">
        <f t="shared" si="21"/>
        <v>0</v>
      </c>
    </row>
    <row r="284" spans="1:13" x14ac:dyDescent="0.25">
      <c r="A284" s="56"/>
      <c r="G284" s="13"/>
      <c r="H284" s="35">
        <v>279</v>
      </c>
      <c r="I284" s="36" t="str">
        <f t="shared" si="19"/>
        <v/>
      </c>
      <c r="J284" s="35" t="e">
        <f t="shared" si="22"/>
        <v>#NUM!</v>
      </c>
      <c r="K284" s="35" t="e">
        <f t="shared" si="20"/>
        <v>#NUM!</v>
      </c>
      <c r="L284" s="35"/>
      <c r="M284" s="37">
        <f t="shared" si="21"/>
        <v>0</v>
      </c>
    </row>
    <row r="285" spans="1:13" x14ac:dyDescent="0.25">
      <c r="A285" s="56"/>
      <c r="G285" s="13"/>
      <c r="H285" s="35">
        <v>280</v>
      </c>
      <c r="I285" s="36" t="str">
        <f t="shared" si="19"/>
        <v/>
      </c>
      <c r="J285" s="35" t="e">
        <f t="shared" si="22"/>
        <v>#NUM!</v>
      </c>
      <c r="K285" s="35" t="e">
        <f t="shared" si="20"/>
        <v>#NUM!</v>
      </c>
      <c r="L285" s="35"/>
      <c r="M285" s="37">
        <f t="shared" si="21"/>
        <v>0</v>
      </c>
    </row>
    <row r="286" spans="1:13" x14ac:dyDescent="0.25">
      <c r="A286" s="56"/>
      <c r="G286" s="13"/>
      <c r="H286" s="35">
        <v>281</v>
      </c>
      <c r="I286" s="36" t="str">
        <f t="shared" si="19"/>
        <v/>
      </c>
      <c r="J286" s="35" t="e">
        <f t="shared" si="22"/>
        <v>#NUM!</v>
      </c>
      <c r="K286" s="35" t="e">
        <f t="shared" si="20"/>
        <v>#NUM!</v>
      </c>
      <c r="L286" s="35"/>
      <c r="M286" s="37">
        <f t="shared" si="21"/>
        <v>0</v>
      </c>
    </row>
    <row r="287" spans="1:13" x14ac:dyDescent="0.25">
      <c r="A287" s="56"/>
      <c r="G287" s="13"/>
      <c r="H287" s="35">
        <v>282</v>
      </c>
      <c r="I287" s="36" t="str">
        <f t="shared" si="19"/>
        <v/>
      </c>
      <c r="J287" s="35" t="e">
        <f t="shared" si="22"/>
        <v>#NUM!</v>
      </c>
      <c r="K287" s="35" t="e">
        <f t="shared" si="20"/>
        <v>#NUM!</v>
      </c>
      <c r="L287" s="35"/>
      <c r="M287" s="37">
        <f t="shared" si="21"/>
        <v>0</v>
      </c>
    </row>
    <row r="288" spans="1:13" x14ac:dyDescent="0.25">
      <c r="A288" s="56"/>
      <c r="G288" s="13"/>
      <c r="H288" s="35">
        <v>283</v>
      </c>
      <c r="I288" s="36" t="str">
        <f t="shared" si="19"/>
        <v/>
      </c>
      <c r="J288" s="35" t="e">
        <f t="shared" si="22"/>
        <v>#NUM!</v>
      </c>
      <c r="K288" s="35" t="e">
        <f t="shared" si="20"/>
        <v>#NUM!</v>
      </c>
      <c r="L288" s="35"/>
      <c r="M288" s="37">
        <f t="shared" si="21"/>
        <v>0</v>
      </c>
    </row>
    <row r="289" spans="1:13" x14ac:dyDescent="0.25">
      <c r="A289" s="56"/>
      <c r="G289" s="13"/>
      <c r="H289" s="35">
        <v>284</v>
      </c>
      <c r="I289" s="36" t="str">
        <f t="shared" si="19"/>
        <v/>
      </c>
      <c r="J289" s="35" t="e">
        <f t="shared" si="22"/>
        <v>#NUM!</v>
      </c>
      <c r="K289" s="35" t="e">
        <f t="shared" si="20"/>
        <v>#NUM!</v>
      </c>
      <c r="L289" s="35"/>
      <c r="M289" s="37">
        <f t="shared" si="21"/>
        <v>0</v>
      </c>
    </row>
    <row r="290" spans="1:13" x14ac:dyDescent="0.25">
      <c r="A290" s="56"/>
      <c r="G290" s="13"/>
      <c r="H290" s="35">
        <v>285</v>
      </c>
      <c r="I290" s="36" t="str">
        <f t="shared" si="19"/>
        <v/>
      </c>
      <c r="J290" s="35" t="e">
        <f t="shared" si="22"/>
        <v>#NUM!</v>
      </c>
      <c r="K290" s="35" t="e">
        <f t="shared" si="20"/>
        <v>#NUM!</v>
      </c>
      <c r="L290" s="35"/>
      <c r="M290" s="37">
        <f t="shared" si="21"/>
        <v>0</v>
      </c>
    </row>
    <row r="291" spans="1:13" x14ac:dyDescent="0.25">
      <c r="A291" s="56"/>
      <c r="G291" s="13"/>
      <c r="H291" s="35">
        <v>286</v>
      </c>
      <c r="I291" s="36" t="str">
        <f t="shared" si="19"/>
        <v/>
      </c>
      <c r="J291" s="35" t="e">
        <f t="shared" si="22"/>
        <v>#NUM!</v>
      </c>
      <c r="K291" s="35" t="e">
        <f t="shared" si="20"/>
        <v>#NUM!</v>
      </c>
      <c r="L291" s="35"/>
      <c r="M291" s="37">
        <f t="shared" si="21"/>
        <v>0</v>
      </c>
    </row>
    <row r="292" spans="1:13" x14ac:dyDescent="0.25">
      <c r="A292" s="56"/>
      <c r="G292" s="13"/>
      <c r="H292" s="35">
        <v>287</v>
      </c>
      <c r="I292" s="36" t="str">
        <f t="shared" si="19"/>
        <v/>
      </c>
      <c r="J292" s="35" t="e">
        <f t="shared" si="22"/>
        <v>#NUM!</v>
      </c>
      <c r="K292" s="35" t="e">
        <f t="shared" si="20"/>
        <v>#NUM!</v>
      </c>
      <c r="L292" s="35"/>
      <c r="M292" s="37">
        <f t="shared" si="21"/>
        <v>0</v>
      </c>
    </row>
    <row r="293" spans="1:13" x14ac:dyDescent="0.25">
      <c r="A293" s="56"/>
      <c r="G293" s="13"/>
      <c r="H293" s="35">
        <v>288</v>
      </c>
      <c r="I293" s="36" t="str">
        <f t="shared" si="19"/>
        <v/>
      </c>
      <c r="J293" s="35" t="e">
        <f t="shared" si="22"/>
        <v>#NUM!</v>
      </c>
      <c r="K293" s="35" t="e">
        <f t="shared" si="20"/>
        <v>#NUM!</v>
      </c>
      <c r="L293" s="35"/>
      <c r="M293" s="37">
        <f t="shared" si="21"/>
        <v>0</v>
      </c>
    </row>
    <row r="294" spans="1:13" x14ac:dyDescent="0.25">
      <c r="A294" s="56"/>
      <c r="G294" s="13"/>
      <c r="H294" s="35">
        <v>289</v>
      </c>
      <c r="I294" s="36" t="str">
        <f t="shared" si="19"/>
        <v/>
      </c>
      <c r="J294" s="35" t="e">
        <f t="shared" si="22"/>
        <v>#NUM!</v>
      </c>
      <c r="K294" s="35" t="e">
        <f t="shared" si="20"/>
        <v>#NUM!</v>
      </c>
      <c r="L294" s="35"/>
      <c r="M294" s="37">
        <f t="shared" si="21"/>
        <v>0</v>
      </c>
    </row>
    <row r="295" spans="1:13" x14ac:dyDescent="0.25">
      <c r="A295" s="56"/>
      <c r="G295" s="13"/>
      <c r="H295" s="35">
        <v>290</v>
      </c>
      <c r="I295" s="36" t="str">
        <f t="shared" si="19"/>
        <v/>
      </c>
      <c r="J295" s="35" t="e">
        <f t="shared" si="22"/>
        <v>#NUM!</v>
      </c>
      <c r="K295" s="35" t="e">
        <f t="shared" si="20"/>
        <v>#NUM!</v>
      </c>
      <c r="L295" s="35"/>
      <c r="M295" s="37">
        <f t="shared" si="21"/>
        <v>0</v>
      </c>
    </row>
    <row r="296" spans="1:13" x14ac:dyDescent="0.25">
      <c r="A296" s="56"/>
      <c r="G296" s="13"/>
      <c r="H296" s="35">
        <v>291</v>
      </c>
      <c r="I296" s="36" t="str">
        <f t="shared" si="19"/>
        <v/>
      </c>
      <c r="J296" s="35" t="e">
        <f t="shared" si="22"/>
        <v>#NUM!</v>
      </c>
      <c r="K296" s="35" t="e">
        <f t="shared" si="20"/>
        <v>#NUM!</v>
      </c>
      <c r="L296" s="35"/>
      <c r="M296" s="37">
        <f t="shared" si="21"/>
        <v>0</v>
      </c>
    </row>
    <row r="297" spans="1:13" x14ac:dyDescent="0.25">
      <c r="A297" s="56"/>
      <c r="G297" s="13"/>
      <c r="H297" s="35">
        <v>292</v>
      </c>
      <c r="I297" s="36" t="str">
        <f t="shared" si="19"/>
        <v/>
      </c>
      <c r="J297" s="35" t="e">
        <f t="shared" si="22"/>
        <v>#NUM!</v>
      </c>
      <c r="K297" s="35" t="e">
        <f t="shared" si="20"/>
        <v>#NUM!</v>
      </c>
      <c r="L297" s="35"/>
      <c r="M297" s="37">
        <f t="shared" si="21"/>
        <v>0</v>
      </c>
    </row>
    <row r="298" spans="1:13" x14ac:dyDescent="0.25">
      <c r="A298" s="56"/>
      <c r="G298" s="13"/>
      <c r="H298" s="35">
        <v>293</v>
      </c>
      <c r="I298" s="36" t="str">
        <f t="shared" si="19"/>
        <v/>
      </c>
      <c r="J298" s="35" t="e">
        <f t="shared" si="22"/>
        <v>#NUM!</v>
      </c>
      <c r="K298" s="35" t="e">
        <f t="shared" si="20"/>
        <v>#NUM!</v>
      </c>
      <c r="L298" s="35"/>
      <c r="M298" s="37">
        <f t="shared" si="21"/>
        <v>0</v>
      </c>
    </row>
    <row r="299" spans="1:13" x14ac:dyDescent="0.25">
      <c r="A299" s="56"/>
      <c r="G299" s="13"/>
      <c r="H299" s="35">
        <v>294</v>
      </c>
      <c r="I299" s="36" t="str">
        <f t="shared" si="19"/>
        <v/>
      </c>
      <c r="J299" s="35" t="e">
        <f t="shared" si="22"/>
        <v>#NUM!</v>
      </c>
      <c r="K299" s="35" t="e">
        <f t="shared" si="20"/>
        <v>#NUM!</v>
      </c>
      <c r="L299" s="35"/>
      <c r="M299" s="37">
        <f t="shared" si="21"/>
        <v>0</v>
      </c>
    </row>
    <row r="300" spans="1:13" x14ac:dyDescent="0.25">
      <c r="A300" s="56"/>
      <c r="G300" s="13"/>
      <c r="H300" s="35">
        <v>295</v>
      </c>
      <c r="I300" s="36" t="str">
        <f t="shared" si="19"/>
        <v/>
      </c>
      <c r="J300" s="35" t="e">
        <f t="shared" si="22"/>
        <v>#NUM!</v>
      </c>
      <c r="K300" s="35" t="e">
        <f t="shared" si="20"/>
        <v>#NUM!</v>
      </c>
      <c r="L300" s="35"/>
      <c r="M300" s="37">
        <f t="shared" si="21"/>
        <v>0</v>
      </c>
    </row>
    <row r="301" spans="1:13" x14ac:dyDescent="0.25">
      <c r="A301" s="56"/>
      <c r="G301" s="13"/>
      <c r="H301" s="35">
        <v>296</v>
      </c>
      <c r="I301" s="36" t="str">
        <f t="shared" si="19"/>
        <v/>
      </c>
      <c r="J301" s="35" t="e">
        <f t="shared" si="22"/>
        <v>#NUM!</v>
      </c>
      <c r="K301" s="35" t="e">
        <f t="shared" si="20"/>
        <v>#NUM!</v>
      </c>
      <c r="L301" s="35"/>
      <c r="M301" s="37">
        <f t="shared" si="21"/>
        <v>0</v>
      </c>
    </row>
    <row r="302" spans="1:13" x14ac:dyDescent="0.25">
      <c r="A302" s="56"/>
      <c r="G302" s="13"/>
      <c r="H302" s="35">
        <v>297</v>
      </c>
      <c r="I302" s="36" t="str">
        <f t="shared" si="19"/>
        <v/>
      </c>
      <c r="J302" s="35" t="e">
        <f t="shared" si="22"/>
        <v>#NUM!</v>
      </c>
      <c r="K302" s="35" t="e">
        <f t="shared" si="20"/>
        <v>#NUM!</v>
      </c>
      <c r="L302" s="35"/>
      <c r="M302" s="37">
        <f t="shared" si="21"/>
        <v>0</v>
      </c>
    </row>
    <row r="303" spans="1:13" x14ac:dyDescent="0.25">
      <c r="A303" s="56"/>
      <c r="G303" s="13"/>
      <c r="H303" s="35">
        <v>298</v>
      </c>
      <c r="I303" s="36" t="str">
        <f t="shared" si="19"/>
        <v/>
      </c>
      <c r="J303" s="35" t="e">
        <f t="shared" si="22"/>
        <v>#NUM!</v>
      </c>
      <c r="K303" s="35" t="e">
        <f t="shared" si="20"/>
        <v>#NUM!</v>
      </c>
      <c r="L303" s="35"/>
      <c r="M303" s="37">
        <f t="shared" si="21"/>
        <v>0</v>
      </c>
    </row>
    <row r="304" spans="1:13" x14ac:dyDescent="0.25">
      <c r="A304" s="56"/>
      <c r="G304" s="13"/>
      <c r="H304" s="35">
        <v>299</v>
      </c>
      <c r="I304" s="36" t="str">
        <f t="shared" si="19"/>
        <v/>
      </c>
      <c r="J304" s="35" t="e">
        <f t="shared" si="22"/>
        <v>#NUM!</v>
      </c>
      <c r="K304" s="35" t="e">
        <f t="shared" si="20"/>
        <v>#NUM!</v>
      </c>
      <c r="L304" s="35"/>
      <c r="M304" s="37">
        <f t="shared" si="21"/>
        <v>0</v>
      </c>
    </row>
    <row r="305" spans="1:16" x14ac:dyDescent="0.25">
      <c r="A305" s="56"/>
      <c r="G305" s="13"/>
      <c r="H305" s="35">
        <v>300</v>
      </c>
      <c r="I305" s="36" t="str">
        <f t="shared" si="19"/>
        <v/>
      </c>
      <c r="J305" s="35" t="e">
        <f t="shared" si="22"/>
        <v>#NUM!</v>
      </c>
      <c r="K305" s="35" t="e">
        <f t="shared" si="20"/>
        <v>#NUM!</v>
      </c>
      <c r="L305" s="35"/>
      <c r="M305" s="37">
        <f t="shared" si="21"/>
        <v>0</v>
      </c>
    </row>
    <row r="306" spans="1:16" x14ac:dyDescent="0.25">
      <c r="A306" s="58"/>
    </row>
    <row r="314" spans="1:16" x14ac:dyDescent="0.25">
      <c r="L314" s="61"/>
      <c r="P314" s="51"/>
    </row>
    <row r="315" spans="1:16" x14ac:dyDescent="0.25">
      <c r="L315" s="61"/>
      <c r="P315" s="51"/>
    </row>
    <row r="316" spans="1:16" x14ac:dyDescent="0.25">
      <c r="L316" s="61"/>
      <c r="P316" s="51"/>
    </row>
    <row r="317" spans="1:16" x14ac:dyDescent="0.25">
      <c r="L317" s="61"/>
      <c r="P317" s="51"/>
    </row>
  </sheetData>
  <mergeCells count="2">
    <mergeCell ref="C2:D2"/>
    <mergeCell ref="C3:D3"/>
  </mergeCells>
  <conditionalFormatting sqref="J6:K305">
    <cfRule type="cellIs" dxfId="29" priority="1" operator="lessThanOrEqual">
      <formula>0</formula>
    </cfRule>
  </conditionalFormatting>
  <dataValidations count="1">
    <dataValidation type="list" allowBlank="1" showInputMessage="1" showErrorMessage="1" sqref="C38:C69" xr:uid="{B7B2D736-6503-4044-8D74-91DC6DA44858}">
      <formula1>#REF!</formula1>
    </dataValidation>
  </dataValidations>
  <hyperlinks>
    <hyperlink ref="C2:D2" r:id="rId1" display="GDAŃSK" xr:uid="{A72CB832-AEDC-4636-8984-D98D7EACC220}"/>
  </hyperlinks>
  <pageMargins left="0.7" right="0.7" top="0.75" bottom="0.75" header="0.3" footer="0.3"/>
  <pageSetup paperSize="9"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A542D-87BA-43B1-AB60-DCD9D370BB02}">
  <sheetPr>
    <tabColor rgb="FF92D050"/>
  </sheetPr>
  <dimension ref="A1:AL317"/>
  <sheetViews>
    <sheetView workbookViewId="0">
      <selection activeCell="C16" sqref="C16"/>
    </sheetView>
  </sheetViews>
  <sheetFormatPr defaultColWidth="8.875" defaultRowHeight="14.3" x14ac:dyDescent="0.25"/>
  <cols>
    <col min="1" max="1" width="8" style="173" customWidth="1"/>
    <col min="2" max="2" width="8.25" style="173" customWidth="1"/>
    <col min="3" max="3" width="34.75" style="173" customWidth="1"/>
    <col min="4" max="4" width="11.25" style="173" customWidth="1"/>
    <col min="5" max="6" width="8.875" style="173"/>
    <col min="7" max="7" width="0.875" style="173" customWidth="1"/>
    <col min="8" max="8" width="8.875" style="175"/>
    <col min="9" max="9" width="11" style="175" customWidth="1"/>
    <col min="10" max="10" width="15.25" style="175" customWidth="1"/>
    <col min="11" max="11" width="8.75" style="175" customWidth="1"/>
    <col min="12" max="12" width="11" style="175" customWidth="1"/>
    <col min="13" max="13" width="11.75" style="176" customWidth="1"/>
    <col min="14" max="15" width="13.875" style="142" customWidth="1"/>
    <col min="16" max="18" width="8.875" style="142"/>
    <col min="19" max="20" width="8.875" style="147"/>
    <col min="21" max="21" width="12.125" style="147" customWidth="1"/>
    <col min="22" max="22" width="27.375" style="147" customWidth="1"/>
    <col min="23" max="38" width="8.875" style="147"/>
    <col min="39" max="16384" width="8.875" style="173"/>
  </cols>
  <sheetData>
    <row r="1" spans="1:36" x14ac:dyDescent="0.25">
      <c r="A1" s="142"/>
      <c r="B1" s="142"/>
      <c r="C1" s="142"/>
      <c r="D1" s="142"/>
      <c r="E1" s="142"/>
      <c r="F1" s="142"/>
      <c r="G1" s="142"/>
      <c r="H1" s="143" t="s">
        <v>20</v>
      </c>
      <c r="I1" s="144" t="s">
        <v>21</v>
      </c>
      <c r="J1" s="144" t="s">
        <v>22</v>
      </c>
      <c r="K1" s="145" t="s">
        <v>23</v>
      </c>
      <c r="L1" s="146"/>
      <c r="M1" s="146"/>
    </row>
    <row r="2" spans="1:36" ht="14.45" customHeight="1" x14ac:dyDescent="0.25">
      <c r="A2" s="142"/>
      <c r="B2" s="19" t="s">
        <v>24</v>
      </c>
      <c r="C2" s="277" t="s">
        <v>62</v>
      </c>
      <c r="D2" s="277"/>
      <c r="E2" s="20"/>
      <c r="F2" s="20"/>
      <c r="G2" s="20"/>
      <c r="H2" s="148">
        <v>0</v>
      </c>
      <c r="I2" s="149">
        <v>50</v>
      </c>
      <c r="J2" s="149">
        <v>10</v>
      </c>
      <c r="K2" s="150">
        <f>3*H2^(1/3)</f>
        <v>0</v>
      </c>
      <c r="L2" s="146"/>
      <c r="M2" s="146"/>
    </row>
    <row r="3" spans="1:36" ht="14.45" customHeight="1" x14ac:dyDescent="0.25">
      <c r="A3" s="142"/>
      <c r="B3" s="151" t="s">
        <v>26</v>
      </c>
      <c r="C3" s="278" t="s">
        <v>63</v>
      </c>
      <c r="D3" s="278"/>
      <c r="E3" s="25"/>
      <c r="F3" s="25"/>
      <c r="G3" s="25"/>
      <c r="H3" s="146"/>
      <c r="I3" s="146"/>
      <c r="J3" s="152"/>
      <c r="K3" s="146"/>
      <c r="L3" s="146"/>
      <c r="M3" s="146"/>
    </row>
    <row r="4" spans="1:36" ht="10.199999999999999" customHeight="1" x14ac:dyDescent="0.25">
      <c r="A4" s="27"/>
      <c r="B4" s="25"/>
      <c r="C4" s="27"/>
      <c r="D4" s="27"/>
      <c r="E4" s="27"/>
      <c r="F4" s="27"/>
      <c r="G4" s="27"/>
      <c r="H4" s="146"/>
      <c r="I4" s="146"/>
      <c r="J4" s="152"/>
      <c r="K4" s="146"/>
      <c r="L4" s="146"/>
      <c r="M4" s="146"/>
    </row>
    <row r="5" spans="1:36" ht="34.65" x14ac:dyDescent="0.25">
      <c r="A5" s="1" t="s">
        <v>28</v>
      </c>
      <c r="B5" s="28" t="s">
        <v>29</v>
      </c>
      <c r="C5" s="1" t="s">
        <v>30</v>
      </c>
      <c r="D5" s="1" t="s">
        <v>31</v>
      </c>
      <c r="E5" s="1" t="s">
        <v>32</v>
      </c>
      <c r="F5" s="1" t="s">
        <v>33</v>
      </c>
      <c r="G5" s="27"/>
      <c r="H5" s="153" t="s">
        <v>34</v>
      </c>
      <c r="I5" s="154" t="s">
        <v>35</v>
      </c>
      <c r="J5" s="155" t="s">
        <v>36</v>
      </c>
      <c r="K5" s="154" t="s">
        <v>37</v>
      </c>
      <c r="L5" s="154" t="s">
        <v>38</v>
      </c>
      <c r="M5" s="153" t="s">
        <v>39</v>
      </c>
    </row>
    <row r="6" spans="1:36" ht="14.45" customHeight="1" x14ac:dyDescent="0.25">
      <c r="A6" s="32">
        <f>M6</f>
        <v>0</v>
      </c>
      <c r="B6" s="33" t="str">
        <f t="shared" ref="B6:B13" si="0">IF(H6&gt;$H$2,"",(ROW()-5))</f>
        <v/>
      </c>
      <c r="C6" s="34"/>
      <c r="D6" s="34"/>
      <c r="E6" s="34"/>
      <c r="F6" s="34"/>
      <c r="G6" s="27"/>
      <c r="H6" s="156">
        <v>1</v>
      </c>
      <c r="I6" s="157" t="str">
        <f>IF(H2=1,50,IF(H6&lt;$H$2+1,($I$2-($I$2-1)*(LOG(H6)/LOG($H$2))),""))</f>
        <v/>
      </c>
      <c r="J6" s="156" t="e">
        <f>INT(LOG($H$2,2))-ROUNDUP(LOG(H6,2),0)+IF(OR($H$2=1,$H$2=2,$H$2=4,$H$2=8,$H$2=16,$H$2=32,$H$2=64,$H$2=128,$H$2=256),0,1)</f>
        <v>#NUM!</v>
      </c>
      <c r="K6" s="156" t="e">
        <f t="shared" ref="K6:K69" si="1">J6*$J$2</f>
        <v>#NUM!</v>
      </c>
      <c r="L6" s="158">
        <f>3*K2</f>
        <v>0</v>
      </c>
      <c r="M6" s="158">
        <f t="shared" ref="M6:M69" si="2">IF(I6&lt;&gt;"",K6+I6+L6,0)</f>
        <v>0</v>
      </c>
    </row>
    <row r="7" spans="1:36" ht="14.45" customHeight="1" x14ac:dyDescent="0.25">
      <c r="A7" s="38">
        <f t="shared" ref="A7:A37" si="3">M7</f>
        <v>0</v>
      </c>
      <c r="B7" s="39" t="str">
        <f t="shared" si="0"/>
        <v/>
      </c>
      <c r="C7" s="40"/>
      <c r="D7" s="40"/>
      <c r="E7" s="40"/>
      <c r="F7" s="40"/>
      <c r="G7" s="27"/>
      <c r="H7" s="159">
        <v>2</v>
      </c>
      <c r="I7" s="160" t="str">
        <f t="shared" ref="I7:I70" si="4">IF(H7&lt;$H$2+1,($I$2-($I$2-1)*(LOG(H7)/LOG($H$2))),"")</f>
        <v/>
      </c>
      <c r="J7" s="159" t="e">
        <f t="shared" ref="J7:J70" si="5">INT(LOG($H$2,2))-ROUNDUP(LOG(H7,2),0)+IF(OR($H$2=1,$H$2=2,$H$2=4,$H$2=8,$H$2=16,$H$2=32,$H$2=64,$H$2=128,$H$2=256),0,1)</f>
        <v>#NUM!</v>
      </c>
      <c r="K7" s="159" t="e">
        <f t="shared" si="1"/>
        <v>#NUM!</v>
      </c>
      <c r="L7" s="161">
        <f>2*K2</f>
        <v>0</v>
      </c>
      <c r="M7" s="161">
        <f t="shared" si="2"/>
        <v>0</v>
      </c>
    </row>
    <row r="8" spans="1:36" ht="14.45" customHeight="1" x14ac:dyDescent="0.25">
      <c r="A8" s="32">
        <f t="shared" si="3"/>
        <v>0</v>
      </c>
      <c r="B8" s="33" t="str">
        <f t="shared" si="0"/>
        <v/>
      </c>
      <c r="C8" s="34"/>
      <c r="D8" s="34"/>
      <c r="E8" s="34"/>
      <c r="F8" s="34"/>
      <c r="G8" s="27"/>
      <c r="H8" s="156">
        <v>3</v>
      </c>
      <c r="I8" s="157" t="str">
        <f t="shared" si="4"/>
        <v/>
      </c>
      <c r="J8" s="156" t="e">
        <f t="shared" si="5"/>
        <v>#NUM!</v>
      </c>
      <c r="K8" s="156" t="e">
        <f t="shared" si="1"/>
        <v>#NUM!</v>
      </c>
      <c r="L8" s="158">
        <f>K2</f>
        <v>0</v>
      </c>
      <c r="M8" s="158">
        <f t="shared" si="2"/>
        <v>0</v>
      </c>
    </row>
    <row r="9" spans="1:36" ht="14.45" customHeight="1" x14ac:dyDescent="0.25">
      <c r="A9" s="38">
        <f t="shared" si="3"/>
        <v>0</v>
      </c>
      <c r="B9" s="39" t="str">
        <f t="shared" si="0"/>
        <v/>
      </c>
      <c r="C9" s="40"/>
      <c r="D9" s="40"/>
      <c r="E9" s="40"/>
      <c r="F9" s="40"/>
      <c r="G9" s="27"/>
      <c r="H9" s="159">
        <v>4</v>
      </c>
      <c r="I9" s="160" t="str">
        <f t="shared" si="4"/>
        <v/>
      </c>
      <c r="J9" s="159" t="e">
        <f t="shared" si="5"/>
        <v>#NUM!</v>
      </c>
      <c r="K9" s="159" t="e">
        <f t="shared" si="1"/>
        <v>#NUM!</v>
      </c>
      <c r="L9" s="161"/>
      <c r="M9" s="161">
        <f t="shared" si="2"/>
        <v>0</v>
      </c>
      <c r="V9" s="162"/>
      <c r="Z9" s="163"/>
      <c r="AA9" s="163"/>
      <c r="AG9" s="164"/>
      <c r="AH9" s="147" t="s">
        <v>40</v>
      </c>
      <c r="AI9" s="147">
        <v>23</v>
      </c>
    </row>
    <row r="10" spans="1:36" ht="14.45" customHeight="1" x14ac:dyDescent="0.25">
      <c r="A10" s="32">
        <f t="shared" si="3"/>
        <v>0</v>
      </c>
      <c r="B10" s="33" t="str">
        <f t="shared" si="0"/>
        <v/>
      </c>
      <c r="C10" s="34"/>
      <c r="D10" s="34"/>
      <c r="E10" s="34"/>
      <c r="F10" s="34"/>
      <c r="G10" s="27"/>
      <c r="H10" s="156">
        <v>5</v>
      </c>
      <c r="I10" s="157" t="str">
        <f t="shared" si="4"/>
        <v/>
      </c>
      <c r="J10" s="156" t="e">
        <f t="shared" si="5"/>
        <v>#NUM!</v>
      </c>
      <c r="K10" s="156" t="e">
        <f t="shared" si="1"/>
        <v>#NUM!</v>
      </c>
      <c r="L10" s="156"/>
      <c r="M10" s="158">
        <f t="shared" si="2"/>
        <v>0</v>
      </c>
      <c r="V10" s="162"/>
      <c r="Z10" s="163"/>
      <c r="AA10" s="163"/>
      <c r="AG10" s="164"/>
      <c r="AH10" s="147" t="s">
        <v>41</v>
      </c>
      <c r="AI10" s="147">
        <v>45</v>
      </c>
    </row>
    <row r="11" spans="1:36" ht="14.45" customHeight="1" x14ac:dyDescent="0.25">
      <c r="A11" s="38">
        <f t="shared" si="3"/>
        <v>0</v>
      </c>
      <c r="B11" s="39" t="str">
        <f t="shared" si="0"/>
        <v/>
      </c>
      <c r="C11" s="40"/>
      <c r="D11" s="40"/>
      <c r="E11" s="40"/>
      <c r="F11" s="40"/>
      <c r="G11" s="27"/>
      <c r="H11" s="159">
        <v>6</v>
      </c>
      <c r="I11" s="160" t="str">
        <f t="shared" si="4"/>
        <v/>
      </c>
      <c r="J11" s="159" t="e">
        <f t="shared" si="5"/>
        <v>#NUM!</v>
      </c>
      <c r="K11" s="159" t="e">
        <f t="shared" si="1"/>
        <v>#NUM!</v>
      </c>
      <c r="L11" s="159"/>
      <c r="M11" s="161">
        <f t="shared" si="2"/>
        <v>0</v>
      </c>
      <c r="V11" s="165"/>
      <c r="Z11" s="163"/>
      <c r="AA11" s="163"/>
      <c r="AG11" s="164"/>
      <c r="AH11" s="147" t="s">
        <v>42</v>
      </c>
      <c r="AI11" s="147">
        <v>50</v>
      </c>
    </row>
    <row r="12" spans="1:36" ht="14.45" customHeight="1" x14ac:dyDescent="0.25">
      <c r="A12" s="32">
        <f t="shared" si="3"/>
        <v>0</v>
      </c>
      <c r="B12" s="33" t="str">
        <f t="shared" si="0"/>
        <v/>
      </c>
      <c r="C12" s="34"/>
      <c r="D12" s="34"/>
      <c r="E12" s="34"/>
      <c r="F12" s="34"/>
      <c r="G12" s="27"/>
      <c r="H12" s="156">
        <v>7</v>
      </c>
      <c r="I12" s="157" t="str">
        <f t="shared" si="4"/>
        <v/>
      </c>
      <c r="J12" s="156" t="e">
        <f t="shared" si="5"/>
        <v>#NUM!</v>
      </c>
      <c r="K12" s="156" t="e">
        <f t="shared" si="1"/>
        <v>#NUM!</v>
      </c>
      <c r="L12" s="156"/>
      <c r="M12" s="158">
        <f t="shared" si="2"/>
        <v>0</v>
      </c>
      <c r="Z12" s="163"/>
      <c r="AA12" s="163"/>
      <c r="AG12" s="164"/>
      <c r="AH12" s="147" t="s">
        <v>43</v>
      </c>
      <c r="AI12" s="147">
        <f>AI11-1</f>
        <v>49</v>
      </c>
    </row>
    <row r="13" spans="1:36" ht="14.45" customHeight="1" x14ac:dyDescent="0.25">
      <c r="A13" s="48">
        <f t="shared" si="3"/>
        <v>0</v>
      </c>
      <c r="B13" s="39" t="str">
        <f t="shared" si="0"/>
        <v/>
      </c>
      <c r="C13" s="40"/>
      <c r="D13" s="40"/>
      <c r="E13" s="40"/>
      <c r="F13" s="40"/>
      <c r="G13" s="27"/>
      <c r="H13" s="159">
        <v>8</v>
      </c>
      <c r="I13" s="160" t="str">
        <f t="shared" si="4"/>
        <v/>
      </c>
      <c r="J13" s="159" t="e">
        <f t="shared" si="5"/>
        <v>#NUM!</v>
      </c>
      <c r="K13" s="159" t="e">
        <f t="shared" si="1"/>
        <v>#NUM!</v>
      </c>
      <c r="L13" s="159"/>
      <c r="M13" s="161">
        <f t="shared" si="2"/>
        <v>0</v>
      </c>
      <c r="X13" s="162"/>
      <c r="AG13" s="164"/>
      <c r="AH13" s="147" t="s">
        <v>44</v>
      </c>
      <c r="AI13" s="147">
        <f>LOG(AI9)</f>
        <v>1.3617278360175928</v>
      </c>
    </row>
    <row r="14" spans="1:36" x14ac:dyDescent="0.25">
      <c r="A14" s="49">
        <f t="shared" si="3"/>
        <v>0</v>
      </c>
      <c r="B14" s="33" t="str">
        <f>IF(H14&gt;$H$2,"",(ROW()-5))</f>
        <v/>
      </c>
      <c r="C14" s="34"/>
      <c r="D14" s="34"/>
      <c r="E14" s="34"/>
      <c r="F14" s="34"/>
      <c r="G14" s="27"/>
      <c r="H14" s="156">
        <v>9</v>
      </c>
      <c r="I14" s="157" t="str">
        <f t="shared" si="4"/>
        <v/>
      </c>
      <c r="J14" s="156" t="e">
        <f t="shared" si="5"/>
        <v>#NUM!</v>
      </c>
      <c r="K14" s="156" t="e">
        <f t="shared" si="1"/>
        <v>#NUM!</v>
      </c>
      <c r="L14" s="156"/>
      <c r="M14" s="158">
        <f t="shared" si="2"/>
        <v>0</v>
      </c>
      <c r="X14" s="166"/>
      <c r="Z14" s="163"/>
      <c r="AA14" s="163"/>
      <c r="AG14" s="164"/>
      <c r="AH14" s="147" t="s">
        <v>45</v>
      </c>
      <c r="AI14" s="147">
        <f>LOG(AI10)</f>
        <v>1.6532125137753437</v>
      </c>
    </row>
    <row r="15" spans="1:36" x14ac:dyDescent="0.25">
      <c r="A15" s="48">
        <f t="shared" si="3"/>
        <v>0</v>
      </c>
      <c r="B15" s="39" t="str">
        <f t="shared" ref="B15:B65" si="6">IF(H15&gt;$H$2,"",(ROW()-5))</f>
        <v/>
      </c>
      <c r="C15" s="40"/>
      <c r="D15" s="40"/>
      <c r="E15" s="40"/>
      <c r="F15" s="40"/>
      <c r="G15" s="27"/>
      <c r="H15" s="159">
        <v>10</v>
      </c>
      <c r="I15" s="160" t="str">
        <f t="shared" si="4"/>
        <v/>
      </c>
      <c r="J15" s="159" t="e">
        <f t="shared" si="5"/>
        <v>#NUM!</v>
      </c>
      <c r="K15" s="159" t="e">
        <f t="shared" si="1"/>
        <v>#NUM!</v>
      </c>
      <c r="L15" s="159"/>
      <c r="M15" s="161">
        <f t="shared" si="2"/>
        <v>0</v>
      </c>
      <c r="X15" s="162"/>
      <c r="Z15" s="163"/>
      <c r="AA15" s="163"/>
    </row>
    <row r="16" spans="1:36" x14ac:dyDescent="0.25">
      <c r="A16" s="49">
        <f t="shared" si="3"/>
        <v>0</v>
      </c>
      <c r="B16" s="33" t="str">
        <f t="shared" si="6"/>
        <v/>
      </c>
      <c r="C16" s="34"/>
      <c r="D16" s="34"/>
      <c r="E16" s="34"/>
      <c r="F16" s="34"/>
      <c r="G16" s="27"/>
      <c r="H16" s="156">
        <v>11</v>
      </c>
      <c r="I16" s="157" t="str">
        <f t="shared" si="4"/>
        <v/>
      </c>
      <c r="J16" s="156" t="e">
        <f t="shared" si="5"/>
        <v>#NUM!</v>
      </c>
      <c r="K16" s="156" t="e">
        <f t="shared" si="1"/>
        <v>#NUM!</v>
      </c>
      <c r="L16" s="156"/>
      <c r="M16" s="158">
        <f t="shared" si="2"/>
        <v>0</v>
      </c>
      <c r="R16" s="167"/>
      <c r="Z16" s="163"/>
      <c r="AA16" s="163"/>
      <c r="AH16" s="168" t="s">
        <v>46</v>
      </c>
      <c r="AI16" s="147">
        <f>AI11-AI12*AI13/AI14</f>
        <v>9.6393909380186855</v>
      </c>
      <c r="AJ16" s="147" t="s">
        <v>47</v>
      </c>
    </row>
    <row r="17" spans="1:19" x14ac:dyDescent="0.25">
      <c r="A17" s="48">
        <f t="shared" si="3"/>
        <v>0</v>
      </c>
      <c r="B17" s="39" t="str">
        <f t="shared" si="6"/>
        <v/>
      </c>
      <c r="C17" s="40"/>
      <c r="D17" s="40"/>
      <c r="E17" s="40"/>
      <c r="F17" s="40"/>
      <c r="G17" s="27"/>
      <c r="H17" s="159">
        <v>12</v>
      </c>
      <c r="I17" s="160" t="str">
        <f t="shared" si="4"/>
        <v/>
      </c>
      <c r="J17" s="159" t="e">
        <f t="shared" si="5"/>
        <v>#NUM!</v>
      </c>
      <c r="K17" s="159" t="e">
        <f t="shared" si="1"/>
        <v>#NUM!</v>
      </c>
      <c r="L17" s="159"/>
      <c r="M17" s="161">
        <f t="shared" si="2"/>
        <v>0</v>
      </c>
    </row>
    <row r="18" spans="1:19" x14ac:dyDescent="0.25">
      <c r="A18" s="49">
        <f t="shared" si="3"/>
        <v>0</v>
      </c>
      <c r="B18" s="33" t="str">
        <f t="shared" si="6"/>
        <v/>
      </c>
      <c r="C18" s="34"/>
      <c r="D18" s="34"/>
      <c r="E18" s="34"/>
      <c r="F18" s="34"/>
      <c r="G18" s="27"/>
      <c r="H18" s="156">
        <v>13</v>
      </c>
      <c r="I18" s="157" t="str">
        <f t="shared" si="4"/>
        <v/>
      </c>
      <c r="J18" s="156" t="e">
        <f t="shared" si="5"/>
        <v>#NUM!</v>
      </c>
      <c r="K18" s="156" t="e">
        <f t="shared" si="1"/>
        <v>#NUM!</v>
      </c>
      <c r="L18" s="156"/>
      <c r="M18" s="158">
        <f t="shared" si="2"/>
        <v>0</v>
      </c>
    </row>
    <row r="19" spans="1:19" x14ac:dyDescent="0.25">
      <c r="A19" s="48">
        <f t="shared" si="3"/>
        <v>0</v>
      </c>
      <c r="B19" s="39" t="str">
        <f t="shared" si="6"/>
        <v/>
      </c>
      <c r="C19" s="40"/>
      <c r="D19" s="40"/>
      <c r="E19" s="40"/>
      <c r="F19" s="40"/>
      <c r="G19" s="27"/>
      <c r="H19" s="159">
        <v>14</v>
      </c>
      <c r="I19" s="160" t="str">
        <f t="shared" si="4"/>
        <v/>
      </c>
      <c r="J19" s="159" t="e">
        <f t="shared" si="5"/>
        <v>#NUM!</v>
      </c>
      <c r="K19" s="159" t="e">
        <f t="shared" si="1"/>
        <v>#NUM!</v>
      </c>
      <c r="L19" s="159"/>
      <c r="M19" s="161">
        <f t="shared" si="2"/>
        <v>0</v>
      </c>
    </row>
    <row r="20" spans="1:19" x14ac:dyDescent="0.25">
      <c r="A20" s="49">
        <f t="shared" si="3"/>
        <v>0</v>
      </c>
      <c r="B20" s="33" t="str">
        <f t="shared" si="6"/>
        <v/>
      </c>
      <c r="C20" s="34"/>
      <c r="D20" s="34"/>
      <c r="E20" s="34"/>
      <c r="F20" s="34"/>
      <c r="G20" s="27"/>
      <c r="H20" s="156">
        <v>15</v>
      </c>
      <c r="I20" s="157" t="str">
        <f t="shared" si="4"/>
        <v/>
      </c>
      <c r="J20" s="156" t="e">
        <f t="shared" si="5"/>
        <v>#NUM!</v>
      </c>
      <c r="K20" s="156" t="e">
        <f t="shared" si="1"/>
        <v>#NUM!</v>
      </c>
      <c r="L20" s="156"/>
      <c r="M20" s="158">
        <f t="shared" si="2"/>
        <v>0</v>
      </c>
      <c r="R20" s="169"/>
      <c r="S20" s="170"/>
    </row>
    <row r="21" spans="1:19" x14ac:dyDescent="0.25">
      <c r="A21" s="48">
        <f t="shared" si="3"/>
        <v>0</v>
      </c>
      <c r="B21" s="39" t="str">
        <f t="shared" si="6"/>
        <v/>
      </c>
      <c r="C21" s="40"/>
      <c r="D21" s="40"/>
      <c r="E21" s="40"/>
      <c r="F21" s="40"/>
      <c r="G21" s="27"/>
      <c r="H21" s="159">
        <v>16</v>
      </c>
      <c r="I21" s="160" t="str">
        <f t="shared" si="4"/>
        <v/>
      </c>
      <c r="J21" s="159" t="e">
        <f t="shared" si="5"/>
        <v>#NUM!</v>
      </c>
      <c r="K21" s="159" t="e">
        <f t="shared" si="1"/>
        <v>#NUM!</v>
      </c>
      <c r="L21" s="159"/>
      <c r="M21" s="161">
        <f t="shared" si="2"/>
        <v>0</v>
      </c>
    </row>
    <row r="22" spans="1:19" x14ac:dyDescent="0.25">
      <c r="A22" s="49">
        <f t="shared" si="3"/>
        <v>0</v>
      </c>
      <c r="B22" s="33" t="str">
        <f t="shared" si="6"/>
        <v/>
      </c>
      <c r="C22" s="34"/>
      <c r="D22" s="34"/>
      <c r="E22" s="34"/>
      <c r="F22" s="34"/>
      <c r="G22" s="27"/>
      <c r="H22" s="156">
        <v>17</v>
      </c>
      <c r="I22" s="157" t="str">
        <f t="shared" si="4"/>
        <v/>
      </c>
      <c r="J22" s="156" t="e">
        <f t="shared" si="5"/>
        <v>#NUM!</v>
      </c>
      <c r="K22" s="156" t="e">
        <f t="shared" si="1"/>
        <v>#NUM!</v>
      </c>
      <c r="L22" s="156"/>
      <c r="M22" s="158">
        <f t="shared" si="2"/>
        <v>0</v>
      </c>
    </row>
    <row r="23" spans="1:19" x14ac:dyDescent="0.25">
      <c r="A23" s="48">
        <f t="shared" si="3"/>
        <v>0</v>
      </c>
      <c r="B23" s="39" t="str">
        <f t="shared" si="6"/>
        <v/>
      </c>
      <c r="C23" s="40"/>
      <c r="D23" s="40"/>
      <c r="E23" s="40"/>
      <c r="F23" s="40"/>
      <c r="G23" s="27"/>
      <c r="H23" s="159">
        <v>18</v>
      </c>
      <c r="I23" s="160" t="str">
        <f t="shared" si="4"/>
        <v/>
      </c>
      <c r="J23" s="159" t="e">
        <f t="shared" si="5"/>
        <v>#NUM!</v>
      </c>
      <c r="K23" s="159" t="e">
        <f t="shared" si="1"/>
        <v>#NUM!</v>
      </c>
      <c r="L23" s="159"/>
      <c r="M23" s="161">
        <f t="shared" si="2"/>
        <v>0</v>
      </c>
    </row>
    <row r="24" spans="1:19" x14ac:dyDescent="0.25">
      <c r="A24" s="49">
        <f t="shared" si="3"/>
        <v>0</v>
      </c>
      <c r="B24" s="33" t="str">
        <f t="shared" si="6"/>
        <v/>
      </c>
      <c r="C24" s="34"/>
      <c r="D24" s="34"/>
      <c r="E24" s="34"/>
      <c r="F24" s="34"/>
      <c r="G24" s="27"/>
      <c r="H24" s="156">
        <v>19</v>
      </c>
      <c r="I24" s="157" t="str">
        <f t="shared" si="4"/>
        <v/>
      </c>
      <c r="J24" s="156" t="e">
        <f t="shared" si="5"/>
        <v>#NUM!</v>
      </c>
      <c r="K24" s="156" t="e">
        <f t="shared" si="1"/>
        <v>#NUM!</v>
      </c>
      <c r="L24" s="156"/>
      <c r="M24" s="158">
        <f t="shared" si="2"/>
        <v>0</v>
      </c>
      <c r="R24" s="169"/>
      <c r="S24" s="170"/>
    </row>
    <row r="25" spans="1:19" x14ac:dyDescent="0.25">
      <c r="A25" s="48">
        <f t="shared" si="3"/>
        <v>0</v>
      </c>
      <c r="B25" s="39" t="str">
        <f t="shared" si="6"/>
        <v/>
      </c>
      <c r="C25" s="40"/>
      <c r="D25" s="40"/>
      <c r="E25" s="40"/>
      <c r="F25" s="40"/>
      <c r="G25" s="27"/>
      <c r="H25" s="159">
        <v>20</v>
      </c>
      <c r="I25" s="160" t="str">
        <f t="shared" si="4"/>
        <v/>
      </c>
      <c r="J25" s="159" t="e">
        <f t="shared" si="5"/>
        <v>#NUM!</v>
      </c>
      <c r="K25" s="159" t="e">
        <f t="shared" si="1"/>
        <v>#NUM!</v>
      </c>
      <c r="L25" s="159"/>
      <c r="M25" s="161">
        <f t="shared" si="2"/>
        <v>0</v>
      </c>
    </row>
    <row r="26" spans="1:19" x14ac:dyDescent="0.25">
      <c r="A26" s="49">
        <f t="shared" si="3"/>
        <v>0</v>
      </c>
      <c r="B26" s="33" t="str">
        <f t="shared" si="6"/>
        <v/>
      </c>
      <c r="C26" s="34"/>
      <c r="D26" s="34"/>
      <c r="E26" s="34"/>
      <c r="F26" s="34"/>
      <c r="G26" s="27"/>
      <c r="H26" s="156">
        <v>21</v>
      </c>
      <c r="I26" s="157" t="str">
        <f t="shared" si="4"/>
        <v/>
      </c>
      <c r="J26" s="156" t="e">
        <f t="shared" si="5"/>
        <v>#NUM!</v>
      </c>
      <c r="K26" s="156" t="e">
        <f t="shared" si="1"/>
        <v>#NUM!</v>
      </c>
      <c r="L26" s="156"/>
      <c r="M26" s="158">
        <f t="shared" si="2"/>
        <v>0</v>
      </c>
    </row>
    <row r="27" spans="1:19" x14ac:dyDescent="0.25">
      <c r="A27" s="48">
        <f t="shared" si="3"/>
        <v>0</v>
      </c>
      <c r="B27" s="39" t="str">
        <f t="shared" si="6"/>
        <v/>
      </c>
      <c r="C27" s="40"/>
      <c r="D27" s="40"/>
      <c r="E27" s="40"/>
      <c r="F27" s="40"/>
      <c r="G27" s="27"/>
      <c r="H27" s="159">
        <v>22</v>
      </c>
      <c r="I27" s="160" t="str">
        <f t="shared" si="4"/>
        <v/>
      </c>
      <c r="J27" s="159" t="e">
        <f t="shared" si="5"/>
        <v>#NUM!</v>
      </c>
      <c r="K27" s="159" t="e">
        <f t="shared" si="1"/>
        <v>#NUM!</v>
      </c>
      <c r="L27" s="159"/>
      <c r="M27" s="161">
        <f t="shared" si="2"/>
        <v>0</v>
      </c>
    </row>
    <row r="28" spans="1:19" x14ac:dyDescent="0.25">
      <c r="A28" s="49">
        <f t="shared" si="3"/>
        <v>0</v>
      </c>
      <c r="B28" s="33" t="str">
        <f t="shared" si="6"/>
        <v/>
      </c>
      <c r="C28" s="34"/>
      <c r="D28" s="34"/>
      <c r="E28" s="34"/>
      <c r="F28" s="34"/>
      <c r="G28" s="27"/>
      <c r="H28" s="156">
        <v>23</v>
      </c>
      <c r="I28" s="157" t="str">
        <f t="shared" si="4"/>
        <v/>
      </c>
      <c r="J28" s="156" t="e">
        <f t="shared" si="5"/>
        <v>#NUM!</v>
      </c>
      <c r="K28" s="156" t="e">
        <f t="shared" si="1"/>
        <v>#NUM!</v>
      </c>
      <c r="L28" s="156"/>
      <c r="M28" s="158">
        <f t="shared" si="2"/>
        <v>0</v>
      </c>
      <c r="R28" s="169"/>
      <c r="S28" s="170"/>
    </row>
    <row r="29" spans="1:19" x14ac:dyDescent="0.25">
      <c r="A29" s="48">
        <f t="shared" si="3"/>
        <v>0</v>
      </c>
      <c r="B29" s="39" t="str">
        <f t="shared" si="6"/>
        <v/>
      </c>
      <c r="C29" s="40"/>
      <c r="D29" s="40"/>
      <c r="E29" s="40"/>
      <c r="F29" s="40"/>
      <c r="G29" s="142"/>
      <c r="H29" s="159">
        <v>24</v>
      </c>
      <c r="I29" s="160" t="str">
        <f t="shared" si="4"/>
        <v/>
      </c>
      <c r="J29" s="159" t="e">
        <f t="shared" si="5"/>
        <v>#NUM!</v>
      </c>
      <c r="K29" s="159" t="e">
        <f t="shared" si="1"/>
        <v>#NUM!</v>
      </c>
      <c r="L29" s="159"/>
      <c r="M29" s="161">
        <f t="shared" si="2"/>
        <v>0</v>
      </c>
    </row>
    <row r="30" spans="1:19" x14ac:dyDescent="0.25">
      <c r="A30" s="49">
        <f t="shared" si="3"/>
        <v>0</v>
      </c>
      <c r="B30" s="33" t="str">
        <f t="shared" si="6"/>
        <v/>
      </c>
      <c r="C30" s="34"/>
      <c r="D30" s="34"/>
      <c r="E30" s="34"/>
      <c r="F30" s="34"/>
      <c r="G30" s="142"/>
      <c r="H30" s="156">
        <v>25</v>
      </c>
      <c r="I30" s="157" t="str">
        <f t="shared" si="4"/>
        <v/>
      </c>
      <c r="J30" s="156" t="e">
        <f t="shared" si="5"/>
        <v>#NUM!</v>
      </c>
      <c r="K30" s="156" t="e">
        <f t="shared" si="1"/>
        <v>#NUM!</v>
      </c>
      <c r="L30" s="156"/>
      <c r="M30" s="158">
        <f t="shared" si="2"/>
        <v>0</v>
      </c>
    </row>
    <row r="31" spans="1:19" x14ac:dyDescent="0.25">
      <c r="A31" s="48">
        <f t="shared" si="3"/>
        <v>0</v>
      </c>
      <c r="B31" s="39" t="str">
        <f t="shared" si="6"/>
        <v/>
      </c>
      <c r="C31" s="40"/>
      <c r="D31" s="40"/>
      <c r="E31" s="40"/>
      <c r="F31" s="40"/>
      <c r="G31" s="142"/>
      <c r="H31" s="159">
        <v>26</v>
      </c>
      <c r="I31" s="160" t="str">
        <f t="shared" si="4"/>
        <v/>
      </c>
      <c r="J31" s="159" t="e">
        <f t="shared" si="5"/>
        <v>#NUM!</v>
      </c>
      <c r="K31" s="159" t="e">
        <f t="shared" si="1"/>
        <v>#NUM!</v>
      </c>
      <c r="L31" s="159"/>
      <c r="M31" s="161">
        <f t="shared" si="2"/>
        <v>0</v>
      </c>
    </row>
    <row r="32" spans="1:19" x14ac:dyDescent="0.25">
      <c r="A32" s="49">
        <f t="shared" si="3"/>
        <v>0</v>
      </c>
      <c r="B32" s="33" t="str">
        <f t="shared" si="6"/>
        <v/>
      </c>
      <c r="C32" s="34"/>
      <c r="D32" s="34"/>
      <c r="E32" s="34"/>
      <c r="F32" s="34"/>
      <c r="G32" s="142"/>
      <c r="H32" s="156">
        <v>27</v>
      </c>
      <c r="I32" s="157" t="str">
        <f t="shared" si="4"/>
        <v/>
      </c>
      <c r="J32" s="156" t="e">
        <f t="shared" si="5"/>
        <v>#NUM!</v>
      </c>
      <c r="K32" s="156" t="e">
        <f t="shared" si="1"/>
        <v>#NUM!</v>
      </c>
      <c r="L32" s="156"/>
      <c r="M32" s="158">
        <f t="shared" si="2"/>
        <v>0</v>
      </c>
      <c r="R32" s="169"/>
      <c r="S32" s="170"/>
    </row>
    <row r="33" spans="1:21" x14ac:dyDescent="0.25">
      <c r="A33" s="48">
        <f t="shared" si="3"/>
        <v>0</v>
      </c>
      <c r="B33" s="39" t="str">
        <f t="shared" si="6"/>
        <v/>
      </c>
      <c r="C33" s="40"/>
      <c r="D33" s="40"/>
      <c r="E33" s="40"/>
      <c r="F33" s="40"/>
      <c r="G33" s="142"/>
      <c r="H33" s="159">
        <v>28</v>
      </c>
      <c r="I33" s="160" t="str">
        <f t="shared" si="4"/>
        <v/>
      </c>
      <c r="J33" s="159" t="e">
        <f t="shared" si="5"/>
        <v>#NUM!</v>
      </c>
      <c r="K33" s="159" t="e">
        <f t="shared" si="1"/>
        <v>#NUM!</v>
      </c>
      <c r="L33" s="159"/>
      <c r="M33" s="161">
        <f t="shared" si="2"/>
        <v>0</v>
      </c>
    </row>
    <row r="34" spans="1:21" x14ac:dyDescent="0.25">
      <c r="A34" s="49">
        <f t="shared" si="3"/>
        <v>0</v>
      </c>
      <c r="B34" s="33" t="str">
        <f t="shared" si="6"/>
        <v/>
      </c>
      <c r="C34" s="34"/>
      <c r="D34" s="34"/>
      <c r="E34" s="34"/>
      <c r="F34" s="34"/>
      <c r="G34" s="142"/>
      <c r="H34" s="156">
        <v>29</v>
      </c>
      <c r="I34" s="157" t="str">
        <f t="shared" si="4"/>
        <v/>
      </c>
      <c r="J34" s="156" t="e">
        <f t="shared" si="5"/>
        <v>#NUM!</v>
      </c>
      <c r="K34" s="156" t="e">
        <f t="shared" si="1"/>
        <v>#NUM!</v>
      </c>
      <c r="L34" s="156"/>
      <c r="M34" s="158">
        <f t="shared" si="2"/>
        <v>0</v>
      </c>
    </row>
    <row r="35" spans="1:21" x14ac:dyDescent="0.25">
      <c r="A35" s="48">
        <f t="shared" si="3"/>
        <v>0</v>
      </c>
      <c r="B35" s="39" t="str">
        <f t="shared" si="6"/>
        <v/>
      </c>
      <c r="C35" s="40"/>
      <c r="D35" s="40"/>
      <c r="E35" s="40"/>
      <c r="F35" s="40"/>
      <c r="G35" s="142"/>
      <c r="H35" s="159">
        <v>30</v>
      </c>
      <c r="I35" s="160" t="str">
        <f t="shared" si="4"/>
        <v/>
      </c>
      <c r="J35" s="159" t="e">
        <f t="shared" si="5"/>
        <v>#NUM!</v>
      </c>
      <c r="K35" s="159" t="e">
        <f t="shared" si="1"/>
        <v>#NUM!</v>
      </c>
      <c r="L35" s="159"/>
      <c r="M35" s="161">
        <f t="shared" si="2"/>
        <v>0</v>
      </c>
    </row>
    <row r="36" spans="1:21" x14ac:dyDescent="0.25">
      <c r="A36" s="49">
        <f t="shared" si="3"/>
        <v>0</v>
      </c>
      <c r="B36" s="33" t="str">
        <f t="shared" si="6"/>
        <v/>
      </c>
      <c r="C36" s="34"/>
      <c r="D36" s="34"/>
      <c r="E36" s="34"/>
      <c r="F36" s="34"/>
      <c r="G36" s="142"/>
      <c r="H36" s="156">
        <v>31</v>
      </c>
      <c r="I36" s="157" t="str">
        <f t="shared" si="4"/>
        <v/>
      </c>
      <c r="J36" s="156" t="e">
        <f t="shared" si="5"/>
        <v>#NUM!</v>
      </c>
      <c r="K36" s="156" t="e">
        <f t="shared" si="1"/>
        <v>#NUM!</v>
      </c>
      <c r="L36" s="156"/>
      <c r="M36" s="158">
        <f t="shared" si="2"/>
        <v>0</v>
      </c>
      <c r="R36" s="169"/>
      <c r="S36" s="170"/>
    </row>
    <row r="37" spans="1:21" x14ac:dyDescent="0.25">
      <c r="A37" s="48">
        <f t="shared" si="3"/>
        <v>0</v>
      </c>
      <c r="B37" s="39" t="str">
        <f t="shared" si="6"/>
        <v/>
      </c>
      <c r="C37" s="40"/>
      <c r="D37" s="40"/>
      <c r="E37" s="40"/>
      <c r="F37" s="40"/>
      <c r="G37" s="142"/>
      <c r="H37" s="159">
        <v>32</v>
      </c>
      <c r="I37" s="160" t="str">
        <f t="shared" si="4"/>
        <v/>
      </c>
      <c r="J37" s="159" t="e">
        <f t="shared" si="5"/>
        <v>#NUM!</v>
      </c>
      <c r="K37" s="159" t="e">
        <f t="shared" si="1"/>
        <v>#NUM!</v>
      </c>
      <c r="L37" s="159"/>
      <c r="M37" s="161">
        <f t="shared" si="2"/>
        <v>0</v>
      </c>
    </row>
    <row r="38" spans="1:21" x14ac:dyDescent="0.25">
      <c r="A38" s="49"/>
      <c r="B38" s="33" t="str">
        <f t="shared" si="6"/>
        <v/>
      </c>
      <c r="C38" s="34"/>
      <c r="D38" s="34"/>
      <c r="E38" s="34"/>
      <c r="F38" s="34"/>
      <c r="G38" s="142"/>
      <c r="H38" s="156">
        <v>33</v>
      </c>
      <c r="I38" s="157" t="str">
        <f t="shared" si="4"/>
        <v/>
      </c>
      <c r="J38" s="156" t="e">
        <f t="shared" si="5"/>
        <v>#NUM!</v>
      </c>
      <c r="K38" s="156" t="e">
        <f t="shared" si="1"/>
        <v>#NUM!</v>
      </c>
      <c r="L38" s="156"/>
      <c r="M38" s="158">
        <f t="shared" si="2"/>
        <v>0</v>
      </c>
    </row>
    <row r="39" spans="1:21" x14ac:dyDescent="0.25">
      <c r="A39" s="48"/>
      <c r="B39" s="39" t="str">
        <f t="shared" si="6"/>
        <v/>
      </c>
      <c r="C39" s="40"/>
      <c r="D39" s="40"/>
      <c r="E39" s="40"/>
      <c r="F39" s="40"/>
      <c r="G39" s="142"/>
      <c r="H39" s="159">
        <v>34</v>
      </c>
      <c r="I39" s="160" t="str">
        <f t="shared" si="4"/>
        <v/>
      </c>
      <c r="J39" s="159" t="e">
        <f t="shared" si="5"/>
        <v>#NUM!</v>
      </c>
      <c r="K39" s="159" t="e">
        <f t="shared" si="1"/>
        <v>#NUM!</v>
      </c>
      <c r="L39" s="159"/>
      <c r="M39" s="161">
        <f t="shared" si="2"/>
        <v>0</v>
      </c>
    </row>
    <row r="40" spans="1:21" x14ac:dyDescent="0.25">
      <c r="A40" s="49"/>
      <c r="B40" s="33" t="str">
        <f t="shared" si="6"/>
        <v/>
      </c>
      <c r="C40" s="34"/>
      <c r="D40" s="34"/>
      <c r="E40" s="34"/>
      <c r="F40" s="34"/>
      <c r="G40" s="142"/>
      <c r="H40" s="156">
        <v>35</v>
      </c>
      <c r="I40" s="157" t="str">
        <f t="shared" si="4"/>
        <v/>
      </c>
      <c r="J40" s="156" t="e">
        <f t="shared" si="5"/>
        <v>#NUM!</v>
      </c>
      <c r="K40" s="156" t="e">
        <f t="shared" si="1"/>
        <v>#NUM!</v>
      </c>
      <c r="L40" s="156"/>
      <c r="M40" s="158">
        <f t="shared" si="2"/>
        <v>0</v>
      </c>
    </row>
    <row r="41" spans="1:21" x14ac:dyDescent="0.25">
      <c r="A41" s="48"/>
      <c r="B41" s="39" t="str">
        <f t="shared" si="6"/>
        <v/>
      </c>
      <c r="C41" s="40"/>
      <c r="D41" s="40"/>
      <c r="E41" s="40"/>
      <c r="F41" s="40"/>
      <c r="G41" s="142"/>
      <c r="H41" s="159">
        <v>36</v>
      </c>
      <c r="I41" s="160" t="str">
        <f t="shared" si="4"/>
        <v/>
      </c>
      <c r="J41" s="159" t="e">
        <f t="shared" si="5"/>
        <v>#NUM!</v>
      </c>
      <c r="K41" s="159" t="e">
        <f t="shared" si="1"/>
        <v>#NUM!</v>
      </c>
      <c r="L41" s="159"/>
      <c r="M41" s="161">
        <f t="shared" si="2"/>
        <v>0</v>
      </c>
      <c r="S41" s="171"/>
    </row>
    <row r="42" spans="1:21" x14ac:dyDescent="0.25">
      <c r="A42" s="49"/>
      <c r="B42" s="33" t="str">
        <f t="shared" si="6"/>
        <v/>
      </c>
      <c r="C42" s="34"/>
      <c r="D42" s="34"/>
      <c r="E42" s="34"/>
      <c r="F42" s="34"/>
      <c r="G42" s="142"/>
      <c r="H42" s="156">
        <v>37</v>
      </c>
      <c r="I42" s="157" t="str">
        <f t="shared" si="4"/>
        <v/>
      </c>
      <c r="J42" s="156" t="e">
        <f t="shared" si="5"/>
        <v>#NUM!</v>
      </c>
      <c r="K42" s="156" t="e">
        <f t="shared" si="1"/>
        <v>#NUM!</v>
      </c>
      <c r="L42" s="156"/>
      <c r="M42" s="158">
        <f t="shared" si="2"/>
        <v>0</v>
      </c>
    </row>
    <row r="43" spans="1:21" x14ac:dyDescent="0.25">
      <c r="A43" s="48"/>
      <c r="B43" s="39" t="str">
        <f t="shared" si="6"/>
        <v/>
      </c>
      <c r="C43" s="40"/>
      <c r="D43" s="40"/>
      <c r="E43" s="40"/>
      <c r="F43" s="40"/>
      <c r="G43" s="142"/>
      <c r="H43" s="159">
        <v>38</v>
      </c>
      <c r="I43" s="160" t="str">
        <f t="shared" si="4"/>
        <v/>
      </c>
      <c r="J43" s="159" t="e">
        <f t="shared" si="5"/>
        <v>#NUM!</v>
      </c>
      <c r="K43" s="159" t="e">
        <f t="shared" si="1"/>
        <v>#NUM!</v>
      </c>
      <c r="L43" s="159"/>
      <c r="M43" s="161">
        <f t="shared" si="2"/>
        <v>0</v>
      </c>
    </row>
    <row r="44" spans="1:21" x14ac:dyDescent="0.25">
      <c r="A44" s="49"/>
      <c r="B44" s="33" t="str">
        <f t="shared" si="6"/>
        <v/>
      </c>
      <c r="C44" s="34"/>
      <c r="D44" s="34"/>
      <c r="E44" s="34"/>
      <c r="F44" s="34"/>
      <c r="G44" s="142"/>
      <c r="H44" s="156">
        <v>39</v>
      </c>
      <c r="I44" s="157" t="str">
        <f t="shared" si="4"/>
        <v/>
      </c>
      <c r="J44" s="156" t="e">
        <f t="shared" si="5"/>
        <v>#NUM!</v>
      </c>
      <c r="K44" s="156" t="e">
        <f t="shared" si="1"/>
        <v>#NUM!</v>
      </c>
      <c r="L44" s="156"/>
      <c r="M44" s="158">
        <f t="shared" si="2"/>
        <v>0</v>
      </c>
    </row>
    <row r="45" spans="1:21" x14ac:dyDescent="0.25">
      <c r="A45" s="48"/>
      <c r="B45" s="39" t="str">
        <f t="shared" si="6"/>
        <v/>
      </c>
      <c r="C45" s="40"/>
      <c r="D45" s="40"/>
      <c r="E45" s="40"/>
      <c r="F45" s="40"/>
      <c r="G45" s="142"/>
      <c r="H45" s="159">
        <v>40</v>
      </c>
      <c r="I45" s="160" t="str">
        <f t="shared" si="4"/>
        <v/>
      </c>
      <c r="J45" s="159" t="e">
        <f t="shared" si="5"/>
        <v>#NUM!</v>
      </c>
      <c r="K45" s="159" t="e">
        <f t="shared" si="1"/>
        <v>#NUM!</v>
      </c>
      <c r="L45" s="159"/>
      <c r="M45" s="161">
        <f t="shared" si="2"/>
        <v>0</v>
      </c>
    </row>
    <row r="46" spans="1:21" x14ac:dyDescent="0.25">
      <c r="A46" s="49"/>
      <c r="B46" s="33" t="str">
        <f t="shared" si="6"/>
        <v/>
      </c>
      <c r="C46" s="34"/>
      <c r="D46" s="34"/>
      <c r="E46" s="34"/>
      <c r="F46" s="34"/>
      <c r="G46" s="142"/>
      <c r="H46" s="156">
        <v>41</v>
      </c>
      <c r="I46" s="157" t="str">
        <f t="shared" si="4"/>
        <v/>
      </c>
      <c r="J46" s="156" t="e">
        <f t="shared" si="5"/>
        <v>#NUM!</v>
      </c>
      <c r="K46" s="156" t="e">
        <f t="shared" si="1"/>
        <v>#NUM!</v>
      </c>
      <c r="L46" s="156"/>
      <c r="M46" s="158">
        <f t="shared" si="2"/>
        <v>0</v>
      </c>
      <c r="R46" s="142" t="e">
        <f>LOG($H$2,2)</f>
        <v>#NUM!</v>
      </c>
      <c r="T46" s="147">
        <f>LOG(H38,2)</f>
        <v>5.0443941193584534</v>
      </c>
      <c r="U46" s="147" t="e">
        <f>R46-T46</f>
        <v>#NUM!</v>
      </c>
    </row>
    <row r="47" spans="1:21" x14ac:dyDescent="0.25">
      <c r="A47" s="48"/>
      <c r="B47" s="39" t="str">
        <f t="shared" si="6"/>
        <v/>
      </c>
      <c r="C47" s="40"/>
      <c r="D47" s="40"/>
      <c r="E47" s="40"/>
      <c r="F47" s="40"/>
      <c r="G47" s="142"/>
      <c r="H47" s="159">
        <v>42</v>
      </c>
      <c r="I47" s="160" t="str">
        <f t="shared" si="4"/>
        <v/>
      </c>
      <c r="J47" s="159" t="e">
        <f t="shared" si="5"/>
        <v>#NUM!</v>
      </c>
      <c r="K47" s="159" t="e">
        <f t="shared" si="1"/>
        <v>#NUM!</v>
      </c>
      <c r="L47" s="159"/>
      <c r="M47" s="161">
        <f t="shared" si="2"/>
        <v>0</v>
      </c>
    </row>
    <row r="48" spans="1:21" x14ac:dyDescent="0.25">
      <c r="A48" s="49"/>
      <c r="B48" s="33" t="str">
        <f t="shared" si="6"/>
        <v/>
      </c>
      <c r="C48" s="34"/>
      <c r="D48" s="34"/>
      <c r="E48" s="34"/>
      <c r="F48" s="34"/>
      <c r="G48" s="142"/>
      <c r="H48" s="156">
        <v>43</v>
      </c>
      <c r="I48" s="157" t="str">
        <f t="shared" si="4"/>
        <v/>
      </c>
      <c r="J48" s="156" t="e">
        <f t="shared" si="5"/>
        <v>#NUM!</v>
      </c>
      <c r="K48" s="156" t="e">
        <f t="shared" si="1"/>
        <v>#NUM!</v>
      </c>
      <c r="L48" s="156"/>
      <c r="M48" s="158">
        <f t="shared" si="2"/>
        <v>0</v>
      </c>
    </row>
    <row r="49" spans="1:13" x14ac:dyDescent="0.25">
      <c r="A49" s="48"/>
      <c r="B49" s="39" t="str">
        <f t="shared" si="6"/>
        <v/>
      </c>
      <c r="C49" s="40"/>
      <c r="D49" s="40"/>
      <c r="E49" s="40"/>
      <c r="F49" s="40"/>
      <c r="G49" s="142"/>
      <c r="H49" s="159">
        <v>44</v>
      </c>
      <c r="I49" s="160" t="str">
        <f t="shared" si="4"/>
        <v/>
      </c>
      <c r="J49" s="159" t="e">
        <f t="shared" si="5"/>
        <v>#NUM!</v>
      </c>
      <c r="K49" s="159" t="e">
        <f t="shared" si="1"/>
        <v>#NUM!</v>
      </c>
      <c r="L49" s="159"/>
      <c r="M49" s="161">
        <f t="shared" si="2"/>
        <v>0</v>
      </c>
    </row>
    <row r="50" spans="1:13" x14ac:dyDescent="0.25">
      <c r="A50" s="49"/>
      <c r="B50" s="33" t="str">
        <f t="shared" si="6"/>
        <v/>
      </c>
      <c r="C50" s="34"/>
      <c r="D50" s="34"/>
      <c r="E50" s="34"/>
      <c r="F50" s="34"/>
      <c r="G50" s="142"/>
      <c r="H50" s="156">
        <v>45</v>
      </c>
      <c r="I50" s="157" t="str">
        <f t="shared" si="4"/>
        <v/>
      </c>
      <c r="J50" s="156" t="e">
        <f t="shared" si="5"/>
        <v>#NUM!</v>
      </c>
      <c r="K50" s="156" t="e">
        <f t="shared" si="1"/>
        <v>#NUM!</v>
      </c>
      <c r="L50" s="156"/>
      <c r="M50" s="158">
        <f t="shared" si="2"/>
        <v>0</v>
      </c>
    </row>
    <row r="51" spans="1:13" x14ac:dyDescent="0.25">
      <c r="A51" s="48"/>
      <c r="B51" s="39" t="str">
        <f t="shared" si="6"/>
        <v/>
      </c>
      <c r="C51" s="40"/>
      <c r="D51" s="40"/>
      <c r="E51" s="40"/>
      <c r="F51" s="40"/>
      <c r="G51" s="142"/>
      <c r="H51" s="159">
        <v>46</v>
      </c>
      <c r="I51" s="160" t="str">
        <f t="shared" si="4"/>
        <v/>
      </c>
      <c r="J51" s="159" t="e">
        <f t="shared" si="5"/>
        <v>#NUM!</v>
      </c>
      <c r="K51" s="159" t="e">
        <f t="shared" si="1"/>
        <v>#NUM!</v>
      </c>
      <c r="L51" s="159"/>
      <c r="M51" s="161">
        <f t="shared" si="2"/>
        <v>0</v>
      </c>
    </row>
    <row r="52" spans="1:13" x14ac:dyDescent="0.25">
      <c r="A52" s="49"/>
      <c r="B52" s="33" t="str">
        <f t="shared" si="6"/>
        <v/>
      </c>
      <c r="C52" s="34"/>
      <c r="D52" s="34"/>
      <c r="E52" s="34"/>
      <c r="F52" s="34"/>
      <c r="G52" s="142"/>
      <c r="H52" s="156">
        <v>47</v>
      </c>
      <c r="I52" s="157" t="str">
        <f t="shared" si="4"/>
        <v/>
      </c>
      <c r="J52" s="156" t="e">
        <f t="shared" si="5"/>
        <v>#NUM!</v>
      </c>
      <c r="K52" s="156" t="e">
        <f t="shared" si="1"/>
        <v>#NUM!</v>
      </c>
      <c r="L52" s="156"/>
      <c r="M52" s="158">
        <f t="shared" si="2"/>
        <v>0</v>
      </c>
    </row>
    <row r="53" spans="1:13" x14ac:dyDescent="0.25">
      <c r="A53" s="48"/>
      <c r="B53" s="39" t="str">
        <f t="shared" si="6"/>
        <v/>
      </c>
      <c r="C53" s="40"/>
      <c r="D53" s="40"/>
      <c r="E53" s="40"/>
      <c r="F53" s="40"/>
      <c r="G53" s="142"/>
      <c r="H53" s="159">
        <v>48</v>
      </c>
      <c r="I53" s="160" t="str">
        <f t="shared" si="4"/>
        <v/>
      </c>
      <c r="J53" s="159" t="e">
        <f t="shared" si="5"/>
        <v>#NUM!</v>
      </c>
      <c r="K53" s="159" t="e">
        <f t="shared" si="1"/>
        <v>#NUM!</v>
      </c>
      <c r="L53" s="159"/>
      <c r="M53" s="161">
        <f t="shared" si="2"/>
        <v>0</v>
      </c>
    </row>
    <row r="54" spans="1:13" x14ac:dyDescent="0.25">
      <c r="A54" s="49"/>
      <c r="B54" s="33" t="str">
        <f t="shared" si="6"/>
        <v/>
      </c>
      <c r="C54" s="34"/>
      <c r="D54" s="34"/>
      <c r="E54" s="34"/>
      <c r="F54" s="34"/>
      <c r="G54" s="142"/>
      <c r="H54" s="156">
        <v>49</v>
      </c>
      <c r="I54" s="157" t="str">
        <f t="shared" si="4"/>
        <v/>
      </c>
      <c r="J54" s="156" t="e">
        <f t="shared" si="5"/>
        <v>#NUM!</v>
      </c>
      <c r="K54" s="156" t="e">
        <f t="shared" si="1"/>
        <v>#NUM!</v>
      </c>
      <c r="L54" s="156"/>
      <c r="M54" s="158">
        <f t="shared" si="2"/>
        <v>0</v>
      </c>
    </row>
    <row r="55" spans="1:13" x14ac:dyDescent="0.25">
      <c r="A55" s="48"/>
      <c r="B55" s="39" t="str">
        <f t="shared" si="6"/>
        <v/>
      </c>
      <c r="C55" s="40"/>
      <c r="D55" s="40"/>
      <c r="E55" s="40"/>
      <c r="F55" s="40"/>
      <c r="G55" s="142"/>
      <c r="H55" s="159">
        <v>50</v>
      </c>
      <c r="I55" s="160" t="str">
        <f t="shared" si="4"/>
        <v/>
      </c>
      <c r="J55" s="159" t="e">
        <f t="shared" si="5"/>
        <v>#NUM!</v>
      </c>
      <c r="K55" s="159" t="e">
        <f t="shared" si="1"/>
        <v>#NUM!</v>
      </c>
      <c r="L55" s="159"/>
      <c r="M55" s="161">
        <f t="shared" si="2"/>
        <v>0</v>
      </c>
    </row>
    <row r="56" spans="1:13" x14ac:dyDescent="0.25">
      <c r="A56" s="49"/>
      <c r="B56" s="33" t="str">
        <f t="shared" si="6"/>
        <v/>
      </c>
      <c r="C56" s="34"/>
      <c r="D56" s="34"/>
      <c r="E56" s="34"/>
      <c r="F56" s="34"/>
      <c r="G56" s="142"/>
      <c r="H56" s="156">
        <v>51</v>
      </c>
      <c r="I56" s="157" t="str">
        <f t="shared" si="4"/>
        <v/>
      </c>
      <c r="J56" s="156" t="e">
        <f t="shared" si="5"/>
        <v>#NUM!</v>
      </c>
      <c r="K56" s="156" t="e">
        <f t="shared" si="1"/>
        <v>#NUM!</v>
      </c>
      <c r="L56" s="156"/>
      <c r="M56" s="158">
        <f t="shared" si="2"/>
        <v>0</v>
      </c>
    </row>
    <row r="57" spans="1:13" x14ac:dyDescent="0.25">
      <c r="A57" s="48"/>
      <c r="B57" s="39" t="str">
        <f t="shared" si="6"/>
        <v/>
      </c>
      <c r="C57" s="40"/>
      <c r="D57" s="40"/>
      <c r="E57" s="40"/>
      <c r="F57" s="40"/>
      <c r="G57" s="142"/>
      <c r="H57" s="159">
        <v>52</v>
      </c>
      <c r="I57" s="160" t="str">
        <f t="shared" si="4"/>
        <v/>
      </c>
      <c r="J57" s="159" t="e">
        <f t="shared" si="5"/>
        <v>#NUM!</v>
      </c>
      <c r="K57" s="159" t="e">
        <f t="shared" si="1"/>
        <v>#NUM!</v>
      </c>
      <c r="L57" s="159"/>
      <c r="M57" s="161">
        <f t="shared" si="2"/>
        <v>0</v>
      </c>
    </row>
    <row r="58" spans="1:13" x14ac:dyDescent="0.25">
      <c r="A58" s="49"/>
      <c r="B58" s="33" t="str">
        <f t="shared" si="6"/>
        <v/>
      </c>
      <c r="C58" s="34"/>
      <c r="D58" s="34"/>
      <c r="E58" s="34"/>
      <c r="F58" s="34"/>
      <c r="G58" s="142"/>
      <c r="H58" s="156">
        <v>53</v>
      </c>
      <c r="I58" s="157" t="str">
        <f t="shared" si="4"/>
        <v/>
      </c>
      <c r="J58" s="156" t="e">
        <f t="shared" si="5"/>
        <v>#NUM!</v>
      </c>
      <c r="K58" s="156" t="e">
        <f t="shared" si="1"/>
        <v>#NUM!</v>
      </c>
      <c r="L58" s="156"/>
      <c r="M58" s="158">
        <f t="shared" si="2"/>
        <v>0</v>
      </c>
    </row>
    <row r="59" spans="1:13" x14ac:dyDescent="0.25">
      <c r="A59" s="48"/>
      <c r="B59" s="39" t="str">
        <f t="shared" si="6"/>
        <v/>
      </c>
      <c r="C59" s="40"/>
      <c r="D59" s="40"/>
      <c r="E59" s="40"/>
      <c r="F59" s="40"/>
      <c r="G59" s="142"/>
      <c r="H59" s="159">
        <v>54</v>
      </c>
      <c r="I59" s="160" t="str">
        <f t="shared" si="4"/>
        <v/>
      </c>
      <c r="J59" s="159" t="e">
        <f t="shared" si="5"/>
        <v>#NUM!</v>
      </c>
      <c r="K59" s="159" t="e">
        <f t="shared" si="1"/>
        <v>#NUM!</v>
      </c>
      <c r="L59" s="159"/>
      <c r="M59" s="161">
        <f t="shared" si="2"/>
        <v>0</v>
      </c>
    </row>
    <row r="60" spans="1:13" x14ac:dyDescent="0.25">
      <c r="A60" s="49"/>
      <c r="B60" s="33" t="str">
        <f t="shared" si="6"/>
        <v/>
      </c>
      <c r="C60" s="34"/>
      <c r="D60" s="34"/>
      <c r="E60" s="34"/>
      <c r="F60" s="34"/>
      <c r="G60" s="142"/>
      <c r="H60" s="156">
        <v>55</v>
      </c>
      <c r="I60" s="157" t="str">
        <f t="shared" si="4"/>
        <v/>
      </c>
      <c r="J60" s="156" t="e">
        <f t="shared" si="5"/>
        <v>#NUM!</v>
      </c>
      <c r="K60" s="156" t="e">
        <f t="shared" si="1"/>
        <v>#NUM!</v>
      </c>
      <c r="L60" s="156"/>
      <c r="M60" s="158">
        <f t="shared" si="2"/>
        <v>0</v>
      </c>
    </row>
    <row r="61" spans="1:13" x14ac:dyDescent="0.25">
      <c r="A61" s="48"/>
      <c r="B61" s="39" t="str">
        <f t="shared" si="6"/>
        <v/>
      </c>
      <c r="C61" s="40"/>
      <c r="D61" s="40"/>
      <c r="E61" s="40"/>
      <c r="F61" s="40"/>
      <c r="G61" s="142"/>
      <c r="H61" s="159">
        <v>56</v>
      </c>
      <c r="I61" s="160" t="str">
        <f t="shared" si="4"/>
        <v/>
      </c>
      <c r="J61" s="159" t="e">
        <f t="shared" si="5"/>
        <v>#NUM!</v>
      </c>
      <c r="K61" s="159" t="e">
        <f t="shared" si="1"/>
        <v>#NUM!</v>
      </c>
      <c r="L61" s="159"/>
      <c r="M61" s="161">
        <f t="shared" si="2"/>
        <v>0</v>
      </c>
    </row>
    <row r="62" spans="1:13" x14ac:dyDescent="0.25">
      <c r="A62" s="49"/>
      <c r="B62" s="33" t="str">
        <f t="shared" si="6"/>
        <v/>
      </c>
      <c r="C62" s="34"/>
      <c r="D62" s="34"/>
      <c r="E62" s="34"/>
      <c r="F62" s="34"/>
      <c r="G62" s="142"/>
      <c r="H62" s="156">
        <v>57</v>
      </c>
      <c r="I62" s="157" t="str">
        <f t="shared" si="4"/>
        <v/>
      </c>
      <c r="J62" s="156" t="e">
        <f t="shared" si="5"/>
        <v>#NUM!</v>
      </c>
      <c r="K62" s="156" t="e">
        <f t="shared" si="1"/>
        <v>#NUM!</v>
      </c>
      <c r="L62" s="156"/>
      <c r="M62" s="158">
        <f t="shared" si="2"/>
        <v>0</v>
      </c>
    </row>
    <row r="63" spans="1:13" x14ac:dyDescent="0.25">
      <c r="A63" s="48"/>
      <c r="B63" s="39" t="str">
        <f t="shared" si="6"/>
        <v/>
      </c>
      <c r="C63" s="40"/>
      <c r="D63" s="40"/>
      <c r="E63" s="40"/>
      <c r="F63" s="40"/>
      <c r="G63" s="142"/>
      <c r="H63" s="159">
        <v>58</v>
      </c>
      <c r="I63" s="160" t="str">
        <f t="shared" si="4"/>
        <v/>
      </c>
      <c r="J63" s="159" t="e">
        <f t="shared" si="5"/>
        <v>#NUM!</v>
      </c>
      <c r="K63" s="159" t="e">
        <f t="shared" si="1"/>
        <v>#NUM!</v>
      </c>
      <c r="L63" s="159"/>
      <c r="M63" s="161">
        <f t="shared" si="2"/>
        <v>0</v>
      </c>
    </row>
    <row r="64" spans="1:13" x14ac:dyDescent="0.25">
      <c r="A64" s="49"/>
      <c r="B64" s="33" t="str">
        <f t="shared" si="6"/>
        <v/>
      </c>
      <c r="C64" s="34"/>
      <c r="D64" s="34"/>
      <c r="E64" s="34"/>
      <c r="F64" s="34"/>
      <c r="G64" s="142"/>
      <c r="H64" s="156">
        <v>59</v>
      </c>
      <c r="I64" s="157" t="str">
        <f t="shared" si="4"/>
        <v/>
      </c>
      <c r="J64" s="156" t="e">
        <f t="shared" si="5"/>
        <v>#NUM!</v>
      </c>
      <c r="K64" s="156" t="e">
        <f t="shared" si="1"/>
        <v>#NUM!</v>
      </c>
      <c r="L64" s="156"/>
      <c r="M64" s="158">
        <f t="shared" si="2"/>
        <v>0</v>
      </c>
    </row>
    <row r="65" spans="1:13" x14ac:dyDescent="0.25">
      <c r="A65" s="48"/>
      <c r="B65" s="39" t="str">
        <f t="shared" si="6"/>
        <v/>
      </c>
      <c r="C65" s="40"/>
      <c r="D65" s="40"/>
      <c r="E65" s="40"/>
      <c r="F65" s="40"/>
      <c r="G65" s="142"/>
      <c r="H65" s="159">
        <v>60</v>
      </c>
      <c r="I65" s="160" t="str">
        <f t="shared" si="4"/>
        <v/>
      </c>
      <c r="J65" s="159" t="e">
        <f t="shared" si="5"/>
        <v>#NUM!</v>
      </c>
      <c r="K65" s="159" t="e">
        <f t="shared" si="1"/>
        <v>#NUM!</v>
      </c>
      <c r="L65" s="159"/>
      <c r="M65" s="161">
        <f t="shared" si="2"/>
        <v>0</v>
      </c>
    </row>
    <row r="66" spans="1:13" x14ac:dyDescent="0.25">
      <c r="A66" s="172"/>
      <c r="B66" s="33"/>
      <c r="G66" s="142"/>
      <c r="H66" s="156">
        <v>61</v>
      </c>
      <c r="I66" s="157" t="str">
        <f t="shared" si="4"/>
        <v/>
      </c>
      <c r="J66" s="156" t="e">
        <f t="shared" si="5"/>
        <v>#NUM!</v>
      </c>
      <c r="K66" s="156" t="e">
        <f t="shared" si="1"/>
        <v>#NUM!</v>
      </c>
      <c r="L66" s="156"/>
      <c r="M66" s="158">
        <f t="shared" si="2"/>
        <v>0</v>
      </c>
    </row>
    <row r="67" spans="1:13" x14ac:dyDescent="0.25">
      <c r="A67" s="172"/>
      <c r="B67" s="39"/>
      <c r="G67" s="142"/>
      <c r="H67" s="156">
        <v>62</v>
      </c>
      <c r="I67" s="157" t="str">
        <f t="shared" si="4"/>
        <v/>
      </c>
      <c r="J67" s="156" t="e">
        <f t="shared" si="5"/>
        <v>#NUM!</v>
      </c>
      <c r="K67" s="156" t="e">
        <f t="shared" si="1"/>
        <v>#NUM!</v>
      </c>
      <c r="L67" s="156"/>
      <c r="M67" s="158">
        <f t="shared" si="2"/>
        <v>0</v>
      </c>
    </row>
    <row r="68" spans="1:13" x14ac:dyDescent="0.25">
      <c r="A68" s="172"/>
      <c r="B68" s="33"/>
      <c r="G68" s="142"/>
      <c r="H68" s="156">
        <v>63</v>
      </c>
      <c r="I68" s="157" t="str">
        <f t="shared" si="4"/>
        <v/>
      </c>
      <c r="J68" s="156" t="e">
        <f t="shared" si="5"/>
        <v>#NUM!</v>
      </c>
      <c r="K68" s="156" t="e">
        <f t="shared" si="1"/>
        <v>#NUM!</v>
      </c>
      <c r="L68" s="156"/>
      <c r="M68" s="158">
        <f t="shared" si="2"/>
        <v>0</v>
      </c>
    </row>
    <row r="69" spans="1:13" x14ac:dyDescent="0.25">
      <c r="A69" s="172"/>
      <c r="B69" s="39"/>
      <c r="G69" s="142"/>
      <c r="H69" s="156">
        <v>64</v>
      </c>
      <c r="I69" s="157" t="str">
        <f t="shared" si="4"/>
        <v/>
      </c>
      <c r="J69" s="156" t="e">
        <f t="shared" si="5"/>
        <v>#NUM!</v>
      </c>
      <c r="K69" s="156" t="e">
        <f t="shared" si="1"/>
        <v>#NUM!</v>
      </c>
      <c r="L69" s="156"/>
      <c r="M69" s="158">
        <f t="shared" si="2"/>
        <v>0</v>
      </c>
    </row>
    <row r="70" spans="1:13" x14ac:dyDescent="0.25">
      <c r="A70" s="172"/>
      <c r="G70" s="142"/>
      <c r="H70" s="156">
        <v>65</v>
      </c>
      <c r="I70" s="157" t="str">
        <f t="shared" si="4"/>
        <v/>
      </c>
      <c r="J70" s="156" t="e">
        <f t="shared" si="5"/>
        <v>#NUM!</v>
      </c>
      <c r="K70" s="156" t="e">
        <f t="shared" ref="K70:K133" si="7">J70*$J$2</f>
        <v>#NUM!</v>
      </c>
      <c r="L70" s="156"/>
      <c r="M70" s="158">
        <f t="shared" ref="M70:M133" si="8">IF(I70&lt;&gt;"",K70+I70+L70,0)</f>
        <v>0</v>
      </c>
    </row>
    <row r="71" spans="1:13" x14ac:dyDescent="0.25">
      <c r="A71" s="172"/>
      <c r="G71" s="142"/>
      <c r="H71" s="156">
        <v>66</v>
      </c>
      <c r="I71" s="157" t="str">
        <f t="shared" ref="I71:I134" si="9">IF(H71&lt;$H$2+1,($I$2-($I$2-1)*(LOG(H71)/LOG($H$2))),"")</f>
        <v/>
      </c>
      <c r="J71" s="156" t="e">
        <f t="shared" ref="J71:J134" si="10">INT(LOG($H$2,2))-ROUNDUP(LOG(H71,2),0)+IF(OR($H$2=1,$H$2=2,$H$2=4,$H$2=8,$H$2=16,$H$2=32,$H$2=64,$H$2=128,$H$2=256),0,1)</f>
        <v>#NUM!</v>
      </c>
      <c r="K71" s="156" t="e">
        <f t="shared" si="7"/>
        <v>#NUM!</v>
      </c>
      <c r="L71" s="156"/>
      <c r="M71" s="158">
        <f t="shared" si="8"/>
        <v>0</v>
      </c>
    </row>
    <row r="72" spans="1:13" x14ac:dyDescent="0.25">
      <c r="A72" s="172"/>
      <c r="G72" s="142"/>
      <c r="H72" s="156">
        <v>67</v>
      </c>
      <c r="I72" s="157" t="str">
        <f t="shared" si="9"/>
        <v/>
      </c>
      <c r="J72" s="156" t="e">
        <f t="shared" si="10"/>
        <v>#NUM!</v>
      </c>
      <c r="K72" s="156" t="e">
        <f t="shared" si="7"/>
        <v>#NUM!</v>
      </c>
      <c r="L72" s="156"/>
      <c r="M72" s="158">
        <f t="shared" si="8"/>
        <v>0</v>
      </c>
    </row>
    <row r="73" spans="1:13" x14ac:dyDescent="0.25">
      <c r="A73" s="172"/>
      <c r="G73" s="142"/>
      <c r="H73" s="156">
        <v>68</v>
      </c>
      <c r="I73" s="157" t="str">
        <f t="shared" si="9"/>
        <v/>
      </c>
      <c r="J73" s="156" t="e">
        <f t="shared" si="10"/>
        <v>#NUM!</v>
      </c>
      <c r="K73" s="156" t="e">
        <f t="shared" si="7"/>
        <v>#NUM!</v>
      </c>
      <c r="L73" s="156"/>
      <c r="M73" s="158">
        <f t="shared" si="8"/>
        <v>0</v>
      </c>
    </row>
    <row r="74" spans="1:13" x14ac:dyDescent="0.25">
      <c r="A74" s="172"/>
      <c r="G74" s="142"/>
      <c r="H74" s="156">
        <v>69</v>
      </c>
      <c r="I74" s="157" t="str">
        <f t="shared" si="9"/>
        <v/>
      </c>
      <c r="J74" s="156" t="e">
        <f t="shared" si="10"/>
        <v>#NUM!</v>
      </c>
      <c r="K74" s="156" t="e">
        <f t="shared" si="7"/>
        <v>#NUM!</v>
      </c>
      <c r="L74" s="156"/>
      <c r="M74" s="158">
        <f t="shared" si="8"/>
        <v>0</v>
      </c>
    </row>
    <row r="75" spans="1:13" x14ac:dyDescent="0.25">
      <c r="A75" s="172"/>
      <c r="G75" s="142"/>
      <c r="H75" s="156">
        <v>70</v>
      </c>
      <c r="I75" s="157" t="str">
        <f t="shared" si="9"/>
        <v/>
      </c>
      <c r="J75" s="156" t="e">
        <f t="shared" si="10"/>
        <v>#NUM!</v>
      </c>
      <c r="K75" s="156" t="e">
        <f t="shared" si="7"/>
        <v>#NUM!</v>
      </c>
      <c r="L75" s="156"/>
      <c r="M75" s="158">
        <f t="shared" si="8"/>
        <v>0</v>
      </c>
    </row>
    <row r="76" spans="1:13" x14ac:dyDescent="0.25">
      <c r="A76" s="172"/>
      <c r="G76" s="142"/>
      <c r="H76" s="156">
        <v>71</v>
      </c>
      <c r="I76" s="157" t="str">
        <f t="shared" si="9"/>
        <v/>
      </c>
      <c r="J76" s="156" t="e">
        <f t="shared" si="10"/>
        <v>#NUM!</v>
      </c>
      <c r="K76" s="156" t="e">
        <f t="shared" si="7"/>
        <v>#NUM!</v>
      </c>
      <c r="L76" s="156"/>
      <c r="M76" s="158">
        <f t="shared" si="8"/>
        <v>0</v>
      </c>
    </row>
    <row r="77" spans="1:13" x14ac:dyDescent="0.25">
      <c r="A77" s="172"/>
      <c r="G77" s="142"/>
      <c r="H77" s="156">
        <v>72</v>
      </c>
      <c r="I77" s="157" t="str">
        <f t="shared" si="9"/>
        <v/>
      </c>
      <c r="J77" s="156" t="e">
        <f t="shared" si="10"/>
        <v>#NUM!</v>
      </c>
      <c r="K77" s="156" t="e">
        <f t="shared" si="7"/>
        <v>#NUM!</v>
      </c>
      <c r="L77" s="156"/>
      <c r="M77" s="158">
        <f t="shared" si="8"/>
        <v>0</v>
      </c>
    </row>
    <row r="78" spans="1:13" x14ac:dyDescent="0.25">
      <c r="A78" s="172"/>
      <c r="G78" s="142"/>
      <c r="H78" s="156">
        <v>73</v>
      </c>
      <c r="I78" s="157" t="str">
        <f t="shared" si="9"/>
        <v/>
      </c>
      <c r="J78" s="156" t="e">
        <f t="shared" si="10"/>
        <v>#NUM!</v>
      </c>
      <c r="K78" s="156" t="e">
        <f t="shared" si="7"/>
        <v>#NUM!</v>
      </c>
      <c r="L78" s="156"/>
      <c r="M78" s="158">
        <f t="shared" si="8"/>
        <v>0</v>
      </c>
    </row>
    <row r="79" spans="1:13" x14ac:dyDescent="0.25">
      <c r="A79" s="172"/>
      <c r="G79" s="142"/>
      <c r="H79" s="156">
        <v>74</v>
      </c>
      <c r="I79" s="157" t="str">
        <f t="shared" si="9"/>
        <v/>
      </c>
      <c r="J79" s="156" t="e">
        <f t="shared" si="10"/>
        <v>#NUM!</v>
      </c>
      <c r="K79" s="156" t="e">
        <f t="shared" si="7"/>
        <v>#NUM!</v>
      </c>
      <c r="L79" s="156"/>
      <c r="M79" s="158">
        <f t="shared" si="8"/>
        <v>0</v>
      </c>
    </row>
    <row r="80" spans="1:13" x14ac:dyDescent="0.25">
      <c r="A80" s="172"/>
      <c r="G80" s="142"/>
      <c r="H80" s="156">
        <v>75</v>
      </c>
      <c r="I80" s="157" t="str">
        <f t="shared" si="9"/>
        <v/>
      </c>
      <c r="J80" s="156" t="e">
        <f t="shared" si="10"/>
        <v>#NUM!</v>
      </c>
      <c r="K80" s="156" t="e">
        <f t="shared" si="7"/>
        <v>#NUM!</v>
      </c>
      <c r="L80" s="156"/>
      <c r="M80" s="158">
        <f t="shared" si="8"/>
        <v>0</v>
      </c>
    </row>
    <row r="81" spans="1:13" x14ac:dyDescent="0.25">
      <c r="A81" s="172"/>
      <c r="G81" s="142"/>
      <c r="H81" s="156">
        <v>76</v>
      </c>
      <c r="I81" s="157" t="str">
        <f t="shared" si="9"/>
        <v/>
      </c>
      <c r="J81" s="156" t="e">
        <f t="shared" si="10"/>
        <v>#NUM!</v>
      </c>
      <c r="K81" s="156" t="e">
        <f t="shared" si="7"/>
        <v>#NUM!</v>
      </c>
      <c r="L81" s="156"/>
      <c r="M81" s="158">
        <f t="shared" si="8"/>
        <v>0</v>
      </c>
    </row>
    <row r="82" spans="1:13" x14ac:dyDescent="0.25">
      <c r="A82" s="172"/>
      <c r="G82" s="142"/>
      <c r="H82" s="156">
        <v>77</v>
      </c>
      <c r="I82" s="157" t="str">
        <f t="shared" si="9"/>
        <v/>
      </c>
      <c r="J82" s="156" t="e">
        <f t="shared" si="10"/>
        <v>#NUM!</v>
      </c>
      <c r="K82" s="156" t="e">
        <f t="shared" si="7"/>
        <v>#NUM!</v>
      </c>
      <c r="L82" s="156"/>
      <c r="M82" s="158">
        <f t="shared" si="8"/>
        <v>0</v>
      </c>
    </row>
    <row r="83" spans="1:13" x14ac:dyDescent="0.25">
      <c r="A83" s="172"/>
      <c r="G83" s="142"/>
      <c r="H83" s="156">
        <v>78</v>
      </c>
      <c r="I83" s="157" t="str">
        <f t="shared" si="9"/>
        <v/>
      </c>
      <c r="J83" s="156" t="e">
        <f t="shared" si="10"/>
        <v>#NUM!</v>
      </c>
      <c r="K83" s="156" t="e">
        <f t="shared" si="7"/>
        <v>#NUM!</v>
      </c>
      <c r="L83" s="156"/>
      <c r="M83" s="158">
        <f t="shared" si="8"/>
        <v>0</v>
      </c>
    </row>
    <row r="84" spans="1:13" x14ac:dyDescent="0.25">
      <c r="A84" s="172"/>
      <c r="G84" s="142"/>
      <c r="H84" s="156">
        <v>79</v>
      </c>
      <c r="I84" s="157" t="str">
        <f t="shared" si="9"/>
        <v/>
      </c>
      <c r="J84" s="156" t="e">
        <f t="shared" si="10"/>
        <v>#NUM!</v>
      </c>
      <c r="K84" s="156" t="e">
        <f t="shared" si="7"/>
        <v>#NUM!</v>
      </c>
      <c r="L84" s="156"/>
      <c r="M84" s="158">
        <f t="shared" si="8"/>
        <v>0</v>
      </c>
    </row>
    <row r="85" spans="1:13" x14ac:dyDescent="0.25">
      <c r="A85" s="172"/>
      <c r="G85" s="142"/>
      <c r="H85" s="156">
        <v>80</v>
      </c>
      <c r="I85" s="157" t="str">
        <f t="shared" si="9"/>
        <v/>
      </c>
      <c r="J85" s="156" t="e">
        <f t="shared" si="10"/>
        <v>#NUM!</v>
      </c>
      <c r="K85" s="156" t="e">
        <f t="shared" si="7"/>
        <v>#NUM!</v>
      </c>
      <c r="L85" s="156"/>
      <c r="M85" s="158">
        <f t="shared" si="8"/>
        <v>0</v>
      </c>
    </row>
    <row r="86" spans="1:13" x14ac:dyDescent="0.25">
      <c r="A86" s="172"/>
      <c r="G86" s="142"/>
      <c r="H86" s="156">
        <v>81</v>
      </c>
      <c r="I86" s="157" t="str">
        <f t="shared" si="9"/>
        <v/>
      </c>
      <c r="J86" s="156" t="e">
        <f t="shared" si="10"/>
        <v>#NUM!</v>
      </c>
      <c r="K86" s="156" t="e">
        <f t="shared" si="7"/>
        <v>#NUM!</v>
      </c>
      <c r="L86" s="156"/>
      <c r="M86" s="158">
        <f t="shared" si="8"/>
        <v>0</v>
      </c>
    </row>
    <row r="87" spans="1:13" x14ac:dyDescent="0.25">
      <c r="A87" s="172"/>
      <c r="G87" s="142"/>
      <c r="H87" s="156">
        <v>82</v>
      </c>
      <c r="I87" s="157" t="str">
        <f t="shared" si="9"/>
        <v/>
      </c>
      <c r="J87" s="156" t="e">
        <f t="shared" si="10"/>
        <v>#NUM!</v>
      </c>
      <c r="K87" s="156" t="e">
        <f t="shared" si="7"/>
        <v>#NUM!</v>
      </c>
      <c r="L87" s="156"/>
      <c r="M87" s="158">
        <f t="shared" si="8"/>
        <v>0</v>
      </c>
    </row>
    <row r="88" spans="1:13" x14ac:dyDescent="0.25">
      <c r="A88" s="172"/>
      <c r="G88" s="142"/>
      <c r="H88" s="156">
        <v>83</v>
      </c>
      <c r="I88" s="157" t="str">
        <f t="shared" si="9"/>
        <v/>
      </c>
      <c r="J88" s="156" t="e">
        <f t="shared" si="10"/>
        <v>#NUM!</v>
      </c>
      <c r="K88" s="156" t="e">
        <f t="shared" si="7"/>
        <v>#NUM!</v>
      </c>
      <c r="L88" s="156"/>
      <c r="M88" s="158">
        <f t="shared" si="8"/>
        <v>0</v>
      </c>
    </row>
    <row r="89" spans="1:13" x14ac:dyDescent="0.25">
      <c r="A89" s="172"/>
      <c r="G89" s="142"/>
      <c r="H89" s="156">
        <v>84</v>
      </c>
      <c r="I89" s="157" t="str">
        <f t="shared" si="9"/>
        <v/>
      </c>
      <c r="J89" s="156" t="e">
        <f t="shared" si="10"/>
        <v>#NUM!</v>
      </c>
      <c r="K89" s="156" t="e">
        <f t="shared" si="7"/>
        <v>#NUM!</v>
      </c>
      <c r="L89" s="156"/>
      <c r="M89" s="158">
        <f t="shared" si="8"/>
        <v>0</v>
      </c>
    </row>
    <row r="90" spans="1:13" x14ac:dyDescent="0.25">
      <c r="A90" s="172"/>
      <c r="G90" s="142"/>
      <c r="H90" s="156">
        <v>85</v>
      </c>
      <c r="I90" s="157" t="str">
        <f t="shared" si="9"/>
        <v/>
      </c>
      <c r="J90" s="156" t="e">
        <f t="shared" si="10"/>
        <v>#NUM!</v>
      </c>
      <c r="K90" s="156" t="e">
        <f t="shared" si="7"/>
        <v>#NUM!</v>
      </c>
      <c r="L90" s="156"/>
      <c r="M90" s="158">
        <f t="shared" si="8"/>
        <v>0</v>
      </c>
    </row>
    <row r="91" spans="1:13" x14ac:dyDescent="0.25">
      <c r="A91" s="172"/>
      <c r="G91" s="142"/>
      <c r="H91" s="156">
        <v>86</v>
      </c>
      <c r="I91" s="157" t="str">
        <f t="shared" si="9"/>
        <v/>
      </c>
      <c r="J91" s="156" t="e">
        <f t="shared" si="10"/>
        <v>#NUM!</v>
      </c>
      <c r="K91" s="156" t="e">
        <f t="shared" si="7"/>
        <v>#NUM!</v>
      </c>
      <c r="L91" s="156"/>
      <c r="M91" s="158">
        <f t="shared" si="8"/>
        <v>0</v>
      </c>
    </row>
    <row r="92" spans="1:13" x14ac:dyDescent="0.25">
      <c r="A92" s="172"/>
      <c r="G92" s="142"/>
      <c r="H92" s="156">
        <v>87</v>
      </c>
      <c r="I92" s="157" t="str">
        <f t="shared" si="9"/>
        <v/>
      </c>
      <c r="J92" s="156" t="e">
        <f t="shared" si="10"/>
        <v>#NUM!</v>
      </c>
      <c r="K92" s="156" t="e">
        <f t="shared" si="7"/>
        <v>#NUM!</v>
      </c>
      <c r="L92" s="156"/>
      <c r="M92" s="158">
        <f t="shared" si="8"/>
        <v>0</v>
      </c>
    </row>
    <row r="93" spans="1:13" x14ac:dyDescent="0.25">
      <c r="A93" s="172"/>
      <c r="G93" s="142"/>
      <c r="H93" s="156">
        <v>88</v>
      </c>
      <c r="I93" s="157" t="str">
        <f t="shared" si="9"/>
        <v/>
      </c>
      <c r="J93" s="156" t="e">
        <f t="shared" si="10"/>
        <v>#NUM!</v>
      </c>
      <c r="K93" s="156" t="e">
        <f t="shared" si="7"/>
        <v>#NUM!</v>
      </c>
      <c r="L93" s="156"/>
      <c r="M93" s="158">
        <f t="shared" si="8"/>
        <v>0</v>
      </c>
    </row>
    <row r="94" spans="1:13" x14ac:dyDescent="0.25">
      <c r="A94" s="172"/>
      <c r="G94" s="142"/>
      <c r="H94" s="156">
        <v>89</v>
      </c>
      <c r="I94" s="157" t="str">
        <f t="shared" si="9"/>
        <v/>
      </c>
      <c r="J94" s="156" t="e">
        <f t="shared" si="10"/>
        <v>#NUM!</v>
      </c>
      <c r="K94" s="156" t="e">
        <f t="shared" si="7"/>
        <v>#NUM!</v>
      </c>
      <c r="L94" s="156"/>
      <c r="M94" s="158">
        <f t="shared" si="8"/>
        <v>0</v>
      </c>
    </row>
    <row r="95" spans="1:13" x14ac:dyDescent="0.25">
      <c r="A95" s="172"/>
      <c r="G95" s="142"/>
      <c r="H95" s="156">
        <v>90</v>
      </c>
      <c r="I95" s="157" t="str">
        <f t="shared" si="9"/>
        <v/>
      </c>
      <c r="J95" s="156" t="e">
        <f t="shared" si="10"/>
        <v>#NUM!</v>
      </c>
      <c r="K95" s="156" t="e">
        <f t="shared" si="7"/>
        <v>#NUM!</v>
      </c>
      <c r="L95" s="156"/>
      <c r="M95" s="158">
        <f t="shared" si="8"/>
        <v>0</v>
      </c>
    </row>
    <row r="96" spans="1:13" x14ac:dyDescent="0.25">
      <c r="A96" s="172"/>
      <c r="G96" s="142"/>
      <c r="H96" s="156">
        <v>91</v>
      </c>
      <c r="I96" s="157" t="str">
        <f t="shared" si="9"/>
        <v/>
      </c>
      <c r="J96" s="156" t="e">
        <f t="shared" si="10"/>
        <v>#NUM!</v>
      </c>
      <c r="K96" s="156" t="e">
        <f t="shared" si="7"/>
        <v>#NUM!</v>
      </c>
      <c r="L96" s="156"/>
      <c r="M96" s="158">
        <f t="shared" si="8"/>
        <v>0</v>
      </c>
    </row>
    <row r="97" spans="1:13" x14ac:dyDescent="0.25">
      <c r="A97" s="172"/>
      <c r="G97" s="142"/>
      <c r="H97" s="156">
        <v>92</v>
      </c>
      <c r="I97" s="157" t="str">
        <f t="shared" si="9"/>
        <v/>
      </c>
      <c r="J97" s="156" t="e">
        <f t="shared" si="10"/>
        <v>#NUM!</v>
      </c>
      <c r="K97" s="156" t="e">
        <f t="shared" si="7"/>
        <v>#NUM!</v>
      </c>
      <c r="L97" s="156"/>
      <c r="M97" s="158">
        <f t="shared" si="8"/>
        <v>0</v>
      </c>
    </row>
    <row r="98" spans="1:13" x14ac:dyDescent="0.25">
      <c r="A98" s="172"/>
      <c r="G98" s="142"/>
      <c r="H98" s="156">
        <v>93</v>
      </c>
      <c r="I98" s="157" t="str">
        <f t="shared" si="9"/>
        <v/>
      </c>
      <c r="J98" s="156" t="e">
        <f t="shared" si="10"/>
        <v>#NUM!</v>
      </c>
      <c r="K98" s="156" t="e">
        <f t="shared" si="7"/>
        <v>#NUM!</v>
      </c>
      <c r="L98" s="156"/>
      <c r="M98" s="158">
        <f t="shared" si="8"/>
        <v>0</v>
      </c>
    </row>
    <row r="99" spans="1:13" x14ac:dyDescent="0.25">
      <c r="A99" s="172"/>
      <c r="G99" s="142"/>
      <c r="H99" s="156">
        <v>94</v>
      </c>
      <c r="I99" s="157" t="str">
        <f t="shared" si="9"/>
        <v/>
      </c>
      <c r="J99" s="156" t="e">
        <f t="shared" si="10"/>
        <v>#NUM!</v>
      </c>
      <c r="K99" s="156" t="e">
        <f t="shared" si="7"/>
        <v>#NUM!</v>
      </c>
      <c r="L99" s="156"/>
      <c r="M99" s="158">
        <f t="shared" si="8"/>
        <v>0</v>
      </c>
    </row>
    <row r="100" spans="1:13" x14ac:dyDescent="0.25">
      <c r="A100" s="172"/>
      <c r="G100" s="142"/>
      <c r="H100" s="156">
        <v>95</v>
      </c>
      <c r="I100" s="157" t="str">
        <f t="shared" si="9"/>
        <v/>
      </c>
      <c r="J100" s="156" t="e">
        <f t="shared" si="10"/>
        <v>#NUM!</v>
      </c>
      <c r="K100" s="156" t="e">
        <f t="shared" si="7"/>
        <v>#NUM!</v>
      </c>
      <c r="L100" s="156"/>
      <c r="M100" s="158">
        <f t="shared" si="8"/>
        <v>0</v>
      </c>
    </row>
    <row r="101" spans="1:13" x14ac:dyDescent="0.25">
      <c r="A101" s="172"/>
      <c r="G101" s="142"/>
      <c r="H101" s="156">
        <v>96</v>
      </c>
      <c r="I101" s="157" t="str">
        <f t="shared" si="9"/>
        <v/>
      </c>
      <c r="J101" s="156" t="e">
        <f t="shared" si="10"/>
        <v>#NUM!</v>
      </c>
      <c r="K101" s="156" t="e">
        <f t="shared" si="7"/>
        <v>#NUM!</v>
      </c>
      <c r="L101" s="156"/>
      <c r="M101" s="158">
        <f t="shared" si="8"/>
        <v>0</v>
      </c>
    </row>
    <row r="102" spans="1:13" x14ac:dyDescent="0.25">
      <c r="A102" s="172"/>
      <c r="G102" s="142"/>
      <c r="H102" s="156">
        <v>97</v>
      </c>
      <c r="I102" s="157" t="str">
        <f t="shared" si="9"/>
        <v/>
      </c>
      <c r="J102" s="156" t="e">
        <f t="shared" si="10"/>
        <v>#NUM!</v>
      </c>
      <c r="K102" s="156" t="e">
        <f t="shared" si="7"/>
        <v>#NUM!</v>
      </c>
      <c r="L102" s="156"/>
      <c r="M102" s="158">
        <f t="shared" si="8"/>
        <v>0</v>
      </c>
    </row>
    <row r="103" spans="1:13" x14ac:dyDescent="0.25">
      <c r="A103" s="172"/>
      <c r="G103" s="142"/>
      <c r="H103" s="156">
        <v>98</v>
      </c>
      <c r="I103" s="157" t="str">
        <f t="shared" si="9"/>
        <v/>
      </c>
      <c r="J103" s="156" t="e">
        <f t="shared" si="10"/>
        <v>#NUM!</v>
      </c>
      <c r="K103" s="156" t="e">
        <f t="shared" si="7"/>
        <v>#NUM!</v>
      </c>
      <c r="L103" s="156"/>
      <c r="M103" s="158">
        <f t="shared" si="8"/>
        <v>0</v>
      </c>
    </row>
    <row r="104" spans="1:13" x14ac:dyDescent="0.25">
      <c r="A104" s="172"/>
      <c r="G104" s="142"/>
      <c r="H104" s="156">
        <v>99</v>
      </c>
      <c r="I104" s="157" t="str">
        <f t="shared" si="9"/>
        <v/>
      </c>
      <c r="J104" s="156" t="e">
        <f t="shared" si="10"/>
        <v>#NUM!</v>
      </c>
      <c r="K104" s="156" t="e">
        <f t="shared" si="7"/>
        <v>#NUM!</v>
      </c>
      <c r="L104" s="156"/>
      <c r="M104" s="158">
        <f t="shared" si="8"/>
        <v>0</v>
      </c>
    </row>
    <row r="105" spans="1:13" x14ac:dyDescent="0.25">
      <c r="A105" s="172"/>
      <c r="G105" s="142"/>
      <c r="H105" s="156">
        <v>100</v>
      </c>
      <c r="I105" s="157" t="str">
        <f t="shared" si="9"/>
        <v/>
      </c>
      <c r="J105" s="156" t="e">
        <f t="shared" si="10"/>
        <v>#NUM!</v>
      </c>
      <c r="K105" s="156" t="e">
        <f t="shared" si="7"/>
        <v>#NUM!</v>
      </c>
      <c r="L105" s="156"/>
      <c r="M105" s="158">
        <f t="shared" si="8"/>
        <v>0</v>
      </c>
    </row>
    <row r="106" spans="1:13" x14ac:dyDescent="0.25">
      <c r="A106" s="172"/>
      <c r="G106" s="142"/>
      <c r="H106" s="156">
        <v>101</v>
      </c>
      <c r="I106" s="157" t="str">
        <f t="shared" si="9"/>
        <v/>
      </c>
      <c r="J106" s="156" t="e">
        <f t="shared" si="10"/>
        <v>#NUM!</v>
      </c>
      <c r="K106" s="156" t="e">
        <f t="shared" si="7"/>
        <v>#NUM!</v>
      </c>
      <c r="L106" s="156"/>
      <c r="M106" s="158">
        <f t="shared" si="8"/>
        <v>0</v>
      </c>
    </row>
    <row r="107" spans="1:13" x14ac:dyDescent="0.25">
      <c r="A107" s="172"/>
      <c r="G107" s="142"/>
      <c r="H107" s="156">
        <v>102</v>
      </c>
      <c r="I107" s="157" t="str">
        <f t="shared" si="9"/>
        <v/>
      </c>
      <c r="J107" s="156" t="e">
        <f t="shared" si="10"/>
        <v>#NUM!</v>
      </c>
      <c r="K107" s="156" t="e">
        <f t="shared" si="7"/>
        <v>#NUM!</v>
      </c>
      <c r="L107" s="156"/>
      <c r="M107" s="158">
        <f t="shared" si="8"/>
        <v>0</v>
      </c>
    </row>
    <row r="108" spans="1:13" x14ac:dyDescent="0.25">
      <c r="A108" s="172"/>
      <c r="G108" s="142"/>
      <c r="H108" s="156">
        <v>103</v>
      </c>
      <c r="I108" s="157" t="str">
        <f t="shared" si="9"/>
        <v/>
      </c>
      <c r="J108" s="156" t="e">
        <f t="shared" si="10"/>
        <v>#NUM!</v>
      </c>
      <c r="K108" s="156" t="e">
        <f t="shared" si="7"/>
        <v>#NUM!</v>
      </c>
      <c r="L108" s="156"/>
      <c r="M108" s="158">
        <f t="shared" si="8"/>
        <v>0</v>
      </c>
    </row>
    <row r="109" spans="1:13" x14ac:dyDescent="0.25">
      <c r="A109" s="172"/>
      <c r="G109" s="142"/>
      <c r="H109" s="156">
        <v>104</v>
      </c>
      <c r="I109" s="157" t="str">
        <f t="shared" si="9"/>
        <v/>
      </c>
      <c r="J109" s="156" t="e">
        <f t="shared" si="10"/>
        <v>#NUM!</v>
      </c>
      <c r="K109" s="156" t="e">
        <f t="shared" si="7"/>
        <v>#NUM!</v>
      </c>
      <c r="L109" s="156"/>
      <c r="M109" s="158">
        <f t="shared" si="8"/>
        <v>0</v>
      </c>
    </row>
    <row r="110" spans="1:13" x14ac:dyDescent="0.25">
      <c r="A110" s="172"/>
      <c r="G110" s="142"/>
      <c r="H110" s="156">
        <v>105</v>
      </c>
      <c r="I110" s="157" t="str">
        <f t="shared" si="9"/>
        <v/>
      </c>
      <c r="J110" s="156" t="e">
        <f t="shared" si="10"/>
        <v>#NUM!</v>
      </c>
      <c r="K110" s="156" t="e">
        <f t="shared" si="7"/>
        <v>#NUM!</v>
      </c>
      <c r="L110" s="156"/>
      <c r="M110" s="158">
        <f t="shared" si="8"/>
        <v>0</v>
      </c>
    </row>
    <row r="111" spans="1:13" x14ac:dyDescent="0.25">
      <c r="A111" s="172"/>
      <c r="G111" s="142"/>
      <c r="H111" s="156">
        <v>106</v>
      </c>
      <c r="I111" s="157" t="str">
        <f t="shared" si="9"/>
        <v/>
      </c>
      <c r="J111" s="156" t="e">
        <f t="shared" si="10"/>
        <v>#NUM!</v>
      </c>
      <c r="K111" s="156" t="e">
        <f t="shared" si="7"/>
        <v>#NUM!</v>
      </c>
      <c r="L111" s="156"/>
      <c r="M111" s="158">
        <f t="shared" si="8"/>
        <v>0</v>
      </c>
    </row>
    <row r="112" spans="1:13" x14ac:dyDescent="0.25">
      <c r="A112" s="172"/>
      <c r="G112" s="142"/>
      <c r="H112" s="156">
        <v>107</v>
      </c>
      <c r="I112" s="157" t="str">
        <f t="shared" si="9"/>
        <v/>
      </c>
      <c r="J112" s="156" t="e">
        <f t="shared" si="10"/>
        <v>#NUM!</v>
      </c>
      <c r="K112" s="156" t="e">
        <f t="shared" si="7"/>
        <v>#NUM!</v>
      </c>
      <c r="L112" s="156"/>
      <c r="M112" s="158">
        <f t="shared" si="8"/>
        <v>0</v>
      </c>
    </row>
    <row r="113" spans="1:13" x14ac:dyDescent="0.25">
      <c r="A113" s="172"/>
      <c r="G113" s="142"/>
      <c r="H113" s="156">
        <v>108</v>
      </c>
      <c r="I113" s="157" t="str">
        <f t="shared" si="9"/>
        <v/>
      </c>
      <c r="J113" s="156" t="e">
        <f t="shared" si="10"/>
        <v>#NUM!</v>
      </c>
      <c r="K113" s="156" t="e">
        <f t="shared" si="7"/>
        <v>#NUM!</v>
      </c>
      <c r="L113" s="156"/>
      <c r="M113" s="158">
        <f t="shared" si="8"/>
        <v>0</v>
      </c>
    </row>
    <row r="114" spans="1:13" x14ac:dyDescent="0.25">
      <c r="A114" s="172"/>
      <c r="G114" s="142"/>
      <c r="H114" s="156">
        <v>109</v>
      </c>
      <c r="I114" s="157" t="str">
        <f t="shared" si="9"/>
        <v/>
      </c>
      <c r="J114" s="156" t="e">
        <f t="shared" si="10"/>
        <v>#NUM!</v>
      </c>
      <c r="K114" s="156" t="e">
        <f t="shared" si="7"/>
        <v>#NUM!</v>
      </c>
      <c r="L114" s="156"/>
      <c r="M114" s="158">
        <f t="shared" si="8"/>
        <v>0</v>
      </c>
    </row>
    <row r="115" spans="1:13" x14ac:dyDescent="0.25">
      <c r="A115" s="172"/>
      <c r="G115" s="142"/>
      <c r="H115" s="156">
        <v>110</v>
      </c>
      <c r="I115" s="157" t="str">
        <f t="shared" si="9"/>
        <v/>
      </c>
      <c r="J115" s="156" t="e">
        <f t="shared" si="10"/>
        <v>#NUM!</v>
      </c>
      <c r="K115" s="156" t="e">
        <f t="shared" si="7"/>
        <v>#NUM!</v>
      </c>
      <c r="L115" s="156"/>
      <c r="M115" s="158">
        <f t="shared" si="8"/>
        <v>0</v>
      </c>
    </row>
    <row r="116" spans="1:13" x14ac:dyDescent="0.25">
      <c r="A116" s="172"/>
      <c r="G116" s="142"/>
      <c r="H116" s="156">
        <v>111</v>
      </c>
      <c r="I116" s="157" t="str">
        <f t="shared" si="9"/>
        <v/>
      </c>
      <c r="J116" s="156" t="e">
        <f t="shared" si="10"/>
        <v>#NUM!</v>
      </c>
      <c r="K116" s="156" t="e">
        <f t="shared" si="7"/>
        <v>#NUM!</v>
      </c>
      <c r="L116" s="156"/>
      <c r="M116" s="158">
        <f t="shared" si="8"/>
        <v>0</v>
      </c>
    </row>
    <row r="117" spans="1:13" x14ac:dyDescent="0.25">
      <c r="A117" s="172"/>
      <c r="G117" s="142"/>
      <c r="H117" s="156">
        <v>112</v>
      </c>
      <c r="I117" s="157" t="str">
        <f t="shared" si="9"/>
        <v/>
      </c>
      <c r="J117" s="156" t="e">
        <f t="shared" si="10"/>
        <v>#NUM!</v>
      </c>
      <c r="K117" s="156" t="e">
        <f t="shared" si="7"/>
        <v>#NUM!</v>
      </c>
      <c r="L117" s="156"/>
      <c r="M117" s="158">
        <f t="shared" si="8"/>
        <v>0</v>
      </c>
    </row>
    <row r="118" spans="1:13" x14ac:dyDescent="0.25">
      <c r="A118" s="172"/>
      <c r="G118" s="142"/>
      <c r="H118" s="156">
        <v>113</v>
      </c>
      <c r="I118" s="157" t="str">
        <f t="shared" si="9"/>
        <v/>
      </c>
      <c r="J118" s="156" t="e">
        <f t="shared" si="10"/>
        <v>#NUM!</v>
      </c>
      <c r="K118" s="156" t="e">
        <f t="shared" si="7"/>
        <v>#NUM!</v>
      </c>
      <c r="L118" s="156"/>
      <c r="M118" s="158">
        <f t="shared" si="8"/>
        <v>0</v>
      </c>
    </row>
    <row r="119" spans="1:13" x14ac:dyDescent="0.25">
      <c r="A119" s="172"/>
      <c r="G119" s="142"/>
      <c r="H119" s="156">
        <v>114</v>
      </c>
      <c r="I119" s="157" t="str">
        <f t="shared" si="9"/>
        <v/>
      </c>
      <c r="J119" s="156" t="e">
        <f t="shared" si="10"/>
        <v>#NUM!</v>
      </c>
      <c r="K119" s="156" t="e">
        <f t="shared" si="7"/>
        <v>#NUM!</v>
      </c>
      <c r="L119" s="156"/>
      <c r="M119" s="158">
        <f t="shared" si="8"/>
        <v>0</v>
      </c>
    </row>
    <row r="120" spans="1:13" x14ac:dyDescent="0.25">
      <c r="A120" s="172"/>
      <c r="G120" s="142"/>
      <c r="H120" s="156">
        <v>115</v>
      </c>
      <c r="I120" s="157" t="str">
        <f t="shared" si="9"/>
        <v/>
      </c>
      <c r="J120" s="156" t="e">
        <f t="shared" si="10"/>
        <v>#NUM!</v>
      </c>
      <c r="K120" s="156" t="e">
        <f t="shared" si="7"/>
        <v>#NUM!</v>
      </c>
      <c r="L120" s="156"/>
      <c r="M120" s="158">
        <f t="shared" si="8"/>
        <v>0</v>
      </c>
    </row>
    <row r="121" spans="1:13" x14ac:dyDescent="0.25">
      <c r="A121" s="172"/>
      <c r="G121" s="142"/>
      <c r="H121" s="156">
        <v>116</v>
      </c>
      <c r="I121" s="157" t="str">
        <f t="shared" si="9"/>
        <v/>
      </c>
      <c r="J121" s="156" t="e">
        <f t="shared" si="10"/>
        <v>#NUM!</v>
      </c>
      <c r="K121" s="156" t="e">
        <f t="shared" si="7"/>
        <v>#NUM!</v>
      </c>
      <c r="L121" s="156"/>
      <c r="M121" s="158">
        <f t="shared" si="8"/>
        <v>0</v>
      </c>
    </row>
    <row r="122" spans="1:13" x14ac:dyDescent="0.25">
      <c r="A122" s="172"/>
      <c r="G122" s="142"/>
      <c r="H122" s="156">
        <v>117</v>
      </c>
      <c r="I122" s="157" t="str">
        <f t="shared" si="9"/>
        <v/>
      </c>
      <c r="J122" s="156" t="e">
        <f t="shared" si="10"/>
        <v>#NUM!</v>
      </c>
      <c r="K122" s="156" t="e">
        <f t="shared" si="7"/>
        <v>#NUM!</v>
      </c>
      <c r="L122" s="156"/>
      <c r="M122" s="158">
        <f t="shared" si="8"/>
        <v>0</v>
      </c>
    </row>
    <row r="123" spans="1:13" x14ac:dyDescent="0.25">
      <c r="A123" s="172"/>
      <c r="G123" s="142"/>
      <c r="H123" s="156">
        <v>118</v>
      </c>
      <c r="I123" s="157" t="str">
        <f t="shared" si="9"/>
        <v/>
      </c>
      <c r="J123" s="156" t="e">
        <f t="shared" si="10"/>
        <v>#NUM!</v>
      </c>
      <c r="K123" s="156" t="e">
        <f t="shared" si="7"/>
        <v>#NUM!</v>
      </c>
      <c r="L123" s="156"/>
      <c r="M123" s="158">
        <f t="shared" si="8"/>
        <v>0</v>
      </c>
    </row>
    <row r="124" spans="1:13" x14ac:dyDescent="0.25">
      <c r="A124" s="172"/>
      <c r="G124" s="142"/>
      <c r="H124" s="156">
        <v>119</v>
      </c>
      <c r="I124" s="157" t="str">
        <f t="shared" si="9"/>
        <v/>
      </c>
      <c r="J124" s="156" t="e">
        <f t="shared" si="10"/>
        <v>#NUM!</v>
      </c>
      <c r="K124" s="156" t="e">
        <f t="shared" si="7"/>
        <v>#NUM!</v>
      </c>
      <c r="L124" s="156"/>
      <c r="M124" s="158">
        <f t="shared" si="8"/>
        <v>0</v>
      </c>
    </row>
    <row r="125" spans="1:13" x14ac:dyDescent="0.25">
      <c r="A125" s="172"/>
      <c r="G125" s="142"/>
      <c r="H125" s="156">
        <v>120</v>
      </c>
      <c r="I125" s="157" t="str">
        <f t="shared" si="9"/>
        <v/>
      </c>
      <c r="J125" s="156" t="e">
        <f t="shared" si="10"/>
        <v>#NUM!</v>
      </c>
      <c r="K125" s="156" t="e">
        <f t="shared" si="7"/>
        <v>#NUM!</v>
      </c>
      <c r="L125" s="156"/>
      <c r="M125" s="158">
        <f t="shared" si="8"/>
        <v>0</v>
      </c>
    </row>
    <row r="126" spans="1:13" x14ac:dyDescent="0.25">
      <c r="A126" s="172"/>
      <c r="G126" s="142"/>
      <c r="H126" s="156">
        <v>121</v>
      </c>
      <c r="I126" s="157" t="str">
        <f t="shared" si="9"/>
        <v/>
      </c>
      <c r="J126" s="156" t="e">
        <f t="shared" si="10"/>
        <v>#NUM!</v>
      </c>
      <c r="K126" s="156" t="e">
        <f t="shared" si="7"/>
        <v>#NUM!</v>
      </c>
      <c r="L126" s="156"/>
      <c r="M126" s="158">
        <f t="shared" si="8"/>
        <v>0</v>
      </c>
    </row>
    <row r="127" spans="1:13" x14ac:dyDescent="0.25">
      <c r="A127" s="172"/>
      <c r="G127" s="142"/>
      <c r="H127" s="156">
        <v>122</v>
      </c>
      <c r="I127" s="157" t="str">
        <f t="shared" si="9"/>
        <v/>
      </c>
      <c r="J127" s="156" t="e">
        <f t="shared" si="10"/>
        <v>#NUM!</v>
      </c>
      <c r="K127" s="156" t="e">
        <f t="shared" si="7"/>
        <v>#NUM!</v>
      </c>
      <c r="L127" s="156"/>
      <c r="M127" s="158">
        <f t="shared" si="8"/>
        <v>0</v>
      </c>
    </row>
    <row r="128" spans="1:13" x14ac:dyDescent="0.25">
      <c r="A128" s="172"/>
      <c r="G128" s="142"/>
      <c r="H128" s="156">
        <v>123</v>
      </c>
      <c r="I128" s="157" t="str">
        <f t="shared" si="9"/>
        <v/>
      </c>
      <c r="J128" s="156" t="e">
        <f t="shared" si="10"/>
        <v>#NUM!</v>
      </c>
      <c r="K128" s="156" t="e">
        <f t="shared" si="7"/>
        <v>#NUM!</v>
      </c>
      <c r="L128" s="156"/>
      <c r="M128" s="158">
        <f t="shared" si="8"/>
        <v>0</v>
      </c>
    </row>
    <row r="129" spans="1:13" x14ac:dyDescent="0.25">
      <c r="A129" s="172"/>
      <c r="G129" s="142"/>
      <c r="H129" s="156">
        <v>124</v>
      </c>
      <c r="I129" s="157" t="str">
        <f t="shared" si="9"/>
        <v/>
      </c>
      <c r="J129" s="156" t="e">
        <f t="shared" si="10"/>
        <v>#NUM!</v>
      </c>
      <c r="K129" s="156" t="e">
        <f t="shared" si="7"/>
        <v>#NUM!</v>
      </c>
      <c r="L129" s="156"/>
      <c r="M129" s="158">
        <f t="shared" si="8"/>
        <v>0</v>
      </c>
    </row>
    <row r="130" spans="1:13" x14ac:dyDescent="0.25">
      <c r="A130" s="172"/>
      <c r="G130" s="142"/>
      <c r="H130" s="156">
        <v>125</v>
      </c>
      <c r="I130" s="157" t="str">
        <f t="shared" si="9"/>
        <v/>
      </c>
      <c r="J130" s="156" t="e">
        <f t="shared" si="10"/>
        <v>#NUM!</v>
      </c>
      <c r="K130" s="156" t="e">
        <f t="shared" si="7"/>
        <v>#NUM!</v>
      </c>
      <c r="L130" s="156"/>
      <c r="M130" s="158">
        <f t="shared" si="8"/>
        <v>0</v>
      </c>
    </row>
    <row r="131" spans="1:13" x14ac:dyDescent="0.25">
      <c r="A131" s="172"/>
      <c r="G131" s="142"/>
      <c r="H131" s="156">
        <v>126</v>
      </c>
      <c r="I131" s="157" t="str">
        <f t="shared" si="9"/>
        <v/>
      </c>
      <c r="J131" s="156" t="e">
        <f t="shared" si="10"/>
        <v>#NUM!</v>
      </c>
      <c r="K131" s="156" t="e">
        <f t="shared" si="7"/>
        <v>#NUM!</v>
      </c>
      <c r="L131" s="156"/>
      <c r="M131" s="158">
        <f t="shared" si="8"/>
        <v>0</v>
      </c>
    </row>
    <row r="132" spans="1:13" x14ac:dyDescent="0.25">
      <c r="A132" s="172"/>
      <c r="G132" s="142"/>
      <c r="H132" s="156">
        <v>127</v>
      </c>
      <c r="I132" s="157" t="str">
        <f t="shared" si="9"/>
        <v/>
      </c>
      <c r="J132" s="156" t="e">
        <f t="shared" si="10"/>
        <v>#NUM!</v>
      </c>
      <c r="K132" s="156" t="e">
        <f t="shared" si="7"/>
        <v>#NUM!</v>
      </c>
      <c r="L132" s="156"/>
      <c r="M132" s="158">
        <f t="shared" si="8"/>
        <v>0</v>
      </c>
    </row>
    <row r="133" spans="1:13" x14ac:dyDescent="0.25">
      <c r="A133" s="172"/>
      <c r="G133" s="142"/>
      <c r="H133" s="156">
        <v>128</v>
      </c>
      <c r="I133" s="157" t="str">
        <f t="shared" si="9"/>
        <v/>
      </c>
      <c r="J133" s="156" t="e">
        <f t="shared" si="10"/>
        <v>#NUM!</v>
      </c>
      <c r="K133" s="156" t="e">
        <f t="shared" si="7"/>
        <v>#NUM!</v>
      </c>
      <c r="L133" s="156"/>
      <c r="M133" s="158">
        <f t="shared" si="8"/>
        <v>0</v>
      </c>
    </row>
    <row r="134" spans="1:13" x14ac:dyDescent="0.25">
      <c r="A134" s="172"/>
      <c r="G134" s="142"/>
      <c r="H134" s="156">
        <v>129</v>
      </c>
      <c r="I134" s="157" t="str">
        <f t="shared" si="9"/>
        <v/>
      </c>
      <c r="J134" s="156" t="e">
        <f t="shared" si="10"/>
        <v>#NUM!</v>
      </c>
      <c r="K134" s="156" t="e">
        <f t="shared" ref="K134:K197" si="11">J134*$J$2</f>
        <v>#NUM!</v>
      </c>
      <c r="L134" s="156"/>
      <c r="M134" s="158">
        <f t="shared" ref="M134:M197" si="12">IF(I134&lt;&gt;"",K134+I134+L134,0)</f>
        <v>0</v>
      </c>
    </row>
    <row r="135" spans="1:13" x14ac:dyDescent="0.25">
      <c r="A135" s="172"/>
      <c r="G135" s="142"/>
      <c r="H135" s="156">
        <v>130</v>
      </c>
      <c r="I135" s="157" t="str">
        <f t="shared" ref="I135:I198" si="13">IF(H135&lt;$H$2+1,($I$2-($I$2-1)*(LOG(H135)/LOG($H$2))),"")</f>
        <v/>
      </c>
      <c r="J135" s="156" t="e">
        <f t="shared" ref="J135:J198" si="14">INT(LOG($H$2,2))-ROUNDUP(LOG(H135,2),0)+IF(OR($H$2=1,$H$2=2,$H$2=4,$H$2=8,$H$2=16,$H$2=32,$H$2=64,$H$2=128,$H$2=256),0,1)</f>
        <v>#NUM!</v>
      </c>
      <c r="K135" s="156" t="e">
        <f t="shared" si="11"/>
        <v>#NUM!</v>
      </c>
      <c r="L135" s="156"/>
      <c r="M135" s="158">
        <f t="shared" si="12"/>
        <v>0</v>
      </c>
    </row>
    <row r="136" spans="1:13" x14ac:dyDescent="0.25">
      <c r="A136" s="172"/>
      <c r="G136" s="142"/>
      <c r="H136" s="156">
        <v>131</v>
      </c>
      <c r="I136" s="157" t="str">
        <f t="shared" si="13"/>
        <v/>
      </c>
      <c r="J136" s="156" t="e">
        <f t="shared" si="14"/>
        <v>#NUM!</v>
      </c>
      <c r="K136" s="156" t="e">
        <f t="shared" si="11"/>
        <v>#NUM!</v>
      </c>
      <c r="L136" s="156"/>
      <c r="M136" s="158">
        <f t="shared" si="12"/>
        <v>0</v>
      </c>
    </row>
    <row r="137" spans="1:13" x14ac:dyDescent="0.25">
      <c r="A137" s="172"/>
      <c r="G137" s="142"/>
      <c r="H137" s="156">
        <v>132</v>
      </c>
      <c r="I137" s="157" t="str">
        <f t="shared" si="13"/>
        <v/>
      </c>
      <c r="J137" s="156" t="e">
        <f t="shared" si="14"/>
        <v>#NUM!</v>
      </c>
      <c r="K137" s="156" t="e">
        <f t="shared" si="11"/>
        <v>#NUM!</v>
      </c>
      <c r="L137" s="156"/>
      <c r="M137" s="158">
        <f t="shared" si="12"/>
        <v>0</v>
      </c>
    </row>
    <row r="138" spans="1:13" x14ac:dyDescent="0.25">
      <c r="A138" s="172"/>
      <c r="G138" s="142"/>
      <c r="H138" s="156">
        <v>133</v>
      </c>
      <c r="I138" s="157" t="str">
        <f t="shared" si="13"/>
        <v/>
      </c>
      <c r="J138" s="156" t="e">
        <f t="shared" si="14"/>
        <v>#NUM!</v>
      </c>
      <c r="K138" s="156" t="e">
        <f t="shared" si="11"/>
        <v>#NUM!</v>
      </c>
      <c r="L138" s="156"/>
      <c r="M138" s="158">
        <f t="shared" si="12"/>
        <v>0</v>
      </c>
    </row>
    <row r="139" spans="1:13" x14ac:dyDescent="0.25">
      <c r="A139" s="172"/>
      <c r="G139" s="142"/>
      <c r="H139" s="156">
        <v>134</v>
      </c>
      <c r="I139" s="157" t="str">
        <f t="shared" si="13"/>
        <v/>
      </c>
      <c r="J139" s="156" t="e">
        <f t="shared" si="14"/>
        <v>#NUM!</v>
      </c>
      <c r="K139" s="156" t="e">
        <f t="shared" si="11"/>
        <v>#NUM!</v>
      </c>
      <c r="L139" s="156"/>
      <c r="M139" s="158">
        <f t="shared" si="12"/>
        <v>0</v>
      </c>
    </row>
    <row r="140" spans="1:13" x14ac:dyDescent="0.25">
      <c r="A140" s="172"/>
      <c r="G140" s="142"/>
      <c r="H140" s="156">
        <v>135</v>
      </c>
      <c r="I140" s="157" t="str">
        <f t="shared" si="13"/>
        <v/>
      </c>
      <c r="J140" s="156" t="e">
        <f t="shared" si="14"/>
        <v>#NUM!</v>
      </c>
      <c r="K140" s="156" t="e">
        <f t="shared" si="11"/>
        <v>#NUM!</v>
      </c>
      <c r="L140" s="156"/>
      <c r="M140" s="158">
        <f t="shared" si="12"/>
        <v>0</v>
      </c>
    </row>
    <row r="141" spans="1:13" x14ac:dyDescent="0.25">
      <c r="A141" s="172"/>
      <c r="G141" s="142"/>
      <c r="H141" s="156">
        <v>136</v>
      </c>
      <c r="I141" s="157" t="str">
        <f t="shared" si="13"/>
        <v/>
      </c>
      <c r="J141" s="156" t="e">
        <f t="shared" si="14"/>
        <v>#NUM!</v>
      </c>
      <c r="K141" s="156" t="e">
        <f t="shared" si="11"/>
        <v>#NUM!</v>
      </c>
      <c r="L141" s="156"/>
      <c r="M141" s="158">
        <f t="shared" si="12"/>
        <v>0</v>
      </c>
    </row>
    <row r="142" spans="1:13" x14ac:dyDescent="0.25">
      <c r="A142" s="172"/>
      <c r="G142" s="142"/>
      <c r="H142" s="156">
        <v>137</v>
      </c>
      <c r="I142" s="157" t="str">
        <f t="shared" si="13"/>
        <v/>
      </c>
      <c r="J142" s="156" t="e">
        <f t="shared" si="14"/>
        <v>#NUM!</v>
      </c>
      <c r="K142" s="156" t="e">
        <f t="shared" si="11"/>
        <v>#NUM!</v>
      </c>
      <c r="L142" s="156"/>
      <c r="M142" s="158">
        <f t="shared" si="12"/>
        <v>0</v>
      </c>
    </row>
    <row r="143" spans="1:13" x14ac:dyDescent="0.25">
      <c r="A143" s="172"/>
      <c r="G143" s="142"/>
      <c r="H143" s="156">
        <v>138</v>
      </c>
      <c r="I143" s="157" t="str">
        <f t="shared" si="13"/>
        <v/>
      </c>
      <c r="J143" s="156" t="e">
        <f t="shared" si="14"/>
        <v>#NUM!</v>
      </c>
      <c r="K143" s="156" t="e">
        <f t="shared" si="11"/>
        <v>#NUM!</v>
      </c>
      <c r="L143" s="156"/>
      <c r="M143" s="158">
        <f t="shared" si="12"/>
        <v>0</v>
      </c>
    </row>
    <row r="144" spans="1:13" x14ac:dyDescent="0.25">
      <c r="A144" s="172"/>
      <c r="G144" s="142"/>
      <c r="H144" s="156">
        <v>139</v>
      </c>
      <c r="I144" s="157" t="str">
        <f t="shared" si="13"/>
        <v/>
      </c>
      <c r="J144" s="156" t="e">
        <f t="shared" si="14"/>
        <v>#NUM!</v>
      </c>
      <c r="K144" s="156" t="e">
        <f t="shared" si="11"/>
        <v>#NUM!</v>
      </c>
      <c r="L144" s="156"/>
      <c r="M144" s="158">
        <f t="shared" si="12"/>
        <v>0</v>
      </c>
    </row>
    <row r="145" spans="1:13" x14ac:dyDescent="0.25">
      <c r="A145" s="172"/>
      <c r="G145" s="142"/>
      <c r="H145" s="156">
        <v>140</v>
      </c>
      <c r="I145" s="157" t="str">
        <f t="shared" si="13"/>
        <v/>
      </c>
      <c r="J145" s="156" t="e">
        <f t="shared" si="14"/>
        <v>#NUM!</v>
      </c>
      <c r="K145" s="156" t="e">
        <f t="shared" si="11"/>
        <v>#NUM!</v>
      </c>
      <c r="L145" s="156"/>
      <c r="M145" s="158">
        <f t="shared" si="12"/>
        <v>0</v>
      </c>
    </row>
    <row r="146" spans="1:13" x14ac:dyDescent="0.25">
      <c r="A146" s="172"/>
      <c r="G146" s="142"/>
      <c r="H146" s="156">
        <v>141</v>
      </c>
      <c r="I146" s="157" t="str">
        <f t="shared" si="13"/>
        <v/>
      </c>
      <c r="J146" s="156" t="e">
        <f t="shared" si="14"/>
        <v>#NUM!</v>
      </c>
      <c r="K146" s="156" t="e">
        <f t="shared" si="11"/>
        <v>#NUM!</v>
      </c>
      <c r="L146" s="156"/>
      <c r="M146" s="158">
        <f t="shared" si="12"/>
        <v>0</v>
      </c>
    </row>
    <row r="147" spans="1:13" x14ac:dyDescent="0.25">
      <c r="A147" s="172"/>
      <c r="G147" s="142"/>
      <c r="H147" s="156">
        <v>142</v>
      </c>
      <c r="I147" s="157" t="str">
        <f t="shared" si="13"/>
        <v/>
      </c>
      <c r="J147" s="156" t="e">
        <f t="shared" si="14"/>
        <v>#NUM!</v>
      </c>
      <c r="K147" s="156" t="e">
        <f t="shared" si="11"/>
        <v>#NUM!</v>
      </c>
      <c r="L147" s="156"/>
      <c r="M147" s="158">
        <f t="shared" si="12"/>
        <v>0</v>
      </c>
    </row>
    <row r="148" spans="1:13" x14ac:dyDescent="0.25">
      <c r="A148" s="172"/>
      <c r="G148" s="142"/>
      <c r="H148" s="156">
        <v>143</v>
      </c>
      <c r="I148" s="157" t="str">
        <f t="shared" si="13"/>
        <v/>
      </c>
      <c r="J148" s="156" t="e">
        <f t="shared" si="14"/>
        <v>#NUM!</v>
      </c>
      <c r="K148" s="156" t="e">
        <f t="shared" si="11"/>
        <v>#NUM!</v>
      </c>
      <c r="L148" s="156"/>
      <c r="M148" s="158">
        <f t="shared" si="12"/>
        <v>0</v>
      </c>
    </row>
    <row r="149" spans="1:13" x14ac:dyDescent="0.25">
      <c r="A149" s="172"/>
      <c r="G149" s="142"/>
      <c r="H149" s="156">
        <v>144</v>
      </c>
      <c r="I149" s="157" t="str">
        <f t="shared" si="13"/>
        <v/>
      </c>
      <c r="J149" s="156" t="e">
        <f t="shared" si="14"/>
        <v>#NUM!</v>
      </c>
      <c r="K149" s="156" t="e">
        <f t="shared" si="11"/>
        <v>#NUM!</v>
      </c>
      <c r="L149" s="156"/>
      <c r="M149" s="158">
        <f t="shared" si="12"/>
        <v>0</v>
      </c>
    </row>
    <row r="150" spans="1:13" x14ac:dyDescent="0.25">
      <c r="A150" s="172"/>
      <c r="G150" s="142"/>
      <c r="H150" s="156">
        <v>145</v>
      </c>
      <c r="I150" s="157" t="str">
        <f t="shared" si="13"/>
        <v/>
      </c>
      <c r="J150" s="156" t="e">
        <f t="shared" si="14"/>
        <v>#NUM!</v>
      </c>
      <c r="K150" s="156" t="e">
        <f t="shared" si="11"/>
        <v>#NUM!</v>
      </c>
      <c r="L150" s="156"/>
      <c r="M150" s="158">
        <f t="shared" si="12"/>
        <v>0</v>
      </c>
    </row>
    <row r="151" spans="1:13" x14ac:dyDescent="0.25">
      <c r="A151" s="172"/>
      <c r="G151" s="142"/>
      <c r="H151" s="156">
        <v>146</v>
      </c>
      <c r="I151" s="157" t="str">
        <f t="shared" si="13"/>
        <v/>
      </c>
      <c r="J151" s="156" t="e">
        <f t="shared" si="14"/>
        <v>#NUM!</v>
      </c>
      <c r="K151" s="156" t="e">
        <f t="shared" si="11"/>
        <v>#NUM!</v>
      </c>
      <c r="L151" s="156"/>
      <c r="M151" s="158">
        <f t="shared" si="12"/>
        <v>0</v>
      </c>
    </row>
    <row r="152" spans="1:13" x14ac:dyDescent="0.25">
      <c r="A152" s="172"/>
      <c r="G152" s="142"/>
      <c r="H152" s="156">
        <v>147</v>
      </c>
      <c r="I152" s="157" t="str">
        <f t="shared" si="13"/>
        <v/>
      </c>
      <c r="J152" s="156" t="e">
        <f t="shared" si="14"/>
        <v>#NUM!</v>
      </c>
      <c r="K152" s="156" t="e">
        <f t="shared" si="11"/>
        <v>#NUM!</v>
      </c>
      <c r="L152" s="156"/>
      <c r="M152" s="158">
        <f t="shared" si="12"/>
        <v>0</v>
      </c>
    </row>
    <row r="153" spans="1:13" x14ac:dyDescent="0.25">
      <c r="A153" s="172"/>
      <c r="G153" s="142"/>
      <c r="H153" s="156">
        <v>148</v>
      </c>
      <c r="I153" s="157" t="str">
        <f t="shared" si="13"/>
        <v/>
      </c>
      <c r="J153" s="156" t="e">
        <f t="shared" si="14"/>
        <v>#NUM!</v>
      </c>
      <c r="K153" s="156" t="e">
        <f t="shared" si="11"/>
        <v>#NUM!</v>
      </c>
      <c r="L153" s="156"/>
      <c r="M153" s="158">
        <f t="shared" si="12"/>
        <v>0</v>
      </c>
    </row>
    <row r="154" spans="1:13" x14ac:dyDescent="0.25">
      <c r="A154" s="172"/>
      <c r="G154" s="142"/>
      <c r="H154" s="156">
        <v>149</v>
      </c>
      <c r="I154" s="157" t="str">
        <f t="shared" si="13"/>
        <v/>
      </c>
      <c r="J154" s="156" t="e">
        <f t="shared" si="14"/>
        <v>#NUM!</v>
      </c>
      <c r="K154" s="156" t="e">
        <f t="shared" si="11"/>
        <v>#NUM!</v>
      </c>
      <c r="L154" s="156"/>
      <c r="M154" s="158">
        <f t="shared" si="12"/>
        <v>0</v>
      </c>
    </row>
    <row r="155" spans="1:13" x14ac:dyDescent="0.25">
      <c r="A155" s="172"/>
      <c r="G155" s="142"/>
      <c r="H155" s="156">
        <v>150</v>
      </c>
      <c r="I155" s="157" t="str">
        <f t="shared" si="13"/>
        <v/>
      </c>
      <c r="J155" s="156" t="e">
        <f t="shared" si="14"/>
        <v>#NUM!</v>
      </c>
      <c r="K155" s="156" t="e">
        <f t="shared" si="11"/>
        <v>#NUM!</v>
      </c>
      <c r="L155" s="156"/>
      <c r="M155" s="158">
        <f t="shared" si="12"/>
        <v>0</v>
      </c>
    </row>
    <row r="156" spans="1:13" x14ac:dyDescent="0.25">
      <c r="A156" s="172"/>
      <c r="G156" s="142"/>
      <c r="H156" s="156">
        <v>151</v>
      </c>
      <c r="I156" s="157" t="str">
        <f t="shared" si="13"/>
        <v/>
      </c>
      <c r="J156" s="156" t="e">
        <f t="shared" si="14"/>
        <v>#NUM!</v>
      </c>
      <c r="K156" s="156" t="e">
        <f t="shared" si="11"/>
        <v>#NUM!</v>
      </c>
      <c r="L156" s="156"/>
      <c r="M156" s="158">
        <f t="shared" si="12"/>
        <v>0</v>
      </c>
    </row>
    <row r="157" spans="1:13" x14ac:dyDescent="0.25">
      <c r="A157" s="172"/>
      <c r="G157" s="142"/>
      <c r="H157" s="156">
        <v>152</v>
      </c>
      <c r="I157" s="157" t="str">
        <f t="shared" si="13"/>
        <v/>
      </c>
      <c r="J157" s="156" t="e">
        <f t="shared" si="14"/>
        <v>#NUM!</v>
      </c>
      <c r="K157" s="156" t="e">
        <f t="shared" si="11"/>
        <v>#NUM!</v>
      </c>
      <c r="L157" s="156"/>
      <c r="M157" s="158">
        <f t="shared" si="12"/>
        <v>0</v>
      </c>
    </row>
    <row r="158" spans="1:13" x14ac:dyDescent="0.25">
      <c r="A158" s="172"/>
      <c r="G158" s="142"/>
      <c r="H158" s="156">
        <v>153</v>
      </c>
      <c r="I158" s="157" t="str">
        <f t="shared" si="13"/>
        <v/>
      </c>
      <c r="J158" s="156" t="e">
        <f t="shared" si="14"/>
        <v>#NUM!</v>
      </c>
      <c r="K158" s="156" t="e">
        <f t="shared" si="11"/>
        <v>#NUM!</v>
      </c>
      <c r="L158" s="156"/>
      <c r="M158" s="158">
        <f t="shared" si="12"/>
        <v>0</v>
      </c>
    </row>
    <row r="159" spans="1:13" x14ac:dyDescent="0.25">
      <c r="A159" s="172"/>
      <c r="G159" s="142"/>
      <c r="H159" s="156">
        <v>154</v>
      </c>
      <c r="I159" s="157" t="str">
        <f t="shared" si="13"/>
        <v/>
      </c>
      <c r="J159" s="156" t="e">
        <f t="shared" si="14"/>
        <v>#NUM!</v>
      </c>
      <c r="K159" s="156" t="e">
        <f t="shared" si="11"/>
        <v>#NUM!</v>
      </c>
      <c r="L159" s="156"/>
      <c r="M159" s="158">
        <f t="shared" si="12"/>
        <v>0</v>
      </c>
    </row>
    <row r="160" spans="1:13" x14ac:dyDescent="0.25">
      <c r="A160" s="172"/>
      <c r="G160" s="142"/>
      <c r="H160" s="156">
        <v>155</v>
      </c>
      <c r="I160" s="157" t="str">
        <f t="shared" si="13"/>
        <v/>
      </c>
      <c r="J160" s="156" t="e">
        <f t="shared" si="14"/>
        <v>#NUM!</v>
      </c>
      <c r="K160" s="156" t="e">
        <f t="shared" si="11"/>
        <v>#NUM!</v>
      </c>
      <c r="L160" s="156"/>
      <c r="M160" s="158">
        <f t="shared" si="12"/>
        <v>0</v>
      </c>
    </row>
    <row r="161" spans="1:13" x14ac:dyDescent="0.25">
      <c r="A161" s="172"/>
      <c r="G161" s="142"/>
      <c r="H161" s="156">
        <v>156</v>
      </c>
      <c r="I161" s="157" t="str">
        <f t="shared" si="13"/>
        <v/>
      </c>
      <c r="J161" s="156" t="e">
        <f t="shared" si="14"/>
        <v>#NUM!</v>
      </c>
      <c r="K161" s="156" t="e">
        <f t="shared" si="11"/>
        <v>#NUM!</v>
      </c>
      <c r="L161" s="156"/>
      <c r="M161" s="158">
        <f t="shared" si="12"/>
        <v>0</v>
      </c>
    </row>
    <row r="162" spans="1:13" x14ac:dyDescent="0.25">
      <c r="A162" s="172"/>
      <c r="G162" s="142"/>
      <c r="H162" s="156">
        <v>157</v>
      </c>
      <c r="I162" s="157" t="str">
        <f t="shared" si="13"/>
        <v/>
      </c>
      <c r="J162" s="156" t="e">
        <f t="shared" si="14"/>
        <v>#NUM!</v>
      </c>
      <c r="K162" s="156" t="e">
        <f t="shared" si="11"/>
        <v>#NUM!</v>
      </c>
      <c r="L162" s="156"/>
      <c r="M162" s="158">
        <f t="shared" si="12"/>
        <v>0</v>
      </c>
    </row>
    <row r="163" spans="1:13" x14ac:dyDescent="0.25">
      <c r="A163" s="172"/>
      <c r="G163" s="142"/>
      <c r="H163" s="156">
        <v>158</v>
      </c>
      <c r="I163" s="157" t="str">
        <f t="shared" si="13"/>
        <v/>
      </c>
      <c r="J163" s="156" t="e">
        <f t="shared" si="14"/>
        <v>#NUM!</v>
      </c>
      <c r="K163" s="156" t="e">
        <f t="shared" si="11"/>
        <v>#NUM!</v>
      </c>
      <c r="L163" s="156"/>
      <c r="M163" s="158">
        <f t="shared" si="12"/>
        <v>0</v>
      </c>
    </row>
    <row r="164" spans="1:13" x14ac:dyDescent="0.25">
      <c r="A164" s="172"/>
      <c r="G164" s="142"/>
      <c r="H164" s="156">
        <v>159</v>
      </c>
      <c r="I164" s="157" t="str">
        <f t="shared" si="13"/>
        <v/>
      </c>
      <c r="J164" s="156" t="e">
        <f t="shared" si="14"/>
        <v>#NUM!</v>
      </c>
      <c r="K164" s="156" t="e">
        <f t="shared" si="11"/>
        <v>#NUM!</v>
      </c>
      <c r="L164" s="156"/>
      <c r="M164" s="158">
        <f t="shared" si="12"/>
        <v>0</v>
      </c>
    </row>
    <row r="165" spans="1:13" x14ac:dyDescent="0.25">
      <c r="A165" s="172"/>
      <c r="G165" s="142"/>
      <c r="H165" s="156">
        <v>160</v>
      </c>
      <c r="I165" s="157" t="str">
        <f t="shared" si="13"/>
        <v/>
      </c>
      <c r="J165" s="156" t="e">
        <f t="shared" si="14"/>
        <v>#NUM!</v>
      </c>
      <c r="K165" s="156" t="e">
        <f t="shared" si="11"/>
        <v>#NUM!</v>
      </c>
      <c r="L165" s="156"/>
      <c r="M165" s="158">
        <f t="shared" si="12"/>
        <v>0</v>
      </c>
    </row>
    <row r="166" spans="1:13" x14ac:dyDescent="0.25">
      <c r="A166" s="172"/>
      <c r="G166" s="142"/>
      <c r="H166" s="156">
        <v>161</v>
      </c>
      <c r="I166" s="157" t="str">
        <f t="shared" si="13"/>
        <v/>
      </c>
      <c r="J166" s="156" t="e">
        <f t="shared" si="14"/>
        <v>#NUM!</v>
      </c>
      <c r="K166" s="156" t="e">
        <f t="shared" si="11"/>
        <v>#NUM!</v>
      </c>
      <c r="L166" s="156"/>
      <c r="M166" s="158">
        <f t="shared" si="12"/>
        <v>0</v>
      </c>
    </row>
    <row r="167" spans="1:13" x14ac:dyDescent="0.25">
      <c r="A167" s="172"/>
      <c r="G167" s="142"/>
      <c r="H167" s="156">
        <v>162</v>
      </c>
      <c r="I167" s="157" t="str">
        <f t="shared" si="13"/>
        <v/>
      </c>
      <c r="J167" s="156" t="e">
        <f t="shared" si="14"/>
        <v>#NUM!</v>
      </c>
      <c r="K167" s="156" t="e">
        <f t="shared" si="11"/>
        <v>#NUM!</v>
      </c>
      <c r="L167" s="156"/>
      <c r="M167" s="158">
        <f t="shared" si="12"/>
        <v>0</v>
      </c>
    </row>
    <row r="168" spans="1:13" x14ac:dyDescent="0.25">
      <c r="A168" s="172"/>
      <c r="G168" s="142"/>
      <c r="H168" s="156">
        <v>163</v>
      </c>
      <c r="I168" s="157" t="str">
        <f t="shared" si="13"/>
        <v/>
      </c>
      <c r="J168" s="156" t="e">
        <f t="shared" si="14"/>
        <v>#NUM!</v>
      </c>
      <c r="K168" s="156" t="e">
        <f t="shared" si="11"/>
        <v>#NUM!</v>
      </c>
      <c r="L168" s="156"/>
      <c r="M168" s="158">
        <f t="shared" si="12"/>
        <v>0</v>
      </c>
    </row>
    <row r="169" spans="1:13" x14ac:dyDescent="0.25">
      <c r="A169" s="172"/>
      <c r="G169" s="142"/>
      <c r="H169" s="156">
        <v>164</v>
      </c>
      <c r="I169" s="157" t="str">
        <f t="shared" si="13"/>
        <v/>
      </c>
      <c r="J169" s="156" t="e">
        <f t="shared" si="14"/>
        <v>#NUM!</v>
      </c>
      <c r="K169" s="156" t="e">
        <f t="shared" si="11"/>
        <v>#NUM!</v>
      </c>
      <c r="L169" s="156"/>
      <c r="M169" s="158">
        <f t="shared" si="12"/>
        <v>0</v>
      </c>
    </row>
    <row r="170" spans="1:13" x14ac:dyDescent="0.25">
      <c r="A170" s="172"/>
      <c r="G170" s="142"/>
      <c r="H170" s="156">
        <v>165</v>
      </c>
      <c r="I170" s="157" t="str">
        <f t="shared" si="13"/>
        <v/>
      </c>
      <c r="J170" s="156" t="e">
        <f t="shared" si="14"/>
        <v>#NUM!</v>
      </c>
      <c r="K170" s="156" t="e">
        <f t="shared" si="11"/>
        <v>#NUM!</v>
      </c>
      <c r="L170" s="156"/>
      <c r="M170" s="158">
        <f t="shared" si="12"/>
        <v>0</v>
      </c>
    </row>
    <row r="171" spans="1:13" x14ac:dyDescent="0.25">
      <c r="A171" s="172"/>
      <c r="G171" s="142"/>
      <c r="H171" s="156">
        <v>166</v>
      </c>
      <c r="I171" s="157" t="str">
        <f t="shared" si="13"/>
        <v/>
      </c>
      <c r="J171" s="156" t="e">
        <f t="shared" si="14"/>
        <v>#NUM!</v>
      </c>
      <c r="K171" s="156" t="e">
        <f t="shared" si="11"/>
        <v>#NUM!</v>
      </c>
      <c r="L171" s="156"/>
      <c r="M171" s="158">
        <f t="shared" si="12"/>
        <v>0</v>
      </c>
    </row>
    <row r="172" spans="1:13" x14ac:dyDescent="0.25">
      <c r="A172" s="172"/>
      <c r="G172" s="142"/>
      <c r="H172" s="156">
        <v>167</v>
      </c>
      <c r="I172" s="157" t="str">
        <f t="shared" si="13"/>
        <v/>
      </c>
      <c r="J172" s="156" t="e">
        <f t="shared" si="14"/>
        <v>#NUM!</v>
      </c>
      <c r="K172" s="156" t="e">
        <f t="shared" si="11"/>
        <v>#NUM!</v>
      </c>
      <c r="L172" s="156"/>
      <c r="M172" s="158">
        <f t="shared" si="12"/>
        <v>0</v>
      </c>
    </row>
    <row r="173" spans="1:13" x14ac:dyDescent="0.25">
      <c r="A173" s="172"/>
      <c r="G173" s="142"/>
      <c r="H173" s="156">
        <v>168</v>
      </c>
      <c r="I173" s="157" t="str">
        <f t="shared" si="13"/>
        <v/>
      </c>
      <c r="J173" s="156" t="e">
        <f t="shared" si="14"/>
        <v>#NUM!</v>
      </c>
      <c r="K173" s="156" t="e">
        <f t="shared" si="11"/>
        <v>#NUM!</v>
      </c>
      <c r="L173" s="156"/>
      <c r="M173" s="158">
        <f t="shared" si="12"/>
        <v>0</v>
      </c>
    </row>
    <row r="174" spans="1:13" x14ac:dyDescent="0.25">
      <c r="A174" s="172"/>
      <c r="G174" s="142"/>
      <c r="H174" s="156">
        <v>169</v>
      </c>
      <c r="I174" s="157" t="str">
        <f t="shared" si="13"/>
        <v/>
      </c>
      <c r="J174" s="156" t="e">
        <f t="shared" si="14"/>
        <v>#NUM!</v>
      </c>
      <c r="K174" s="156" t="e">
        <f t="shared" si="11"/>
        <v>#NUM!</v>
      </c>
      <c r="L174" s="156"/>
      <c r="M174" s="158">
        <f t="shared" si="12"/>
        <v>0</v>
      </c>
    </row>
    <row r="175" spans="1:13" x14ac:dyDescent="0.25">
      <c r="A175" s="172"/>
      <c r="G175" s="142"/>
      <c r="H175" s="156">
        <v>170</v>
      </c>
      <c r="I175" s="157" t="str">
        <f t="shared" si="13"/>
        <v/>
      </c>
      <c r="J175" s="156" t="e">
        <f t="shared" si="14"/>
        <v>#NUM!</v>
      </c>
      <c r="K175" s="156" t="e">
        <f t="shared" si="11"/>
        <v>#NUM!</v>
      </c>
      <c r="L175" s="156"/>
      <c r="M175" s="158">
        <f t="shared" si="12"/>
        <v>0</v>
      </c>
    </row>
    <row r="176" spans="1:13" x14ac:dyDescent="0.25">
      <c r="A176" s="172"/>
      <c r="G176" s="142"/>
      <c r="H176" s="156">
        <v>171</v>
      </c>
      <c r="I176" s="157" t="str">
        <f t="shared" si="13"/>
        <v/>
      </c>
      <c r="J176" s="156" t="e">
        <f t="shared" si="14"/>
        <v>#NUM!</v>
      </c>
      <c r="K176" s="156" t="e">
        <f t="shared" si="11"/>
        <v>#NUM!</v>
      </c>
      <c r="L176" s="156"/>
      <c r="M176" s="158">
        <f t="shared" si="12"/>
        <v>0</v>
      </c>
    </row>
    <row r="177" spans="1:13" x14ac:dyDescent="0.25">
      <c r="A177" s="172"/>
      <c r="G177" s="142"/>
      <c r="H177" s="156">
        <v>172</v>
      </c>
      <c r="I177" s="157" t="str">
        <f t="shared" si="13"/>
        <v/>
      </c>
      <c r="J177" s="156" t="e">
        <f t="shared" si="14"/>
        <v>#NUM!</v>
      </c>
      <c r="K177" s="156" t="e">
        <f t="shared" si="11"/>
        <v>#NUM!</v>
      </c>
      <c r="L177" s="156"/>
      <c r="M177" s="158">
        <f t="shared" si="12"/>
        <v>0</v>
      </c>
    </row>
    <row r="178" spans="1:13" x14ac:dyDescent="0.25">
      <c r="A178" s="172"/>
      <c r="G178" s="142"/>
      <c r="H178" s="156">
        <v>173</v>
      </c>
      <c r="I178" s="157" t="str">
        <f t="shared" si="13"/>
        <v/>
      </c>
      <c r="J178" s="156" t="e">
        <f t="shared" si="14"/>
        <v>#NUM!</v>
      </c>
      <c r="K178" s="156" t="e">
        <f t="shared" si="11"/>
        <v>#NUM!</v>
      </c>
      <c r="L178" s="156"/>
      <c r="M178" s="158">
        <f t="shared" si="12"/>
        <v>0</v>
      </c>
    </row>
    <row r="179" spans="1:13" x14ac:dyDescent="0.25">
      <c r="A179" s="172"/>
      <c r="G179" s="142"/>
      <c r="H179" s="156">
        <v>174</v>
      </c>
      <c r="I179" s="157" t="str">
        <f t="shared" si="13"/>
        <v/>
      </c>
      <c r="J179" s="156" t="e">
        <f t="shared" si="14"/>
        <v>#NUM!</v>
      </c>
      <c r="K179" s="156" t="e">
        <f t="shared" si="11"/>
        <v>#NUM!</v>
      </c>
      <c r="L179" s="156"/>
      <c r="M179" s="158">
        <f t="shared" si="12"/>
        <v>0</v>
      </c>
    </row>
    <row r="180" spans="1:13" x14ac:dyDescent="0.25">
      <c r="A180" s="172"/>
      <c r="G180" s="142"/>
      <c r="H180" s="156">
        <v>175</v>
      </c>
      <c r="I180" s="157" t="str">
        <f t="shared" si="13"/>
        <v/>
      </c>
      <c r="J180" s="156" t="e">
        <f t="shared" si="14"/>
        <v>#NUM!</v>
      </c>
      <c r="K180" s="156" t="e">
        <f t="shared" si="11"/>
        <v>#NUM!</v>
      </c>
      <c r="L180" s="156"/>
      <c r="M180" s="158">
        <f t="shared" si="12"/>
        <v>0</v>
      </c>
    </row>
    <row r="181" spans="1:13" x14ac:dyDescent="0.25">
      <c r="A181" s="172"/>
      <c r="G181" s="142"/>
      <c r="H181" s="156">
        <v>176</v>
      </c>
      <c r="I181" s="157" t="str">
        <f t="shared" si="13"/>
        <v/>
      </c>
      <c r="J181" s="156" t="e">
        <f t="shared" si="14"/>
        <v>#NUM!</v>
      </c>
      <c r="K181" s="156" t="e">
        <f t="shared" si="11"/>
        <v>#NUM!</v>
      </c>
      <c r="L181" s="156"/>
      <c r="M181" s="158">
        <f t="shared" si="12"/>
        <v>0</v>
      </c>
    </row>
    <row r="182" spans="1:13" x14ac:dyDescent="0.25">
      <c r="A182" s="172"/>
      <c r="G182" s="142"/>
      <c r="H182" s="156">
        <v>177</v>
      </c>
      <c r="I182" s="157" t="str">
        <f t="shared" si="13"/>
        <v/>
      </c>
      <c r="J182" s="156" t="e">
        <f t="shared" si="14"/>
        <v>#NUM!</v>
      </c>
      <c r="K182" s="156" t="e">
        <f t="shared" si="11"/>
        <v>#NUM!</v>
      </c>
      <c r="L182" s="156"/>
      <c r="M182" s="158">
        <f t="shared" si="12"/>
        <v>0</v>
      </c>
    </row>
    <row r="183" spans="1:13" x14ac:dyDescent="0.25">
      <c r="A183" s="172"/>
      <c r="G183" s="142"/>
      <c r="H183" s="156">
        <v>178</v>
      </c>
      <c r="I183" s="157" t="str">
        <f t="shared" si="13"/>
        <v/>
      </c>
      <c r="J183" s="156" t="e">
        <f t="shared" si="14"/>
        <v>#NUM!</v>
      </c>
      <c r="K183" s="156" t="e">
        <f t="shared" si="11"/>
        <v>#NUM!</v>
      </c>
      <c r="L183" s="156"/>
      <c r="M183" s="158">
        <f t="shared" si="12"/>
        <v>0</v>
      </c>
    </row>
    <row r="184" spans="1:13" x14ac:dyDescent="0.25">
      <c r="A184" s="172"/>
      <c r="G184" s="142"/>
      <c r="H184" s="156">
        <v>179</v>
      </c>
      <c r="I184" s="157" t="str">
        <f t="shared" si="13"/>
        <v/>
      </c>
      <c r="J184" s="156" t="e">
        <f t="shared" si="14"/>
        <v>#NUM!</v>
      </c>
      <c r="K184" s="156" t="e">
        <f t="shared" si="11"/>
        <v>#NUM!</v>
      </c>
      <c r="L184" s="156"/>
      <c r="M184" s="158">
        <f t="shared" si="12"/>
        <v>0</v>
      </c>
    </row>
    <row r="185" spans="1:13" x14ac:dyDescent="0.25">
      <c r="A185" s="172"/>
      <c r="G185" s="142"/>
      <c r="H185" s="156">
        <v>180</v>
      </c>
      <c r="I185" s="157" t="str">
        <f t="shared" si="13"/>
        <v/>
      </c>
      <c r="J185" s="156" t="e">
        <f t="shared" si="14"/>
        <v>#NUM!</v>
      </c>
      <c r="K185" s="156" t="e">
        <f t="shared" si="11"/>
        <v>#NUM!</v>
      </c>
      <c r="L185" s="156"/>
      <c r="M185" s="158">
        <f t="shared" si="12"/>
        <v>0</v>
      </c>
    </row>
    <row r="186" spans="1:13" x14ac:dyDescent="0.25">
      <c r="A186" s="172"/>
      <c r="G186" s="142"/>
      <c r="H186" s="156">
        <v>181</v>
      </c>
      <c r="I186" s="157" t="str">
        <f t="shared" si="13"/>
        <v/>
      </c>
      <c r="J186" s="156" t="e">
        <f t="shared" si="14"/>
        <v>#NUM!</v>
      </c>
      <c r="K186" s="156" t="e">
        <f t="shared" si="11"/>
        <v>#NUM!</v>
      </c>
      <c r="L186" s="156"/>
      <c r="M186" s="158">
        <f t="shared" si="12"/>
        <v>0</v>
      </c>
    </row>
    <row r="187" spans="1:13" x14ac:dyDescent="0.25">
      <c r="A187" s="172"/>
      <c r="G187" s="142"/>
      <c r="H187" s="156">
        <v>182</v>
      </c>
      <c r="I187" s="157" t="str">
        <f t="shared" si="13"/>
        <v/>
      </c>
      <c r="J187" s="156" t="e">
        <f t="shared" si="14"/>
        <v>#NUM!</v>
      </c>
      <c r="K187" s="156" t="e">
        <f t="shared" si="11"/>
        <v>#NUM!</v>
      </c>
      <c r="L187" s="156"/>
      <c r="M187" s="158">
        <f t="shared" si="12"/>
        <v>0</v>
      </c>
    </row>
    <row r="188" spans="1:13" x14ac:dyDescent="0.25">
      <c r="A188" s="172"/>
      <c r="G188" s="142"/>
      <c r="H188" s="156">
        <v>183</v>
      </c>
      <c r="I188" s="157" t="str">
        <f t="shared" si="13"/>
        <v/>
      </c>
      <c r="J188" s="156" t="e">
        <f t="shared" si="14"/>
        <v>#NUM!</v>
      </c>
      <c r="K188" s="156" t="e">
        <f t="shared" si="11"/>
        <v>#NUM!</v>
      </c>
      <c r="L188" s="156"/>
      <c r="M188" s="158">
        <f t="shared" si="12"/>
        <v>0</v>
      </c>
    </row>
    <row r="189" spans="1:13" x14ac:dyDescent="0.25">
      <c r="A189" s="172"/>
      <c r="G189" s="142"/>
      <c r="H189" s="156">
        <v>184</v>
      </c>
      <c r="I189" s="157" t="str">
        <f t="shared" si="13"/>
        <v/>
      </c>
      <c r="J189" s="156" t="e">
        <f t="shared" si="14"/>
        <v>#NUM!</v>
      </c>
      <c r="K189" s="156" t="e">
        <f t="shared" si="11"/>
        <v>#NUM!</v>
      </c>
      <c r="L189" s="156"/>
      <c r="M189" s="158">
        <f t="shared" si="12"/>
        <v>0</v>
      </c>
    </row>
    <row r="190" spans="1:13" x14ac:dyDescent="0.25">
      <c r="A190" s="172"/>
      <c r="G190" s="142"/>
      <c r="H190" s="156">
        <v>185</v>
      </c>
      <c r="I190" s="157" t="str">
        <f t="shared" si="13"/>
        <v/>
      </c>
      <c r="J190" s="156" t="e">
        <f t="shared" si="14"/>
        <v>#NUM!</v>
      </c>
      <c r="K190" s="156" t="e">
        <f t="shared" si="11"/>
        <v>#NUM!</v>
      </c>
      <c r="L190" s="156"/>
      <c r="M190" s="158">
        <f t="shared" si="12"/>
        <v>0</v>
      </c>
    </row>
    <row r="191" spans="1:13" x14ac:dyDescent="0.25">
      <c r="A191" s="172"/>
      <c r="G191" s="142"/>
      <c r="H191" s="156">
        <v>186</v>
      </c>
      <c r="I191" s="157" t="str">
        <f t="shared" si="13"/>
        <v/>
      </c>
      <c r="J191" s="156" t="e">
        <f t="shared" si="14"/>
        <v>#NUM!</v>
      </c>
      <c r="K191" s="156" t="e">
        <f t="shared" si="11"/>
        <v>#NUM!</v>
      </c>
      <c r="L191" s="156"/>
      <c r="M191" s="158">
        <f t="shared" si="12"/>
        <v>0</v>
      </c>
    </row>
    <row r="192" spans="1:13" x14ac:dyDescent="0.25">
      <c r="A192" s="172"/>
      <c r="G192" s="142"/>
      <c r="H192" s="156">
        <v>187</v>
      </c>
      <c r="I192" s="157" t="str">
        <f t="shared" si="13"/>
        <v/>
      </c>
      <c r="J192" s="156" t="e">
        <f t="shared" si="14"/>
        <v>#NUM!</v>
      </c>
      <c r="K192" s="156" t="e">
        <f t="shared" si="11"/>
        <v>#NUM!</v>
      </c>
      <c r="L192" s="156"/>
      <c r="M192" s="158">
        <f t="shared" si="12"/>
        <v>0</v>
      </c>
    </row>
    <row r="193" spans="1:13" x14ac:dyDescent="0.25">
      <c r="A193" s="172"/>
      <c r="G193" s="142"/>
      <c r="H193" s="156">
        <v>188</v>
      </c>
      <c r="I193" s="157" t="str">
        <f t="shared" si="13"/>
        <v/>
      </c>
      <c r="J193" s="156" t="e">
        <f t="shared" si="14"/>
        <v>#NUM!</v>
      </c>
      <c r="K193" s="156" t="e">
        <f t="shared" si="11"/>
        <v>#NUM!</v>
      </c>
      <c r="L193" s="156"/>
      <c r="M193" s="158">
        <f t="shared" si="12"/>
        <v>0</v>
      </c>
    </row>
    <row r="194" spans="1:13" x14ac:dyDescent="0.25">
      <c r="A194" s="172"/>
      <c r="G194" s="142"/>
      <c r="H194" s="156">
        <v>189</v>
      </c>
      <c r="I194" s="157" t="str">
        <f t="shared" si="13"/>
        <v/>
      </c>
      <c r="J194" s="156" t="e">
        <f t="shared" si="14"/>
        <v>#NUM!</v>
      </c>
      <c r="K194" s="156" t="e">
        <f t="shared" si="11"/>
        <v>#NUM!</v>
      </c>
      <c r="L194" s="156"/>
      <c r="M194" s="158">
        <f t="shared" si="12"/>
        <v>0</v>
      </c>
    </row>
    <row r="195" spans="1:13" x14ac:dyDescent="0.25">
      <c r="A195" s="172"/>
      <c r="G195" s="142"/>
      <c r="H195" s="156">
        <v>190</v>
      </c>
      <c r="I195" s="157" t="str">
        <f t="shared" si="13"/>
        <v/>
      </c>
      <c r="J195" s="156" t="e">
        <f t="shared" si="14"/>
        <v>#NUM!</v>
      </c>
      <c r="K195" s="156" t="e">
        <f t="shared" si="11"/>
        <v>#NUM!</v>
      </c>
      <c r="L195" s="156"/>
      <c r="M195" s="158">
        <f t="shared" si="12"/>
        <v>0</v>
      </c>
    </row>
    <row r="196" spans="1:13" x14ac:dyDescent="0.25">
      <c r="A196" s="172"/>
      <c r="G196" s="142"/>
      <c r="H196" s="156">
        <v>191</v>
      </c>
      <c r="I196" s="157" t="str">
        <f t="shared" si="13"/>
        <v/>
      </c>
      <c r="J196" s="156" t="e">
        <f t="shared" si="14"/>
        <v>#NUM!</v>
      </c>
      <c r="K196" s="156" t="e">
        <f t="shared" si="11"/>
        <v>#NUM!</v>
      </c>
      <c r="L196" s="156"/>
      <c r="M196" s="158">
        <f t="shared" si="12"/>
        <v>0</v>
      </c>
    </row>
    <row r="197" spans="1:13" x14ac:dyDescent="0.25">
      <c r="A197" s="172"/>
      <c r="G197" s="142"/>
      <c r="H197" s="156">
        <v>192</v>
      </c>
      <c r="I197" s="157" t="str">
        <f t="shared" si="13"/>
        <v/>
      </c>
      <c r="J197" s="156" t="e">
        <f t="shared" si="14"/>
        <v>#NUM!</v>
      </c>
      <c r="K197" s="156" t="e">
        <f t="shared" si="11"/>
        <v>#NUM!</v>
      </c>
      <c r="L197" s="156"/>
      <c r="M197" s="158">
        <f t="shared" si="12"/>
        <v>0</v>
      </c>
    </row>
    <row r="198" spans="1:13" x14ac:dyDescent="0.25">
      <c r="A198" s="172"/>
      <c r="G198" s="142"/>
      <c r="H198" s="156">
        <v>193</v>
      </c>
      <c r="I198" s="157" t="str">
        <f t="shared" si="13"/>
        <v/>
      </c>
      <c r="J198" s="156" t="e">
        <f t="shared" si="14"/>
        <v>#NUM!</v>
      </c>
      <c r="K198" s="156" t="e">
        <f t="shared" ref="K198:K261" si="15">J198*$J$2</f>
        <v>#NUM!</v>
      </c>
      <c r="L198" s="156"/>
      <c r="M198" s="158">
        <f t="shared" ref="M198:M261" si="16">IF(I198&lt;&gt;"",K198+I198+L198,0)</f>
        <v>0</v>
      </c>
    </row>
    <row r="199" spans="1:13" x14ac:dyDescent="0.25">
      <c r="A199" s="172"/>
      <c r="G199" s="142"/>
      <c r="H199" s="156">
        <v>194</v>
      </c>
      <c r="I199" s="157" t="str">
        <f t="shared" ref="I199:I262" si="17">IF(H199&lt;$H$2+1,($I$2-($I$2-1)*(LOG(H199)/LOG($H$2))),"")</f>
        <v/>
      </c>
      <c r="J199" s="156" t="e">
        <f t="shared" ref="J199:J262" si="18">INT(LOG($H$2,2))-ROUNDUP(LOG(H199,2),0)+IF(OR($H$2=1,$H$2=2,$H$2=4,$H$2=8,$H$2=16,$H$2=32,$H$2=64,$H$2=128,$H$2=256),0,1)</f>
        <v>#NUM!</v>
      </c>
      <c r="K199" s="156" t="e">
        <f t="shared" si="15"/>
        <v>#NUM!</v>
      </c>
      <c r="L199" s="156"/>
      <c r="M199" s="158">
        <f t="shared" si="16"/>
        <v>0</v>
      </c>
    </row>
    <row r="200" spans="1:13" x14ac:dyDescent="0.25">
      <c r="A200" s="172"/>
      <c r="G200" s="142"/>
      <c r="H200" s="156">
        <v>195</v>
      </c>
      <c r="I200" s="157" t="str">
        <f t="shared" si="17"/>
        <v/>
      </c>
      <c r="J200" s="156" t="e">
        <f t="shared" si="18"/>
        <v>#NUM!</v>
      </c>
      <c r="K200" s="156" t="e">
        <f t="shared" si="15"/>
        <v>#NUM!</v>
      </c>
      <c r="L200" s="156"/>
      <c r="M200" s="158">
        <f t="shared" si="16"/>
        <v>0</v>
      </c>
    </row>
    <row r="201" spans="1:13" x14ac:dyDescent="0.25">
      <c r="A201" s="172"/>
      <c r="G201" s="142"/>
      <c r="H201" s="156">
        <v>196</v>
      </c>
      <c r="I201" s="157" t="str">
        <f t="shared" si="17"/>
        <v/>
      </c>
      <c r="J201" s="156" t="e">
        <f t="shared" si="18"/>
        <v>#NUM!</v>
      </c>
      <c r="K201" s="156" t="e">
        <f t="shared" si="15"/>
        <v>#NUM!</v>
      </c>
      <c r="L201" s="156"/>
      <c r="M201" s="158">
        <f t="shared" si="16"/>
        <v>0</v>
      </c>
    </row>
    <row r="202" spans="1:13" x14ac:dyDescent="0.25">
      <c r="A202" s="172"/>
      <c r="G202" s="142"/>
      <c r="H202" s="156">
        <v>197</v>
      </c>
      <c r="I202" s="157" t="str">
        <f t="shared" si="17"/>
        <v/>
      </c>
      <c r="J202" s="156" t="e">
        <f t="shared" si="18"/>
        <v>#NUM!</v>
      </c>
      <c r="K202" s="156" t="e">
        <f t="shared" si="15"/>
        <v>#NUM!</v>
      </c>
      <c r="L202" s="156"/>
      <c r="M202" s="158">
        <f t="shared" si="16"/>
        <v>0</v>
      </c>
    </row>
    <row r="203" spans="1:13" x14ac:dyDescent="0.25">
      <c r="A203" s="172"/>
      <c r="G203" s="142"/>
      <c r="H203" s="156">
        <v>198</v>
      </c>
      <c r="I203" s="157" t="str">
        <f t="shared" si="17"/>
        <v/>
      </c>
      <c r="J203" s="156" t="e">
        <f t="shared" si="18"/>
        <v>#NUM!</v>
      </c>
      <c r="K203" s="156" t="e">
        <f t="shared" si="15"/>
        <v>#NUM!</v>
      </c>
      <c r="L203" s="156"/>
      <c r="M203" s="158">
        <f t="shared" si="16"/>
        <v>0</v>
      </c>
    </row>
    <row r="204" spans="1:13" x14ac:dyDescent="0.25">
      <c r="A204" s="172"/>
      <c r="G204" s="142"/>
      <c r="H204" s="156">
        <v>199</v>
      </c>
      <c r="I204" s="157" t="str">
        <f t="shared" si="17"/>
        <v/>
      </c>
      <c r="J204" s="156" t="e">
        <f t="shared" si="18"/>
        <v>#NUM!</v>
      </c>
      <c r="K204" s="156" t="e">
        <f t="shared" si="15"/>
        <v>#NUM!</v>
      </c>
      <c r="L204" s="156"/>
      <c r="M204" s="158">
        <f t="shared" si="16"/>
        <v>0</v>
      </c>
    </row>
    <row r="205" spans="1:13" x14ac:dyDescent="0.25">
      <c r="A205" s="172"/>
      <c r="G205" s="142"/>
      <c r="H205" s="156">
        <v>200</v>
      </c>
      <c r="I205" s="157" t="str">
        <f t="shared" si="17"/>
        <v/>
      </c>
      <c r="J205" s="156" t="e">
        <f t="shared" si="18"/>
        <v>#NUM!</v>
      </c>
      <c r="K205" s="156" t="e">
        <f t="shared" si="15"/>
        <v>#NUM!</v>
      </c>
      <c r="L205" s="156"/>
      <c r="M205" s="158">
        <f t="shared" si="16"/>
        <v>0</v>
      </c>
    </row>
    <row r="206" spans="1:13" x14ac:dyDescent="0.25">
      <c r="A206" s="172"/>
      <c r="G206" s="142"/>
      <c r="H206" s="156">
        <v>201</v>
      </c>
      <c r="I206" s="157" t="str">
        <f t="shared" si="17"/>
        <v/>
      </c>
      <c r="J206" s="156" t="e">
        <f t="shared" si="18"/>
        <v>#NUM!</v>
      </c>
      <c r="K206" s="156" t="e">
        <f t="shared" si="15"/>
        <v>#NUM!</v>
      </c>
      <c r="L206" s="156"/>
      <c r="M206" s="158">
        <f t="shared" si="16"/>
        <v>0</v>
      </c>
    </row>
    <row r="207" spans="1:13" x14ac:dyDescent="0.25">
      <c r="A207" s="172"/>
      <c r="G207" s="142"/>
      <c r="H207" s="156">
        <v>202</v>
      </c>
      <c r="I207" s="157" t="str">
        <f t="shared" si="17"/>
        <v/>
      </c>
      <c r="J207" s="156" t="e">
        <f t="shared" si="18"/>
        <v>#NUM!</v>
      </c>
      <c r="K207" s="156" t="e">
        <f t="shared" si="15"/>
        <v>#NUM!</v>
      </c>
      <c r="L207" s="156"/>
      <c r="M207" s="158">
        <f t="shared" si="16"/>
        <v>0</v>
      </c>
    </row>
    <row r="208" spans="1:13" x14ac:dyDescent="0.25">
      <c r="A208" s="172"/>
      <c r="G208" s="142"/>
      <c r="H208" s="156">
        <v>203</v>
      </c>
      <c r="I208" s="157" t="str">
        <f t="shared" si="17"/>
        <v/>
      </c>
      <c r="J208" s="156" t="e">
        <f t="shared" si="18"/>
        <v>#NUM!</v>
      </c>
      <c r="K208" s="156" t="e">
        <f t="shared" si="15"/>
        <v>#NUM!</v>
      </c>
      <c r="L208" s="156"/>
      <c r="M208" s="158">
        <f t="shared" si="16"/>
        <v>0</v>
      </c>
    </row>
    <row r="209" spans="1:13" x14ac:dyDescent="0.25">
      <c r="A209" s="172"/>
      <c r="G209" s="142"/>
      <c r="H209" s="156">
        <v>204</v>
      </c>
      <c r="I209" s="157" t="str">
        <f t="shared" si="17"/>
        <v/>
      </c>
      <c r="J209" s="156" t="e">
        <f t="shared" si="18"/>
        <v>#NUM!</v>
      </c>
      <c r="K209" s="156" t="e">
        <f t="shared" si="15"/>
        <v>#NUM!</v>
      </c>
      <c r="L209" s="156"/>
      <c r="M209" s="158">
        <f t="shared" si="16"/>
        <v>0</v>
      </c>
    </row>
    <row r="210" spans="1:13" x14ac:dyDescent="0.25">
      <c r="A210" s="172"/>
      <c r="G210" s="142"/>
      <c r="H210" s="156">
        <v>205</v>
      </c>
      <c r="I210" s="157" t="str">
        <f t="shared" si="17"/>
        <v/>
      </c>
      <c r="J210" s="156" t="e">
        <f t="shared" si="18"/>
        <v>#NUM!</v>
      </c>
      <c r="K210" s="156" t="e">
        <f t="shared" si="15"/>
        <v>#NUM!</v>
      </c>
      <c r="L210" s="156"/>
      <c r="M210" s="158">
        <f t="shared" si="16"/>
        <v>0</v>
      </c>
    </row>
    <row r="211" spans="1:13" x14ac:dyDescent="0.25">
      <c r="A211" s="172"/>
      <c r="G211" s="142"/>
      <c r="H211" s="156">
        <v>206</v>
      </c>
      <c r="I211" s="157" t="str">
        <f t="shared" si="17"/>
        <v/>
      </c>
      <c r="J211" s="156" t="e">
        <f t="shared" si="18"/>
        <v>#NUM!</v>
      </c>
      <c r="K211" s="156" t="e">
        <f t="shared" si="15"/>
        <v>#NUM!</v>
      </c>
      <c r="L211" s="156"/>
      <c r="M211" s="158">
        <f t="shared" si="16"/>
        <v>0</v>
      </c>
    </row>
    <row r="212" spans="1:13" x14ac:dyDescent="0.25">
      <c r="A212" s="172"/>
      <c r="G212" s="142"/>
      <c r="H212" s="156">
        <v>207</v>
      </c>
      <c r="I212" s="157" t="str">
        <f t="shared" si="17"/>
        <v/>
      </c>
      <c r="J212" s="156" t="e">
        <f t="shared" si="18"/>
        <v>#NUM!</v>
      </c>
      <c r="K212" s="156" t="e">
        <f t="shared" si="15"/>
        <v>#NUM!</v>
      </c>
      <c r="L212" s="156"/>
      <c r="M212" s="158">
        <f t="shared" si="16"/>
        <v>0</v>
      </c>
    </row>
    <row r="213" spans="1:13" x14ac:dyDescent="0.25">
      <c r="A213" s="172"/>
      <c r="G213" s="142"/>
      <c r="H213" s="156">
        <v>208</v>
      </c>
      <c r="I213" s="157" t="str">
        <f t="shared" si="17"/>
        <v/>
      </c>
      <c r="J213" s="156" t="e">
        <f t="shared" si="18"/>
        <v>#NUM!</v>
      </c>
      <c r="K213" s="156" t="e">
        <f t="shared" si="15"/>
        <v>#NUM!</v>
      </c>
      <c r="L213" s="156"/>
      <c r="M213" s="158">
        <f t="shared" si="16"/>
        <v>0</v>
      </c>
    </row>
    <row r="214" spans="1:13" x14ac:dyDescent="0.25">
      <c r="A214" s="172"/>
      <c r="G214" s="142"/>
      <c r="H214" s="156">
        <v>209</v>
      </c>
      <c r="I214" s="157" t="str">
        <f t="shared" si="17"/>
        <v/>
      </c>
      <c r="J214" s="156" t="e">
        <f t="shared" si="18"/>
        <v>#NUM!</v>
      </c>
      <c r="K214" s="156" t="e">
        <f t="shared" si="15"/>
        <v>#NUM!</v>
      </c>
      <c r="L214" s="156"/>
      <c r="M214" s="158">
        <f t="shared" si="16"/>
        <v>0</v>
      </c>
    </row>
    <row r="215" spans="1:13" x14ac:dyDescent="0.25">
      <c r="A215" s="172"/>
      <c r="G215" s="142"/>
      <c r="H215" s="156">
        <v>210</v>
      </c>
      <c r="I215" s="157" t="str">
        <f t="shared" si="17"/>
        <v/>
      </c>
      <c r="J215" s="156" t="e">
        <f t="shared" si="18"/>
        <v>#NUM!</v>
      </c>
      <c r="K215" s="156" t="e">
        <f t="shared" si="15"/>
        <v>#NUM!</v>
      </c>
      <c r="L215" s="156"/>
      <c r="M215" s="158">
        <f t="shared" si="16"/>
        <v>0</v>
      </c>
    </row>
    <row r="216" spans="1:13" x14ac:dyDescent="0.25">
      <c r="A216" s="172"/>
      <c r="G216" s="142"/>
      <c r="H216" s="156">
        <v>211</v>
      </c>
      <c r="I216" s="157" t="str">
        <f t="shared" si="17"/>
        <v/>
      </c>
      <c r="J216" s="156" t="e">
        <f t="shared" si="18"/>
        <v>#NUM!</v>
      </c>
      <c r="K216" s="156" t="e">
        <f t="shared" si="15"/>
        <v>#NUM!</v>
      </c>
      <c r="L216" s="156"/>
      <c r="M216" s="158">
        <f t="shared" si="16"/>
        <v>0</v>
      </c>
    </row>
    <row r="217" spans="1:13" x14ac:dyDescent="0.25">
      <c r="A217" s="172"/>
      <c r="G217" s="142"/>
      <c r="H217" s="156">
        <v>212</v>
      </c>
      <c r="I217" s="157" t="str">
        <f t="shared" si="17"/>
        <v/>
      </c>
      <c r="J217" s="156" t="e">
        <f t="shared" si="18"/>
        <v>#NUM!</v>
      </c>
      <c r="K217" s="156" t="e">
        <f t="shared" si="15"/>
        <v>#NUM!</v>
      </c>
      <c r="L217" s="156"/>
      <c r="M217" s="158">
        <f t="shared" si="16"/>
        <v>0</v>
      </c>
    </row>
    <row r="218" spans="1:13" x14ac:dyDescent="0.25">
      <c r="A218" s="172"/>
      <c r="G218" s="142"/>
      <c r="H218" s="156">
        <v>213</v>
      </c>
      <c r="I218" s="157" t="str">
        <f t="shared" si="17"/>
        <v/>
      </c>
      <c r="J218" s="156" t="e">
        <f t="shared" si="18"/>
        <v>#NUM!</v>
      </c>
      <c r="K218" s="156" t="e">
        <f t="shared" si="15"/>
        <v>#NUM!</v>
      </c>
      <c r="L218" s="156"/>
      <c r="M218" s="158">
        <f t="shared" si="16"/>
        <v>0</v>
      </c>
    </row>
    <row r="219" spans="1:13" x14ac:dyDescent="0.25">
      <c r="A219" s="172"/>
      <c r="G219" s="142"/>
      <c r="H219" s="156">
        <v>214</v>
      </c>
      <c r="I219" s="157" t="str">
        <f t="shared" si="17"/>
        <v/>
      </c>
      <c r="J219" s="156" t="e">
        <f t="shared" si="18"/>
        <v>#NUM!</v>
      </c>
      <c r="K219" s="156" t="e">
        <f t="shared" si="15"/>
        <v>#NUM!</v>
      </c>
      <c r="L219" s="156"/>
      <c r="M219" s="158">
        <f t="shared" si="16"/>
        <v>0</v>
      </c>
    </row>
    <row r="220" spans="1:13" x14ac:dyDescent="0.25">
      <c r="A220" s="172"/>
      <c r="G220" s="142"/>
      <c r="H220" s="156">
        <v>215</v>
      </c>
      <c r="I220" s="157" t="str">
        <f t="shared" si="17"/>
        <v/>
      </c>
      <c r="J220" s="156" t="e">
        <f t="shared" si="18"/>
        <v>#NUM!</v>
      </c>
      <c r="K220" s="156" t="e">
        <f t="shared" si="15"/>
        <v>#NUM!</v>
      </c>
      <c r="L220" s="156"/>
      <c r="M220" s="158">
        <f t="shared" si="16"/>
        <v>0</v>
      </c>
    </row>
    <row r="221" spans="1:13" x14ac:dyDescent="0.25">
      <c r="A221" s="172"/>
      <c r="G221" s="142"/>
      <c r="H221" s="156">
        <v>216</v>
      </c>
      <c r="I221" s="157" t="str">
        <f t="shared" si="17"/>
        <v/>
      </c>
      <c r="J221" s="156" t="e">
        <f t="shared" si="18"/>
        <v>#NUM!</v>
      </c>
      <c r="K221" s="156" t="e">
        <f t="shared" si="15"/>
        <v>#NUM!</v>
      </c>
      <c r="L221" s="156"/>
      <c r="M221" s="158">
        <f t="shared" si="16"/>
        <v>0</v>
      </c>
    </row>
    <row r="222" spans="1:13" x14ac:dyDescent="0.25">
      <c r="A222" s="172"/>
      <c r="G222" s="142"/>
      <c r="H222" s="156">
        <v>217</v>
      </c>
      <c r="I222" s="157" t="str">
        <f t="shared" si="17"/>
        <v/>
      </c>
      <c r="J222" s="156" t="e">
        <f t="shared" si="18"/>
        <v>#NUM!</v>
      </c>
      <c r="K222" s="156" t="e">
        <f t="shared" si="15"/>
        <v>#NUM!</v>
      </c>
      <c r="L222" s="156"/>
      <c r="M222" s="158">
        <f t="shared" si="16"/>
        <v>0</v>
      </c>
    </row>
    <row r="223" spans="1:13" x14ac:dyDescent="0.25">
      <c r="A223" s="172"/>
      <c r="G223" s="142"/>
      <c r="H223" s="156">
        <v>218</v>
      </c>
      <c r="I223" s="157" t="str">
        <f t="shared" si="17"/>
        <v/>
      </c>
      <c r="J223" s="156" t="e">
        <f t="shared" si="18"/>
        <v>#NUM!</v>
      </c>
      <c r="K223" s="156" t="e">
        <f t="shared" si="15"/>
        <v>#NUM!</v>
      </c>
      <c r="L223" s="156"/>
      <c r="M223" s="158">
        <f t="shared" si="16"/>
        <v>0</v>
      </c>
    </row>
    <row r="224" spans="1:13" x14ac:dyDescent="0.25">
      <c r="A224" s="172"/>
      <c r="G224" s="142"/>
      <c r="H224" s="156">
        <v>219</v>
      </c>
      <c r="I224" s="157" t="str">
        <f t="shared" si="17"/>
        <v/>
      </c>
      <c r="J224" s="156" t="e">
        <f t="shared" si="18"/>
        <v>#NUM!</v>
      </c>
      <c r="K224" s="156" t="e">
        <f t="shared" si="15"/>
        <v>#NUM!</v>
      </c>
      <c r="L224" s="156"/>
      <c r="M224" s="158">
        <f t="shared" si="16"/>
        <v>0</v>
      </c>
    </row>
    <row r="225" spans="1:13" x14ac:dyDescent="0.25">
      <c r="A225" s="172"/>
      <c r="G225" s="142"/>
      <c r="H225" s="156">
        <v>220</v>
      </c>
      <c r="I225" s="157" t="str">
        <f t="shared" si="17"/>
        <v/>
      </c>
      <c r="J225" s="156" t="e">
        <f t="shared" si="18"/>
        <v>#NUM!</v>
      </c>
      <c r="K225" s="156" t="e">
        <f t="shared" si="15"/>
        <v>#NUM!</v>
      </c>
      <c r="L225" s="156"/>
      <c r="M225" s="158">
        <f t="shared" si="16"/>
        <v>0</v>
      </c>
    </row>
    <row r="226" spans="1:13" x14ac:dyDescent="0.25">
      <c r="A226" s="172"/>
      <c r="G226" s="142"/>
      <c r="H226" s="156">
        <v>221</v>
      </c>
      <c r="I226" s="157" t="str">
        <f t="shared" si="17"/>
        <v/>
      </c>
      <c r="J226" s="156" t="e">
        <f t="shared" si="18"/>
        <v>#NUM!</v>
      </c>
      <c r="K226" s="156" t="e">
        <f t="shared" si="15"/>
        <v>#NUM!</v>
      </c>
      <c r="L226" s="156"/>
      <c r="M226" s="158">
        <f t="shared" si="16"/>
        <v>0</v>
      </c>
    </row>
    <row r="227" spans="1:13" x14ac:dyDescent="0.25">
      <c r="A227" s="172"/>
      <c r="G227" s="142"/>
      <c r="H227" s="156">
        <v>222</v>
      </c>
      <c r="I227" s="157" t="str">
        <f t="shared" si="17"/>
        <v/>
      </c>
      <c r="J227" s="156" t="e">
        <f t="shared" si="18"/>
        <v>#NUM!</v>
      </c>
      <c r="K227" s="156" t="e">
        <f t="shared" si="15"/>
        <v>#NUM!</v>
      </c>
      <c r="L227" s="156"/>
      <c r="M227" s="158">
        <f t="shared" si="16"/>
        <v>0</v>
      </c>
    </row>
    <row r="228" spans="1:13" x14ac:dyDescent="0.25">
      <c r="A228" s="172"/>
      <c r="G228" s="142"/>
      <c r="H228" s="156">
        <v>223</v>
      </c>
      <c r="I228" s="157" t="str">
        <f t="shared" si="17"/>
        <v/>
      </c>
      <c r="J228" s="156" t="e">
        <f t="shared" si="18"/>
        <v>#NUM!</v>
      </c>
      <c r="K228" s="156" t="e">
        <f t="shared" si="15"/>
        <v>#NUM!</v>
      </c>
      <c r="L228" s="156"/>
      <c r="M228" s="158">
        <f t="shared" si="16"/>
        <v>0</v>
      </c>
    </row>
    <row r="229" spans="1:13" x14ac:dyDescent="0.25">
      <c r="A229" s="172"/>
      <c r="G229" s="142"/>
      <c r="H229" s="156">
        <v>224</v>
      </c>
      <c r="I229" s="157" t="str">
        <f t="shared" si="17"/>
        <v/>
      </c>
      <c r="J229" s="156" t="e">
        <f t="shared" si="18"/>
        <v>#NUM!</v>
      </c>
      <c r="K229" s="156" t="e">
        <f t="shared" si="15"/>
        <v>#NUM!</v>
      </c>
      <c r="L229" s="156"/>
      <c r="M229" s="158">
        <f t="shared" si="16"/>
        <v>0</v>
      </c>
    </row>
    <row r="230" spans="1:13" x14ac:dyDescent="0.25">
      <c r="A230" s="172"/>
      <c r="G230" s="142"/>
      <c r="H230" s="156">
        <v>225</v>
      </c>
      <c r="I230" s="157" t="str">
        <f t="shared" si="17"/>
        <v/>
      </c>
      <c r="J230" s="156" t="e">
        <f t="shared" si="18"/>
        <v>#NUM!</v>
      </c>
      <c r="K230" s="156" t="e">
        <f t="shared" si="15"/>
        <v>#NUM!</v>
      </c>
      <c r="L230" s="156"/>
      <c r="M230" s="158">
        <f t="shared" si="16"/>
        <v>0</v>
      </c>
    </row>
    <row r="231" spans="1:13" x14ac:dyDescent="0.25">
      <c r="A231" s="172"/>
      <c r="G231" s="142"/>
      <c r="H231" s="156">
        <v>226</v>
      </c>
      <c r="I231" s="157" t="str">
        <f t="shared" si="17"/>
        <v/>
      </c>
      <c r="J231" s="156" t="e">
        <f t="shared" si="18"/>
        <v>#NUM!</v>
      </c>
      <c r="K231" s="156" t="e">
        <f t="shared" si="15"/>
        <v>#NUM!</v>
      </c>
      <c r="L231" s="156"/>
      <c r="M231" s="158">
        <f t="shared" si="16"/>
        <v>0</v>
      </c>
    </row>
    <row r="232" spans="1:13" x14ac:dyDescent="0.25">
      <c r="A232" s="172"/>
      <c r="G232" s="142"/>
      <c r="H232" s="156">
        <v>227</v>
      </c>
      <c r="I232" s="157" t="str">
        <f t="shared" si="17"/>
        <v/>
      </c>
      <c r="J232" s="156" t="e">
        <f t="shared" si="18"/>
        <v>#NUM!</v>
      </c>
      <c r="K232" s="156" t="e">
        <f t="shared" si="15"/>
        <v>#NUM!</v>
      </c>
      <c r="L232" s="156"/>
      <c r="M232" s="158">
        <f t="shared" si="16"/>
        <v>0</v>
      </c>
    </row>
    <row r="233" spans="1:13" x14ac:dyDescent="0.25">
      <c r="A233" s="172"/>
      <c r="G233" s="142"/>
      <c r="H233" s="156">
        <v>228</v>
      </c>
      <c r="I233" s="157" t="str">
        <f t="shared" si="17"/>
        <v/>
      </c>
      <c r="J233" s="156" t="e">
        <f t="shared" si="18"/>
        <v>#NUM!</v>
      </c>
      <c r="K233" s="156" t="e">
        <f t="shared" si="15"/>
        <v>#NUM!</v>
      </c>
      <c r="L233" s="156"/>
      <c r="M233" s="158">
        <f t="shared" si="16"/>
        <v>0</v>
      </c>
    </row>
    <row r="234" spans="1:13" x14ac:dyDescent="0.25">
      <c r="A234" s="172"/>
      <c r="G234" s="142"/>
      <c r="H234" s="156">
        <v>229</v>
      </c>
      <c r="I234" s="157" t="str">
        <f t="shared" si="17"/>
        <v/>
      </c>
      <c r="J234" s="156" t="e">
        <f t="shared" si="18"/>
        <v>#NUM!</v>
      </c>
      <c r="K234" s="156" t="e">
        <f t="shared" si="15"/>
        <v>#NUM!</v>
      </c>
      <c r="L234" s="156"/>
      <c r="M234" s="158">
        <f t="shared" si="16"/>
        <v>0</v>
      </c>
    </row>
    <row r="235" spans="1:13" x14ac:dyDescent="0.25">
      <c r="A235" s="172"/>
      <c r="G235" s="142"/>
      <c r="H235" s="156">
        <v>230</v>
      </c>
      <c r="I235" s="157" t="str">
        <f t="shared" si="17"/>
        <v/>
      </c>
      <c r="J235" s="156" t="e">
        <f t="shared" si="18"/>
        <v>#NUM!</v>
      </c>
      <c r="K235" s="156" t="e">
        <f t="shared" si="15"/>
        <v>#NUM!</v>
      </c>
      <c r="L235" s="156"/>
      <c r="M235" s="158">
        <f t="shared" si="16"/>
        <v>0</v>
      </c>
    </row>
    <row r="236" spans="1:13" x14ac:dyDescent="0.25">
      <c r="A236" s="172"/>
      <c r="G236" s="142"/>
      <c r="H236" s="156">
        <v>231</v>
      </c>
      <c r="I236" s="157" t="str">
        <f t="shared" si="17"/>
        <v/>
      </c>
      <c r="J236" s="156" t="e">
        <f t="shared" si="18"/>
        <v>#NUM!</v>
      </c>
      <c r="K236" s="156" t="e">
        <f t="shared" si="15"/>
        <v>#NUM!</v>
      </c>
      <c r="L236" s="156"/>
      <c r="M236" s="158">
        <f t="shared" si="16"/>
        <v>0</v>
      </c>
    </row>
    <row r="237" spans="1:13" x14ac:dyDescent="0.25">
      <c r="A237" s="172"/>
      <c r="G237" s="142"/>
      <c r="H237" s="156">
        <v>232</v>
      </c>
      <c r="I237" s="157" t="str">
        <f t="shared" si="17"/>
        <v/>
      </c>
      <c r="J237" s="156" t="e">
        <f t="shared" si="18"/>
        <v>#NUM!</v>
      </c>
      <c r="K237" s="156" t="e">
        <f t="shared" si="15"/>
        <v>#NUM!</v>
      </c>
      <c r="L237" s="156"/>
      <c r="M237" s="158">
        <f t="shared" si="16"/>
        <v>0</v>
      </c>
    </row>
    <row r="238" spans="1:13" x14ac:dyDescent="0.25">
      <c r="A238" s="172"/>
      <c r="G238" s="142"/>
      <c r="H238" s="156">
        <v>233</v>
      </c>
      <c r="I238" s="157" t="str">
        <f t="shared" si="17"/>
        <v/>
      </c>
      <c r="J238" s="156" t="e">
        <f t="shared" si="18"/>
        <v>#NUM!</v>
      </c>
      <c r="K238" s="156" t="e">
        <f t="shared" si="15"/>
        <v>#NUM!</v>
      </c>
      <c r="L238" s="156"/>
      <c r="M238" s="158">
        <f t="shared" si="16"/>
        <v>0</v>
      </c>
    </row>
    <row r="239" spans="1:13" x14ac:dyDescent="0.25">
      <c r="A239" s="172"/>
      <c r="G239" s="142"/>
      <c r="H239" s="156">
        <v>234</v>
      </c>
      <c r="I239" s="157" t="str">
        <f t="shared" si="17"/>
        <v/>
      </c>
      <c r="J239" s="156" t="e">
        <f t="shared" si="18"/>
        <v>#NUM!</v>
      </c>
      <c r="K239" s="156" t="e">
        <f t="shared" si="15"/>
        <v>#NUM!</v>
      </c>
      <c r="L239" s="156"/>
      <c r="M239" s="158">
        <f t="shared" si="16"/>
        <v>0</v>
      </c>
    </row>
    <row r="240" spans="1:13" x14ac:dyDescent="0.25">
      <c r="A240" s="172"/>
      <c r="G240" s="142"/>
      <c r="H240" s="156">
        <v>235</v>
      </c>
      <c r="I240" s="157" t="str">
        <f t="shared" si="17"/>
        <v/>
      </c>
      <c r="J240" s="156" t="e">
        <f t="shared" si="18"/>
        <v>#NUM!</v>
      </c>
      <c r="K240" s="156" t="e">
        <f t="shared" si="15"/>
        <v>#NUM!</v>
      </c>
      <c r="L240" s="156"/>
      <c r="M240" s="158">
        <f t="shared" si="16"/>
        <v>0</v>
      </c>
    </row>
    <row r="241" spans="1:13" x14ac:dyDescent="0.25">
      <c r="A241" s="172"/>
      <c r="G241" s="142"/>
      <c r="H241" s="156">
        <v>236</v>
      </c>
      <c r="I241" s="157" t="str">
        <f t="shared" si="17"/>
        <v/>
      </c>
      <c r="J241" s="156" t="e">
        <f t="shared" si="18"/>
        <v>#NUM!</v>
      </c>
      <c r="K241" s="156" t="e">
        <f t="shared" si="15"/>
        <v>#NUM!</v>
      </c>
      <c r="L241" s="156"/>
      <c r="M241" s="158">
        <f t="shared" si="16"/>
        <v>0</v>
      </c>
    </row>
    <row r="242" spans="1:13" x14ac:dyDescent="0.25">
      <c r="A242" s="172"/>
      <c r="G242" s="142"/>
      <c r="H242" s="156">
        <v>237</v>
      </c>
      <c r="I242" s="157" t="str">
        <f t="shared" si="17"/>
        <v/>
      </c>
      <c r="J242" s="156" t="e">
        <f t="shared" si="18"/>
        <v>#NUM!</v>
      </c>
      <c r="K242" s="156" t="e">
        <f t="shared" si="15"/>
        <v>#NUM!</v>
      </c>
      <c r="L242" s="156"/>
      <c r="M242" s="158">
        <f t="shared" si="16"/>
        <v>0</v>
      </c>
    </row>
    <row r="243" spans="1:13" x14ac:dyDescent="0.25">
      <c r="A243" s="172"/>
      <c r="G243" s="142"/>
      <c r="H243" s="156">
        <v>238</v>
      </c>
      <c r="I243" s="157" t="str">
        <f t="shared" si="17"/>
        <v/>
      </c>
      <c r="J243" s="156" t="e">
        <f t="shared" si="18"/>
        <v>#NUM!</v>
      </c>
      <c r="K243" s="156" t="e">
        <f t="shared" si="15"/>
        <v>#NUM!</v>
      </c>
      <c r="L243" s="156"/>
      <c r="M243" s="158">
        <f t="shared" si="16"/>
        <v>0</v>
      </c>
    </row>
    <row r="244" spans="1:13" x14ac:dyDescent="0.25">
      <c r="A244" s="172"/>
      <c r="G244" s="142"/>
      <c r="H244" s="156">
        <v>239</v>
      </c>
      <c r="I244" s="157" t="str">
        <f t="shared" si="17"/>
        <v/>
      </c>
      <c r="J244" s="156" t="e">
        <f t="shared" si="18"/>
        <v>#NUM!</v>
      </c>
      <c r="K244" s="156" t="e">
        <f t="shared" si="15"/>
        <v>#NUM!</v>
      </c>
      <c r="L244" s="156"/>
      <c r="M244" s="158">
        <f t="shared" si="16"/>
        <v>0</v>
      </c>
    </row>
    <row r="245" spans="1:13" x14ac:dyDescent="0.25">
      <c r="A245" s="172"/>
      <c r="G245" s="142"/>
      <c r="H245" s="156">
        <v>240</v>
      </c>
      <c r="I245" s="157" t="str">
        <f t="shared" si="17"/>
        <v/>
      </c>
      <c r="J245" s="156" t="e">
        <f t="shared" si="18"/>
        <v>#NUM!</v>
      </c>
      <c r="K245" s="156" t="e">
        <f t="shared" si="15"/>
        <v>#NUM!</v>
      </c>
      <c r="L245" s="156"/>
      <c r="M245" s="158">
        <f t="shared" si="16"/>
        <v>0</v>
      </c>
    </row>
    <row r="246" spans="1:13" x14ac:dyDescent="0.25">
      <c r="A246" s="172"/>
      <c r="G246" s="142"/>
      <c r="H246" s="156">
        <v>241</v>
      </c>
      <c r="I246" s="157" t="str">
        <f t="shared" si="17"/>
        <v/>
      </c>
      <c r="J246" s="156" t="e">
        <f t="shared" si="18"/>
        <v>#NUM!</v>
      </c>
      <c r="K246" s="156" t="e">
        <f t="shared" si="15"/>
        <v>#NUM!</v>
      </c>
      <c r="L246" s="156"/>
      <c r="M246" s="158">
        <f t="shared" si="16"/>
        <v>0</v>
      </c>
    </row>
    <row r="247" spans="1:13" x14ac:dyDescent="0.25">
      <c r="A247" s="172"/>
      <c r="G247" s="142"/>
      <c r="H247" s="156">
        <v>242</v>
      </c>
      <c r="I247" s="157" t="str">
        <f t="shared" si="17"/>
        <v/>
      </c>
      <c r="J247" s="156" t="e">
        <f t="shared" si="18"/>
        <v>#NUM!</v>
      </c>
      <c r="K247" s="156" t="e">
        <f t="shared" si="15"/>
        <v>#NUM!</v>
      </c>
      <c r="L247" s="156"/>
      <c r="M247" s="158">
        <f t="shared" si="16"/>
        <v>0</v>
      </c>
    </row>
    <row r="248" spans="1:13" x14ac:dyDescent="0.25">
      <c r="A248" s="172"/>
      <c r="G248" s="142"/>
      <c r="H248" s="156">
        <v>243</v>
      </c>
      <c r="I248" s="157" t="str">
        <f t="shared" si="17"/>
        <v/>
      </c>
      <c r="J248" s="156" t="e">
        <f t="shared" si="18"/>
        <v>#NUM!</v>
      </c>
      <c r="K248" s="156" t="e">
        <f t="shared" si="15"/>
        <v>#NUM!</v>
      </c>
      <c r="L248" s="156"/>
      <c r="M248" s="158">
        <f t="shared" si="16"/>
        <v>0</v>
      </c>
    </row>
    <row r="249" spans="1:13" x14ac:dyDescent="0.25">
      <c r="A249" s="172"/>
      <c r="G249" s="142"/>
      <c r="H249" s="156">
        <v>244</v>
      </c>
      <c r="I249" s="157" t="str">
        <f t="shared" si="17"/>
        <v/>
      </c>
      <c r="J249" s="156" t="e">
        <f t="shared" si="18"/>
        <v>#NUM!</v>
      </c>
      <c r="K249" s="156" t="e">
        <f t="shared" si="15"/>
        <v>#NUM!</v>
      </c>
      <c r="L249" s="156"/>
      <c r="M249" s="158">
        <f t="shared" si="16"/>
        <v>0</v>
      </c>
    </row>
    <row r="250" spans="1:13" x14ac:dyDescent="0.25">
      <c r="A250" s="172"/>
      <c r="G250" s="142"/>
      <c r="H250" s="156">
        <v>245</v>
      </c>
      <c r="I250" s="157" t="str">
        <f t="shared" si="17"/>
        <v/>
      </c>
      <c r="J250" s="156" t="e">
        <f t="shared" si="18"/>
        <v>#NUM!</v>
      </c>
      <c r="K250" s="156" t="e">
        <f t="shared" si="15"/>
        <v>#NUM!</v>
      </c>
      <c r="L250" s="156"/>
      <c r="M250" s="158">
        <f t="shared" si="16"/>
        <v>0</v>
      </c>
    </row>
    <row r="251" spans="1:13" x14ac:dyDescent="0.25">
      <c r="A251" s="172"/>
      <c r="G251" s="142"/>
      <c r="H251" s="156">
        <v>246</v>
      </c>
      <c r="I251" s="157" t="str">
        <f t="shared" si="17"/>
        <v/>
      </c>
      <c r="J251" s="156" t="e">
        <f t="shared" si="18"/>
        <v>#NUM!</v>
      </c>
      <c r="K251" s="156" t="e">
        <f t="shared" si="15"/>
        <v>#NUM!</v>
      </c>
      <c r="L251" s="156"/>
      <c r="M251" s="158">
        <f t="shared" si="16"/>
        <v>0</v>
      </c>
    </row>
    <row r="252" spans="1:13" x14ac:dyDescent="0.25">
      <c r="A252" s="172"/>
      <c r="G252" s="142"/>
      <c r="H252" s="156">
        <v>247</v>
      </c>
      <c r="I252" s="157" t="str">
        <f t="shared" si="17"/>
        <v/>
      </c>
      <c r="J252" s="156" t="e">
        <f t="shared" si="18"/>
        <v>#NUM!</v>
      </c>
      <c r="K252" s="156" t="e">
        <f t="shared" si="15"/>
        <v>#NUM!</v>
      </c>
      <c r="L252" s="156"/>
      <c r="M252" s="158">
        <f t="shared" si="16"/>
        <v>0</v>
      </c>
    </row>
    <row r="253" spans="1:13" x14ac:dyDescent="0.25">
      <c r="A253" s="172"/>
      <c r="G253" s="142"/>
      <c r="H253" s="156">
        <v>248</v>
      </c>
      <c r="I253" s="157" t="str">
        <f t="shared" si="17"/>
        <v/>
      </c>
      <c r="J253" s="156" t="e">
        <f t="shared" si="18"/>
        <v>#NUM!</v>
      </c>
      <c r="K253" s="156" t="e">
        <f t="shared" si="15"/>
        <v>#NUM!</v>
      </c>
      <c r="L253" s="156"/>
      <c r="M253" s="158">
        <f t="shared" si="16"/>
        <v>0</v>
      </c>
    </row>
    <row r="254" spans="1:13" x14ac:dyDescent="0.25">
      <c r="A254" s="172"/>
      <c r="G254" s="142"/>
      <c r="H254" s="156">
        <v>249</v>
      </c>
      <c r="I254" s="157" t="str">
        <f t="shared" si="17"/>
        <v/>
      </c>
      <c r="J254" s="156" t="e">
        <f t="shared" si="18"/>
        <v>#NUM!</v>
      </c>
      <c r="K254" s="156" t="e">
        <f t="shared" si="15"/>
        <v>#NUM!</v>
      </c>
      <c r="L254" s="156"/>
      <c r="M254" s="158">
        <f t="shared" si="16"/>
        <v>0</v>
      </c>
    </row>
    <row r="255" spans="1:13" x14ac:dyDescent="0.25">
      <c r="A255" s="172"/>
      <c r="G255" s="142"/>
      <c r="H255" s="156">
        <v>250</v>
      </c>
      <c r="I255" s="157" t="str">
        <f t="shared" si="17"/>
        <v/>
      </c>
      <c r="J255" s="156" t="e">
        <f t="shared" si="18"/>
        <v>#NUM!</v>
      </c>
      <c r="K255" s="156" t="e">
        <f t="shared" si="15"/>
        <v>#NUM!</v>
      </c>
      <c r="L255" s="156"/>
      <c r="M255" s="158">
        <f t="shared" si="16"/>
        <v>0</v>
      </c>
    </row>
    <row r="256" spans="1:13" x14ac:dyDescent="0.25">
      <c r="A256" s="172"/>
      <c r="G256" s="142"/>
      <c r="H256" s="156">
        <v>251</v>
      </c>
      <c r="I256" s="157" t="str">
        <f t="shared" si="17"/>
        <v/>
      </c>
      <c r="J256" s="156" t="e">
        <f t="shared" si="18"/>
        <v>#NUM!</v>
      </c>
      <c r="K256" s="156" t="e">
        <f t="shared" si="15"/>
        <v>#NUM!</v>
      </c>
      <c r="L256" s="156"/>
      <c r="M256" s="158">
        <f t="shared" si="16"/>
        <v>0</v>
      </c>
    </row>
    <row r="257" spans="1:13" x14ac:dyDescent="0.25">
      <c r="A257" s="172"/>
      <c r="G257" s="142"/>
      <c r="H257" s="156">
        <v>252</v>
      </c>
      <c r="I257" s="157" t="str">
        <f t="shared" si="17"/>
        <v/>
      </c>
      <c r="J257" s="156" t="e">
        <f t="shared" si="18"/>
        <v>#NUM!</v>
      </c>
      <c r="K257" s="156" t="e">
        <f t="shared" si="15"/>
        <v>#NUM!</v>
      </c>
      <c r="L257" s="156"/>
      <c r="M257" s="158">
        <f t="shared" si="16"/>
        <v>0</v>
      </c>
    </row>
    <row r="258" spans="1:13" x14ac:dyDescent="0.25">
      <c r="A258" s="172"/>
      <c r="G258" s="142"/>
      <c r="H258" s="156">
        <v>253</v>
      </c>
      <c r="I258" s="157" t="str">
        <f t="shared" si="17"/>
        <v/>
      </c>
      <c r="J258" s="156" t="e">
        <f t="shared" si="18"/>
        <v>#NUM!</v>
      </c>
      <c r="K258" s="156" t="e">
        <f t="shared" si="15"/>
        <v>#NUM!</v>
      </c>
      <c r="L258" s="156"/>
      <c r="M258" s="158">
        <f t="shared" si="16"/>
        <v>0</v>
      </c>
    </row>
    <row r="259" spans="1:13" x14ac:dyDescent="0.25">
      <c r="A259" s="172"/>
      <c r="G259" s="142"/>
      <c r="H259" s="156">
        <v>254</v>
      </c>
      <c r="I259" s="157" t="str">
        <f t="shared" si="17"/>
        <v/>
      </c>
      <c r="J259" s="156" t="e">
        <f t="shared" si="18"/>
        <v>#NUM!</v>
      </c>
      <c r="K259" s="156" t="e">
        <f t="shared" si="15"/>
        <v>#NUM!</v>
      </c>
      <c r="L259" s="156"/>
      <c r="M259" s="158">
        <f t="shared" si="16"/>
        <v>0</v>
      </c>
    </row>
    <row r="260" spans="1:13" x14ac:dyDescent="0.25">
      <c r="A260" s="172"/>
      <c r="G260" s="142"/>
      <c r="H260" s="156">
        <v>255</v>
      </c>
      <c r="I260" s="157" t="str">
        <f t="shared" si="17"/>
        <v/>
      </c>
      <c r="J260" s="156" t="e">
        <f t="shared" si="18"/>
        <v>#NUM!</v>
      </c>
      <c r="K260" s="156" t="e">
        <f t="shared" si="15"/>
        <v>#NUM!</v>
      </c>
      <c r="L260" s="156"/>
      <c r="M260" s="158">
        <f t="shared" si="16"/>
        <v>0</v>
      </c>
    </row>
    <row r="261" spans="1:13" x14ac:dyDescent="0.25">
      <c r="A261" s="172"/>
      <c r="G261" s="142"/>
      <c r="H261" s="156">
        <v>256</v>
      </c>
      <c r="I261" s="157" t="str">
        <f t="shared" si="17"/>
        <v/>
      </c>
      <c r="J261" s="156" t="e">
        <f t="shared" si="18"/>
        <v>#NUM!</v>
      </c>
      <c r="K261" s="156" t="e">
        <f t="shared" si="15"/>
        <v>#NUM!</v>
      </c>
      <c r="L261" s="156"/>
      <c r="M261" s="158">
        <f t="shared" si="16"/>
        <v>0</v>
      </c>
    </row>
    <row r="262" spans="1:13" x14ac:dyDescent="0.25">
      <c r="A262" s="172"/>
      <c r="G262" s="142"/>
      <c r="H262" s="156">
        <v>257</v>
      </c>
      <c r="I262" s="157" t="str">
        <f t="shared" si="17"/>
        <v/>
      </c>
      <c r="J262" s="156" t="e">
        <f t="shared" si="18"/>
        <v>#NUM!</v>
      </c>
      <c r="K262" s="156" t="e">
        <f t="shared" ref="K262:K305" si="19">J262*$J$2</f>
        <v>#NUM!</v>
      </c>
      <c r="L262" s="156"/>
      <c r="M262" s="158">
        <f t="shared" ref="M262:M305" si="20">IF(I262&lt;&gt;"",K262+I262+L262,0)</f>
        <v>0</v>
      </c>
    </row>
    <row r="263" spans="1:13" x14ac:dyDescent="0.25">
      <c r="A263" s="172"/>
      <c r="G263" s="142"/>
      <c r="H263" s="156">
        <v>258</v>
      </c>
      <c r="I263" s="157" t="str">
        <f t="shared" ref="I263:I305" si="21">IF(H263&lt;$H$2+1,($I$2-($I$2-1)*(LOG(H263)/LOG($H$2))),"")</f>
        <v/>
      </c>
      <c r="J263" s="156" t="e">
        <f t="shared" ref="J263:J305" si="22">INT(LOG($H$2,2))-ROUNDUP(LOG(H263,2),0)+IF(OR($H$2=1,$H$2=2,$H$2=4,$H$2=8,$H$2=16,$H$2=32,$H$2=64,$H$2=128,$H$2=256),0,1)</f>
        <v>#NUM!</v>
      </c>
      <c r="K263" s="156" t="e">
        <f t="shared" si="19"/>
        <v>#NUM!</v>
      </c>
      <c r="L263" s="156"/>
      <c r="M263" s="158">
        <f t="shared" si="20"/>
        <v>0</v>
      </c>
    </row>
    <row r="264" spans="1:13" x14ac:dyDescent="0.25">
      <c r="A264" s="172"/>
      <c r="G264" s="142"/>
      <c r="H264" s="156">
        <v>259</v>
      </c>
      <c r="I264" s="157" t="str">
        <f t="shared" si="21"/>
        <v/>
      </c>
      <c r="J264" s="156" t="e">
        <f t="shared" si="22"/>
        <v>#NUM!</v>
      </c>
      <c r="K264" s="156" t="e">
        <f t="shared" si="19"/>
        <v>#NUM!</v>
      </c>
      <c r="L264" s="156"/>
      <c r="M264" s="158">
        <f t="shared" si="20"/>
        <v>0</v>
      </c>
    </row>
    <row r="265" spans="1:13" x14ac:dyDescent="0.25">
      <c r="A265" s="172"/>
      <c r="G265" s="142"/>
      <c r="H265" s="156">
        <v>260</v>
      </c>
      <c r="I265" s="157" t="str">
        <f t="shared" si="21"/>
        <v/>
      </c>
      <c r="J265" s="156" t="e">
        <f t="shared" si="22"/>
        <v>#NUM!</v>
      </c>
      <c r="K265" s="156" t="e">
        <f t="shared" si="19"/>
        <v>#NUM!</v>
      </c>
      <c r="L265" s="156"/>
      <c r="M265" s="158">
        <f t="shared" si="20"/>
        <v>0</v>
      </c>
    </row>
    <row r="266" spans="1:13" x14ac:dyDescent="0.25">
      <c r="A266" s="172"/>
      <c r="G266" s="142"/>
      <c r="H266" s="156">
        <v>261</v>
      </c>
      <c r="I266" s="157" t="str">
        <f t="shared" si="21"/>
        <v/>
      </c>
      <c r="J266" s="156" t="e">
        <f t="shared" si="22"/>
        <v>#NUM!</v>
      </c>
      <c r="K266" s="156" t="e">
        <f t="shared" si="19"/>
        <v>#NUM!</v>
      </c>
      <c r="L266" s="156"/>
      <c r="M266" s="158">
        <f t="shared" si="20"/>
        <v>0</v>
      </c>
    </row>
    <row r="267" spans="1:13" x14ac:dyDescent="0.25">
      <c r="A267" s="172"/>
      <c r="G267" s="142"/>
      <c r="H267" s="156">
        <v>262</v>
      </c>
      <c r="I267" s="157" t="str">
        <f t="shared" si="21"/>
        <v/>
      </c>
      <c r="J267" s="156" t="e">
        <f t="shared" si="22"/>
        <v>#NUM!</v>
      </c>
      <c r="K267" s="156" t="e">
        <f t="shared" si="19"/>
        <v>#NUM!</v>
      </c>
      <c r="L267" s="156"/>
      <c r="M267" s="158">
        <f t="shared" si="20"/>
        <v>0</v>
      </c>
    </row>
    <row r="268" spans="1:13" x14ac:dyDescent="0.25">
      <c r="A268" s="172"/>
      <c r="G268" s="142"/>
      <c r="H268" s="156">
        <v>263</v>
      </c>
      <c r="I268" s="157" t="str">
        <f t="shared" si="21"/>
        <v/>
      </c>
      <c r="J268" s="156" t="e">
        <f t="shared" si="22"/>
        <v>#NUM!</v>
      </c>
      <c r="K268" s="156" t="e">
        <f t="shared" si="19"/>
        <v>#NUM!</v>
      </c>
      <c r="L268" s="156"/>
      <c r="M268" s="158">
        <f t="shared" si="20"/>
        <v>0</v>
      </c>
    </row>
    <row r="269" spans="1:13" x14ac:dyDescent="0.25">
      <c r="A269" s="172"/>
      <c r="G269" s="142"/>
      <c r="H269" s="156">
        <v>264</v>
      </c>
      <c r="I269" s="157" t="str">
        <f t="shared" si="21"/>
        <v/>
      </c>
      <c r="J269" s="156" t="e">
        <f t="shared" si="22"/>
        <v>#NUM!</v>
      </c>
      <c r="K269" s="156" t="e">
        <f t="shared" si="19"/>
        <v>#NUM!</v>
      </c>
      <c r="L269" s="156"/>
      <c r="M269" s="158">
        <f t="shared" si="20"/>
        <v>0</v>
      </c>
    </row>
    <row r="270" spans="1:13" x14ac:dyDescent="0.25">
      <c r="A270" s="172"/>
      <c r="G270" s="142"/>
      <c r="H270" s="156">
        <v>265</v>
      </c>
      <c r="I270" s="157" t="str">
        <f t="shared" si="21"/>
        <v/>
      </c>
      <c r="J270" s="156" t="e">
        <f t="shared" si="22"/>
        <v>#NUM!</v>
      </c>
      <c r="K270" s="156" t="e">
        <f t="shared" si="19"/>
        <v>#NUM!</v>
      </c>
      <c r="L270" s="156"/>
      <c r="M270" s="158">
        <f t="shared" si="20"/>
        <v>0</v>
      </c>
    </row>
    <row r="271" spans="1:13" x14ac:dyDescent="0.25">
      <c r="A271" s="172"/>
      <c r="G271" s="142"/>
      <c r="H271" s="156">
        <v>266</v>
      </c>
      <c r="I271" s="157" t="str">
        <f t="shared" si="21"/>
        <v/>
      </c>
      <c r="J271" s="156" t="e">
        <f t="shared" si="22"/>
        <v>#NUM!</v>
      </c>
      <c r="K271" s="156" t="e">
        <f t="shared" si="19"/>
        <v>#NUM!</v>
      </c>
      <c r="L271" s="156"/>
      <c r="M271" s="158">
        <f t="shared" si="20"/>
        <v>0</v>
      </c>
    </row>
    <row r="272" spans="1:13" x14ac:dyDescent="0.25">
      <c r="A272" s="172"/>
      <c r="G272" s="142"/>
      <c r="H272" s="156">
        <v>267</v>
      </c>
      <c r="I272" s="157" t="str">
        <f t="shared" si="21"/>
        <v/>
      </c>
      <c r="J272" s="156" t="e">
        <f t="shared" si="22"/>
        <v>#NUM!</v>
      </c>
      <c r="K272" s="156" t="e">
        <f t="shared" si="19"/>
        <v>#NUM!</v>
      </c>
      <c r="L272" s="156"/>
      <c r="M272" s="158">
        <f t="shared" si="20"/>
        <v>0</v>
      </c>
    </row>
    <row r="273" spans="1:13" x14ac:dyDescent="0.25">
      <c r="A273" s="172"/>
      <c r="G273" s="142"/>
      <c r="H273" s="156">
        <v>268</v>
      </c>
      <c r="I273" s="157" t="str">
        <f t="shared" si="21"/>
        <v/>
      </c>
      <c r="J273" s="156" t="e">
        <f t="shared" si="22"/>
        <v>#NUM!</v>
      </c>
      <c r="K273" s="156" t="e">
        <f t="shared" si="19"/>
        <v>#NUM!</v>
      </c>
      <c r="L273" s="156"/>
      <c r="M273" s="158">
        <f t="shared" si="20"/>
        <v>0</v>
      </c>
    </row>
    <row r="274" spans="1:13" x14ac:dyDescent="0.25">
      <c r="A274" s="172"/>
      <c r="G274" s="142"/>
      <c r="H274" s="156">
        <v>269</v>
      </c>
      <c r="I274" s="157" t="str">
        <f t="shared" si="21"/>
        <v/>
      </c>
      <c r="J274" s="156" t="e">
        <f t="shared" si="22"/>
        <v>#NUM!</v>
      </c>
      <c r="K274" s="156" t="e">
        <f t="shared" si="19"/>
        <v>#NUM!</v>
      </c>
      <c r="L274" s="156"/>
      <c r="M274" s="158">
        <f t="shared" si="20"/>
        <v>0</v>
      </c>
    </row>
    <row r="275" spans="1:13" x14ac:dyDescent="0.25">
      <c r="A275" s="172"/>
      <c r="G275" s="142"/>
      <c r="H275" s="156">
        <v>270</v>
      </c>
      <c r="I275" s="157" t="str">
        <f t="shared" si="21"/>
        <v/>
      </c>
      <c r="J275" s="156" t="e">
        <f t="shared" si="22"/>
        <v>#NUM!</v>
      </c>
      <c r="K275" s="156" t="e">
        <f t="shared" si="19"/>
        <v>#NUM!</v>
      </c>
      <c r="L275" s="156"/>
      <c r="M275" s="158">
        <f t="shared" si="20"/>
        <v>0</v>
      </c>
    </row>
    <row r="276" spans="1:13" x14ac:dyDescent="0.25">
      <c r="A276" s="172"/>
      <c r="G276" s="142"/>
      <c r="H276" s="156">
        <v>271</v>
      </c>
      <c r="I276" s="157" t="str">
        <f t="shared" si="21"/>
        <v/>
      </c>
      <c r="J276" s="156" t="e">
        <f t="shared" si="22"/>
        <v>#NUM!</v>
      </c>
      <c r="K276" s="156" t="e">
        <f t="shared" si="19"/>
        <v>#NUM!</v>
      </c>
      <c r="L276" s="156"/>
      <c r="M276" s="158">
        <f t="shared" si="20"/>
        <v>0</v>
      </c>
    </row>
    <row r="277" spans="1:13" x14ac:dyDescent="0.25">
      <c r="A277" s="172"/>
      <c r="G277" s="142"/>
      <c r="H277" s="156">
        <v>272</v>
      </c>
      <c r="I277" s="157" t="str">
        <f t="shared" si="21"/>
        <v/>
      </c>
      <c r="J277" s="156" t="e">
        <f t="shared" si="22"/>
        <v>#NUM!</v>
      </c>
      <c r="K277" s="156" t="e">
        <f t="shared" si="19"/>
        <v>#NUM!</v>
      </c>
      <c r="L277" s="156"/>
      <c r="M277" s="158">
        <f t="shared" si="20"/>
        <v>0</v>
      </c>
    </row>
    <row r="278" spans="1:13" x14ac:dyDescent="0.25">
      <c r="A278" s="172"/>
      <c r="G278" s="142"/>
      <c r="H278" s="156">
        <v>273</v>
      </c>
      <c r="I278" s="157" t="str">
        <f t="shared" si="21"/>
        <v/>
      </c>
      <c r="J278" s="156" t="e">
        <f t="shared" si="22"/>
        <v>#NUM!</v>
      </c>
      <c r="K278" s="156" t="e">
        <f t="shared" si="19"/>
        <v>#NUM!</v>
      </c>
      <c r="L278" s="156"/>
      <c r="M278" s="158">
        <f t="shared" si="20"/>
        <v>0</v>
      </c>
    </row>
    <row r="279" spans="1:13" x14ac:dyDescent="0.25">
      <c r="A279" s="172"/>
      <c r="G279" s="142"/>
      <c r="H279" s="156">
        <v>274</v>
      </c>
      <c r="I279" s="157" t="str">
        <f t="shared" si="21"/>
        <v/>
      </c>
      <c r="J279" s="156" t="e">
        <f t="shared" si="22"/>
        <v>#NUM!</v>
      </c>
      <c r="K279" s="156" t="e">
        <f t="shared" si="19"/>
        <v>#NUM!</v>
      </c>
      <c r="L279" s="156"/>
      <c r="M279" s="158">
        <f t="shared" si="20"/>
        <v>0</v>
      </c>
    </row>
    <row r="280" spans="1:13" x14ac:dyDescent="0.25">
      <c r="A280" s="172"/>
      <c r="G280" s="142"/>
      <c r="H280" s="156">
        <v>275</v>
      </c>
      <c r="I280" s="157" t="str">
        <f t="shared" si="21"/>
        <v/>
      </c>
      <c r="J280" s="156" t="e">
        <f t="shared" si="22"/>
        <v>#NUM!</v>
      </c>
      <c r="K280" s="156" t="e">
        <f t="shared" si="19"/>
        <v>#NUM!</v>
      </c>
      <c r="L280" s="156"/>
      <c r="M280" s="158">
        <f t="shared" si="20"/>
        <v>0</v>
      </c>
    </row>
    <row r="281" spans="1:13" x14ac:dyDescent="0.25">
      <c r="A281" s="172"/>
      <c r="G281" s="142"/>
      <c r="H281" s="156">
        <v>276</v>
      </c>
      <c r="I281" s="157" t="str">
        <f t="shared" si="21"/>
        <v/>
      </c>
      <c r="J281" s="156" t="e">
        <f t="shared" si="22"/>
        <v>#NUM!</v>
      </c>
      <c r="K281" s="156" t="e">
        <f t="shared" si="19"/>
        <v>#NUM!</v>
      </c>
      <c r="L281" s="156"/>
      <c r="M281" s="158">
        <f t="shared" si="20"/>
        <v>0</v>
      </c>
    </row>
    <row r="282" spans="1:13" x14ac:dyDescent="0.25">
      <c r="A282" s="172"/>
      <c r="G282" s="142"/>
      <c r="H282" s="156">
        <v>277</v>
      </c>
      <c r="I282" s="157" t="str">
        <f t="shared" si="21"/>
        <v/>
      </c>
      <c r="J282" s="156" t="e">
        <f t="shared" si="22"/>
        <v>#NUM!</v>
      </c>
      <c r="K282" s="156" t="e">
        <f t="shared" si="19"/>
        <v>#NUM!</v>
      </c>
      <c r="L282" s="156"/>
      <c r="M282" s="158">
        <f t="shared" si="20"/>
        <v>0</v>
      </c>
    </row>
    <row r="283" spans="1:13" x14ac:dyDescent="0.25">
      <c r="A283" s="172"/>
      <c r="G283" s="142"/>
      <c r="H283" s="156">
        <v>278</v>
      </c>
      <c r="I283" s="157" t="str">
        <f t="shared" si="21"/>
        <v/>
      </c>
      <c r="J283" s="156" t="e">
        <f t="shared" si="22"/>
        <v>#NUM!</v>
      </c>
      <c r="K283" s="156" t="e">
        <f t="shared" si="19"/>
        <v>#NUM!</v>
      </c>
      <c r="L283" s="156"/>
      <c r="M283" s="158">
        <f t="shared" si="20"/>
        <v>0</v>
      </c>
    </row>
    <row r="284" spans="1:13" x14ac:dyDescent="0.25">
      <c r="A284" s="172"/>
      <c r="G284" s="142"/>
      <c r="H284" s="156">
        <v>279</v>
      </c>
      <c r="I284" s="157" t="str">
        <f t="shared" si="21"/>
        <v/>
      </c>
      <c r="J284" s="156" t="e">
        <f t="shared" si="22"/>
        <v>#NUM!</v>
      </c>
      <c r="K284" s="156" t="e">
        <f t="shared" si="19"/>
        <v>#NUM!</v>
      </c>
      <c r="L284" s="156"/>
      <c r="M284" s="158">
        <f t="shared" si="20"/>
        <v>0</v>
      </c>
    </row>
    <row r="285" spans="1:13" x14ac:dyDescent="0.25">
      <c r="A285" s="172"/>
      <c r="G285" s="142"/>
      <c r="H285" s="156">
        <v>280</v>
      </c>
      <c r="I285" s="157" t="str">
        <f t="shared" si="21"/>
        <v/>
      </c>
      <c r="J285" s="156" t="e">
        <f t="shared" si="22"/>
        <v>#NUM!</v>
      </c>
      <c r="K285" s="156" t="e">
        <f t="shared" si="19"/>
        <v>#NUM!</v>
      </c>
      <c r="L285" s="156"/>
      <c r="M285" s="158">
        <f t="shared" si="20"/>
        <v>0</v>
      </c>
    </row>
    <row r="286" spans="1:13" x14ac:dyDescent="0.25">
      <c r="A286" s="172"/>
      <c r="G286" s="142"/>
      <c r="H286" s="156">
        <v>281</v>
      </c>
      <c r="I286" s="157" t="str">
        <f t="shared" si="21"/>
        <v/>
      </c>
      <c r="J286" s="156" t="e">
        <f t="shared" si="22"/>
        <v>#NUM!</v>
      </c>
      <c r="K286" s="156" t="e">
        <f t="shared" si="19"/>
        <v>#NUM!</v>
      </c>
      <c r="L286" s="156"/>
      <c r="M286" s="158">
        <f t="shared" si="20"/>
        <v>0</v>
      </c>
    </row>
    <row r="287" spans="1:13" x14ac:dyDescent="0.25">
      <c r="A287" s="172"/>
      <c r="G287" s="142"/>
      <c r="H287" s="156">
        <v>282</v>
      </c>
      <c r="I287" s="157" t="str">
        <f t="shared" si="21"/>
        <v/>
      </c>
      <c r="J287" s="156" t="e">
        <f t="shared" si="22"/>
        <v>#NUM!</v>
      </c>
      <c r="K287" s="156" t="e">
        <f t="shared" si="19"/>
        <v>#NUM!</v>
      </c>
      <c r="L287" s="156"/>
      <c r="M287" s="158">
        <f t="shared" si="20"/>
        <v>0</v>
      </c>
    </row>
    <row r="288" spans="1:13" x14ac:dyDescent="0.25">
      <c r="A288" s="172"/>
      <c r="G288" s="142"/>
      <c r="H288" s="156">
        <v>283</v>
      </c>
      <c r="I288" s="157" t="str">
        <f t="shared" si="21"/>
        <v/>
      </c>
      <c r="J288" s="156" t="e">
        <f t="shared" si="22"/>
        <v>#NUM!</v>
      </c>
      <c r="K288" s="156" t="e">
        <f t="shared" si="19"/>
        <v>#NUM!</v>
      </c>
      <c r="L288" s="156"/>
      <c r="M288" s="158">
        <f t="shared" si="20"/>
        <v>0</v>
      </c>
    </row>
    <row r="289" spans="1:13" x14ac:dyDescent="0.25">
      <c r="A289" s="172"/>
      <c r="G289" s="142"/>
      <c r="H289" s="156">
        <v>284</v>
      </c>
      <c r="I289" s="157" t="str">
        <f t="shared" si="21"/>
        <v/>
      </c>
      <c r="J289" s="156" t="e">
        <f t="shared" si="22"/>
        <v>#NUM!</v>
      </c>
      <c r="K289" s="156" t="e">
        <f t="shared" si="19"/>
        <v>#NUM!</v>
      </c>
      <c r="L289" s="156"/>
      <c r="M289" s="158">
        <f t="shared" si="20"/>
        <v>0</v>
      </c>
    </row>
    <row r="290" spans="1:13" x14ac:dyDescent="0.25">
      <c r="A290" s="172"/>
      <c r="G290" s="142"/>
      <c r="H290" s="156">
        <v>285</v>
      </c>
      <c r="I290" s="157" t="str">
        <f t="shared" si="21"/>
        <v/>
      </c>
      <c r="J290" s="156" t="e">
        <f t="shared" si="22"/>
        <v>#NUM!</v>
      </c>
      <c r="K290" s="156" t="e">
        <f t="shared" si="19"/>
        <v>#NUM!</v>
      </c>
      <c r="L290" s="156"/>
      <c r="M290" s="158">
        <f t="shared" si="20"/>
        <v>0</v>
      </c>
    </row>
    <row r="291" spans="1:13" x14ac:dyDescent="0.25">
      <c r="A291" s="172"/>
      <c r="G291" s="142"/>
      <c r="H291" s="156">
        <v>286</v>
      </c>
      <c r="I291" s="157" t="str">
        <f t="shared" si="21"/>
        <v/>
      </c>
      <c r="J291" s="156" t="e">
        <f t="shared" si="22"/>
        <v>#NUM!</v>
      </c>
      <c r="K291" s="156" t="e">
        <f t="shared" si="19"/>
        <v>#NUM!</v>
      </c>
      <c r="L291" s="156"/>
      <c r="M291" s="158">
        <f t="shared" si="20"/>
        <v>0</v>
      </c>
    </row>
    <row r="292" spans="1:13" x14ac:dyDescent="0.25">
      <c r="A292" s="172"/>
      <c r="G292" s="142"/>
      <c r="H292" s="156">
        <v>287</v>
      </c>
      <c r="I292" s="157" t="str">
        <f t="shared" si="21"/>
        <v/>
      </c>
      <c r="J292" s="156" t="e">
        <f t="shared" si="22"/>
        <v>#NUM!</v>
      </c>
      <c r="K292" s="156" t="e">
        <f t="shared" si="19"/>
        <v>#NUM!</v>
      </c>
      <c r="L292" s="156"/>
      <c r="M292" s="158">
        <f t="shared" si="20"/>
        <v>0</v>
      </c>
    </row>
    <row r="293" spans="1:13" x14ac:dyDescent="0.25">
      <c r="A293" s="172"/>
      <c r="G293" s="142"/>
      <c r="H293" s="156">
        <v>288</v>
      </c>
      <c r="I293" s="157" t="str">
        <f t="shared" si="21"/>
        <v/>
      </c>
      <c r="J293" s="156" t="e">
        <f t="shared" si="22"/>
        <v>#NUM!</v>
      </c>
      <c r="K293" s="156" t="e">
        <f t="shared" si="19"/>
        <v>#NUM!</v>
      </c>
      <c r="L293" s="156"/>
      <c r="M293" s="158">
        <f t="shared" si="20"/>
        <v>0</v>
      </c>
    </row>
    <row r="294" spans="1:13" x14ac:dyDescent="0.25">
      <c r="A294" s="172"/>
      <c r="G294" s="142"/>
      <c r="H294" s="156">
        <v>289</v>
      </c>
      <c r="I294" s="157" t="str">
        <f t="shared" si="21"/>
        <v/>
      </c>
      <c r="J294" s="156" t="e">
        <f t="shared" si="22"/>
        <v>#NUM!</v>
      </c>
      <c r="K294" s="156" t="e">
        <f t="shared" si="19"/>
        <v>#NUM!</v>
      </c>
      <c r="L294" s="156"/>
      <c r="M294" s="158">
        <f t="shared" si="20"/>
        <v>0</v>
      </c>
    </row>
    <row r="295" spans="1:13" x14ac:dyDescent="0.25">
      <c r="A295" s="172"/>
      <c r="G295" s="142"/>
      <c r="H295" s="156">
        <v>290</v>
      </c>
      <c r="I295" s="157" t="str">
        <f t="shared" si="21"/>
        <v/>
      </c>
      <c r="J295" s="156" t="e">
        <f t="shared" si="22"/>
        <v>#NUM!</v>
      </c>
      <c r="K295" s="156" t="e">
        <f t="shared" si="19"/>
        <v>#NUM!</v>
      </c>
      <c r="L295" s="156"/>
      <c r="M295" s="158">
        <f t="shared" si="20"/>
        <v>0</v>
      </c>
    </row>
    <row r="296" spans="1:13" x14ac:dyDescent="0.25">
      <c r="A296" s="172"/>
      <c r="G296" s="142"/>
      <c r="H296" s="156">
        <v>291</v>
      </c>
      <c r="I296" s="157" t="str">
        <f t="shared" si="21"/>
        <v/>
      </c>
      <c r="J296" s="156" t="e">
        <f t="shared" si="22"/>
        <v>#NUM!</v>
      </c>
      <c r="K296" s="156" t="e">
        <f t="shared" si="19"/>
        <v>#NUM!</v>
      </c>
      <c r="L296" s="156"/>
      <c r="M296" s="158">
        <f t="shared" si="20"/>
        <v>0</v>
      </c>
    </row>
    <row r="297" spans="1:13" x14ac:dyDescent="0.25">
      <c r="A297" s="172"/>
      <c r="G297" s="142"/>
      <c r="H297" s="156">
        <v>292</v>
      </c>
      <c r="I297" s="157" t="str">
        <f t="shared" si="21"/>
        <v/>
      </c>
      <c r="J297" s="156" t="e">
        <f t="shared" si="22"/>
        <v>#NUM!</v>
      </c>
      <c r="K297" s="156" t="e">
        <f t="shared" si="19"/>
        <v>#NUM!</v>
      </c>
      <c r="L297" s="156"/>
      <c r="M297" s="158">
        <f t="shared" si="20"/>
        <v>0</v>
      </c>
    </row>
    <row r="298" spans="1:13" x14ac:dyDescent="0.25">
      <c r="A298" s="172"/>
      <c r="G298" s="142"/>
      <c r="H298" s="156">
        <v>293</v>
      </c>
      <c r="I298" s="157" t="str">
        <f t="shared" si="21"/>
        <v/>
      </c>
      <c r="J298" s="156" t="e">
        <f t="shared" si="22"/>
        <v>#NUM!</v>
      </c>
      <c r="K298" s="156" t="e">
        <f t="shared" si="19"/>
        <v>#NUM!</v>
      </c>
      <c r="L298" s="156"/>
      <c r="M298" s="158">
        <f t="shared" si="20"/>
        <v>0</v>
      </c>
    </row>
    <row r="299" spans="1:13" x14ac:dyDescent="0.25">
      <c r="A299" s="172"/>
      <c r="G299" s="142"/>
      <c r="H299" s="156">
        <v>294</v>
      </c>
      <c r="I299" s="157" t="str">
        <f t="shared" si="21"/>
        <v/>
      </c>
      <c r="J299" s="156" t="e">
        <f t="shared" si="22"/>
        <v>#NUM!</v>
      </c>
      <c r="K299" s="156" t="e">
        <f t="shared" si="19"/>
        <v>#NUM!</v>
      </c>
      <c r="L299" s="156"/>
      <c r="M299" s="158">
        <f t="shared" si="20"/>
        <v>0</v>
      </c>
    </row>
    <row r="300" spans="1:13" x14ac:dyDescent="0.25">
      <c r="A300" s="172"/>
      <c r="G300" s="142"/>
      <c r="H300" s="156">
        <v>295</v>
      </c>
      <c r="I300" s="157" t="str">
        <f t="shared" si="21"/>
        <v/>
      </c>
      <c r="J300" s="156" t="e">
        <f t="shared" si="22"/>
        <v>#NUM!</v>
      </c>
      <c r="K300" s="156" t="e">
        <f t="shared" si="19"/>
        <v>#NUM!</v>
      </c>
      <c r="L300" s="156"/>
      <c r="M300" s="158">
        <f t="shared" si="20"/>
        <v>0</v>
      </c>
    </row>
    <row r="301" spans="1:13" x14ac:dyDescent="0.25">
      <c r="A301" s="172"/>
      <c r="G301" s="142"/>
      <c r="H301" s="156">
        <v>296</v>
      </c>
      <c r="I301" s="157" t="str">
        <f t="shared" si="21"/>
        <v/>
      </c>
      <c r="J301" s="156" t="e">
        <f t="shared" si="22"/>
        <v>#NUM!</v>
      </c>
      <c r="K301" s="156" t="e">
        <f t="shared" si="19"/>
        <v>#NUM!</v>
      </c>
      <c r="L301" s="156"/>
      <c r="M301" s="158">
        <f t="shared" si="20"/>
        <v>0</v>
      </c>
    </row>
    <row r="302" spans="1:13" x14ac:dyDescent="0.25">
      <c r="A302" s="172"/>
      <c r="G302" s="142"/>
      <c r="H302" s="156">
        <v>297</v>
      </c>
      <c r="I302" s="157" t="str">
        <f t="shared" si="21"/>
        <v/>
      </c>
      <c r="J302" s="156" t="e">
        <f t="shared" si="22"/>
        <v>#NUM!</v>
      </c>
      <c r="K302" s="156" t="e">
        <f t="shared" si="19"/>
        <v>#NUM!</v>
      </c>
      <c r="L302" s="156"/>
      <c r="M302" s="158">
        <f t="shared" si="20"/>
        <v>0</v>
      </c>
    </row>
    <row r="303" spans="1:13" x14ac:dyDescent="0.25">
      <c r="A303" s="172"/>
      <c r="G303" s="142"/>
      <c r="H303" s="156">
        <v>298</v>
      </c>
      <c r="I303" s="157" t="str">
        <f t="shared" si="21"/>
        <v/>
      </c>
      <c r="J303" s="156" t="e">
        <f t="shared" si="22"/>
        <v>#NUM!</v>
      </c>
      <c r="K303" s="156" t="e">
        <f t="shared" si="19"/>
        <v>#NUM!</v>
      </c>
      <c r="L303" s="156"/>
      <c r="M303" s="158">
        <f t="shared" si="20"/>
        <v>0</v>
      </c>
    </row>
    <row r="304" spans="1:13" x14ac:dyDescent="0.25">
      <c r="A304" s="172"/>
      <c r="G304" s="142"/>
      <c r="H304" s="156">
        <v>299</v>
      </c>
      <c r="I304" s="157" t="str">
        <f t="shared" si="21"/>
        <v/>
      </c>
      <c r="J304" s="156" t="e">
        <f t="shared" si="22"/>
        <v>#NUM!</v>
      </c>
      <c r="K304" s="156" t="e">
        <f t="shared" si="19"/>
        <v>#NUM!</v>
      </c>
      <c r="L304" s="156"/>
      <c r="M304" s="158">
        <f t="shared" si="20"/>
        <v>0</v>
      </c>
    </row>
    <row r="305" spans="1:16" x14ac:dyDescent="0.25">
      <c r="A305" s="172"/>
      <c r="G305" s="142"/>
      <c r="H305" s="156">
        <v>300</v>
      </c>
      <c r="I305" s="157" t="str">
        <f t="shared" si="21"/>
        <v/>
      </c>
      <c r="J305" s="156" t="e">
        <f t="shared" si="22"/>
        <v>#NUM!</v>
      </c>
      <c r="K305" s="156" t="e">
        <f t="shared" si="19"/>
        <v>#NUM!</v>
      </c>
      <c r="L305" s="156"/>
      <c r="M305" s="158">
        <f t="shared" si="20"/>
        <v>0</v>
      </c>
    </row>
    <row r="306" spans="1:16" x14ac:dyDescent="0.25">
      <c r="A306" s="174"/>
    </row>
    <row r="314" spans="1:16" x14ac:dyDescent="0.25">
      <c r="L314" s="177"/>
      <c r="P314" s="167"/>
    </row>
    <row r="315" spans="1:16" x14ac:dyDescent="0.25">
      <c r="L315" s="177"/>
      <c r="P315" s="167"/>
    </row>
    <row r="316" spans="1:16" x14ac:dyDescent="0.25">
      <c r="L316" s="177"/>
      <c r="P316" s="167"/>
    </row>
    <row r="317" spans="1:16" x14ac:dyDescent="0.25">
      <c r="L317" s="177"/>
      <c r="P317" s="167"/>
    </row>
  </sheetData>
  <mergeCells count="2">
    <mergeCell ref="C2:D2"/>
    <mergeCell ref="C3:D3"/>
  </mergeCells>
  <conditionalFormatting sqref="J6:K305">
    <cfRule type="cellIs" dxfId="28" priority="1" operator="lessThanOrEqual">
      <formula>0</formula>
    </cfRule>
  </conditionalFormatting>
  <dataValidations count="1">
    <dataValidation type="list" allowBlank="1" showInputMessage="1" showErrorMessage="1" sqref="C38:C69" xr:uid="{DE3CBCB5-E41D-474E-AB50-D5294F9C4EA6}">
      <formula1>#REF!</formula1>
    </dataValidation>
  </dataValidations>
  <hyperlinks>
    <hyperlink ref="C2:D2" r:id="rId1" location="today" display="KRAKÓW" xr:uid="{3FEB132C-1422-4A82-B158-5E4D94ED744A}"/>
  </hyperlinks>
  <pageMargins left="0.7" right="0.7" top="0.75" bottom="0.75" header="0.3" footer="0.3"/>
  <pageSetup paperSize="9" orientation="portrait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60E4B9-AAB8-476A-8256-0B5A7F5D737D}">
  <sheetPr>
    <tabColor rgb="FF92D050"/>
  </sheetPr>
  <dimension ref="A1:AL317"/>
  <sheetViews>
    <sheetView workbookViewId="0">
      <selection activeCell="E30" sqref="E30"/>
    </sheetView>
  </sheetViews>
  <sheetFormatPr defaultColWidth="8.875" defaultRowHeight="14.3" x14ac:dyDescent="0.25"/>
  <cols>
    <col min="1" max="1" width="8" style="173" customWidth="1"/>
    <col min="2" max="2" width="8.25" style="173" customWidth="1"/>
    <col min="3" max="3" width="34.75" style="173" customWidth="1"/>
    <col min="4" max="4" width="11.25" style="173" customWidth="1"/>
    <col min="5" max="6" width="8.875" style="173"/>
    <col min="7" max="7" width="0.875" style="173" customWidth="1"/>
    <col min="8" max="8" width="8.875" style="175"/>
    <col min="9" max="9" width="11" style="175" customWidth="1"/>
    <col min="10" max="10" width="15.25" style="175" customWidth="1"/>
    <col min="11" max="11" width="8.75" style="175" customWidth="1"/>
    <col min="12" max="12" width="11" style="175" customWidth="1"/>
    <col min="13" max="13" width="11.75" style="176" customWidth="1"/>
    <col min="14" max="15" width="13.875" style="142" customWidth="1"/>
    <col min="16" max="18" width="8.875" style="142"/>
    <col min="19" max="20" width="8.875" style="147"/>
    <col min="21" max="21" width="12.125" style="147" customWidth="1"/>
    <col min="22" max="22" width="27.375" style="147" customWidth="1"/>
    <col min="23" max="38" width="8.875" style="147"/>
    <col min="39" max="16384" width="8.875" style="173"/>
  </cols>
  <sheetData>
    <row r="1" spans="1:36" x14ac:dyDescent="0.25">
      <c r="A1" s="142"/>
      <c r="B1" s="142"/>
      <c r="C1" s="142"/>
      <c r="D1" s="142"/>
      <c r="E1" s="142"/>
      <c r="F1" s="142"/>
      <c r="G1" s="142"/>
      <c r="H1" s="143" t="s">
        <v>20</v>
      </c>
      <c r="I1" s="144" t="s">
        <v>21</v>
      </c>
      <c r="J1" s="144" t="s">
        <v>22</v>
      </c>
      <c r="K1" s="145" t="s">
        <v>23</v>
      </c>
      <c r="L1" s="146"/>
      <c r="M1" s="146"/>
    </row>
    <row r="2" spans="1:36" ht="14.45" customHeight="1" x14ac:dyDescent="0.25">
      <c r="A2" s="142"/>
      <c r="B2" s="19" t="s">
        <v>24</v>
      </c>
      <c r="C2" s="277" t="s">
        <v>186</v>
      </c>
      <c r="D2" s="277"/>
      <c r="E2" s="20"/>
      <c r="F2" s="20"/>
      <c r="G2" s="20"/>
      <c r="H2" s="148">
        <v>0</v>
      </c>
      <c r="I2" s="149">
        <v>50</v>
      </c>
      <c r="J2" s="149">
        <v>10</v>
      </c>
      <c r="K2" s="150">
        <f>3*H2^(1/3)</f>
        <v>0</v>
      </c>
      <c r="L2" s="146"/>
      <c r="M2" s="146"/>
    </row>
    <row r="3" spans="1:36" ht="14.45" customHeight="1" x14ac:dyDescent="0.25">
      <c r="A3" s="142"/>
      <c r="B3" s="151" t="s">
        <v>26</v>
      </c>
      <c r="C3" s="278" t="s">
        <v>187</v>
      </c>
      <c r="D3" s="278"/>
      <c r="E3" s="25"/>
      <c r="F3" s="25"/>
      <c r="G3" s="25"/>
      <c r="H3" s="146"/>
      <c r="I3" s="146"/>
      <c r="J3" s="152"/>
      <c r="K3" s="146"/>
      <c r="L3" s="146"/>
      <c r="M3" s="146"/>
    </row>
    <row r="4" spans="1:36" ht="10.199999999999999" customHeight="1" x14ac:dyDescent="0.25">
      <c r="A4" s="27"/>
      <c r="B4" s="25"/>
      <c r="C4" s="27"/>
      <c r="D4" s="27"/>
      <c r="E4" s="27"/>
      <c r="F4" s="27"/>
      <c r="G4" s="27"/>
      <c r="H4" s="146"/>
      <c r="I4" s="146"/>
      <c r="J4" s="152"/>
      <c r="K4" s="146"/>
      <c r="L4" s="146"/>
      <c r="M4" s="146"/>
    </row>
    <row r="5" spans="1:36" ht="34.65" x14ac:dyDescent="0.25">
      <c r="A5" s="1" t="s">
        <v>28</v>
      </c>
      <c r="B5" s="28" t="s">
        <v>29</v>
      </c>
      <c r="C5" s="1" t="s">
        <v>30</v>
      </c>
      <c r="D5" s="1" t="s">
        <v>31</v>
      </c>
      <c r="E5" s="1" t="s">
        <v>32</v>
      </c>
      <c r="F5" s="1" t="s">
        <v>33</v>
      </c>
      <c r="G5" s="27"/>
      <c r="H5" s="153" t="s">
        <v>34</v>
      </c>
      <c r="I5" s="154" t="s">
        <v>35</v>
      </c>
      <c r="J5" s="155" t="s">
        <v>36</v>
      </c>
      <c r="K5" s="154" t="s">
        <v>37</v>
      </c>
      <c r="L5" s="154" t="s">
        <v>38</v>
      </c>
      <c r="M5" s="153" t="s">
        <v>39</v>
      </c>
    </row>
    <row r="6" spans="1:36" ht="14.45" customHeight="1" x14ac:dyDescent="0.25">
      <c r="A6" s="32">
        <f>M6</f>
        <v>0</v>
      </c>
      <c r="B6" s="33" t="str">
        <f t="shared" ref="B6:B13" si="0">IF(H6&gt;$H$2,"",(ROW()-5))</f>
        <v/>
      </c>
      <c r="C6" s="34"/>
      <c r="D6" s="34"/>
      <c r="E6" s="34"/>
      <c r="F6" s="34"/>
      <c r="G6" s="27"/>
      <c r="H6" s="156">
        <v>1</v>
      </c>
      <c r="I6" s="157" t="str">
        <f>IF(H2=1,50,IF(H6&lt;$H$2+1,($I$2-($I$2-1)*(LOG(H6)/LOG($H$2))),""))</f>
        <v/>
      </c>
      <c r="J6" s="156" t="e">
        <f>INT(LOG($H$2,2))-ROUNDUP(LOG(H6,2),0)+IF(OR($H$2=1,$H$2=2,$H$2=4,$H$2=8,$H$2=16,$H$2=32,$H$2=64,$H$2=128,$H$2=256),0,1)</f>
        <v>#NUM!</v>
      </c>
      <c r="K6" s="156" t="e">
        <f t="shared" ref="K6:K69" si="1">J6*$J$2</f>
        <v>#NUM!</v>
      </c>
      <c r="L6" s="158">
        <f>3*K2</f>
        <v>0</v>
      </c>
      <c r="M6" s="158">
        <f t="shared" ref="M6:M69" si="2">IF(I6&lt;&gt;"",K6+I6+L6,0)</f>
        <v>0</v>
      </c>
    </row>
    <row r="7" spans="1:36" ht="14.45" customHeight="1" x14ac:dyDescent="0.25">
      <c r="A7" s="38">
        <f t="shared" ref="A7:A37" si="3">M7</f>
        <v>0</v>
      </c>
      <c r="B7" s="39" t="str">
        <f t="shared" si="0"/>
        <v/>
      </c>
      <c r="C7" s="40"/>
      <c r="D7" s="40"/>
      <c r="E7" s="40"/>
      <c r="F7" s="40"/>
      <c r="G7" s="27"/>
      <c r="H7" s="159">
        <v>2</v>
      </c>
      <c r="I7" s="160" t="str">
        <f t="shared" ref="I7:I70" si="4">IF(H7&lt;$H$2+1,($I$2-($I$2-1)*(LOG(H7)/LOG($H$2))),"")</f>
        <v/>
      </c>
      <c r="J7" s="159" t="e">
        <f t="shared" ref="J7:J70" si="5">INT(LOG($H$2,2))-ROUNDUP(LOG(H7,2),0)+IF(OR($H$2=1,$H$2=2,$H$2=4,$H$2=8,$H$2=16,$H$2=32,$H$2=64,$H$2=128,$H$2=256),0,1)</f>
        <v>#NUM!</v>
      </c>
      <c r="K7" s="159" t="e">
        <f t="shared" si="1"/>
        <v>#NUM!</v>
      </c>
      <c r="L7" s="161">
        <f>2*K2</f>
        <v>0</v>
      </c>
      <c r="M7" s="161">
        <f t="shared" si="2"/>
        <v>0</v>
      </c>
    </row>
    <row r="8" spans="1:36" ht="14.45" customHeight="1" x14ac:dyDescent="0.25">
      <c r="A8" s="32">
        <f t="shared" si="3"/>
        <v>0</v>
      </c>
      <c r="B8" s="33" t="str">
        <f t="shared" si="0"/>
        <v/>
      </c>
      <c r="C8" s="34"/>
      <c r="D8" s="34"/>
      <c r="E8" s="34"/>
      <c r="F8" s="34"/>
      <c r="G8" s="27"/>
      <c r="H8" s="156">
        <v>3</v>
      </c>
      <c r="I8" s="157" t="str">
        <f t="shared" si="4"/>
        <v/>
      </c>
      <c r="J8" s="156" t="e">
        <f t="shared" si="5"/>
        <v>#NUM!</v>
      </c>
      <c r="K8" s="156" t="e">
        <f t="shared" si="1"/>
        <v>#NUM!</v>
      </c>
      <c r="L8" s="158">
        <f>K2</f>
        <v>0</v>
      </c>
      <c r="M8" s="158">
        <f t="shared" si="2"/>
        <v>0</v>
      </c>
    </row>
    <row r="9" spans="1:36" ht="14.45" customHeight="1" x14ac:dyDescent="0.25">
      <c r="A9" s="38">
        <f t="shared" si="3"/>
        <v>0</v>
      </c>
      <c r="B9" s="39" t="str">
        <f t="shared" si="0"/>
        <v/>
      </c>
      <c r="C9" s="40"/>
      <c r="D9" s="40"/>
      <c r="E9" s="40"/>
      <c r="F9" s="40"/>
      <c r="G9" s="27"/>
      <c r="H9" s="159">
        <v>4</v>
      </c>
      <c r="I9" s="160" t="str">
        <f t="shared" si="4"/>
        <v/>
      </c>
      <c r="J9" s="159" t="e">
        <f t="shared" si="5"/>
        <v>#NUM!</v>
      </c>
      <c r="K9" s="159" t="e">
        <f t="shared" si="1"/>
        <v>#NUM!</v>
      </c>
      <c r="L9" s="161"/>
      <c r="M9" s="161">
        <f t="shared" si="2"/>
        <v>0</v>
      </c>
      <c r="V9" s="162"/>
      <c r="Z9" s="163"/>
      <c r="AA9" s="163"/>
      <c r="AG9" s="164"/>
      <c r="AH9" s="147" t="s">
        <v>40</v>
      </c>
      <c r="AI9" s="147">
        <v>23</v>
      </c>
    </row>
    <row r="10" spans="1:36" ht="14.45" customHeight="1" x14ac:dyDescent="0.25">
      <c r="A10" s="32">
        <f t="shared" si="3"/>
        <v>0</v>
      </c>
      <c r="B10" s="33" t="str">
        <f t="shared" si="0"/>
        <v/>
      </c>
      <c r="C10" s="34"/>
      <c r="D10" s="34"/>
      <c r="E10" s="34"/>
      <c r="F10" s="34"/>
      <c r="G10" s="27"/>
      <c r="H10" s="156">
        <v>5</v>
      </c>
      <c r="I10" s="157" t="str">
        <f t="shared" si="4"/>
        <v/>
      </c>
      <c r="J10" s="156" t="e">
        <f t="shared" si="5"/>
        <v>#NUM!</v>
      </c>
      <c r="K10" s="156" t="e">
        <f t="shared" si="1"/>
        <v>#NUM!</v>
      </c>
      <c r="L10" s="156"/>
      <c r="M10" s="158">
        <f t="shared" si="2"/>
        <v>0</v>
      </c>
      <c r="V10" s="162"/>
      <c r="Z10" s="163"/>
      <c r="AA10" s="163"/>
      <c r="AG10" s="164"/>
      <c r="AH10" s="147" t="s">
        <v>41</v>
      </c>
      <c r="AI10" s="147">
        <v>45</v>
      </c>
    </row>
    <row r="11" spans="1:36" ht="14.45" customHeight="1" x14ac:dyDescent="0.25">
      <c r="A11" s="38">
        <f t="shared" si="3"/>
        <v>0</v>
      </c>
      <c r="B11" s="39" t="str">
        <f t="shared" si="0"/>
        <v/>
      </c>
      <c r="C11" s="40"/>
      <c r="D11" s="40"/>
      <c r="E11" s="40"/>
      <c r="F11" s="40"/>
      <c r="G11" s="27"/>
      <c r="H11" s="159">
        <v>6</v>
      </c>
      <c r="I11" s="160" t="str">
        <f t="shared" si="4"/>
        <v/>
      </c>
      <c r="J11" s="159" t="e">
        <f t="shared" si="5"/>
        <v>#NUM!</v>
      </c>
      <c r="K11" s="159" t="e">
        <f t="shared" si="1"/>
        <v>#NUM!</v>
      </c>
      <c r="L11" s="159"/>
      <c r="M11" s="161">
        <f t="shared" si="2"/>
        <v>0</v>
      </c>
      <c r="V11" s="165"/>
      <c r="Z11" s="163"/>
      <c r="AA11" s="163"/>
      <c r="AG11" s="164"/>
      <c r="AH11" s="147" t="s">
        <v>42</v>
      </c>
      <c r="AI11" s="147">
        <v>50</v>
      </c>
    </row>
    <row r="12" spans="1:36" ht="14.45" customHeight="1" x14ac:dyDescent="0.25">
      <c r="A12" s="32">
        <f t="shared" si="3"/>
        <v>0</v>
      </c>
      <c r="B12" s="33" t="str">
        <f t="shared" si="0"/>
        <v/>
      </c>
      <c r="C12" s="34"/>
      <c r="D12" s="34"/>
      <c r="E12" s="34"/>
      <c r="F12" s="34"/>
      <c r="G12" s="27"/>
      <c r="H12" s="156">
        <v>7</v>
      </c>
      <c r="I12" s="157" t="str">
        <f t="shared" si="4"/>
        <v/>
      </c>
      <c r="J12" s="156" t="e">
        <f t="shared" si="5"/>
        <v>#NUM!</v>
      </c>
      <c r="K12" s="156" t="e">
        <f t="shared" si="1"/>
        <v>#NUM!</v>
      </c>
      <c r="L12" s="156"/>
      <c r="M12" s="158">
        <f t="shared" si="2"/>
        <v>0</v>
      </c>
      <c r="Z12" s="163"/>
      <c r="AA12" s="163"/>
      <c r="AG12" s="164"/>
      <c r="AH12" s="147" t="s">
        <v>43</v>
      </c>
      <c r="AI12" s="147">
        <f>AI11-1</f>
        <v>49</v>
      </c>
    </row>
    <row r="13" spans="1:36" ht="14.45" customHeight="1" x14ac:dyDescent="0.25">
      <c r="A13" s="48">
        <f t="shared" si="3"/>
        <v>0</v>
      </c>
      <c r="B13" s="39" t="str">
        <f t="shared" si="0"/>
        <v/>
      </c>
      <c r="C13" s="40"/>
      <c r="D13" s="40"/>
      <c r="E13" s="40"/>
      <c r="F13" s="40"/>
      <c r="G13" s="27"/>
      <c r="H13" s="159">
        <v>8</v>
      </c>
      <c r="I13" s="160" t="str">
        <f t="shared" si="4"/>
        <v/>
      </c>
      <c r="J13" s="159" t="e">
        <f t="shared" si="5"/>
        <v>#NUM!</v>
      </c>
      <c r="K13" s="159" t="e">
        <f t="shared" si="1"/>
        <v>#NUM!</v>
      </c>
      <c r="L13" s="159"/>
      <c r="M13" s="161">
        <f t="shared" si="2"/>
        <v>0</v>
      </c>
      <c r="X13" s="162"/>
      <c r="AG13" s="164"/>
      <c r="AH13" s="147" t="s">
        <v>44</v>
      </c>
      <c r="AI13" s="147">
        <f>LOG(AI9)</f>
        <v>1.3617278360175928</v>
      </c>
    </row>
    <row r="14" spans="1:36" x14ac:dyDescent="0.25">
      <c r="A14" s="49">
        <f t="shared" si="3"/>
        <v>0</v>
      </c>
      <c r="B14" s="33" t="str">
        <f>IF(H14&gt;$H$2,"",(ROW()-5))</f>
        <v/>
      </c>
      <c r="C14" s="34"/>
      <c r="D14" s="34"/>
      <c r="E14" s="34"/>
      <c r="F14" s="34"/>
      <c r="G14" s="27"/>
      <c r="H14" s="156">
        <v>9</v>
      </c>
      <c r="I14" s="157" t="str">
        <f t="shared" si="4"/>
        <v/>
      </c>
      <c r="J14" s="156" t="e">
        <f t="shared" si="5"/>
        <v>#NUM!</v>
      </c>
      <c r="K14" s="156" t="e">
        <f t="shared" si="1"/>
        <v>#NUM!</v>
      </c>
      <c r="L14" s="156"/>
      <c r="M14" s="158">
        <f t="shared" si="2"/>
        <v>0</v>
      </c>
      <c r="X14" s="166"/>
      <c r="Z14" s="163"/>
      <c r="AA14" s="163"/>
      <c r="AG14" s="164"/>
      <c r="AH14" s="147" t="s">
        <v>45</v>
      </c>
      <c r="AI14" s="147">
        <f>LOG(AI10)</f>
        <v>1.6532125137753437</v>
      </c>
    </row>
    <row r="15" spans="1:36" x14ac:dyDescent="0.25">
      <c r="A15" s="48">
        <f t="shared" si="3"/>
        <v>0</v>
      </c>
      <c r="B15" s="39" t="str">
        <f t="shared" ref="B15:B65" si="6">IF(H15&gt;$H$2,"",(ROW()-5))</f>
        <v/>
      </c>
      <c r="C15" s="40"/>
      <c r="D15" s="40"/>
      <c r="E15" s="40"/>
      <c r="F15" s="40"/>
      <c r="G15" s="27"/>
      <c r="H15" s="159">
        <v>10</v>
      </c>
      <c r="I15" s="160" t="str">
        <f t="shared" si="4"/>
        <v/>
      </c>
      <c r="J15" s="159" t="e">
        <f t="shared" si="5"/>
        <v>#NUM!</v>
      </c>
      <c r="K15" s="159" t="e">
        <f t="shared" si="1"/>
        <v>#NUM!</v>
      </c>
      <c r="L15" s="159"/>
      <c r="M15" s="161">
        <f t="shared" si="2"/>
        <v>0</v>
      </c>
      <c r="X15" s="162"/>
      <c r="Z15" s="163"/>
      <c r="AA15" s="163"/>
    </row>
    <row r="16" spans="1:36" x14ac:dyDescent="0.25">
      <c r="A16" s="49">
        <f t="shared" si="3"/>
        <v>0</v>
      </c>
      <c r="B16" s="33" t="str">
        <f t="shared" si="6"/>
        <v/>
      </c>
      <c r="C16" s="34"/>
      <c r="D16" s="34"/>
      <c r="E16" s="34"/>
      <c r="F16" s="34"/>
      <c r="G16" s="27"/>
      <c r="H16" s="156">
        <v>11</v>
      </c>
      <c r="I16" s="157" t="str">
        <f t="shared" si="4"/>
        <v/>
      </c>
      <c r="J16" s="156" t="e">
        <f t="shared" si="5"/>
        <v>#NUM!</v>
      </c>
      <c r="K16" s="156" t="e">
        <f t="shared" si="1"/>
        <v>#NUM!</v>
      </c>
      <c r="L16" s="156"/>
      <c r="M16" s="158">
        <f t="shared" si="2"/>
        <v>0</v>
      </c>
      <c r="R16" s="167"/>
      <c r="Z16" s="163"/>
      <c r="AA16" s="163"/>
      <c r="AH16" s="168" t="s">
        <v>46</v>
      </c>
      <c r="AI16" s="147">
        <f>AI11-AI12*AI13/AI14</f>
        <v>9.6393909380186855</v>
      </c>
      <c r="AJ16" s="147" t="s">
        <v>47</v>
      </c>
    </row>
    <row r="17" spans="1:19" x14ac:dyDescent="0.25">
      <c r="A17" s="48">
        <f t="shared" si="3"/>
        <v>0</v>
      </c>
      <c r="B17" s="39" t="str">
        <f t="shared" si="6"/>
        <v/>
      </c>
      <c r="C17" s="40"/>
      <c r="D17" s="40"/>
      <c r="E17" s="40"/>
      <c r="F17" s="40"/>
      <c r="G17" s="27"/>
      <c r="H17" s="159">
        <v>12</v>
      </c>
      <c r="I17" s="160" t="str">
        <f t="shared" si="4"/>
        <v/>
      </c>
      <c r="J17" s="159" t="e">
        <f t="shared" si="5"/>
        <v>#NUM!</v>
      </c>
      <c r="K17" s="159" t="e">
        <f t="shared" si="1"/>
        <v>#NUM!</v>
      </c>
      <c r="L17" s="159"/>
      <c r="M17" s="161">
        <f t="shared" si="2"/>
        <v>0</v>
      </c>
    </row>
    <row r="18" spans="1:19" x14ac:dyDescent="0.25">
      <c r="A18" s="49">
        <f t="shared" si="3"/>
        <v>0</v>
      </c>
      <c r="B18" s="33" t="str">
        <f t="shared" si="6"/>
        <v/>
      </c>
      <c r="C18" s="34"/>
      <c r="D18" s="34"/>
      <c r="E18" s="34"/>
      <c r="F18" s="34"/>
      <c r="G18" s="27"/>
      <c r="H18" s="156">
        <v>13</v>
      </c>
      <c r="I18" s="157" t="str">
        <f t="shared" si="4"/>
        <v/>
      </c>
      <c r="J18" s="156" t="e">
        <f t="shared" si="5"/>
        <v>#NUM!</v>
      </c>
      <c r="K18" s="156" t="e">
        <f t="shared" si="1"/>
        <v>#NUM!</v>
      </c>
      <c r="L18" s="156"/>
      <c r="M18" s="158">
        <f t="shared" si="2"/>
        <v>0</v>
      </c>
    </row>
    <row r="19" spans="1:19" x14ac:dyDescent="0.25">
      <c r="A19" s="48">
        <f t="shared" si="3"/>
        <v>0</v>
      </c>
      <c r="B19" s="39" t="str">
        <f t="shared" si="6"/>
        <v/>
      </c>
      <c r="C19" s="40"/>
      <c r="D19" s="40"/>
      <c r="E19" s="40"/>
      <c r="F19" s="40"/>
      <c r="G19" s="27"/>
      <c r="H19" s="159">
        <v>14</v>
      </c>
      <c r="I19" s="160" t="str">
        <f t="shared" si="4"/>
        <v/>
      </c>
      <c r="J19" s="159" t="e">
        <f t="shared" si="5"/>
        <v>#NUM!</v>
      </c>
      <c r="K19" s="159" t="e">
        <f t="shared" si="1"/>
        <v>#NUM!</v>
      </c>
      <c r="L19" s="159"/>
      <c r="M19" s="161">
        <f t="shared" si="2"/>
        <v>0</v>
      </c>
    </row>
    <row r="20" spans="1:19" x14ac:dyDescent="0.25">
      <c r="A20" s="49">
        <f t="shared" si="3"/>
        <v>0</v>
      </c>
      <c r="B20" s="33" t="str">
        <f t="shared" si="6"/>
        <v/>
      </c>
      <c r="C20" s="34"/>
      <c r="D20" s="34"/>
      <c r="E20" s="34"/>
      <c r="F20" s="34"/>
      <c r="G20" s="27"/>
      <c r="H20" s="156">
        <v>15</v>
      </c>
      <c r="I20" s="157" t="str">
        <f t="shared" si="4"/>
        <v/>
      </c>
      <c r="J20" s="156" t="e">
        <f t="shared" si="5"/>
        <v>#NUM!</v>
      </c>
      <c r="K20" s="156" t="e">
        <f t="shared" si="1"/>
        <v>#NUM!</v>
      </c>
      <c r="L20" s="156"/>
      <c r="M20" s="158">
        <f t="shared" si="2"/>
        <v>0</v>
      </c>
      <c r="R20" s="169"/>
      <c r="S20" s="170"/>
    </row>
    <row r="21" spans="1:19" x14ac:dyDescent="0.25">
      <c r="A21" s="48">
        <f t="shared" si="3"/>
        <v>0</v>
      </c>
      <c r="B21" s="39" t="str">
        <f t="shared" si="6"/>
        <v/>
      </c>
      <c r="C21" s="40"/>
      <c r="D21" s="40"/>
      <c r="E21" s="40"/>
      <c r="F21" s="40"/>
      <c r="G21" s="27"/>
      <c r="H21" s="159">
        <v>16</v>
      </c>
      <c r="I21" s="160" t="str">
        <f t="shared" si="4"/>
        <v/>
      </c>
      <c r="J21" s="159" t="e">
        <f t="shared" si="5"/>
        <v>#NUM!</v>
      </c>
      <c r="K21" s="159" t="e">
        <f t="shared" si="1"/>
        <v>#NUM!</v>
      </c>
      <c r="L21" s="159"/>
      <c r="M21" s="161">
        <f t="shared" si="2"/>
        <v>0</v>
      </c>
    </row>
    <row r="22" spans="1:19" x14ac:dyDescent="0.25">
      <c r="A22" s="49">
        <f t="shared" si="3"/>
        <v>0</v>
      </c>
      <c r="B22" s="33" t="str">
        <f t="shared" si="6"/>
        <v/>
      </c>
      <c r="C22" s="34"/>
      <c r="D22" s="34"/>
      <c r="E22" s="34"/>
      <c r="F22" s="34"/>
      <c r="G22" s="27"/>
      <c r="H22" s="156">
        <v>17</v>
      </c>
      <c r="I22" s="157" t="str">
        <f t="shared" si="4"/>
        <v/>
      </c>
      <c r="J22" s="156" t="e">
        <f t="shared" si="5"/>
        <v>#NUM!</v>
      </c>
      <c r="K22" s="156" t="e">
        <f t="shared" si="1"/>
        <v>#NUM!</v>
      </c>
      <c r="L22" s="156"/>
      <c r="M22" s="158">
        <f t="shared" si="2"/>
        <v>0</v>
      </c>
    </row>
    <row r="23" spans="1:19" x14ac:dyDescent="0.25">
      <c r="A23" s="48">
        <f t="shared" si="3"/>
        <v>0</v>
      </c>
      <c r="B23" s="39" t="str">
        <f t="shared" si="6"/>
        <v/>
      </c>
      <c r="C23" s="40"/>
      <c r="D23" s="40"/>
      <c r="E23" s="40"/>
      <c r="F23" s="40"/>
      <c r="G23" s="27"/>
      <c r="H23" s="159">
        <v>18</v>
      </c>
      <c r="I23" s="160" t="str">
        <f t="shared" si="4"/>
        <v/>
      </c>
      <c r="J23" s="159" t="e">
        <f t="shared" si="5"/>
        <v>#NUM!</v>
      </c>
      <c r="K23" s="159" t="e">
        <f t="shared" si="1"/>
        <v>#NUM!</v>
      </c>
      <c r="L23" s="159"/>
      <c r="M23" s="161">
        <f t="shared" si="2"/>
        <v>0</v>
      </c>
    </row>
    <row r="24" spans="1:19" x14ac:dyDescent="0.25">
      <c r="A24" s="49">
        <f t="shared" si="3"/>
        <v>0</v>
      </c>
      <c r="B24" s="33" t="str">
        <f t="shared" si="6"/>
        <v/>
      </c>
      <c r="C24" s="34"/>
      <c r="D24" s="34"/>
      <c r="E24" s="34"/>
      <c r="F24" s="34"/>
      <c r="G24" s="27"/>
      <c r="H24" s="156">
        <v>19</v>
      </c>
      <c r="I24" s="157" t="str">
        <f t="shared" si="4"/>
        <v/>
      </c>
      <c r="J24" s="156" t="e">
        <f t="shared" si="5"/>
        <v>#NUM!</v>
      </c>
      <c r="K24" s="156" t="e">
        <f t="shared" si="1"/>
        <v>#NUM!</v>
      </c>
      <c r="L24" s="156"/>
      <c r="M24" s="158">
        <f t="shared" si="2"/>
        <v>0</v>
      </c>
      <c r="R24" s="169"/>
      <c r="S24" s="170"/>
    </row>
    <row r="25" spans="1:19" x14ac:dyDescent="0.25">
      <c r="A25" s="48">
        <f t="shared" si="3"/>
        <v>0</v>
      </c>
      <c r="B25" s="39" t="str">
        <f t="shared" si="6"/>
        <v/>
      </c>
      <c r="C25" s="40"/>
      <c r="D25" s="40"/>
      <c r="E25" s="40"/>
      <c r="F25" s="40"/>
      <c r="G25" s="27"/>
      <c r="H25" s="159">
        <v>20</v>
      </c>
      <c r="I25" s="160" t="str">
        <f t="shared" si="4"/>
        <v/>
      </c>
      <c r="J25" s="159" t="e">
        <f t="shared" si="5"/>
        <v>#NUM!</v>
      </c>
      <c r="K25" s="159" t="e">
        <f t="shared" si="1"/>
        <v>#NUM!</v>
      </c>
      <c r="L25" s="159"/>
      <c r="M25" s="161">
        <f t="shared" si="2"/>
        <v>0</v>
      </c>
    </row>
    <row r="26" spans="1:19" x14ac:dyDescent="0.25">
      <c r="A26" s="49">
        <f t="shared" si="3"/>
        <v>0</v>
      </c>
      <c r="B26" s="33" t="str">
        <f t="shared" si="6"/>
        <v/>
      </c>
      <c r="C26" s="34"/>
      <c r="D26" s="34"/>
      <c r="E26" s="34"/>
      <c r="F26" s="34"/>
      <c r="G26" s="27"/>
      <c r="H26" s="156">
        <v>21</v>
      </c>
      <c r="I26" s="157" t="str">
        <f t="shared" si="4"/>
        <v/>
      </c>
      <c r="J26" s="156" t="e">
        <f t="shared" si="5"/>
        <v>#NUM!</v>
      </c>
      <c r="K26" s="156" t="e">
        <f t="shared" si="1"/>
        <v>#NUM!</v>
      </c>
      <c r="L26" s="156"/>
      <c r="M26" s="158">
        <f t="shared" si="2"/>
        <v>0</v>
      </c>
    </row>
    <row r="27" spans="1:19" x14ac:dyDescent="0.25">
      <c r="A27" s="48">
        <f t="shared" si="3"/>
        <v>0</v>
      </c>
      <c r="B27" s="39" t="str">
        <f t="shared" si="6"/>
        <v/>
      </c>
      <c r="C27" s="40"/>
      <c r="D27" s="40"/>
      <c r="E27" s="40"/>
      <c r="F27" s="40"/>
      <c r="G27" s="27"/>
      <c r="H27" s="159">
        <v>22</v>
      </c>
      <c r="I27" s="160" t="str">
        <f t="shared" si="4"/>
        <v/>
      </c>
      <c r="J27" s="159" t="e">
        <f t="shared" si="5"/>
        <v>#NUM!</v>
      </c>
      <c r="K27" s="159" t="e">
        <f t="shared" si="1"/>
        <v>#NUM!</v>
      </c>
      <c r="L27" s="159"/>
      <c r="M27" s="161">
        <f t="shared" si="2"/>
        <v>0</v>
      </c>
    </row>
    <row r="28" spans="1:19" x14ac:dyDescent="0.25">
      <c r="A28" s="49">
        <f t="shared" si="3"/>
        <v>0</v>
      </c>
      <c r="B28" s="33" t="str">
        <f t="shared" si="6"/>
        <v/>
      </c>
      <c r="C28" s="34"/>
      <c r="D28" s="34"/>
      <c r="E28" s="34"/>
      <c r="F28" s="34"/>
      <c r="G28" s="27"/>
      <c r="H28" s="156">
        <v>23</v>
      </c>
      <c r="I28" s="157" t="str">
        <f t="shared" si="4"/>
        <v/>
      </c>
      <c r="J28" s="156" t="e">
        <f t="shared" si="5"/>
        <v>#NUM!</v>
      </c>
      <c r="K28" s="156" t="e">
        <f t="shared" si="1"/>
        <v>#NUM!</v>
      </c>
      <c r="L28" s="156"/>
      <c r="M28" s="158">
        <f t="shared" si="2"/>
        <v>0</v>
      </c>
      <c r="R28" s="169"/>
      <c r="S28" s="170"/>
    </row>
    <row r="29" spans="1:19" x14ac:dyDescent="0.25">
      <c r="A29" s="48">
        <f t="shared" si="3"/>
        <v>0</v>
      </c>
      <c r="B29" s="39" t="str">
        <f t="shared" si="6"/>
        <v/>
      </c>
      <c r="C29" s="40"/>
      <c r="D29" s="40"/>
      <c r="E29" s="40"/>
      <c r="F29" s="40"/>
      <c r="G29" s="142"/>
      <c r="H29" s="159">
        <v>24</v>
      </c>
      <c r="I29" s="160" t="str">
        <f t="shared" si="4"/>
        <v/>
      </c>
      <c r="J29" s="159" t="e">
        <f t="shared" si="5"/>
        <v>#NUM!</v>
      </c>
      <c r="K29" s="159" t="e">
        <f t="shared" si="1"/>
        <v>#NUM!</v>
      </c>
      <c r="L29" s="159"/>
      <c r="M29" s="161">
        <f t="shared" si="2"/>
        <v>0</v>
      </c>
    </row>
    <row r="30" spans="1:19" x14ac:dyDescent="0.25">
      <c r="A30" s="49">
        <f t="shared" si="3"/>
        <v>0</v>
      </c>
      <c r="B30" s="33" t="str">
        <f t="shared" si="6"/>
        <v/>
      </c>
      <c r="C30" s="34"/>
      <c r="D30" s="34"/>
      <c r="E30" s="34"/>
      <c r="F30" s="34"/>
      <c r="G30" s="142"/>
      <c r="H30" s="156">
        <v>25</v>
      </c>
      <c r="I30" s="157" t="str">
        <f t="shared" si="4"/>
        <v/>
      </c>
      <c r="J30" s="156" t="e">
        <f t="shared" si="5"/>
        <v>#NUM!</v>
      </c>
      <c r="K30" s="156" t="e">
        <f t="shared" si="1"/>
        <v>#NUM!</v>
      </c>
      <c r="L30" s="156"/>
      <c r="M30" s="158">
        <f t="shared" si="2"/>
        <v>0</v>
      </c>
    </row>
    <row r="31" spans="1:19" x14ac:dyDescent="0.25">
      <c r="A31" s="48">
        <f t="shared" si="3"/>
        <v>0</v>
      </c>
      <c r="B31" s="39" t="str">
        <f t="shared" si="6"/>
        <v/>
      </c>
      <c r="C31" s="40"/>
      <c r="D31" s="40"/>
      <c r="E31" s="40"/>
      <c r="F31" s="40"/>
      <c r="G31" s="142"/>
      <c r="H31" s="159">
        <v>26</v>
      </c>
      <c r="I31" s="160" t="str">
        <f t="shared" si="4"/>
        <v/>
      </c>
      <c r="J31" s="159" t="e">
        <f t="shared" si="5"/>
        <v>#NUM!</v>
      </c>
      <c r="K31" s="159" t="e">
        <f t="shared" si="1"/>
        <v>#NUM!</v>
      </c>
      <c r="L31" s="159"/>
      <c r="M31" s="161">
        <f t="shared" si="2"/>
        <v>0</v>
      </c>
    </row>
    <row r="32" spans="1:19" x14ac:dyDescent="0.25">
      <c r="A32" s="49">
        <f t="shared" si="3"/>
        <v>0</v>
      </c>
      <c r="B32" s="33" t="str">
        <f t="shared" si="6"/>
        <v/>
      </c>
      <c r="C32" s="34"/>
      <c r="D32" s="34"/>
      <c r="E32" s="34"/>
      <c r="F32" s="34"/>
      <c r="G32" s="142"/>
      <c r="H32" s="156">
        <v>27</v>
      </c>
      <c r="I32" s="157" t="str">
        <f t="shared" si="4"/>
        <v/>
      </c>
      <c r="J32" s="156" t="e">
        <f t="shared" si="5"/>
        <v>#NUM!</v>
      </c>
      <c r="K32" s="156" t="e">
        <f t="shared" si="1"/>
        <v>#NUM!</v>
      </c>
      <c r="L32" s="156"/>
      <c r="M32" s="158">
        <f t="shared" si="2"/>
        <v>0</v>
      </c>
      <c r="R32" s="169"/>
      <c r="S32" s="170"/>
    </row>
    <row r="33" spans="1:21" x14ac:dyDescent="0.25">
      <c r="A33" s="48">
        <f t="shared" si="3"/>
        <v>0</v>
      </c>
      <c r="B33" s="39" t="str">
        <f t="shared" si="6"/>
        <v/>
      </c>
      <c r="C33" s="40"/>
      <c r="D33" s="40"/>
      <c r="E33" s="40"/>
      <c r="F33" s="40"/>
      <c r="G33" s="142"/>
      <c r="H33" s="159">
        <v>28</v>
      </c>
      <c r="I33" s="160" t="str">
        <f t="shared" si="4"/>
        <v/>
      </c>
      <c r="J33" s="159" t="e">
        <f t="shared" si="5"/>
        <v>#NUM!</v>
      </c>
      <c r="K33" s="159" t="e">
        <f t="shared" si="1"/>
        <v>#NUM!</v>
      </c>
      <c r="L33" s="159"/>
      <c r="M33" s="161">
        <f t="shared" si="2"/>
        <v>0</v>
      </c>
    </row>
    <row r="34" spans="1:21" x14ac:dyDescent="0.25">
      <c r="A34" s="49">
        <f t="shared" si="3"/>
        <v>0</v>
      </c>
      <c r="B34" s="33" t="str">
        <f t="shared" si="6"/>
        <v/>
      </c>
      <c r="C34" s="34"/>
      <c r="D34" s="34"/>
      <c r="E34" s="34"/>
      <c r="F34" s="34"/>
      <c r="G34" s="142"/>
      <c r="H34" s="156">
        <v>29</v>
      </c>
      <c r="I34" s="157" t="str">
        <f t="shared" si="4"/>
        <v/>
      </c>
      <c r="J34" s="156" t="e">
        <f t="shared" si="5"/>
        <v>#NUM!</v>
      </c>
      <c r="K34" s="156" t="e">
        <f t="shared" si="1"/>
        <v>#NUM!</v>
      </c>
      <c r="L34" s="156"/>
      <c r="M34" s="158">
        <f t="shared" si="2"/>
        <v>0</v>
      </c>
    </row>
    <row r="35" spans="1:21" x14ac:dyDescent="0.25">
      <c r="A35" s="48">
        <f t="shared" si="3"/>
        <v>0</v>
      </c>
      <c r="B35" s="39" t="str">
        <f t="shared" si="6"/>
        <v/>
      </c>
      <c r="C35" s="40"/>
      <c r="D35" s="40"/>
      <c r="E35" s="40"/>
      <c r="F35" s="40"/>
      <c r="G35" s="142"/>
      <c r="H35" s="159">
        <v>30</v>
      </c>
      <c r="I35" s="160" t="str">
        <f t="shared" si="4"/>
        <v/>
      </c>
      <c r="J35" s="159" t="e">
        <f t="shared" si="5"/>
        <v>#NUM!</v>
      </c>
      <c r="K35" s="159" t="e">
        <f t="shared" si="1"/>
        <v>#NUM!</v>
      </c>
      <c r="L35" s="159"/>
      <c r="M35" s="161">
        <f t="shared" si="2"/>
        <v>0</v>
      </c>
    </row>
    <row r="36" spans="1:21" x14ac:dyDescent="0.25">
      <c r="A36" s="49">
        <f t="shared" si="3"/>
        <v>0</v>
      </c>
      <c r="B36" s="33" t="str">
        <f t="shared" si="6"/>
        <v/>
      </c>
      <c r="C36" s="34"/>
      <c r="D36" s="34"/>
      <c r="E36" s="34"/>
      <c r="F36" s="34"/>
      <c r="G36" s="142"/>
      <c r="H36" s="156">
        <v>31</v>
      </c>
      <c r="I36" s="157" t="str">
        <f t="shared" si="4"/>
        <v/>
      </c>
      <c r="J36" s="156" t="e">
        <f t="shared" si="5"/>
        <v>#NUM!</v>
      </c>
      <c r="K36" s="156" t="e">
        <f t="shared" si="1"/>
        <v>#NUM!</v>
      </c>
      <c r="L36" s="156"/>
      <c r="M36" s="158">
        <f t="shared" si="2"/>
        <v>0</v>
      </c>
      <c r="R36" s="169"/>
      <c r="S36" s="170"/>
    </row>
    <row r="37" spans="1:21" x14ac:dyDescent="0.25">
      <c r="A37" s="48">
        <f t="shared" si="3"/>
        <v>0</v>
      </c>
      <c r="B37" s="39" t="str">
        <f t="shared" si="6"/>
        <v/>
      </c>
      <c r="C37" s="40"/>
      <c r="D37" s="40"/>
      <c r="E37" s="40"/>
      <c r="F37" s="40"/>
      <c r="G37" s="142"/>
      <c r="H37" s="159">
        <v>32</v>
      </c>
      <c r="I37" s="160" t="str">
        <f t="shared" si="4"/>
        <v/>
      </c>
      <c r="J37" s="159" t="e">
        <f t="shared" si="5"/>
        <v>#NUM!</v>
      </c>
      <c r="K37" s="159" t="e">
        <f t="shared" si="1"/>
        <v>#NUM!</v>
      </c>
      <c r="L37" s="159"/>
      <c r="M37" s="161">
        <f t="shared" si="2"/>
        <v>0</v>
      </c>
    </row>
    <row r="38" spans="1:21" x14ac:dyDescent="0.25">
      <c r="A38" s="49"/>
      <c r="B38" s="33" t="str">
        <f t="shared" si="6"/>
        <v/>
      </c>
      <c r="C38" s="34"/>
      <c r="D38" s="34"/>
      <c r="E38" s="34"/>
      <c r="F38" s="34"/>
      <c r="G38" s="142"/>
      <c r="H38" s="156">
        <v>33</v>
      </c>
      <c r="I38" s="157" t="str">
        <f t="shared" si="4"/>
        <v/>
      </c>
      <c r="J38" s="156" t="e">
        <f t="shared" si="5"/>
        <v>#NUM!</v>
      </c>
      <c r="K38" s="156" t="e">
        <f t="shared" si="1"/>
        <v>#NUM!</v>
      </c>
      <c r="L38" s="156"/>
      <c r="M38" s="158">
        <f t="shared" si="2"/>
        <v>0</v>
      </c>
    </row>
    <row r="39" spans="1:21" x14ac:dyDescent="0.25">
      <c r="A39" s="48"/>
      <c r="B39" s="39" t="str">
        <f t="shared" si="6"/>
        <v/>
      </c>
      <c r="C39" s="40"/>
      <c r="D39" s="40"/>
      <c r="E39" s="40"/>
      <c r="F39" s="40"/>
      <c r="G39" s="142"/>
      <c r="H39" s="159">
        <v>34</v>
      </c>
      <c r="I39" s="160" t="str">
        <f t="shared" si="4"/>
        <v/>
      </c>
      <c r="J39" s="159" t="e">
        <f t="shared" si="5"/>
        <v>#NUM!</v>
      </c>
      <c r="K39" s="159" t="e">
        <f t="shared" si="1"/>
        <v>#NUM!</v>
      </c>
      <c r="L39" s="159"/>
      <c r="M39" s="161">
        <f t="shared" si="2"/>
        <v>0</v>
      </c>
    </row>
    <row r="40" spans="1:21" x14ac:dyDescent="0.25">
      <c r="A40" s="49"/>
      <c r="B40" s="33" t="str">
        <f t="shared" si="6"/>
        <v/>
      </c>
      <c r="C40" s="34"/>
      <c r="D40" s="34"/>
      <c r="E40" s="34"/>
      <c r="F40" s="34"/>
      <c r="G40" s="142"/>
      <c r="H40" s="156">
        <v>35</v>
      </c>
      <c r="I40" s="157" t="str">
        <f t="shared" si="4"/>
        <v/>
      </c>
      <c r="J40" s="156" t="e">
        <f t="shared" si="5"/>
        <v>#NUM!</v>
      </c>
      <c r="K40" s="156" t="e">
        <f t="shared" si="1"/>
        <v>#NUM!</v>
      </c>
      <c r="L40" s="156"/>
      <c r="M40" s="158">
        <f t="shared" si="2"/>
        <v>0</v>
      </c>
    </row>
    <row r="41" spans="1:21" x14ac:dyDescent="0.25">
      <c r="A41" s="48"/>
      <c r="B41" s="39" t="str">
        <f t="shared" si="6"/>
        <v/>
      </c>
      <c r="C41" s="40"/>
      <c r="D41" s="40"/>
      <c r="E41" s="40"/>
      <c r="F41" s="40"/>
      <c r="G41" s="142"/>
      <c r="H41" s="159">
        <v>36</v>
      </c>
      <c r="I41" s="160" t="str">
        <f t="shared" si="4"/>
        <v/>
      </c>
      <c r="J41" s="159" t="e">
        <f t="shared" si="5"/>
        <v>#NUM!</v>
      </c>
      <c r="K41" s="159" t="e">
        <f t="shared" si="1"/>
        <v>#NUM!</v>
      </c>
      <c r="L41" s="159"/>
      <c r="M41" s="161">
        <f t="shared" si="2"/>
        <v>0</v>
      </c>
      <c r="S41" s="171"/>
    </row>
    <row r="42" spans="1:21" x14ac:dyDescent="0.25">
      <c r="A42" s="49"/>
      <c r="B42" s="33" t="str">
        <f t="shared" si="6"/>
        <v/>
      </c>
      <c r="C42" s="34"/>
      <c r="D42" s="34"/>
      <c r="E42" s="34"/>
      <c r="F42" s="34"/>
      <c r="G42" s="142"/>
      <c r="H42" s="156">
        <v>37</v>
      </c>
      <c r="I42" s="157" t="str">
        <f t="shared" si="4"/>
        <v/>
      </c>
      <c r="J42" s="156" t="e">
        <f t="shared" si="5"/>
        <v>#NUM!</v>
      </c>
      <c r="K42" s="156" t="e">
        <f t="shared" si="1"/>
        <v>#NUM!</v>
      </c>
      <c r="L42" s="156"/>
      <c r="M42" s="158">
        <f t="shared" si="2"/>
        <v>0</v>
      </c>
    </row>
    <row r="43" spans="1:21" x14ac:dyDescent="0.25">
      <c r="A43" s="48"/>
      <c r="B43" s="39" t="str">
        <f t="shared" si="6"/>
        <v/>
      </c>
      <c r="C43" s="40"/>
      <c r="D43" s="40"/>
      <c r="E43" s="40"/>
      <c r="F43" s="40"/>
      <c r="G43" s="142"/>
      <c r="H43" s="159">
        <v>38</v>
      </c>
      <c r="I43" s="160" t="str">
        <f t="shared" si="4"/>
        <v/>
      </c>
      <c r="J43" s="159" t="e">
        <f t="shared" si="5"/>
        <v>#NUM!</v>
      </c>
      <c r="K43" s="159" t="e">
        <f t="shared" si="1"/>
        <v>#NUM!</v>
      </c>
      <c r="L43" s="159"/>
      <c r="M43" s="161">
        <f t="shared" si="2"/>
        <v>0</v>
      </c>
    </row>
    <row r="44" spans="1:21" x14ac:dyDescent="0.25">
      <c r="A44" s="49"/>
      <c r="B44" s="33" t="str">
        <f t="shared" si="6"/>
        <v/>
      </c>
      <c r="C44" s="34"/>
      <c r="D44" s="34"/>
      <c r="E44" s="34"/>
      <c r="F44" s="34"/>
      <c r="G44" s="142"/>
      <c r="H44" s="156">
        <v>39</v>
      </c>
      <c r="I44" s="157" t="str">
        <f t="shared" si="4"/>
        <v/>
      </c>
      <c r="J44" s="156" t="e">
        <f t="shared" si="5"/>
        <v>#NUM!</v>
      </c>
      <c r="K44" s="156" t="e">
        <f t="shared" si="1"/>
        <v>#NUM!</v>
      </c>
      <c r="L44" s="156"/>
      <c r="M44" s="158">
        <f t="shared" si="2"/>
        <v>0</v>
      </c>
    </row>
    <row r="45" spans="1:21" x14ac:dyDescent="0.25">
      <c r="A45" s="48"/>
      <c r="B45" s="39" t="str">
        <f t="shared" si="6"/>
        <v/>
      </c>
      <c r="C45" s="40"/>
      <c r="D45" s="40"/>
      <c r="E45" s="40"/>
      <c r="F45" s="40"/>
      <c r="G45" s="142"/>
      <c r="H45" s="159">
        <v>40</v>
      </c>
      <c r="I45" s="160" t="str">
        <f t="shared" si="4"/>
        <v/>
      </c>
      <c r="J45" s="159" t="e">
        <f t="shared" si="5"/>
        <v>#NUM!</v>
      </c>
      <c r="K45" s="159" t="e">
        <f t="shared" si="1"/>
        <v>#NUM!</v>
      </c>
      <c r="L45" s="159"/>
      <c r="M45" s="161">
        <f t="shared" si="2"/>
        <v>0</v>
      </c>
    </row>
    <row r="46" spans="1:21" x14ac:dyDescent="0.25">
      <c r="A46" s="49"/>
      <c r="B46" s="33" t="str">
        <f t="shared" si="6"/>
        <v/>
      </c>
      <c r="C46" s="34"/>
      <c r="D46" s="34"/>
      <c r="E46" s="34"/>
      <c r="F46" s="34"/>
      <c r="G46" s="142"/>
      <c r="H46" s="156">
        <v>41</v>
      </c>
      <c r="I46" s="157" t="str">
        <f t="shared" si="4"/>
        <v/>
      </c>
      <c r="J46" s="156" t="e">
        <f t="shared" si="5"/>
        <v>#NUM!</v>
      </c>
      <c r="K46" s="156" t="e">
        <f t="shared" si="1"/>
        <v>#NUM!</v>
      </c>
      <c r="L46" s="156"/>
      <c r="M46" s="158">
        <f t="shared" si="2"/>
        <v>0</v>
      </c>
      <c r="R46" s="142" t="e">
        <f>LOG($H$2,2)</f>
        <v>#NUM!</v>
      </c>
      <c r="T46" s="147">
        <f>LOG(H38,2)</f>
        <v>5.0443941193584534</v>
      </c>
      <c r="U46" s="147" t="e">
        <f>R46-T46</f>
        <v>#NUM!</v>
      </c>
    </row>
    <row r="47" spans="1:21" x14ac:dyDescent="0.25">
      <c r="A47" s="48"/>
      <c r="B47" s="39" t="str">
        <f t="shared" si="6"/>
        <v/>
      </c>
      <c r="C47" s="40"/>
      <c r="D47" s="40"/>
      <c r="E47" s="40"/>
      <c r="F47" s="40"/>
      <c r="G47" s="142"/>
      <c r="H47" s="159">
        <v>42</v>
      </c>
      <c r="I47" s="160" t="str">
        <f t="shared" si="4"/>
        <v/>
      </c>
      <c r="J47" s="159" t="e">
        <f t="shared" si="5"/>
        <v>#NUM!</v>
      </c>
      <c r="K47" s="159" t="e">
        <f t="shared" si="1"/>
        <v>#NUM!</v>
      </c>
      <c r="L47" s="159"/>
      <c r="M47" s="161">
        <f t="shared" si="2"/>
        <v>0</v>
      </c>
    </row>
    <row r="48" spans="1:21" x14ac:dyDescent="0.25">
      <c r="A48" s="49"/>
      <c r="B48" s="33" t="str">
        <f t="shared" si="6"/>
        <v/>
      </c>
      <c r="C48" s="34"/>
      <c r="D48" s="34"/>
      <c r="E48" s="34"/>
      <c r="F48" s="34"/>
      <c r="G48" s="142"/>
      <c r="H48" s="156">
        <v>43</v>
      </c>
      <c r="I48" s="157" t="str">
        <f t="shared" si="4"/>
        <v/>
      </c>
      <c r="J48" s="156" t="e">
        <f t="shared" si="5"/>
        <v>#NUM!</v>
      </c>
      <c r="K48" s="156" t="e">
        <f t="shared" si="1"/>
        <v>#NUM!</v>
      </c>
      <c r="L48" s="156"/>
      <c r="M48" s="158">
        <f t="shared" si="2"/>
        <v>0</v>
      </c>
    </row>
    <row r="49" spans="1:13" x14ac:dyDescent="0.25">
      <c r="A49" s="48"/>
      <c r="B49" s="39" t="str">
        <f t="shared" si="6"/>
        <v/>
      </c>
      <c r="C49" s="40"/>
      <c r="D49" s="40"/>
      <c r="E49" s="40"/>
      <c r="F49" s="40"/>
      <c r="G49" s="142"/>
      <c r="H49" s="159">
        <v>44</v>
      </c>
      <c r="I49" s="160" t="str">
        <f t="shared" si="4"/>
        <v/>
      </c>
      <c r="J49" s="159" t="e">
        <f t="shared" si="5"/>
        <v>#NUM!</v>
      </c>
      <c r="K49" s="159" t="e">
        <f t="shared" si="1"/>
        <v>#NUM!</v>
      </c>
      <c r="L49" s="159"/>
      <c r="M49" s="161">
        <f t="shared" si="2"/>
        <v>0</v>
      </c>
    </row>
    <row r="50" spans="1:13" x14ac:dyDescent="0.25">
      <c r="A50" s="49"/>
      <c r="B50" s="33" t="str">
        <f t="shared" si="6"/>
        <v/>
      </c>
      <c r="C50" s="34"/>
      <c r="D50" s="34"/>
      <c r="E50" s="34"/>
      <c r="F50" s="34"/>
      <c r="G50" s="142"/>
      <c r="H50" s="156">
        <v>45</v>
      </c>
      <c r="I50" s="157" t="str">
        <f t="shared" si="4"/>
        <v/>
      </c>
      <c r="J50" s="156" t="e">
        <f t="shared" si="5"/>
        <v>#NUM!</v>
      </c>
      <c r="K50" s="156" t="e">
        <f t="shared" si="1"/>
        <v>#NUM!</v>
      </c>
      <c r="L50" s="156"/>
      <c r="M50" s="158">
        <f t="shared" si="2"/>
        <v>0</v>
      </c>
    </row>
    <row r="51" spans="1:13" x14ac:dyDescent="0.25">
      <c r="A51" s="48"/>
      <c r="B51" s="39" t="str">
        <f t="shared" si="6"/>
        <v/>
      </c>
      <c r="C51" s="40"/>
      <c r="D51" s="40"/>
      <c r="E51" s="40"/>
      <c r="F51" s="40"/>
      <c r="G51" s="142"/>
      <c r="H51" s="159">
        <v>46</v>
      </c>
      <c r="I51" s="160" t="str">
        <f t="shared" si="4"/>
        <v/>
      </c>
      <c r="J51" s="159" t="e">
        <f t="shared" si="5"/>
        <v>#NUM!</v>
      </c>
      <c r="K51" s="159" t="e">
        <f t="shared" si="1"/>
        <v>#NUM!</v>
      </c>
      <c r="L51" s="159"/>
      <c r="M51" s="161">
        <f t="shared" si="2"/>
        <v>0</v>
      </c>
    </row>
    <row r="52" spans="1:13" x14ac:dyDescent="0.25">
      <c r="A52" s="49"/>
      <c r="B52" s="33" t="str">
        <f t="shared" si="6"/>
        <v/>
      </c>
      <c r="C52" s="34"/>
      <c r="D52" s="34"/>
      <c r="E52" s="34"/>
      <c r="F52" s="34"/>
      <c r="G52" s="142"/>
      <c r="H52" s="156">
        <v>47</v>
      </c>
      <c r="I52" s="157" t="str">
        <f t="shared" si="4"/>
        <v/>
      </c>
      <c r="J52" s="156" t="e">
        <f t="shared" si="5"/>
        <v>#NUM!</v>
      </c>
      <c r="K52" s="156" t="e">
        <f t="shared" si="1"/>
        <v>#NUM!</v>
      </c>
      <c r="L52" s="156"/>
      <c r="M52" s="158">
        <f t="shared" si="2"/>
        <v>0</v>
      </c>
    </row>
    <row r="53" spans="1:13" x14ac:dyDescent="0.25">
      <c r="A53" s="48"/>
      <c r="B53" s="39" t="str">
        <f t="shared" si="6"/>
        <v/>
      </c>
      <c r="C53" s="40"/>
      <c r="D53" s="40"/>
      <c r="E53" s="40"/>
      <c r="F53" s="40"/>
      <c r="G53" s="142"/>
      <c r="H53" s="159">
        <v>48</v>
      </c>
      <c r="I53" s="160" t="str">
        <f t="shared" si="4"/>
        <v/>
      </c>
      <c r="J53" s="159" t="e">
        <f t="shared" si="5"/>
        <v>#NUM!</v>
      </c>
      <c r="K53" s="159" t="e">
        <f t="shared" si="1"/>
        <v>#NUM!</v>
      </c>
      <c r="L53" s="159"/>
      <c r="M53" s="161">
        <f t="shared" si="2"/>
        <v>0</v>
      </c>
    </row>
    <row r="54" spans="1:13" x14ac:dyDescent="0.25">
      <c r="A54" s="49"/>
      <c r="B54" s="33" t="str">
        <f t="shared" si="6"/>
        <v/>
      </c>
      <c r="C54" s="34"/>
      <c r="D54" s="34"/>
      <c r="E54" s="34"/>
      <c r="F54" s="34"/>
      <c r="G54" s="142"/>
      <c r="H54" s="156">
        <v>49</v>
      </c>
      <c r="I54" s="157" t="str">
        <f t="shared" si="4"/>
        <v/>
      </c>
      <c r="J54" s="156" t="e">
        <f t="shared" si="5"/>
        <v>#NUM!</v>
      </c>
      <c r="K54" s="156" t="e">
        <f t="shared" si="1"/>
        <v>#NUM!</v>
      </c>
      <c r="L54" s="156"/>
      <c r="M54" s="158">
        <f t="shared" si="2"/>
        <v>0</v>
      </c>
    </row>
    <row r="55" spans="1:13" x14ac:dyDescent="0.25">
      <c r="A55" s="48"/>
      <c r="B55" s="39" t="str">
        <f t="shared" si="6"/>
        <v/>
      </c>
      <c r="C55" s="40"/>
      <c r="D55" s="40"/>
      <c r="E55" s="40"/>
      <c r="F55" s="40"/>
      <c r="G55" s="142"/>
      <c r="H55" s="159">
        <v>50</v>
      </c>
      <c r="I55" s="160" t="str">
        <f t="shared" si="4"/>
        <v/>
      </c>
      <c r="J55" s="159" t="e">
        <f t="shared" si="5"/>
        <v>#NUM!</v>
      </c>
      <c r="K55" s="159" t="e">
        <f t="shared" si="1"/>
        <v>#NUM!</v>
      </c>
      <c r="L55" s="159"/>
      <c r="M55" s="161">
        <f t="shared" si="2"/>
        <v>0</v>
      </c>
    </row>
    <row r="56" spans="1:13" x14ac:dyDescent="0.25">
      <c r="A56" s="49"/>
      <c r="B56" s="33" t="str">
        <f t="shared" si="6"/>
        <v/>
      </c>
      <c r="C56" s="34"/>
      <c r="D56" s="34"/>
      <c r="E56" s="34"/>
      <c r="F56" s="34"/>
      <c r="G56" s="142"/>
      <c r="H56" s="156">
        <v>51</v>
      </c>
      <c r="I56" s="157" t="str">
        <f t="shared" si="4"/>
        <v/>
      </c>
      <c r="J56" s="156" t="e">
        <f t="shared" si="5"/>
        <v>#NUM!</v>
      </c>
      <c r="K56" s="156" t="e">
        <f t="shared" si="1"/>
        <v>#NUM!</v>
      </c>
      <c r="L56" s="156"/>
      <c r="M56" s="158">
        <f t="shared" si="2"/>
        <v>0</v>
      </c>
    </row>
    <row r="57" spans="1:13" x14ac:dyDescent="0.25">
      <c r="A57" s="48"/>
      <c r="B57" s="39" t="str">
        <f t="shared" si="6"/>
        <v/>
      </c>
      <c r="C57" s="40"/>
      <c r="D57" s="40"/>
      <c r="E57" s="40"/>
      <c r="F57" s="40"/>
      <c r="G57" s="142"/>
      <c r="H57" s="159">
        <v>52</v>
      </c>
      <c r="I57" s="160" t="str">
        <f t="shared" si="4"/>
        <v/>
      </c>
      <c r="J57" s="159" t="e">
        <f t="shared" si="5"/>
        <v>#NUM!</v>
      </c>
      <c r="K57" s="159" t="e">
        <f t="shared" si="1"/>
        <v>#NUM!</v>
      </c>
      <c r="L57" s="159"/>
      <c r="M57" s="161">
        <f t="shared" si="2"/>
        <v>0</v>
      </c>
    </row>
    <row r="58" spans="1:13" x14ac:dyDescent="0.25">
      <c r="A58" s="49"/>
      <c r="B58" s="33" t="str">
        <f t="shared" si="6"/>
        <v/>
      </c>
      <c r="C58" s="34"/>
      <c r="D58" s="34"/>
      <c r="E58" s="34"/>
      <c r="F58" s="34"/>
      <c r="G58" s="142"/>
      <c r="H58" s="156">
        <v>53</v>
      </c>
      <c r="I58" s="157" t="str">
        <f t="shared" si="4"/>
        <v/>
      </c>
      <c r="J58" s="156" t="e">
        <f t="shared" si="5"/>
        <v>#NUM!</v>
      </c>
      <c r="K58" s="156" t="e">
        <f t="shared" si="1"/>
        <v>#NUM!</v>
      </c>
      <c r="L58" s="156"/>
      <c r="M58" s="158">
        <f t="shared" si="2"/>
        <v>0</v>
      </c>
    </row>
    <row r="59" spans="1:13" x14ac:dyDescent="0.25">
      <c r="A59" s="48"/>
      <c r="B59" s="39" t="str">
        <f t="shared" si="6"/>
        <v/>
      </c>
      <c r="C59" s="40"/>
      <c r="D59" s="40"/>
      <c r="E59" s="40"/>
      <c r="F59" s="40"/>
      <c r="G59" s="142"/>
      <c r="H59" s="159">
        <v>54</v>
      </c>
      <c r="I59" s="160" t="str">
        <f t="shared" si="4"/>
        <v/>
      </c>
      <c r="J59" s="159" t="e">
        <f t="shared" si="5"/>
        <v>#NUM!</v>
      </c>
      <c r="K59" s="159" t="e">
        <f t="shared" si="1"/>
        <v>#NUM!</v>
      </c>
      <c r="L59" s="159"/>
      <c r="M59" s="161">
        <f t="shared" si="2"/>
        <v>0</v>
      </c>
    </row>
    <row r="60" spans="1:13" x14ac:dyDescent="0.25">
      <c r="A60" s="49"/>
      <c r="B60" s="33" t="str">
        <f t="shared" si="6"/>
        <v/>
      </c>
      <c r="C60" s="34"/>
      <c r="D60" s="34"/>
      <c r="E60" s="34"/>
      <c r="F60" s="34"/>
      <c r="G60" s="142"/>
      <c r="H60" s="156">
        <v>55</v>
      </c>
      <c r="I60" s="157" t="str">
        <f t="shared" si="4"/>
        <v/>
      </c>
      <c r="J60" s="156" t="e">
        <f t="shared" si="5"/>
        <v>#NUM!</v>
      </c>
      <c r="K60" s="156" t="e">
        <f t="shared" si="1"/>
        <v>#NUM!</v>
      </c>
      <c r="L60" s="156"/>
      <c r="M60" s="158">
        <f t="shared" si="2"/>
        <v>0</v>
      </c>
    </row>
    <row r="61" spans="1:13" x14ac:dyDescent="0.25">
      <c r="A61" s="48"/>
      <c r="B61" s="39" t="str">
        <f t="shared" si="6"/>
        <v/>
      </c>
      <c r="C61" s="40"/>
      <c r="D61" s="40"/>
      <c r="E61" s="40"/>
      <c r="F61" s="40"/>
      <c r="G61" s="142"/>
      <c r="H61" s="159">
        <v>56</v>
      </c>
      <c r="I61" s="160" t="str">
        <f t="shared" si="4"/>
        <v/>
      </c>
      <c r="J61" s="159" t="e">
        <f t="shared" si="5"/>
        <v>#NUM!</v>
      </c>
      <c r="K61" s="159" t="e">
        <f t="shared" si="1"/>
        <v>#NUM!</v>
      </c>
      <c r="L61" s="159"/>
      <c r="M61" s="161">
        <f t="shared" si="2"/>
        <v>0</v>
      </c>
    </row>
    <row r="62" spans="1:13" x14ac:dyDescent="0.25">
      <c r="A62" s="49"/>
      <c r="B62" s="33" t="str">
        <f t="shared" si="6"/>
        <v/>
      </c>
      <c r="C62" s="34"/>
      <c r="D62" s="34"/>
      <c r="E62" s="34"/>
      <c r="F62" s="34"/>
      <c r="G62" s="142"/>
      <c r="H62" s="156">
        <v>57</v>
      </c>
      <c r="I62" s="157" t="str">
        <f t="shared" si="4"/>
        <v/>
      </c>
      <c r="J62" s="156" t="e">
        <f t="shared" si="5"/>
        <v>#NUM!</v>
      </c>
      <c r="K62" s="156" t="e">
        <f t="shared" si="1"/>
        <v>#NUM!</v>
      </c>
      <c r="L62" s="156"/>
      <c r="M62" s="158">
        <f t="shared" si="2"/>
        <v>0</v>
      </c>
    </row>
    <row r="63" spans="1:13" x14ac:dyDescent="0.25">
      <c r="A63" s="48"/>
      <c r="B63" s="39" t="str">
        <f t="shared" si="6"/>
        <v/>
      </c>
      <c r="C63" s="40"/>
      <c r="D63" s="40"/>
      <c r="E63" s="40"/>
      <c r="F63" s="40"/>
      <c r="G63" s="142"/>
      <c r="H63" s="159">
        <v>58</v>
      </c>
      <c r="I63" s="160" t="str">
        <f t="shared" si="4"/>
        <v/>
      </c>
      <c r="J63" s="159" t="e">
        <f t="shared" si="5"/>
        <v>#NUM!</v>
      </c>
      <c r="K63" s="159" t="e">
        <f t="shared" si="1"/>
        <v>#NUM!</v>
      </c>
      <c r="L63" s="159"/>
      <c r="M63" s="161">
        <f t="shared" si="2"/>
        <v>0</v>
      </c>
    </row>
    <row r="64" spans="1:13" x14ac:dyDescent="0.25">
      <c r="A64" s="49"/>
      <c r="B64" s="33" t="str">
        <f t="shared" si="6"/>
        <v/>
      </c>
      <c r="C64" s="34"/>
      <c r="D64" s="34"/>
      <c r="E64" s="34"/>
      <c r="F64" s="34"/>
      <c r="G64" s="142"/>
      <c r="H64" s="156">
        <v>59</v>
      </c>
      <c r="I64" s="157" t="str">
        <f t="shared" si="4"/>
        <v/>
      </c>
      <c r="J64" s="156" t="e">
        <f t="shared" si="5"/>
        <v>#NUM!</v>
      </c>
      <c r="K64" s="156" t="e">
        <f t="shared" si="1"/>
        <v>#NUM!</v>
      </c>
      <c r="L64" s="156"/>
      <c r="M64" s="158">
        <f t="shared" si="2"/>
        <v>0</v>
      </c>
    </row>
    <row r="65" spans="1:13" x14ac:dyDescent="0.25">
      <c r="A65" s="48"/>
      <c r="B65" s="39" t="str">
        <f t="shared" si="6"/>
        <v/>
      </c>
      <c r="C65" s="40"/>
      <c r="D65" s="40"/>
      <c r="E65" s="40"/>
      <c r="F65" s="40"/>
      <c r="G65" s="142"/>
      <c r="H65" s="159">
        <v>60</v>
      </c>
      <c r="I65" s="160" t="str">
        <f t="shared" si="4"/>
        <v/>
      </c>
      <c r="J65" s="159" t="e">
        <f t="shared" si="5"/>
        <v>#NUM!</v>
      </c>
      <c r="K65" s="159" t="e">
        <f t="shared" si="1"/>
        <v>#NUM!</v>
      </c>
      <c r="L65" s="159"/>
      <c r="M65" s="161">
        <f t="shared" si="2"/>
        <v>0</v>
      </c>
    </row>
    <row r="66" spans="1:13" x14ac:dyDescent="0.25">
      <c r="A66" s="172"/>
      <c r="B66" s="33"/>
      <c r="G66" s="142"/>
      <c r="H66" s="156">
        <v>61</v>
      </c>
      <c r="I66" s="157" t="str">
        <f t="shared" si="4"/>
        <v/>
      </c>
      <c r="J66" s="156" t="e">
        <f t="shared" si="5"/>
        <v>#NUM!</v>
      </c>
      <c r="K66" s="156" t="e">
        <f t="shared" si="1"/>
        <v>#NUM!</v>
      </c>
      <c r="L66" s="156"/>
      <c r="M66" s="158">
        <f t="shared" si="2"/>
        <v>0</v>
      </c>
    </row>
    <row r="67" spans="1:13" x14ac:dyDescent="0.25">
      <c r="A67" s="172"/>
      <c r="B67" s="39"/>
      <c r="G67" s="142"/>
      <c r="H67" s="156">
        <v>62</v>
      </c>
      <c r="I67" s="157" t="str">
        <f t="shared" si="4"/>
        <v/>
      </c>
      <c r="J67" s="156" t="e">
        <f t="shared" si="5"/>
        <v>#NUM!</v>
      </c>
      <c r="K67" s="156" t="e">
        <f t="shared" si="1"/>
        <v>#NUM!</v>
      </c>
      <c r="L67" s="156"/>
      <c r="M67" s="158">
        <f t="shared" si="2"/>
        <v>0</v>
      </c>
    </row>
    <row r="68" spans="1:13" x14ac:dyDescent="0.25">
      <c r="A68" s="172"/>
      <c r="B68" s="33"/>
      <c r="G68" s="142"/>
      <c r="H68" s="156">
        <v>63</v>
      </c>
      <c r="I68" s="157" t="str">
        <f t="shared" si="4"/>
        <v/>
      </c>
      <c r="J68" s="156" t="e">
        <f t="shared" si="5"/>
        <v>#NUM!</v>
      </c>
      <c r="K68" s="156" t="e">
        <f t="shared" si="1"/>
        <v>#NUM!</v>
      </c>
      <c r="L68" s="156"/>
      <c r="M68" s="158">
        <f t="shared" si="2"/>
        <v>0</v>
      </c>
    </row>
    <row r="69" spans="1:13" x14ac:dyDescent="0.25">
      <c r="A69" s="172"/>
      <c r="B69" s="39"/>
      <c r="G69" s="142"/>
      <c r="H69" s="156">
        <v>64</v>
      </c>
      <c r="I69" s="157" t="str">
        <f t="shared" si="4"/>
        <v/>
      </c>
      <c r="J69" s="156" t="e">
        <f t="shared" si="5"/>
        <v>#NUM!</v>
      </c>
      <c r="K69" s="156" t="e">
        <f t="shared" si="1"/>
        <v>#NUM!</v>
      </c>
      <c r="L69" s="156"/>
      <c r="M69" s="158">
        <f t="shared" si="2"/>
        <v>0</v>
      </c>
    </row>
    <row r="70" spans="1:13" x14ac:dyDescent="0.25">
      <c r="A70" s="172"/>
      <c r="G70" s="142"/>
      <c r="H70" s="156">
        <v>65</v>
      </c>
      <c r="I70" s="157" t="str">
        <f t="shared" si="4"/>
        <v/>
      </c>
      <c r="J70" s="156" t="e">
        <f t="shared" si="5"/>
        <v>#NUM!</v>
      </c>
      <c r="K70" s="156" t="e">
        <f t="shared" ref="K70:K133" si="7">J70*$J$2</f>
        <v>#NUM!</v>
      </c>
      <c r="L70" s="156"/>
      <c r="M70" s="158">
        <f t="shared" ref="M70:M133" si="8">IF(I70&lt;&gt;"",K70+I70+L70,0)</f>
        <v>0</v>
      </c>
    </row>
    <row r="71" spans="1:13" x14ac:dyDescent="0.25">
      <c r="A71" s="172"/>
      <c r="G71" s="142"/>
      <c r="H71" s="156">
        <v>66</v>
      </c>
      <c r="I71" s="157" t="str">
        <f t="shared" ref="I71:I134" si="9">IF(H71&lt;$H$2+1,($I$2-($I$2-1)*(LOG(H71)/LOG($H$2))),"")</f>
        <v/>
      </c>
      <c r="J71" s="156" t="e">
        <f t="shared" ref="J71:J134" si="10">INT(LOG($H$2,2))-ROUNDUP(LOG(H71,2),0)+IF(OR($H$2=1,$H$2=2,$H$2=4,$H$2=8,$H$2=16,$H$2=32,$H$2=64,$H$2=128,$H$2=256),0,1)</f>
        <v>#NUM!</v>
      </c>
      <c r="K71" s="156" t="e">
        <f t="shared" si="7"/>
        <v>#NUM!</v>
      </c>
      <c r="L71" s="156"/>
      <c r="M71" s="158">
        <f t="shared" si="8"/>
        <v>0</v>
      </c>
    </row>
    <row r="72" spans="1:13" x14ac:dyDescent="0.25">
      <c r="A72" s="172"/>
      <c r="G72" s="142"/>
      <c r="H72" s="156">
        <v>67</v>
      </c>
      <c r="I72" s="157" t="str">
        <f t="shared" si="9"/>
        <v/>
      </c>
      <c r="J72" s="156" t="e">
        <f t="shared" si="10"/>
        <v>#NUM!</v>
      </c>
      <c r="K72" s="156" t="e">
        <f t="shared" si="7"/>
        <v>#NUM!</v>
      </c>
      <c r="L72" s="156"/>
      <c r="M72" s="158">
        <f t="shared" si="8"/>
        <v>0</v>
      </c>
    </row>
    <row r="73" spans="1:13" x14ac:dyDescent="0.25">
      <c r="A73" s="172"/>
      <c r="G73" s="142"/>
      <c r="H73" s="156">
        <v>68</v>
      </c>
      <c r="I73" s="157" t="str">
        <f t="shared" si="9"/>
        <v/>
      </c>
      <c r="J73" s="156" t="e">
        <f t="shared" si="10"/>
        <v>#NUM!</v>
      </c>
      <c r="K73" s="156" t="e">
        <f t="shared" si="7"/>
        <v>#NUM!</v>
      </c>
      <c r="L73" s="156"/>
      <c r="M73" s="158">
        <f t="shared" si="8"/>
        <v>0</v>
      </c>
    </row>
    <row r="74" spans="1:13" x14ac:dyDescent="0.25">
      <c r="A74" s="172"/>
      <c r="G74" s="142"/>
      <c r="H74" s="156">
        <v>69</v>
      </c>
      <c r="I74" s="157" t="str">
        <f t="shared" si="9"/>
        <v/>
      </c>
      <c r="J74" s="156" t="e">
        <f t="shared" si="10"/>
        <v>#NUM!</v>
      </c>
      <c r="K74" s="156" t="e">
        <f t="shared" si="7"/>
        <v>#NUM!</v>
      </c>
      <c r="L74" s="156"/>
      <c r="M74" s="158">
        <f t="shared" si="8"/>
        <v>0</v>
      </c>
    </row>
    <row r="75" spans="1:13" x14ac:dyDescent="0.25">
      <c r="A75" s="172"/>
      <c r="G75" s="142"/>
      <c r="H75" s="156">
        <v>70</v>
      </c>
      <c r="I75" s="157" t="str">
        <f t="shared" si="9"/>
        <v/>
      </c>
      <c r="J75" s="156" t="e">
        <f t="shared" si="10"/>
        <v>#NUM!</v>
      </c>
      <c r="K75" s="156" t="e">
        <f t="shared" si="7"/>
        <v>#NUM!</v>
      </c>
      <c r="L75" s="156"/>
      <c r="M75" s="158">
        <f t="shared" si="8"/>
        <v>0</v>
      </c>
    </row>
    <row r="76" spans="1:13" x14ac:dyDescent="0.25">
      <c r="A76" s="172"/>
      <c r="G76" s="142"/>
      <c r="H76" s="156">
        <v>71</v>
      </c>
      <c r="I76" s="157" t="str">
        <f t="shared" si="9"/>
        <v/>
      </c>
      <c r="J76" s="156" t="e">
        <f t="shared" si="10"/>
        <v>#NUM!</v>
      </c>
      <c r="K76" s="156" t="e">
        <f t="shared" si="7"/>
        <v>#NUM!</v>
      </c>
      <c r="L76" s="156"/>
      <c r="M76" s="158">
        <f t="shared" si="8"/>
        <v>0</v>
      </c>
    </row>
    <row r="77" spans="1:13" x14ac:dyDescent="0.25">
      <c r="A77" s="172"/>
      <c r="G77" s="142"/>
      <c r="H77" s="156">
        <v>72</v>
      </c>
      <c r="I77" s="157" t="str">
        <f t="shared" si="9"/>
        <v/>
      </c>
      <c r="J77" s="156" t="e">
        <f t="shared" si="10"/>
        <v>#NUM!</v>
      </c>
      <c r="K77" s="156" t="e">
        <f t="shared" si="7"/>
        <v>#NUM!</v>
      </c>
      <c r="L77" s="156"/>
      <c r="M77" s="158">
        <f t="shared" si="8"/>
        <v>0</v>
      </c>
    </row>
    <row r="78" spans="1:13" x14ac:dyDescent="0.25">
      <c r="A78" s="172"/>
      <c r="G78" s="142"/>
      <c r="H78" s="156">
        <v>73</v>
      </c>
      <c r="I78" s="157" t="str">
        <f t="shared" si="9"/>
        <v/>
      </c>
      <c r="J78" s="156" t="e">
        <f t="shared" si="10"/>
        <v>#NUM!</v>
      </c>
      <c r="K78" s="156" t="e">
        <f t="shared" si="7"/>
        <v>#NUM!</v>
      </c>
      <c r="L78" s="156"/>
      <c r="M78" s="158">
        <f t="shared" si="8"/>
        <v>0</v>
      </c>
    </row>
    <row r="79" spans="1:13" x14ac:dyDescent="0.25">
      <c r="A79" s="172"/>
      <c r="G79" s="142"/>
      <c r="H79" s="156">
        <v>74</v>
      </c>
      <c r="I79" s="157" t="str">
        <f t="shared" si="9"/>
        <v/>
      </c>
      <c r="J79" s="156" t="e">
        <f t="shared" si="10"/>
        <v>#NUM!</v>
      </c>
      <c r="K79" s="156" t="e">
        <f t="shared" si="7"/>
        <v>#NUM!</v>
      </c>
      <c r="L79" s="156"/>
      <c r="M79" s="158">
        <f t="shared" si="8"/>
        <v>0</v>
      </c>
    </row>
    <row r="80" spans="1:13" x14ac:dyDescent="0.25">
      <c r="A80" s="172"/>
      <c r="G80" s="142"/>
      <c r="H80" s="156">
        <v>75</v>
      </c>
      <c r="I80" s="157" t="str">
        <f t="shared" si="9"/>
        <v/>
      </c>
      <c r="J80" s="156" t="e">
        <f t="shared" si="10"/>
        <v>#NUM!</v>
      </c>
      <c r="K80" s="156" t="e">
        <f t="shared" si="7"/>
        <v>#NUM!</v>
      </c>
      <c r="L80" s="156"/>
      <c r="M80" s="158">
        <f t="shared" si="8"/>
        <v>0</v>
      </c>
    </row>
    <row r="81" spans="1:13" x14ac:dyDescent="0.25">
      <c r="A81" s="172"/>
      <c r="G81" s="142"/>
      <c r="H81" s="156">
        <v>76</v>
      </c>
      <c r="I81" s="157" t="str">
        <f t="shared" si="9"/>
        <v/>
      </c>
      <c r="J81" s="156" t="e">
        <f t="shared" si="10"/>
        <v>#NUM!</v>
      </c>
      <c r="K81" s="156" t="e">
        <f t="shared" si="7"/>
        <v>#NUM!</v>
      </c>
      <c r="L81" s="156"/>
      <c r="M81" s="158">
        <f t="shared" si="8"/>
        <v>0</v>
      </c>
    </row>
    <row r="82" spans="1:13" x14ac:dyDescent="0.25">
      <c r="A82" s="172"/>
      <c r="G82" s="142"/>
      <c r="H82" s="156">
        <v>77</v>
      </c>
      <c r="I82" s="157" t="str">
        <f t="shared" si="9"/>
        <v/>
      </c>
      <c r="J82" s="156" t="e">
        <f t="shared" si="10"/>
        <v>#NUM!</v>
      </c>
      <c r="K82" s="156" t="e">
        <f t="shared" si="7"/>
        <v>#NUM!</v>
      </c>
      <c r="L82" s="156"/>
      <c r="M82" s="158">
        <f t="shared" si="8"/>
        <v>0</v>
      </c>
    </row>
    <row r="83" spans="1:13" x14ac:dyDescent="0.25">
      <c r="A83" s="172"/>
      <c r="G83" s="142"/>
      <c r="H83" s="156">
        <v>78</v>
      </c>
      <c r="I83" s="157" t="str">
        <f t="shared" si="9"/>
        <v/>
      </c>
      <c r="J83" s="156" t="e">
        <f t="shared" si="10"/>
        <v>#NUM!</v>
      </c>
      <c r="K83" s="156" t="e">
        <f t="shared" si="7"/>
        <v>#NUM!</v>
      </c>
      <c r="L83" s="156"/>
      <c r="M83" s="158">
        <f t="shared" si="8"/>
        <v>0</v>
      </c>
    </row>
    <row r="84" spans="1:13" x14ac:dyDescent="0.25">
      <c r="A84" s="172"/>
      <c r="G84" s="142"/>
      <c r="H84" s="156">
        <v>79</v>
      </c>
      <c r="I84" s="157" t="str">
        <f t="shared" si="9"/>
        <v/>
      </c>
      <c r="J84" s="156" t="e">
        <f t="shared" si="10"/>
        <v>#NUM!</v>
      </c>
      <c r="K84" s="156" t="e">
        <f t="shared" si="7"/>
        <v>#NUM!</v>
      </c>
      <c r="L84" s="156"/>
      <c r="M84" s="158">
        <f t="shared" si="8"/>
        <v>0</v>
      </c>
    </row>
    <row r="85" spans="1:13" x14ac:dyDescent="0.25">
      <c r="A85" s="172"/>
      <c r="G85" s="142"/>
      <c r="H85" s="156">
        <v>80</v>
      </c>
      <c r="I85" s="157" t="str">
        <f t="shared" si="9"/>
        <v/>
      </c>
      <c r="J85" s="156" t="e">
        <f t="shared" si="10"/>
        <v>#NUM!</v>
      </c>
      <c r="K85" s="156" t="e">
        <f t="shared" si="7"/>
        <v>#NUM!</v>
      </c>
      <c r="L85" s="156"/>
      <c r="M85" s="158">
        <f t="shared" si="8"/>
        <v>0</v>
      </c>
    </row>
    <row r="86" spans="1:13" x14ac:dyDescent="0.25">
      <c r="A86" s="172"/>
      <c r="G86" s="142"/>
      <c r="H86" s="156">
        <v>81</v>
      </c>
      <c r="I86" s="157" t="str">
        <f t="shared" si="9"/>
        <v/>
      </c>
      <c r="J86" s="156" t="e">
        <f t="shared" si="10"/>
        <v>#NUM!</v>
      </c>
      <c r="K86" s="156" t="e">
        <f t="shared" si="7"/>
        <v>#NUM!</v>
      </c>
      <c r="L86" s="156"/>
      <c r="M86" s="158">
        <f t="shared" si="8"/>
        <v>0</v>
      </c>
    </row>
    <row r="87" spans="1:13" x14ac:dyDescent="0.25">
      <c r="A87" s="172"/>
      <c r="G87" s="142"/>
      <c r="H87" s="156">
        <v>82</v>
      </c>
      <c r="I87" s="157" t="str">
        <f t="shared" si="9"/>
        <v/>
      </c>
      <c r="J87" s="156" t="e">
        <f t="shared" si="10"/>
        <v>#NUM!</v>
      </c>
      <c r="K87" s="156" t="e">
        <f t="shared" si="7"/>
        <v>#NUM!</v>
      </c>
      <c r="L87" s="156"/>
      <c r="M87" s="158">
        <f t="shared" si="8"/>
        <v>0</v>
      </c>
    </row>
    <row r="88" spans="1:13" x14ac:dyDescent="0.25">
      <c r="A88" s="172"/>
      <c r="G88" s="142"/>
      <c r="H88" s="156">
        <v>83</v>
      </c>
      <c r="I88" s="157" t="str">
        <f t="shared" si="9"/>
        <v/>
      </c>
      <c r="J88" s="156" t="e">
        <f t="shared" si="10"/>
        <v>#NUM!</v>
      </c>
      <c r="K88" s="156" t="e">
        <f t="shared" si="7"/>
        <v>#NUM!</v>
      </c>
      <c r="L88" s="156"/>
      <c r="M88" s="158">
        <f t="shared" si="8"/>
        <v>0</v>
      </c>
    </row>
    <row r="89" spans="1:13" x14ac:dyDescent="0.25">
      <c r="A89" s="172"/>
      <c r="G89" s="142"/>
      <c r="H89" s="156">
        <v>84</v>
      </c>
      <c r="I89" s="157" t="str">
        <f t="shared" si="9"/>
        <v/>
      </c>
      <c r="J89" s="156" t="e">
        <f t="shared" si="10"/>
        <v>#NUM!</v>
      </c>
      <c r="K89" s="156" t="e">
        <f t="shared" si="7"/>
        <v>#NUM!</v>
      </c>
      <c r="L89" s="156"/>
      <c r="M89" s="158">
        <f t="shared" si="8"/>
        <v>0</v>
      </c>
    </row>
    <row r="90" spans="1:13" x14ac:dyDescent="0.25">
      <c r="A90" s="172"/>
      <c r="G90" s="142"/>
      <c r="H90" s="156">
        <v>85</v>
      </c>
      <c r="I90" s="157" t="str">
        <f t="shared" si="9"/>
        <v/>
      </c>
      <c r="J90" s="156" t="e">
        <f t="shared" si="10"/>
        <v>#NUM!</v>
      </c>
      <c r="K90" s="156" t="e">
        <f t="shared" si="7"/>
        <v>#NUM!</v>
      </c>
      <c r="L90" s="156"/>
      <c r="M90" s="158">
        <f t="shared" si="8"/>
        <v>0</v>
      </c>
    </row>
    <row r="91" spans="1:13" x14ac:dyDescent="0.25">
      <c r="A91" s="172"/>
      <c r="G91" s="142"/>
      <c r="H91" s="156">
        <v>86</v>
      </c>
      <c r="I91" s="157" t="str">
        <f t="shared" si="9"/>
        <v/>
      </c>
      <c r="J91" s="156" t="e">
        <f t="shared" si="10"/>
        <v>#NUM!</v>
      </c>
      <c r="K91" s="156" t="e">
        <f t="shared" si="7"/>
        <v>#NUM!</v>
      </c>
      <c r="L91" s="156"/>
      <c r="M91" s="158">
        <f t="shared" si="8"/>
        <v>0</v>
      </c>
    </row>
    <row r="92" spans="1:13" x14ac:dyDescent="0.25">
      <c r="A92" s="172"/>
      <c r="G92" s="142"/>
      <c r="H92" s="156">
        <v>87</v>
      </c>
      <c r="I92" s="157" t="str">
        <f t="shared" si="9"/>
        <v/>
      </c>
      <c r="J92" s="156" t="e">
        <f t="shared" si="10"/>
        <v>#NUM!</v>
      </c>
      <c r="K92" s="156" t="e">
        <f t="shared" si="7"/>
        <v>#NUM!</v>
      </c>
      <c r="L92" s="156"/>
      <c r="M92" s="158">
        <f t="shared" si="8"/>
        <v>0</v>
      </c>
    </row>
    <row r="93" spans="1:13" x14ac:dyDescent="0.25">
      <c r="A93" s="172"/>
      <c r="G93" s="142"/>
      <c r="H93" s="156">
        <v>88</v>
      </c>
      <c r="I93" s="157" t="str">
        <f t="shared" si="9"/>
        <v/>
      </c>
      <c r="J93" s="156" t="e">
        <f t="shared" si="10"/>
        <v>#NUM!</v>
      </c>
      <c r="K93" s="156" t="e">
        <f t="shared" si="7"/>
        <v>#NUM!</v>
      </c>
      <c r="L93" s="156"/>
      <c r="M93" s="158">
        <f t="shared" si="8"/>
        <v>0</v>
      </c>
    </row>
    <row r="94" spans="1:13" x14ac:dyDescent="0.25">
      <c r="A94" s="172"/>
      <c r="G94" s="142"/>
      <c r="H94" s="156">
        <v>89</v>
      </c>
      <c r="I94" s="157" t="str">
        <f t="shared" si="9"/>
        <v/>
      </c>
      <c r="J94" s="156" t="e">
        <f t="shared" si="10"/>
        <v>#NUM!</v>
      </c>
      <c r="K94" s="156" t="e">
        <f t="shared" si="7"/>
        <v>#NUM!</v>
      </c>
      <c r="L94" s="156"/>
      <c r="M94" s="158">
        <f t="shared" si="8"/>
        <v>0</v>
      </c>
    </row>
    <row r="95" spans="1:13" x14ac:dyDescent="0.25">
      <c r="A95" s="172"/>
      <c r="G95" s="142"/>
      <c r="H95" s="156">
        <v>90</v>
      </c>
      <c r="I95" s="157" t="str">
        <f t="shared" si="9"/>
        <v/>
      </c>
      <c r="J95" s="156" t="e">
        <f t="shared" si="10"/>
        <v>#NUM!</v>
      </c>
      <c r="K95" s="156" t="e">
        <f t="shared" si="7"/>
        <v>#NUM!</v>
      </c>
      <c r="L95" s="156"/>
      <c r="M95" s="158">
        <f t="shared" si="8"/>
        <v>0</v>
      </c>
    </row>
    <row r="96" spans="1:13" x14ac:dyDescent="0.25">
      <c r="A96" s="172"/>
      <c r="G96" s="142"/>
      <c r="H96" s="156">
        <v>91</v>
      </c>
      <c r="I96" s="157" t="str">
        <f t="shared" si="9"/>
        <v/>
      </c>
      <c r="J96" s="156" t="e">
        <f t="shared" si="10"/>
        <v>#NUM!</v>
      </c>
      <c r="K96" s="156" t="e">
        <f t="shared" si="7"/>
        <v>#NUM!</v>
      </c>
      <c r="L96" s="156"/>
      <c r="M96" s="158">
        <f t="shared" si="8"/>
        <v>0</v>
      </c>
    </row>
    <row r="97" spans="1:13" x14ac:dyDescent="0.25">
      <c r="A97" s="172"/>
      <c r="G97" s="142"/>
      <c r="H97" s="156">
        <v>92</v>
      </c>
      <c r="I97" s="157" t="str">
        <f t="shared" si="9"/>
        <v/>
      </c>
      <c r="J97" s="156" t="e">
        <f t="shared" si="10"/>
        <v>#NUM!</v>
      </c>
      <c r="K97" s="156" t="e">
        <f t="shared" si="7"/>
        <v>#NUM!</v>
      </c>
      <c r="L97" s="156"/>
      <c r="M97" s="158">
        <f t="shared" si="8"/>
        <v>0</v>
      </c>
    </row>
    <row r="98" spans="1:13" x14ac:dyDescent="0.25">
      <c r="A98" s="172"/>
      <c r="G98" s="142"/>
      <c r="H98" s="156">
        <v>93</v>
      </c>
      <c r="I98" s="157" t="str">
        <f t="shared" si="9"/>
        <v/>
      </c>
      <c r="J98" s="156" t="e">
        <f t="shared" si="10"/>
        <v>#NUM!</v>
      </c>
      <c r="K98" s="156" t="e">
        <f t="shared" si="7"/>
        <v>#NUM!</v>
      </c>
      <c r="L98" s="156"/>
      <c r="M98" s="158">
        <f t="shared" si="8"/>
        <v>0</v>
      </c>
    </row>
    <row r="99" spans="1:13" x14ac:dyDescent="0.25">
      <c r="A99" s="172"/>
      <c r="G99" s="142"/>
      <c r="H99" s="156">
        <v>94</v>
      </c>
      <c r="I99" s="157" t="str">
        <f t="shared" si="9"/>
        <v/>
      </c>
      <c r="J99" s="156" t="e">
        <f t="shared" si="10"/>
        <v>#NUM!</v>
      </c>
      <c r="K99" s="156" t="e">
        <f t="shared" si="7"/>
        <v>#NUM!</v>
      </c>
      <c r="L99" s="156"/>
      <c r="M99" s="158">
        <f t="shared" si="8"/>
        <v>0</v>
      </c>
    </row>
    <row r="100" spans="1:13" x14ac:dyDescent="0.25">
      <c r="A100" s="172"/>
      <c r="G100" s="142"/>
      <c r="H100" s="156">
        <v>95</v>
      </c>
      <c r="I100" s="157" t="str">
        <f t="shared" si="9"/>
        <v/>
      </c>
      <c r="J100" s="156" t="e">
        <f t="shared" si="10"/>
        <v>#NUM!</v>
      </c>
      <c r="K100" s="156" t="e">
        <f t="shared" si="7"/>
        <v>#NUM!</v>
      </c>
      <c r="L100" s="156"/>
      <c r="M100" s="158">
        <f t="shared" si="8"/>
        <v>0</v>
      </c>
    </row>
    <row r="101" spans="1:13" x14ac:dyDescent="0.25">
      <c r="A101" s="172"/>
      <c r="G101" s="142"/>
      <c r="H101" s="156">
        <v>96</v>
      </c>
      <c r="I101" s="157" t="str">
        <f t="shared" si="9"/>
        <v/>
      </c>
      <c r="J101" s="156" t="e">
        <f t="shared" si="10"/>
        <v>#NUM!</v>
      </c>
      <c r="K101" s="156" t="e">
        <f t="shared" si="7"/>
        <v>#NUM!</v>
      </c>
      <c r="L101" s="156"/>
      <c r="M101" s="158">
        <f t="shared" si="8"/>
        <v>0</v>
      </c>
    </row>
    <row r="102" spans="1:13" x14ac:dyDescent="0.25">
      <c r="A102" s="172"/>
      <c r="G102" s="142"/>
      <c r="H102" s="156">
        <v>97</v>
      </c>
      <c r="I102" s="157" t="str">
        <f t="shared" si="9"/>
        <v/>
      </c>
      <c r="J102" s="156" t="e">
        <f t="shared" si="10"/>
        <v>#NUM!</v>
      </c>
      <c r="K102" s="156" t="e">
        <f t="shared" si="7"/>
        <v>#NUM!</v>
      </c>
      <c r="L102" s="156"/>
      <c r="M102" s="158">
        <f t="shared" si="8"/>
        <v>0</v>
      </c>
    </row>
    <row r="103" spans="1:13" x14ac:dyDescent="0.25">
      <c r="A103" s="172"/>
      <c r="G103" s="142"/>
      <c r="H103" s="156">
        <v>98</v>
      </c>
      <c r="I103" s="157" t="str">
        <f t="shared" si="9"/>
        <v/>
      </c>
      <c r="J103" s="156" t="e">
        <f t="shared" si="10"/>
        <v>#NUM!</v>
      </c>
      <c r="K103" s="156" t="e">
        <f t="shared" si="7"/>
        <v>#NUM!</v>
      </c>
      <c r="L103" s="156"/>
      <c r="M103" s="158">
        <f t="shared" si="8"/>
        <v>0</v>
      </c>
    </row>
    <row r="104" spans="1:13" x14ac:dyDescent="0.25">
      <c r="A104" s="172"/>
      <c r="G104" s="142"/>
      <c r="H104" s="156">
        <v>99</v>
      </c>
      <c r="I104" s="157" t="str">
        <f t="shared" si="9"/>
        <v/>
      </c>
      <c r="J104" s="156" t="e">
        <f t="shared" si="10"/>
        <v>#NUM!</v>
      </c>
      <c r="K104" s="156" t="e">
        <f t="shared" si="7"/>
        <v>#NUM!</v>
      </c>
      <c r="L104" s="156"/>
      <c r="M104" s="158">
        <f t="shared" si="8"/>
        <v>0</v>
      </c>
    </row>
    <row r="105" spans="1:13" x14ac:dyDescent="0.25">
      <c r="A105" s="172"/>
      <c r="G105" s="142"/>
      <c r="H105" s="156">
        <v>100</v>
      </c>
      <c r="I105" s="157" t="str">
        <f t="shared" si="9"/>
        <v/>
      </c>
      <c r="J105" s="156" t="e">
        <f t="shared" si="10"/>
        <v>#NUM!</v>
      </c>
      <c r="K105" s="156" t="e">
        <f t="shared" si="7"/>
        <v>#NUM!</v>
      </c>
      <c r="L105" s="156"/>
      <c r="M105" s="158">
        <f t="shared" si="8"/>
        <v>0</v>
      </c>
    </row>
    <row r="106" spans="1:13" x14ac:dyDescent="0.25">
      <c r="A106" s="172"/>
      <c r="G106" s="142"/>
      <c r="H106" s="156">
        <v>101</v>
      </c>
      <c r="I106" s="157" t="str">
        <f t="shared" si="9"/>
        <v/>
      </c>
      <c r="J106" s="156" t="e">
        <f t="shared" si="10"/>
        <v>#NUM!</v>
      </c>
      <c r="K106" s="156" t="e">
        <f t="shared" si="7"/>
        <v>#NUM!</v>
      </c>
      <c r="L106" s="156"/>
      <c r="M106" s="158">
        <f t="shared" si="8"/>
        <v>0</v>
      </c>
    </row>
    <row r="107" spans="1:13" x14ac:dyDescent="0.25">
      <c r="A107" s="172"/>
      <c r="G107" s="142"/>
      <c r="H107" s="156">
        <v>102</v>
      </c>
      <c r="I107" s="157" t="str">
        <f t="shared" si="9"/>
        <v/>
      </c>
      <c r="J107" s="156" t="e">
        <f t="shared" si="10"/>
        <v>#NUM!</v>
      </c>
      <c r="K107" s="156" t="e">
        <f t="shared" si="7"/>
        <v>#NUM!</v>
      </c>
      <c r="L107" s="156"/>
      <c r="M107" s="158">
        <f t="shared" si="8"/>
        <v>0</v>
      </c>
    </row>
    <row r="108" spans="1:13" x14ac:dyDescent="0.25">
      <c r="A108" s="172"/>
      <c r="G108" s="142"/>
      <c r="H108" s="156">
        <v>103</v>
      </c>
      <c r="I108" s="157" t="str">
        <f t="shared" si="9"/>
        <v/>
      </c>
      <c r="J108" s="156" t="e">
        <f t="shared" si="10"/>
        <v>#NUM!</v>
      </c>
      <c r="K108" s="156" t="e">
        <f t="shared" si="7"/>
        <v>#NUM!</v>
      </c>
      <c r="L108" s="156"/>
      <c r="M108" s="158">
        <f t="shared" si="8"/>
        <v>0</v>
      </c>
    </row>
    <row r="109" spans="1:13" x14ac:dyDescent="0.25">
      <c r="A109" s="172"/>
      <c r="G109" s="142"/>
      <c r="H109" s="156">
        <v>104</v>
      </c>
      <c r="I109" s="157" t="str">
        <f t="shared" si="9"/>
        <v/>
      </c>
      <c r="J109" s="156" t="e">
        <f t="shared" si="10"/>
        <v>#NUM!</v>
      </c>
      <c r="K109" s="156" t="e">
        <f t="shared" si="7"/>
        <v>#NUM!</v>
      </c>
      <c r="L109" s="156"/>
      <c r="M109" s="158">
        <f t="shared" si="8"/>
        <v>0</v>
      </c>
    </row>
    <row r="110" spans="1:13" x14ac:dyDescent="0.25">
      <c r="A110" s="172"/>
      <c r="G110" s="142"/>
      <c r="H110" s="156">
        <v>105</v>
      </c>
      <c r="I110" s="157" t="str">
        <f t="shared" si="9"/>
        <v/>
      </c>
      <c r="J110" s="156" t="e">
        <f t="shared" si="10"/>
        <v>#NUM!</v>
      </c>
      <c r="K110" s="156" t="e">
        <f t="shared" si="7"/>
        <v>#NUM!</v>
      </c>
      <c r="L110" s="156"/>
      <c r="M110" s="158">
        <f t="shared" si="8"/>
        <v>0</v>
      </c>
    </row>
    <row r="111" spans="1:13" x14ac:dyDescent="0.25">
      <c r="A111" s="172"/>
      <c r="G111" s="142"/>
      <c r="H111" s="156">
        <v>106</v>
      </c>
      <c r="I111" s="157" t="str">
        <f t="shared" si="9"/>
        <v/>
      </c>
      <c r="J111" s="156" t="e">
        <f t="shared" si="10"/>
        <v>#NUM!</v>
      </c>
      <c r="K111" s="156" t="e">
        <f t="shared" si="7"/>
        <v>#NUM!</v>
      </c>
      <c r="L111" s="156"/>
      <c r="M111" s="158">
        <f t="shared" si="8"/>
        <v>0</v>
      </c>
    </row>
    <row r="112" spans="1:13" x14ac:dyDescent="0.25">
      <c r="A112" s="172"/>
      <c r="G112" s="142"/>
      <c r="H112" s="156">
        <v>107</v>
      </c>
      <c r="I112" s="157" t="str">
        <f t="shared" si="9"/>
        <v/>
      </c>
      <c r="J112" s="156" t="e">
        <f t="shared" si="10"/>
        <v>#NUM!</v>
      </c>
      <c r="K112" s="156" t="e">
        <f t="shared" si="7"/>
        <v>#NUM!</v>
      </c>
      <c r="L112" s="156"/>
      <c r="M112" s="158">
        <f t="shared" si="8"/>
        <v>0</v>
      </c>
    </row>
    <row r="113" spans="1:13" x14ac:dyDescent="0.25">
      <c r="A113" s="172"/>
      <c r="G113" s="142"/>
      <c r="H113" s="156">
        <v>108</v>
      </c>
      <c r="I113" s="157" t="str">
        <f t="shared" si="9"/>
        <v/>
      </c>
      <c r="J113" s="156" t="e">
        <f t="shared" si="10"/>
        <v>#NUM!</v>
      </c>
      <c r="K113" s="156" t="e">
        <f t="shared" si="7"/>
        <v>#NUM!</v>
      </c>
      <c r="L113" s="156"/>
      <c r="M113" s="158">
        <f t="shared" si="8"/>
        <v>0</v>
      </c>
    </row>
    <row r="114" spans="1:13" x14ac:dyDescent="0.25">
      <c r="A114" s="172"/>
      <c r="G114" s="142"/>
      <c r="H114" s="156">
        <v>109</v>
      </c>
      <c r="I114" s="157" t="str">
        <f t="shared" si="9"/>
        <v/>
      </c>
      <c r="J114" s="156" t="e">
        <f t="shared" si="10"/>
        <v>#NUM!</v>
      </c>
      <c r="K114" s="156" t="e">
        <f t="shared" si="7"/>
        <v>#NUM!</v>
      </c>
      <c r="L114" s="156"/>
      <c r="M114" s="158">
        <f t="shared" si="8"/>
        <v>0</v>
      </c>
    </row>
    <row r="115" spans="1:13" x14ac:dyDescent="0.25">
      <c r="A115" s="172"/>
      <c r="G115" s="142"/>
      <c r="H115" s="156">
        <v>110</v>
      </c>
      <c r="I115" s="157" t="str">
        <f t="shared" si="9"/>
        <v/>
      </c>
      <c r="J115" s="156" t="e">
        <f t="shared" si="10"/>
        <v>#NUM!</v>
      </c>
      <c r="K115" s="156" t="e">
        <f t="shared" si="7"/>
        <v>#NUM!</v>
      </c>
      <c r="L115" s="156"/>
      <c r="M115" s="158">
        <f t="shared" si="8"/>
        <v>0</v>
      </c>
    </row>
    <row r="116" spans="1:13" x14ac:dyDescent="0.25">
      <c r="A116" s="172"/>
      <c r="G116" s="142"/>
      <c r="H116" s="156">
        <v>111</v>
      </c>
      <c r="I116" s="157" t="str">
        <f t="shared" si="9"/>
        <v/>
      </c>
      <c r="J116" s="156" t="e">
        <f t="shared" si="10"/>
        <v>#NUM!</v>
      </c>
      <c r="K116" s="156" t="e">
        <f t="shared" si="7"/>
        <v>#NUM!</v>
      </c>
      <c r="L116" s="156"/>
      <c r="M116" s="158">
        <f t="shared" si="8"/>
        <v>0</v>
      </c>
    </row>
    <row r="117" spans="1:13" x14ac:dyDescent="0.25">
      <c r="A117" s="172"/>
      <c r="G117" s="142"/>
      <c r="H117" s="156">
        <v>112</v>
      </c>
      <c r="I117" s="157" t="str">
        <f t="shared" si="9"/>
        <v/>
      </c>
      <c r="J117" s="156" t="e">
        <f t="shared" si="10"/>
        <v>#NUM!</v>
      </c>
      <c r="K117" s="156" t="e">
        <f t="shared" si="7"/>
        <v>#NUM!</v>
      </c>
      <c r="L117" s="156"/>
      <c r="M117" s="158">
        <f t="shared" si="8"/>
        <v>0</v>
      </c>
    </row>
    <row r="118" spans="1:13" x14ac:dyDescent="0.25">
      <c r="A118" s="172"/>
      <c r="G118" s="142"/>
      <c r="H118" s="156">
        <v>113</v>
      </c>
      <c r="I118" s="157" t="str">
        <f t="shared" si="9"/>
        <v/>
      </c>
      <c r="J118" s="156" t="e">
        <f t="shared" si="10"/>
        <v>#NUM!</v>
      </c>
      <c r="K118" s="156" t="e">
        <f t="shared" si="7"/>
        <v>#NUM!</v>
      </c>
      <c r="L118" s="156"/>
      <c r="M118" s="158">
        <f t="shared" si="8"/>
        <v>0</v>
      </c>
    </row>
    <row r="119" spans="1:13" x14ac:dyDescent="0.25">
      <c r="A119" s="172"/>
      <c r="G119" s="142"/>
      <c r="H119" s="156">
        <v>114</v>
      </c>
      <c r="I119" s="157" t="str">
        <f t="shared" si="9"/>
        <v/>
      </c>
      <c r="J119" s="156" t="e">
        <f t="shared" si="10"/>
        <v>#NUM!</v>
      </c>
      <c r="K119" s="156" t="e">
        <f t="shared" si="7"/>
        <v>#NUM!</v>
      </c>
      <c r="L119" s="156"/>
      <c r="M119" s="158">
        <f t="shared" si="8"/>
        <v>0</v>
      </c>
    </row>
    <row r="120" spans="1:13" x14ac:dyDescent="0.25">
      <c r="A120" s="172"/>
      <c r="G120" s="142"/>
      <c r="H120" s="156">
        <v>115</v>
      </c>
      <c r="I120" s="157" t="str">
        <f t="shared" si="9"/>
        <v/>
      </c>
      <c r="J120" s="156" t="e">
        <f t="shared" si="10"/>
        <v>#NUM!</v>
      </c>
      <c r="K120" s="156" t="e">
        <f t="shared" si="7"/>
        <v>#NUM!</v>
      </c>
      <c r="L120" s="156"/>
      <c r="M120" s="158">
        <f t="shared" si="8"/>
        <v>0</v>
      </c>
    </row>
    <row r="121" spans="1:13" x14ac:dyDescent="0.25">
      <c r="A121" s="172"/>
      <c r="G121" s="142"/>
      <c r="H121" s="156">
        <v>116</v>
      </c>
      <c r="I121" s="157" t="str">
        <f t="shared" si="9"/>
        <v/>
      </c>
      <c r="J121" s="156" t="e">
        <f t="shared" si="10"/>
        <v>#NUM!</v>
      </c>
      <c r="K121" s="156" t="e">
        <f t="shared" si="7"/>
        <v>#NUM!</v>
      </c>
      <c r="L121" s="156"/>
      <c r="M121" s="158">
        <f t="shared" si="8"/>
        <v>0</v>
      </c>
    </row>
    <row r="122" spans="1:13" x14ac:dyDescent="0.25">
      <c r="A122" s="172"/>
      <c r="G122" s="142"/>
      <c r="H122" s="156">
        <v>117</v>
      </c>
      <c r="I122" s="157" t="str">
        <f t="shared" si="9"/>
        <v/>
      </c>
      <c r="J122" s="156" t="e">
        <f t="shared" si="10"/>
        <v>#NUM!</v>
      </c>
      <c r="K122" s="156" t="e">
        <f t="shared" si="7"/>
        <v>#NUM!</v>
      </c>
      <c r="L122" s="156"/>
      <c r="M122" s="158">
        <f t="shared" si="8"/>
        <v>0</v>
      </c>
    </row>
    <row r="123" spans="1:13" x14ac:dyDescent="0.25">
      <c r="A123" s="172"/>
      <c r="G123" s="142"/>
      <c r="H123" s="156">
        <v>118</v>
      </c>
      <c r="I123" s="157" t="str">
        <f t="shared" si="9"/>
        <v/>
      </c>
      <c r="J123" s="156" t="e">
        <f t="shared" si="10"/>
        <v>#NUM!</v>
      </c>
      <c r="K123" s="156" t="e">
        <f t="shared" si="7"/>
        <v>#NUM!</v>
      </c>
      <c r="L123" s="156"/>
      <c r="M123" s="158">
        <f t="shared" si="8"/>
        <v>0</v>
      </c>
    </row>
    <row r="124" spans="1:13" x14ac:dyDescent="0.25">
      <c r="A124" s="172"/>
      <c r="G124" s="142"/>
      <c r="H124" s="156">
        <v>119</v>
      </c>
      <c r="I124" s="157" t="str">
        <f t="shared" si="9"/>
        <v/>
      </c>
      <c r="J124" s="156" t="e">
        <f t="shared" si="10"/>
        <v>#NUM!</v>
      </c>
      <c r="K124" s="156" t="e">
        <f t="shared" si="7"/>
        <v>#NUM!</v>
      </c>
      <c r="L124" s="156"/>
      <c r="M124" s="158">
        <f t="shared" si="8"/>
        <v>0</v>
      </c>
    </row>
    <row r="125" spans="1:13" x14ac:dyDescent="0.25">
      <c r="A125" s="172"/>
      <c r="G125" s="142"/>
      <c r="H125" s="156">
        <v>120</v>
      </c>
      <c r="I125" s="157" t="str">
        <f t="shared" si="9"/>
        <v/>
      </c>
      <c r="J125" s="156" t="e">
        <f t="shared" si="10"/>
        <v>#NUM!</v>
      </c>
      <c r="K125" s="156" t="e">
        <f t="shared" si="7"/>
        <v>#NUM!</v>
      </c>
      <c r="L125" s="156"/>
      <c r="M125" s="158">
        <f t="shared" si="8"/>
        <v>0</v>
      </c>
    </row>
    <row r="126" spans="1:13" x14ac:dyDescent="0.25">
      <c r="A126" s="172"/>
      <c r="G126" s="142"/>
      <c r="H126" s="156">
        <v>121</v>
      </c>
      <c r="I126" s="157" t="str">
        <f t="shared" si="9"/>
        <v/>
      </c>
      <c r="J126" s="156" t="e">
        <f t="shared" si="10"/>
        <v>#NUM!</v>
      </c>
      <c r="K126" s="156" t="e">
        <f t="shared" si="7"/>
        <v>#NUM!</v>
      </c>
      <c r="L126" s="156"/>
      <c r="M126" s="158">
        <f t="shared" si="8"/>
        <v>0</v>
      </c>
    </row>
    <row r="127" spans="1:13" x14ac:dyDescent="0.25">
      <c r="A127" s="172"/>
      <c r="G127" s="142"/>
      <c r="H127" s="156">
        <v>122</v>
      </c>
      <c r="I127" s="157" t="str">
        <f t="shared" si="9"/>
        <v/>
      </c>
      <c r="J127" s="156" t="e">
        <f t="shared" si="10"/>
        <v>#NUM!</v>
      </c>
      <c r="K127" s="156" t="e">
        <f t="shared" si="7"/>
        <v>#NUM!</v>
      </c>
      <c r="L127" s="156"/>
      <c r="M127" s="158">
        <f t="shared" si="8"/>
        <v>0</v>
      </c>
    </row>
    <row r="128" spans="1:13" x14ac:dyDescent="0.25">
      <c r="A128" s="172"/>
      <c r="G128" s="142"/>
      <c r="H128" s="156">
        <v>123</v>
      </c>
      <c r="I128" s="157" t="str">
        <f t="shared" si="9"/>
        <v/>
      </c>
      <c r="J128" s="156" t="e">
        <f t="shared" si="10"/>
        <v>#NUM!</v>
      </c>
      <c r="K128" s="156" t="e">
        <f t="shared" si="7"/>
        <v>#NUM!</v>
      </c>
      <c r="L128" s="156"/>
      <c r="M128" s="158">
        <f t="shared" si="8"/>
        <v>0</v>
      </c>
    </row>
    <row r="129" spans="1:13" x14ac:dyDescent="0.25">
      <c r="A129" s="172"/>
      <c r="G129" s="142"/>
      <c r="H129" s="156">
        <v>124</v>
      </c>
      <c r="I129" s="157" t="str">
        <f t="shared" si="9"/>
        <v/>
      </c>
      <c r="J129" s="156" t="e">
        <f t="shared" si="10"/>
        <v>#NUM!</v>
      </c>
      <c r="K129" s="156" t="e">
        <f t="shared" si="7"/>
        <v>#NUM!</v>
      </c>
      <c r="L129" s="156"/>
      <c r="M129" s="158">
        <f t="shared" si="8"/>
        <v>0</v>
      </c>
    </row>
    <row r="130" spans="1:13" x14ac:dyDescent="0.25">
      <c r="A130" s="172"/>
      <c r="G130" s="142"/>
      <c r="H130" s="156">
        <v>125</v>
      </c>
      <c r="I130" s="157" t="str">
        <f t="shared" si="9"/>
        <v/>
      </c>
      <c r="J130" s="156" t="e">
        <f t="shared" si="10"/>
        <v>#NUM!</v>
      </c>
      <c r="K130" s="156" t="e">
        <f t="shared" si="7"/>
        <v>#NUM!</v>
      </c>
      <c r="L130" s="156"/>
      <c r="M130" s="158">
        <f t="shared" si="8"/>
        <v>0</v>
      </c>
    </row>
    <row r="131" spans="1:13" x14ac:dyDescent="0.25">
      <c r="A131" s="172"/>
      <c r="G131" s="142"/>
      <c r="H131" s="156">
        <v>126</v>
      </c>
      <c r="I131" s="157" t="str">
        <f t="shared" si="9"/>
        <v/>
      </c>
      <c r="J131" s="156" t="e">
        <f t="shared" si="10"/>
        <v>#NUM!</v>
      </c>
      <c r="K131" s="156" t="e">
        <f t="shared" si="7"/>
        <v>#NUM!</v>
      </c>
      <c r="L131" s="156"/>
      <c r="M131" s="158">
        <f t="shared" si="8"/>
        <v>0</v>
      </c>
    </row>
    <row r="132" spans="1:13" x14ac:dyDescent="0.25">
      <c r="A132" s="172"/>
      <c r="G132" s="142"/>
      <c r="H132" s="156">
        <v>127</v>
      </c>
      <c r="I132" s="157" t="str">
        <f t="shared" si="9"/>
        <v/>
      </c>
      <c r="J132" s="156" t="e">
        <f t="shared" si="10"/>
        <v>#NUM!</v>
      </c>
      <c r="K132" s="156" t="e">
        <f t="shared" si="7"/>
        <v>#NUM!</v>
      </c>
      <c r="L132" s="156"/>
      <c r="M132" s="158">
        <f t="shared" si="8"/>
        <v>0</v>
      </c>
    </row>
    <row r="133" spans="1:13" x14ac:dyDescent="0.25">
      <c r="A133" s="172"/>
      <c r="G133" s="142"/>
      <c r="H133" s="156">
        <v>128</v>
      </c>
      <c r="I133" s="157" t="str">
        <f t="shared" si="9"/>
        <v/>
      </c>
      <c r="J133" s="156" t="e">
        <f t="shared" si="10"/>
        <v>#NUM!</v>
      </c>
      <c r="K133" s="156" t="e">
        <f t="shared" si="7"/>
        <v>#NUM!</v>
      </c>
      <c r="L133" s="156"/>
      <c r="M133" s="158">
        <f t="shared" si="8"/>
        <v>0</v>
      </c>
    </row>
    <row r="134" spans="1:13" x14ac:dyDescent="0.25">
      <c r="A134" s="172"/>
      <c r="G134" s="142"/>
      <c r="H134" s="156">
        <v>129</v>
      </c>
      <c r="I134" s="157" t="str">
        <f t="shared" si="9"/>
        <v/>
      </c>
      <c r="J134" s="156" t="e">
        <f t="shared" si="10"/>
        <v>#NUM!</v>
      </c>
      <c r="K134" s="156" t="e">
        <f t="shared" ref="K134:K197" si="11">J134*$J$2</f>
        <v>#NUM!</v>
      </c>
      <c r="L134" s="156"/>
      <c r="M134" s="158">
        <f t="shared" ref="M134:M197" si="12">IF(I134&lt;&gt;"",K134+I134+L134,0)</f>
        <v>0</v>
      </c>
    </row>
    <row r="135" spans="1:13" x14ac:dyDescent="0.25">
      <c r="A135" s="172"/>
      <c r="G135" s="142"/>
      <c r="H135" s="156">
        <v>130</v>
      </c>
      <c r="I135" s="157" t="str">
        <f t="shared" ref="I135:I198" si="13">IF(H135&lt;$H$2+1,($I$2-($I$2-1)*(LOG(H135)/LOG($H$2))),"")</f>
        <v/>
      </c>
      <c r="J135" s="156" t="e">
        <f t="shared" ref="J135:J198" si="14">INT(LOG($H$2,2))-ROUNDUP(LOG(H135,2),0)+IF(OR($H$2=1,$H$2=2,$H$2=4,$H$2=8,$H$2=16,$H$2=32,$H$2=64,$H$2=128,$H$2=256),0,1)</f>
        <v>#NUM!</v>
      </c>
      <c r="K135" s="156" t="e">
        <f t="shared" si="11"/>
        <v>#NUM!</v>
      </c>
      <c r="L135" s="156"/>
      <c r="M135" s="158">
        <f t="shared" si="12"/>
        <v>0</v>
      </c>
    </row>
    <row r="136" spans="1:13" x14ac:dyDescent="0.25">
      <c r="A136" s="172"/>
      <c r="G136" s="142"/>
      <c r="H136" s="156">
        <v>131</v>
      </c>
      <c r="I136" s="157" t="str">
        <f t="shared" si="13"/>
        <v/>
      </c>
      <c r="J136" s="156" t="e">
        <f t="shared" si="14"/>
        <v>#NUM!</v>
      </c>
      <c r="K136" s="156" t="e">
        <f t="shared" si="11"/>
        <v>#NUM!</v>
      </c>
      <c r="L136" s="156"/>
      <c r="M136" s="158">
        <f t="shared" si="12"/>
        <v>0</v>
      </c>
    </row>
    <row r="137" spans="1:13" x14ac:dyDescent="0.25">
      <c r="A137" s="172"/>
      <c r="G137" s="142"/>
      <c r="H137" s="156">
        <v>132</v>
      </c>
      <c r="I137" s="157" t="str">
        <f t="shared" si="13"/>
        <v/>
      </c>
      <c r="J137" s="156" t="e">
        <f t="shared" si="14"/>
        <v>#NUM!</v>
      </c>
      <c r="K137" s="156" t="e">
        <f t="shared" si="11"/>
        <v>#NUM!</v>
      </c>
      <c r="L137" s="156"/>
      <c r="M137" s="158">
        <f t="shared" si="12"/>
        <v>0</v>
      </c>
    </row>
    <row r="138" spans="1:13" x14ac:dyDescent="0.25">
      <c r="A138" s="172"/>
      <c r="G138" s="142"/>
      <c r="H138" s="156">
        <v>133</v>
      </c>
      <c r="I138" s="157" t="str">
        <f t="shared" si="13"/>
        <v/>
      </c>
      <c r="J138" s="156" t="e">
        <f t="shared" si="14"/>
        <v>#NUM!</v>
      </c>
      <c r="K138" s="156" t="e">
        <f t="shared" si="11"/>
        <v>#NUM!</v>
      </c>
      <c r="L138" s="156"/>
      <c r="M138" s="158">
        <f t="shared" si="12"/>
        <v>0</v>
      </c>
    </row>
    <row r="139" spans="1:13" x14ac:dyDescent="0.25">
      <c r="A139" s="172"/>
      <c r="G139" s="142"/>
      <c r="H139" s="156">
        <v>134</v>
      </c>
      <c r="I139" s="157" t="str">
        <f t="shared" si="13"/>
        <v/>
      </c>
      <c r="J139" s="156" t="e">
        <f t="shared" si="14"/>
        <v>#NUM!</v>
      </c>
      <c r="K139" s="156" t="e">
        <f t="shared" si="11"/>
        <v>#NUM!</v>
      </c>
      <c r="L139" s="156"/>
      <c r="M139" s="158">
        <f t="shared" si="12"/>
        <v>0</v>
      </c>
    </row>
    <row r="140" spans="1:13" x14ac:dyDescent="0.25">
      <c r="A140" s="172"/>
      <c r="G140" s="142"/>
      <c r="H140" s="156">
        <v>135</v>
      </c>
      <c r="I140" s="157" t="str">
        <f t="shared" si="13"/>
        <v/>
      </c>
      <c r="J140" s="156" t="e">
        <f t="shared" si="14"/>
        <v>#NUM!</v>
      </c>
      <c r="K140" s="156" t="e">
        <f t="shared" si="11"/>
        <v>#NUM!</v>
      </c>
      <c r="L140" s="156"/>
      <c r="M140" s="158">
        <f t="shared" si="12"/>
        <v>0</v>
      </c>
    </row>
    <row r="141" spans="1:13" x14ac:dyDescent="0.25">
      <c r="A141" s="172"/>
      <c r="G141" s="142"/>
      <c r="H141" s="156">
        <v>136</v>
      </c>
      <c r="I141" s="157" t="str">
        <f t="shared" si="13"/>
        <v/>
      </c>
      <c r="J141" s="156" t="e">
        <f t="shared" si="14"/>
        <v>#NUM!</v>
      </c>
      <c r="K141" s="156" t="e">
        <f t="shared" si="11"/>
        <v>#NUM!</v>
      </c>
      <c r="L141" s="156"/>
      <c r="M141" s="158">
        <f t="shared" si="12"/>
        <v>0</v>
      </c>
    </row>
    <row r="142" spans="1:13" x14ac:dyDescent="0.25">
      <c r="A142" s="172"/>
      <c r="G142" s="142"/>
      <c r="H142" s="156">
        <v>137</v>
      </c>
      <c r="I142" s="157" t="str">
        <f t="shared" si="13"/>
        <v/>
      </c>
      <c r="J142" s="156" t="e">
        <f t="shared" si="14"/>
        <v>#NUM!</v>
      </c>
      <c r="K142" s="156" t="e">
        <f t="shared" si="11"/>
        <v>#NUM!</v>
      </c>
      <c r="L142" s="156"/>
      <c r="M142" s="158">
        <f t="shared" si="12"/>
        <v>0</v>
      </c>
    </row>
    <row r="143" spans="1:13" x14ac:dyDescent="0.25">
      <c r="A143" s="172"/>
      <c r="G143" s="142"/>
      <c r="H143" s="156">
        <v>138</v>
      </c>
      <c r="I143" s="157" t="str">
        <f t="shared" si="13"/>
        <v/>
      </c>
      <c r="J143" s="156" t="e">
        <f t="shared" si="14"/>
        <v>#NUM!</v>
      </c>
      <c r="K143" s="156" t="e">
        <f t="shared" si="11"/>
        <v>#NUM!</v>
      </c>
      <c r="L143" s="156"/>
      <c r="M143" s="158">
        <f t="shared" si="12"/>
        <v>0</v>
      </c>
    </row>
    <row r="144" spans="1:13" x14ac:dyDescent="0.25">
      <c r="A144" s="172"/>
      <c r="G144" s="142"/>
      <c r="H144" s="156">
        <v>139</v>
      </c>
      <c r="I144" s="157" t="str">
        <f t="shared" si="13"/>
        <v/>
      </c>
      <c r="J144" s="156" t="e">
        <f t="shared" si="14"/>
        <v>#NUM!</v>
      </c>
      <c r="K144" s="156" t="e">
        <f t="shared" si="11"/>
        <v>#NUM!</v>
      </c>
      <c r="L144" s="156"/>
      <c r="M144" s="158">
        <f t="shared" si="12"/>
        <v>0</v>
      </c>
    </row>
    <row r="145" spans="1:13" x14ac:dyDescent="0.25">
      <c r="A145" s="172"/>
      <c r="G145" s="142"/>
      <c r="H145" s="156">
        <v>140</v>
      </c>
      <c r="I145" s="157" t="str">
        <f t="shared" si="13"/>
        <v/>
      </c>
      <c r="J145" s="156" t="e">
        <f t="shared" si="14"/>
        <v>#NUM!</v>
      </c>
      <c r="K145" s="156" t="e">
        <f t="shared" si="11"/>
        <v>#NUM!</v>
      </c>
      <c r="L145" s="156"/>
      <c r="M145" s="158">
        <f t="shared" si="12"/>
        <v>0</v>
      </c>
    </row>
    <row r="146" spans="1:13" x14ac:dyDescent="0.25">
      <c r="A146" s="172"/>
      <c r="G146" s="142"/>
      <c r="H146" s="156">
        <v>141</v>
      </c>
      <c r="I146" s="157" t="str">
        <f t="shared" si="13"/>
        <v/>
      </c>
      <c r="J146" s="156" t="e">
        <f t="shared" si="14"/>
        <v>#NUM!</v>
      </c>
      <c r="K146" s="156" t="e">
        <f t="shared" si="11"/>
        <v>#NUM!</v>
      </c>
      <c r="L146" s="156"/>
      <c r="M146" s="158">
        <f t="shared" si="12"/>
        <v>0</v>
      </c>
    </row>
    <row r="147" spans="1:13" x14ac:dyDescent="0.25">
      <c r="A147" s="172"/>
      <c r="G147" s="142"/>
      <c r="H147" s="156">
        <v>142</v>
      </c>
      <c r="I147" s="157" t="str">
        <f t="shared" si="13"/>
        <v/>
      </c>
      <c r="J147" s="156" t="e">
        <f t="shared" si="14"/>
        <v>#NUM!</v>
      </c>
      <c r="K147" s="156" t="e">
        <f t="shared" si="11"/>
        <v>#NUM!</v>
      </c>
      <c r="L147" s="156"/>
      <c r="M147" s="158">
        <f t="shared" si="12"/>
        <v>0</v>
      </c>
    </row>
    <row r="148" spans="1:13" x14ac:dyDescent="0.25">
      <c r="A148" s="172"/>
      <c r="G148" s="142"/>
      <c r="H148" s="156">
        <v>143</v>
      </c>
      <c r="I148" s="157" t="str">
        <f t="shared" si="13"/>
        <v/>
      </c>
      <c r="J148" s="156" t="e">
        <f t="shared" si="14"/>
        <v>#NUM!</v>
      </c>
      <c r="K148" s="156" t="e">
        <f t="shared" si="11"/>
        <v>#NUM!</v>
      </c>
      <c r="L148" s="156"/>
      <c r="M148" s="158">
        <f t="shared" si="12"/>
        <v>0</v>
      </c>
    </row>
    <row r="149" spans="1:13" x14ac:dyDescent="0.25">
      <c r="A149" s="172"/>
      <c r="G149" s="142"/>
      <c r="H149" s="156">
        <v>144</v>
      </c>
      <c r="I149" s="157" t="str">
        <f t="shared" si="13"/>
        <v/>
      </c>
      <c r="J149" s="156" t="e">
        <f t="shared" si="14"/>
        <v>#NUM!</v>
      </c>
      <c r="K149" s="156" t="e">
        <f t="shared" si="11"/>
        <v>#NUM!</v>
      </c>
      <c r="L149" s="156"/>
      <c r="M149" s="158">
        <f t="shared" si="12"/>
        <v>0</v>
      </c>
    </row>
    <row r="150" spans="1:13" x14ac:dyDescent="0.25">
      <c r="A150" s="172"/>
      <c r="G150" s="142"/>
      <c r="H150" s="156">
        <v>145</v>
      </c>
      <c r="I150" s="157" t="str">
        <f t="shared" si="13"/>
        <v/>
      </c>
      <c r="J150" s="156" t="e">
        <f t="shared" si="14"/>
        <v>#NUM!</v>
      </c>
      <c r="K150" s="156" t="e">
        <f t="shared" si="11"/>
        <v>#NUM!</v>
      </c>
      <c r="L150" s="156"/>
      <c r="M150" s="158">
        <f t="shared" si="12"/>
        <v>0</v>
      </c>
    </row>
    <row r="151" spans="1:13" x14ac:dyDescent="0.25">
      <c r="A151" s="172"/>
      <c r="G151" s="142"/>
      <c r="H151" s="156">
        <v>146</v>
      </c>
      <c r="I151" s="157" t="str">
        <f t="shared" si="13"/>
        <v/>
      </c>
      <c r="J151" s="156" t="e">
        <f t="shared" si="14"/>
        <v>#NUM!</v>
      </c>
      <c r="K151" s="156" t="e">
        <f t="shared" si="11"/>
        <v>#NUM!</v>
      </c>
      <c r="L151" s="156"/>
      <c r="M151" s="158">
        <f t="shared" si="12"/>
        <v>0</v>
      </c>
    </row>
    <row r="152" spans="1:13" x14ac:dyDescent="0.25">
      <c r="A152" s="172"/>
      <c r="G152" s="142"/>
      <c r="H152" s="156">
        <v>147</v>
      </c>
      <c r="I152" s="157" t="str">
        <f t="shared" si="13"/>
        <v/>
      </c>
      <c r="J152" s="156" t="e">
        <f t="shared" si="14"/>
        <v>#NUM!</v>
      </c>
      <c r="K152" s="156" t="e">
        <f t="shared" si="11"/>
        <v>#NUM!</v>
      </c>
      <c r="L152" s="156"/>
      <c r="M152" s="158">
        <f t="shared" si="12"/>
        <v>0</v>
      </c>
    </row>
    <row r="153" spans="1:13" x14ac:dyDescent="0.25">
      <c r="A153" s="172"/>
      <c r="G153" s="142"/>
      <c r="H153" s="156">
        <v>148</v>
      </c>
      <c r="I153" s="157" t="str">
        <f t="shared" si="13"/>
        <v/>
      </c>
      <c r="J153" s="156" t="e">
        <f t="shared" si="14"/>
        <v>#NUM!</v>
      </c>
      <c r="K153" s="156" t="e">
        <f t="shared" si="11"/>
        <v>#NUM!</v>
      </c>
      <c r="L153" s="156"/>
      <c r="M153" s="158">
        <f t="shared" si="12"/>
        <v>0</v>
      </c>
    </row>
    <row r="154" spans="1:13" x14ac:dyDescent="0.25">
      <c r="A154" s="172"/>
      <c r="G154" s="142"/>
      <c r="H154" s="156">
        <v>149</v>
      </c>
      <c r="I154" s="157" t="str">
        <f t="shared" si="13"/>
        <v/>
      </c>
      <c r="J154" s="156" t="e">
        <f t="shared" si="14"/>
        <v>#NUM!</v>
      </c>
      <c r="K154" s="156" t="e">
        <f t="shared" si="11"/>
        <v>#NUM!</v>
      </c>
      <c r="L154" s="156"/>
      <c r="M154" s="158">
        <f t="shared" si="12"/>
        <v>0</v>
      </c>
    </row>
    <row r="155" spans="1:13" x14ac:dyDescent="0.25">
      <c r="A155" s="172"/>
      <c r="G155" s="142"/>
      <c r="H155" s="156">
        <v>150</v>
      </c>
      <c r="I155" s="157" t="str">
        <f t="shared" si="13"/>
        <v/>
      </c>
      <c r="J155" s="156" t="e">
        <f t="shared" si="14"/>
        <v>#NUM!</v>
      </c>
      <c r="K155" s="156" t="e">
        <f t="shared" si="11"/>
        <v>#NUM!</v>
      </c>
      <c r="L155" s="156"/>
      <c r="M155" s="158">
        <f t="shared" si="12"/>
        <v>0</v>
      </c>
    </row>
    <row r="156" spans="1:13" x14ac:dyDescent="0.25">
      <c r="A156" s="172"/>
      <c r="G156" s="142"/>
      <c r="H156" s="156">
        <v>151</v>
      </c>
      <c r="I156" s="157" t="str">
        <f t="shared" si="13"/>
        <v/>
      </c>
      <c r="J156" s="156" t="e">
        <f t="shared" si="14"/>
        <v>#NUM!</v>
      </c>
      <c r="K156" s="156" t="e">
        <f t="shared" si="11"/>
        <v>#NUM!</v>
      </c>
      <c r="L156" s="156"/>
      <c r="M156" s="158">
        <f t="shared" si="12"/>
        <v>0</v>
      </c>
    </row>
    <row r="157" spans="1:13" x14ac:dyDescent="0.25">
      <c r="A157" s="172"/>
      <c r="G157" s="142"/>
      <c r="H157" s="156">
        <v>152</v>
      </c>
      <c r="I157" s="157" t="str">
        <f t="shared" si="13"/>
        <v/>
      </c>
      <c r="J157" s="156" t="e">
        <f t="shared" si="14"/>
        <v>#NUM!</v>
      </c>
      <c r="K157" s="156" t="e">
        <f t="shared" si="11"/>
        <v>#NUM!</v>
      </c>
      <c r="L157" s="156"/>
      <c r="M157" s="158">
        <f t="shared" si="12"/>
        <v>0</v>
      </c>
    </row>
    <row r="158" spans="1:13" x14ac:dyDescent="0.25">
      <c r="A158" s="172"/>
      <c r="G158" s="142"/>
      <c r="H158" s="156">
        <v>153</v>
      </c>
      <c r="I158" s="157" t="str">
        <f t="shared" si="13"/>
        <v/>
      </c>
      <c r="J158" s="156" t="e">
        <f t="shared" si="14"/>
        <v>#NUM!</v>
      </c>
      <c r="K158" s="156" t="e">
        <f t="shared" si="11"/>
        <v>#NUM!</v>
      </c>
      <c r="L158" s="156"/>
      <c r="M158" s="158">
        <f t="shared" si="12"/>
        <v>0</v>
      </c>
    </row>
    <row r="159" spans="1:13" x14ac:dyDescent="0.25">
      <c r="A159" s="172"/>
      <c r="G159" s="142"/>
      <c r="H159" s="156">
        <v>154</v>
      </c>
      <c r="I159" s="157" t="str">
        <f t="shared" si="13"/>
        <v/>
      </c>
      <c r="J159" s="156" t="e">
        <f t="shared" si="14"/>
        <v>#NUM!</v>
      </c>
      <c r="K159" s="156" t="e">
        <f t="shared" si="11"/>
        <v>#NUM!</v>
      </c>
      <c r="L159" s="156"/>
      <c r="M159" s="158">
        <f t="shared" si="12"/>
        <v>0</v>
      </c>
    </row>
    <row r="160" spans="1:13" x14ac:dyDescent="0.25">
      <c r="A160" s="172"/>
      <c r="G160" s="142"/>
      <c r="H160" s="156">
        <v>155</v>
      </c>
      <c r="I160" s="157" t="str">
        <f t="shared" si="13"/>
        <v/>
      </c>
      <c r="J160" s="156" t="e">
        <f t="shared" si="14"/>
        <v>#NUM!</v>
      </c>
      <c r="K160" s="156" t="e">
        <f t="shared" si="11"/>
        <v>#NUM!</v>
      </c>
      <c r="L160" s="156"/>
      <c r="M160" s="158">
        <f t="shared" si="12"/>
        <v>0</v>
      </c>
    </row>
    <row r="161" spans="1:13" x14ac:dyDescent="0.25">
      <c r="A161" s="172"/>
      <c r="G161" s="142"/>
      <c r="H161" s="156">
        <v>156</v>
      </c>
      <c r="I161" s="157" t="str">
        <f t="shared" si="13"/>
        <v/>
      </c>
      <c r="J161" s="156" t="e">
        <f t="shared" si="14"/>
        <v>#NUM!</v>
      </c>
      <c r="K161" s="156" t="e">
        <f t="shared" si="11"/>
        <v>#NUM!</v>
      </c>
      <c r="L161" s="156"/>
      <c r="M161" s="158">
        <f t="shared" si="12"/>
        <v>0</v>
      </c>
    </row>
    <row r="162" spans="1:13" x14ac:dyDescent="0.25">
      <c r="A162" s="172"/>
      <c r="G162" s="142"/>
      <c r="H162" s="156">
        <v>157</v>
      </c>
      <c r="I162" s="157" t="str">
        <f t="shared" si="13"/>
        <v/>
      </c>
      <c r="J162" s="156" t="e">
        <f t="shared" si="14"/>
        <v>#NUM!</v>
      </c>
      <c r="K162" s="156" t="e">
        <f t="shared" si="11"/>
        <v>#NUM!</v>
      </c>
      <c r="L162" s="156"/>
      <c r="M162" s="158">
        <f t="shared" si="12"/>
        <v>0</v>
      </c>
    </row>
    <row r="163" spans="1:13" x14ac:dyDescent="0.25">
      <c r="A163" s="172"/>
      <c r="G163" s="142"/>
      <c r="H163" s="156">
        <v>158</v>
      </c>
      <c r="I163" s="157" t="str">
        <f t="shared" si="13"/>
        <v/>
      </c>
      <c r="J163" s="156" t="e">
        <f t="shared" si="14"/>
        <v>#NUM!</v>
      </c>
      <c r="K163" s="156" t="e">
        <f t="shared" si="11"/>
        <v>#NUM!</v>
      </c>
      <c r="L163" s="156"/>
      <c r="M163" s="158">
        <f t="shared" si="12"/>
        <v>0</v>
      </c>
    </row>
    <row r="164" spans="1:13" x14ac:dyDescent="0.25">
      <c r="A164" s="172"/>
      <c r="G164" s="142"/>
      <c r="H164" s="156">
        <v>159</v>
      </c>
      <c r="I164" s="157" t="str">
        <f t="shared" si="13"/>
        <v/>
      </c>
      <c r="J164" s="156" t="e">
        <f t="shared" si="14"/>
        <v>#NUM!</v>
      </c>
      <c r="K164" s="156" t="e">
        <f t="shared" si="11"/>
        <v>#NUM!</v>
      </c>
      <c r="L164" s="156"/>
      <c r="M164" s="158">
        <f t="shared" si="12"/>
        <v>0</v>
      </c>
    </row>
    <row r="165" spans="1:13" x14ac:dyDescent="0.25">
      <c r="A165" s="172"/>
      <c r="G165" s="142"/>
      <c r="H165" s="156">
        <v>160</v>
      </c>
      <c r="I165" s="157" t="str">
        <f t="shared" si="13"/>
        <v/>
      </c>
      <c r="J165" s="156" t="e">
        <f t="shared" si="14"/>
        <v>#NUM!</v>
      </c>
      <c r="K165" s="156" t="e">
        <f t="shared" si="11"/>
        <v>#NUM!</v>
      </c>
      <c r="L165" s="156"/>
      <c r="M165" s="158">
        <f t="shared" si="12"/>
        <v>0</v>
      </c>
    </row>
    <row r="166" spans="1:13" x14ac:dyDescent="0.25">
      <c r="A166" s="172"/>
      <c r="G166" s="142"/>
      <c r="H166" s="156">
        <v>161</v>
      </c>
      <c r="I166" s="157" t="str">
        <f t="shared" si="13"/>
        <v/>
      </c>
      <c r="J166" s="156" t="e">
        <f t="shared" si="14"/>
        <v>#NUM!</v>
      </c>
      <c r="K166" s="156" t="e">
        <f t="shared" si="11"/>
        <v>#NUM!</v>
      </c>
      <c r="L166" s="156"/>
      <c r="M166" s="158">
        <f t="shared" si="12"/>
        <v>0</v>
      </c>
    </row>
    <row r="167" spans="1:13" x14ac:dyDescent="0.25">
      <c r="A167" s="172"/>
      <c r="G167" s="142"/>
      <c r="H167" s="156">
        <v>162</v>
      </c>
      <c r="I167" s="157" t="str">
        <f t="shared" si="13"/>
        <v/>
      </c>
      <c r="J167" s="156" t="e">
        <f t="shared" si="14"/>
        <v>#NUM!</v>
      </c>
      <c r="K167" s="156" t="e">
        <f t="shared" si="11"/>
        <v>#NUM!</v>
      </c>
      <c r="L167" s="156"/>
      <c r="M167" s="158">
        <f t="shared" si="12"/>
        <v>0</v>
      </c>
    </row>
    <row r="168" spans="1:13" x14ac:dyDescent="0.25">
      <c r="A168" s="172"/>
      <c r="G168" s="142"/>
      <c r="H168" s="156">
        <v>163</v>
      </c>
      <c r="I168" s="157" t="str">
        <f t="shared" si="13"/>
        <v/>
      </c>
      <c r="J168" s="156" t="e">
        <f t="shared" si="14"/>
        <v>#NUM!</v>
      </c>
      <c r="K168" s="156" t="e">
        <f t="shared" si="11"/>
        <v>#NUM!</v>
      </c>
      <c r="L168" s="156"/>
      <c r="M168" s="158">
        <f t="shared" si="12"/>
        <v>0</v>
      </c>
    </row>
    <row r="169" spans="1:13" x14ac:dyDescent="0.25">
      <c r="A169" s="172"/>
      <c r="G169" s="142"/>
      <c r="H169" s="156">
        <v>164</v>
      </c>
      <c r="I169" s="157" t="str">
        <f t="shared" si="13"/>
        <v/>
      </c>
      <c r="J169" s="156" t="e">
        <f t="shared" si="14"/>
        <v>#NUM!</v>
      </c>
      <c r="K169" s="156" t="e">
        <f t="shared" si="11"/>
        <v>#NUM!</v>
      </c>
      <c r="L169" s="156"/>
      <c r="M169" s="158">
        <f t="shared" si="12"/>
        <v>0</v>
      </c>
    </row>
    <row r="170" spans="1:13" x14ac:dyDescent="0.25">
      <c r="A170" s="172"/>
      <c r="G170" s="142"/>
      <c r="H170" s="156">
        <v>165</v>
      </c>
      <c r="I170" s="157" t="str">
        <f t="shared" si="13"/>
        <v/>
      </c>
      <c r="J170" s="156" t="e">
        <f t="shared" si="14"/>
        <v>#NUM!</v>
      </c>
      <c r="K170" s="156" t="e">
        <f t="shared" si="11"/>
        <v>#NUM!</v>
      </c>
      <c r="L170" s="156"/>
      <c r="M170" s="158">
        <f t="shared" si="12"/>
        <v>0</v>
      </c>
    </row>
    <row r="171" spans="1:13" x14ac:dyDescent="0.25">
      <c r="A171" s="172"/>
      <c r="G171" s="142"/>
      <c r="H171" s="156">
        <v>166</v>
      </c>
      <c r="I171" s="157" t="str">
        <f t="shared" si="13"/>
        <v/>
      </c>
      <c r="J171" s="156" t="e">
        <f t="shared" si="14"/>
        <v>#NUM!</v>
      </c>
      <c r="K171" s="156" t="e">
        <f t="shared" si="11"/>
        <v>#NUM!</v>
      </c>
      <c r="L171" s="156"/>
      <c r="M171" s="158">
        <f t="shared" si="12"/>
        <v>0</v>
      </c>
    </row>
    <row r="172" spans="1:13" x14ac:dyDescent="0.25">
      <c r="A172" s="172"/>
      <c r="G172" s="142"/>
      <c r="H172" s="156">
        <v>167</v>
      </c>
      <c r="I172" s="157" t="str">
        <f t="shared" si="13"/>
        <v/>
      </c>
      <c r="J172" s="156" t="e">
        <f t="shared" si="14"/>
        <v>#NUM!</v>
      </c>
      <c r="K172" s="156" t="e">
        <f t="shared" si="11"/>
        <v>#NUM!</v>
      </c>
      <c r="L172" s="156"/>
      <c r="M172" s="158">
        <f t="shared" si="12"/>
        <v>0</v>
      </c>
    </row>
    <row r="173" spans="1:13" x14ac:dyDescent="0.25">
      <c r="A173" s="172"/>
      <c r="G173" s="142"/>
      <c r="H173" s="156">
        <v>168</v>
      </c>
      <c r="I173" s="157" t="str">
        <f t="shared" si="13"/>
        <v/>
      </c>
      <c r="J173" s="156" t="e">
        <f t="shared" si="14"/>
        <v>#NUM!</v>
      </c>
      <c r="K173" s="156" t="e">
        <f t="shared" si="11"/>
        <v>#NUM!</v>
      </c>
      <c r="L173" s="156"/>
      <c r="M173" s="158">
        <f t="shared" si="12"/>
        <v>0</v>
      </c>
    </row>
    <row r="174" spans="1:13" x14ac:dyDescent="0.25">
      <c r="A174" s="172"/>
      <c r="G174" s="142"/>
      <c r="H174" s="156">
        <v>169</v>
      </c>
      <c r="I174" s="157" t="str">
        <f t="shared" si="13"/>
        <v/>
      </c>
      <c r="J174" s="156" t="e">
        <f t="shared" si="14"/>
        <v>#NUM!</v>
      </c>
      <c r="K174" s="156" t="e">
        <f t="shared" si="11"/>
        <v>#NUM!</v>
      </c>
      <c r="L174" s="156"/>
      <c r="M174" s="158">
        <f t="shared" si="12"/>
        <v>0</v>
      </c>
    </row>
    <row r="175" spans="1:13" x14ac:dyDescent="0.25">
      <c r="A175" s="172"/>
      <c r="G175" s="142"/>
      <c r="H175" s="156">
        <v>170</v>
      </c>
      <c r="I175" s="157" t="str">
        <f t="shared" si="13"/>
        <v/>
      </c>
      <c r="J175" s="156" t="e">
        <f t="shared" si="14"/>
        <v>#NUM!</v>
      </c>
      <c r="K175" s="156" t="e">
        <f t="shared" si="11"/>
        <v>#NUM!</v>
      </c>
      <c r="L175" s="156"/>
      <c r="M175" s="158">
        <f t="shared" si="12"/>
        <v>0</v>
      </c>
    </row>
    <row r="176" spans="1:13" x14ac:dyDescent="0.25">
      <c r="A176" s="172"/>
      <c r="G176" s="142"/>
      <c r="H176" s="156">
        <v>171</v>
      </c>
      <c r="I176" s="157" t="str">
        <f t="shared" si="13"/>
        <v/>
      </c>
      <c r="J176" s="156" t="e">
        <f t="shared" si="14"/>
        <v>#NUM!</v>
      </c>
      <c r="K176" s="156" t="e">
        <f t="shared" si="11"/>
        <v>#NUM!</v>
      </c>
      <c r="L176" s="156"/>
      <c r="M176" s="158">
        <f t="shared" si="12"/>
        <v>0</v>
      </c>
    </row>
    <row r="177" spans="1:13" x14ac:dyDescent="0.25">
      <c r="A177" s="172"/>
      <c r="G177" s="142"/>
      <c r="H177" s="156">
        <v>172</v>
      </c>
      <c r="I177" s="157" t="str">
        <f t="shared" si="13"/>
        <v/>
      </c>
      <c r="J177" s="156" t="e">
        <f t="shared" si="14"/>
        <v>#NUM!</v>
      </c>
      <c r="K177" s="156" t="e">
        <f t="shared" si="11"/>
        <v>#NUM!</v>
      </c>
      <c r="L177" s="156"/>
      <c r="M177" s="158">
        <f t="shared" si="12"/>
        <v>0</v>
      </c>
    </row>
    <row r="178" spans="1:13" x14ac:dyDescent="0.25">
      <c r="A178" s="172"/>
      <c r="G178" s="142"/>
      <c r="H178" s="156">
        <v>173</v>
      </c>
      <c r="I178" s="157" t="str">
        <f t="shared" si="13"/>
        <v/>
      </c>
      <c r="J178" s="156" t="e">
        <f t="shared" si="14"/>
        <v>#NUM!</v>
      </c>
      <c r="K178" s="156" t="e">
        <f t="shared" si="11"/>
        <v>#NUM!</v>
      </c>
      <c r="L178" s="156"/>
      <c r="M178" s="158">
        <f t="shared" si="12"/>
        <v>0</v>
      </c>
    </row>
    <row r="179" spans="1:13" x14ac:dyDescent="0.25">
      <c r="A179" s="172"/>
      <c r="G179" s="142"/>
      <c r="H179" s="156">
        <v>174</v>
      </c>
      <c r="I179" s="157" t="str">
        <f t="shared" si="13"/>
        <v/>
      </c>
      <c r="J179" s="156" t="e">
        <f t="shared" si="14"/>
        <v>#NUM!</v>
      </c>
      <c r="K179" s="156" t="e">
        <f t="shared" si="11"/>
        <v>#NUM!</v>
      </c>
      <c r="L179" s="156"/>
      <c r="M179" s="158">
        <f t="shared" si="12"/>
        <v>0</v>
      </c>
    </row>
    <row r="180" spans="1:13" x14ac:dyDescent="0.25">
      <c r="A180" s="172"/>
      <c r="G180" s="142"/>
      <c r="H180" s="156">
        <v>175</v>
      </c>
      <c r="I180" s="157" t="str">
        <f t="shared" si="13"/>
        <v/>
      </c>
      <c r="J180" s="156" t="e">
        <f t="shared" si="14"/>
        <v>#NUM!</v>
      </c>
      <c r="K180" s="156" t="e">
        <f t="shared" si="11"/>
        <v>#NUM!</v>
      </c>
      <c r="L180" s="156"/>
      <c r="M180" s="158">
        <f t="shared" si="12"/>
        <v>0</v>
      </c>
    </row>
    <row r="181" spans="1:13" x14ac:dyDescent="0.25">
      <c r="A181" s="172"/>
      <c r="G181" s="142"/>
      <c r="H181" s="156">
        <v>176</v>
      </c>
      <c r="I181" s="157" t="str">
        <f t="shared" si="13"/>
        <v/>
      </c>
      <c r="J181" s="156" t="e">
        <f t="shared" si="14"/>
        <v>#NUM!</v>
      </c>
      <c r="K181" s="156" t="e">
        <f t="shared" si="11"/>
        <v>#NUM!</v>
      </c>
      <c r="L181" s="156"/>
      <c r="M181" s="158">
        <f t="shared" si="12"/>
        <v>0</v>
      </c>
    </row>
    <row r="182" spans="1:13" x14ac:dyDescent="0.25">
      <c r="A182" s="172"/>
      <c r="G182" s="142"/>
      <c r="H182" s="156">
        <v>177</v>
      </c>
      <c r="I182" s="157" t="str">
        <f t="shared" si="13"/>
        <v/>
      </c>
      <c r="J182" s="156" t="e">
        <f t="shared" si="14"/>
        <v>#NUM!</v>
      </c>
      <c r="K182" s="156" t="e">
        <f t="shared" si="11"/>
        <v>#NUM!</v>
      </c>
      <c r="L182" s="156"/>
      <c r="M182" s="158">
        <f t="shared" si="12"/>
        <v>0</v>
      </c>
    </row>
    <row r="183" spans="1:13" x14ac:dyDescent="0.25">
      <c r="A183" s="172"/>
      <c r="G183" s="142"/>
      <c r="H183" s="156">
        <v>178</v>
      </c>
      <c r="I183" s="157" t="str">
        <f t="shared" si="13"/>
        <v/>
      </c>
      <c r="J183" s="156" t="e">
        <f t="shared" si="14"/>
        <v>#NUM!</v>
      </c>
      <c r="K183" s="156" t="e">
        <f t="shared" si="11"/>
        <v>#NUM!</v>
      </c>
      <c r="L183" s="156"/>
      <c r="M183" s="158">
        <f t="shared" si="12"/>
        <v>0</v>
      </c>
    </row>
    <row r="184" spans="1:13" x14ac:dyDescent="0.25">
      <c r="A184" s="172"/>
      <c r="G184" s="142"/>
      <c r="H184" s="156">
        <v>179</v>
      </c>
      <c r="I184" s="157" t="str">
        <f t="shared" si="13"/>
        <v/>
      </c>
      <c r="J184" s="156" t="e">
        <f t="shared" si="14"/>
        <v>#NUM!</v>
      </c>
      <c r="K184" s="156" t="e">
        <f t="shared" si="11"/>
        <v>#NUM!</v>
      </c>
      <c r="L184" s="156"/>
      <c r="M184" s="158">
        <f t="shared" si="12"/>
        <v>0</v>
      </c>
    </row>
    <row r="185" spans="1:13" x14ac:dyDescent="0.25">
      <c r="A185" s="172"/>
      <c r="G185" s="142"/>
      <c r="H185" s="156">
        <v>180</v>
      </c>
      <c r="I185" s="157" t="str">
        <f t="shared" si="13"/>
        <v/>
      </c>
      <c r="J185" s="156" t="e">
        <f t="shared" si="14"/>
        <v>#NUM!</v>
      </c>
      <c r="K185" s="156" t="e">
        <f t="shared" si="11"/>
        <v>#NUM!</v>
      </c>
      <c r="L185" s="156"/>
      <c r="M185" s="158">
        <f t="shared" si="12"/>
        <v>0</v>
      </c>
    </row>
    <row r="186" spans="1:13" x14ac:dyDescent="0.25">
      <c r="A186" s="172"/>
      <c r="G186" s="142"/>
      <c r="H186" s="156">
        <v>181</v>
      </c>
      <c r="I186" s="157" t="str">
        <f t="shared" si="13"/>
        <v/>
      </c>
      <c r="J186" s="156" t="e">
        <f t="shared" si="14"/>
        <v>#NUM!</v>
      </c>
      <c r="K186" s="156" t="e">
        <f t="shared" si="11"/>
        <v>#NUM!</v>
      </c>
      <c r="L186" s="156"/>
      <c r="M186" s="158">
        <f t="shared" si="12"/>
        <v>0</v>
      </c>
    </row>
    <row r="187" spans="1:13" x14ac:dyDescent="0.25">
      <c r="A187" s="172"/>
      <c r="G187" s="142"/>
      <c r="H187" s="156">
        <v>182</v>
      </c>
      <c r="I187" s="157" t="str">
        <f t="shared" si="13"/>
        <v/>
      </c>
      <c r="J187" s="156" t="e">
        <f t="shared" si="14"/>
        <v>#NUM!</v>
      </c>
      <c r="K187" s="156" t="e">
        <f t="shared" si="11"/>
        <v>#NUM!</v>
      </c>
      <c r="L187" s="156"/>
      <c r="M187" s="158">
        <f t="shared" si="12"/>
        <v>0</v>
      </c>
    </row>
    <row r="188" spans="1:13" x14ac:dyDescent="0.25">
      <c r="A188" s="172"/>
      <c r="G188" s="142"/>
      <c r="H188" s="156">
        <v>183</v>
      </c>
      <c r="I188" s="157" t="str">
        <f t="shared" si="13"/>
        <v/>
      </c>
      <c r="J188" s="156" t="e">
        <f t="shared" si="14"/>
        <v>#NUM!</v>
      </c>
      <c r="K188" s="156" t="e">
        <f t="shared" si="11"/>
        <v>#NUM!</v>
      </c>
      <c r="L188" s="156"/>
      <c r="M188" s="158">
        <f t="shared" si="12"/>
        <v>0</v>
      </c>
    </row>
    <row r="189" spans="1:13" x14ac:dyDescent="0.25">
      <c r="A189" s="172"/>
      <c r="G189" s="142"/>
      <c r="H189" s="156">
        <v>184</v>
      </c>
      <c r="I189" s="157" t="str">
        <f t="shared" si="13"/>
        <v/>
      </c>
      <c r="J189" s="156" t="e">
        <f t="shared" si="14"/>
        <v>#NUM!</v>
      </c>
      <c r="K189" s="156" t="e">
        <f t="shared" si="11"/>
        <v>#NUM!</v>
      </c>
      <c r="L189" s="156"/>
      <c r="M189" s="158">
        <f t="shared" si="12"/>
        <v>0</v>
      </c>
    </row>
    <row r="190" spans="1:13" x14ac:dyDescent="0.25">
      <c r="A190" s="172"/>
      <c r="G190" s="142"/>
      <c r="H190" s="156">
        <v>185</v>
      </c>
      <c r="I190" s="157" t="str">
        <f t="shared" si="13"/>
        <v/>
      </c>
      <c r="J190" s="156" t="e">
        <f t="shared" si="14"/>
        <v>#NUM!</v>
      </c>
      <c r="K190" s="156" t="e">
        <f t="shared" si="11"/>
        <v>#NUM!</v>
      </c>
      <c r="L190" s="156"/>
      <c r="M190" s="158">
        <f t="shared" si="12"/>
        <v>0</v>
      </c>
    </row>
    <row r="191" spans="1:13" x14ac:dyDescent="0.25">
      <c r="A191" s="172"/>
      <c r="G191" s="142"/>
      <c r="H191" s="156">
        <v>186</v>
      </c>
      <c r="I191" s="157" t="str">
        <f t="shared" si="13"/>
        <v/>
      </c>
      <c r="J191" s="156" t="e">
        <f t="shared" si="14"/>
        <v>#NUM!</v>
      </c>
      <c r="K191" s="156" t="e">
        <f t="shared" si="11"/>
        <v>#NUM!</v>
      </c>
      <c r="L191" s="156"/>
      <c r="M191" s="158">
        <f t="shared" si="12"/>
        <v>0</v>
      </c>
    </row>
    <row r="192" spans="1:13" x14ac:dyDescent="0.25">
      <c r="A192" s="172"/>
      <c r="G192" s="142"/>
      <c r="H192" s="156">
        <v>187</v>
      </c>
      <c r="I192" s="157" t="str">
        <f t="shared" si="13"/>
        <v/>
      </c>
      <c r="J192" s="156" t="e">
        <f t="shared" si="14"/>
        <v>#NUM!</v>
      </c>
      <c r="K192" s="156" t="e">
        <f t="shared" si="11"/>
        <v>#NUM!</v>
      </c>
      <c r="L192" s="156"/>
      <c r="M192" s="158">
        <f t="shared" si="12"/>
        <v>0</v>
      </c>
    </row>
    <row r="193" spans="1:13" x14ac:dyDescent="0.25">
      <c r="A193" s="172"/>
      <c r="G193" s="142"/>
      <c r="H193" s="156">
        <v>188</v>
      </c>
      <c r="I193" s="157" t="str">
        <f t="shared" si="13"/>
        <v/>
      </c>
      <c r="J193" s="156" t="e">
        <f t="shared" si="14"/>
        <v>#NUM!</v>
      </c>
      <c r="K193" s="156" t="e">
        <f t="shared" si="11"/>
        <v>#NUM!</v>
      </c>
      <c r="L193" s="156"/>
      <c r="M193" s="158">
        <f t="shared" si="12"/>
        <v>0</v>
      </c>
    </row>
    <row r="194" spans="1:13" x14ac:dyDescent="0.25">
      <c r="A194" s="172"/>
      <c r="G194" s="142"/>
      <c r="H194" s="156">
        <v>189</v>
      </c>
      <c r="I194" s="157" t="str">
        <f t="shared" si="13"/>
        <v/>
      </c>
      <c r="J194" s="156" t="e">
        <f t="shared" si="14"/>
        <v>#NUM!</v>
      </c>
      <c r="K194" s="156" t="e">
        <f t="shared" si="11"/>
        <v>#NUM!</v>
      </c>
      <c r="L194" s="156"/>
      <c r="M194" s="158">
        <f t="shared" si="12"/>
        <v>0</v>
      </c>
    </row>
    <row r="195" spans="1:13" x14ac:dyDescent="0.25">
      <c r="A195" s="172"/>
      <c r="G195" s="142"/>
      <c r="H195" s="156">
        <v>190</v>
      </c>
      <c r="I195" s="157" t="str">
        <f t="shared" si="13"/>
        <v/>
      </c>
      <c r="J195" s="156" t="e">
        <f t="shared" si="14"/>
        <v>#NUM!</v>
      </c>
      <c r="K195" s="156" t="e">
        <f t="shared" si="11"/>
        <v>#NUM!</v>
      </c>
      <c r="L195" s="156"/>
      <c r="M195" s="158">
        <f t="shared" si="12"/>
        <v>0</v>
      </c>
    </row>
    <row r="196" spans="1:13" x14ac:dyDescent="0.25">
      <c r="A196" s="172"/>
      <c r="G196" s="142"/>
      <c r="H196" s="156">
        <v>191</v>
      </c>
      <c r="I196" s="157" t="str">
        <f t="shared" si="13"/>
        <v/>
      </c>
      <c r="J196" s="156" t="e">
        <f t="shared" si="14"/>
        <v>#NUM!</v>
      </c>
      <c r="K196" s="156" t="e">
        <f t="shared" si="11"/>
        <v>#NUM!</v>
      </c>
      <c r="L196" s="156"/>
      <c r="M196" s="158">
        <f t="shared" si="12"/>
        <v>0</v>
      </c>
    </row>
    <row r="197" spans="1:13" x14ac:dyDescent="0.25">
      <c r="A197" s="172"/>
      <c r="G197" s="142"/>
      <c r="H197" s="156">
        <v>192</v>
      </c>
      <c r="I197" s="157" t="str">
        <f t="shared" si="13"/>
        <v/>
      </c>
      <c r="J197" s="156" t="e">
        <f t="shared" si="14"/>
        <v>#NUM!</v>
      </c>
      <c r="K197" s="156" t="e">
        <f t="shared" si="11"/>
        <v>#NUM!</v>
      </c>
      <c r="L197" s="156"/>
      <c r="M197" s="158">
        <f t="shared" si="12"/>
        <v>0</v>
      </c>
    </row>
    <row r="198" spans="1:13" x14ac:dyDescent="0.25">
      <c r="A198" s="172"/>
      <c r="G198" s="142"/>
      <c r="H198" s="156">
        <v>193</v>
      </c>
      <c r="I198" s="157" t="str">
        <f t="shared" si="13"/>
        <v/>
      </c>
      <c r="J198" s="156" t="e">
        <f t="shared" si="14"/>
        <v>#NUM!</v>
      </c>
      <c r="K198" s="156" t="e">
        <f t="shared" ref="K198:K261" si="15">J198*$J$2</f>
        <v>#NUM!</v>
      </c>
      <c r="L198" s="156"/>
      <c r="M198" s="158">
        <f t="shared" ref="M198:M261" si="16">IF(I198&lt;&gt;"",K198+I198+L198,0)</f>
        <v>0</v>
      </c>
    </row>
    <row r="199" spans="1:13" x14ac:dyDescent="0.25">
      <c r="A199" s="172"/>
      <c r="G199" s="142"/>
      <c r="H199" s="156">
        <v>194</v>
      </c>
      <c r="I199" s="157" t="str">
        <f t="shared" ref="I199:I262" si="17">IF(H199&lt;$H$2+1,($I$2-($I$2-1)*(LOG(H199)/LOG($H$2))),"")</f>
        <v/>
      </c>
      <c r="J199" s="156" t="e">
        <f t="shared" ref="J199:J262" si="18">INT(LOG($H$2,2))-ROUNDUP(LOG(H199,2),0)+IF(OR($H$2=1,$H$2=2,$H$2=4,$H$2=8,$H$2=16,$H$2=32,$H$2=64,$H$2=128,$H$2=256),0,1)</f>
        <v>#NUM!</v>
      </c>
      <c r="K199" s="156" t="e">
        <f t="shared" si="15"/>
        <v>#NUM!</v>
      </c>
      <c r="L199" s="156"/>
      <c r="M199" s="158">
        <f t="shared" si="16"/>
        <v>0</v>
      </c>
    </row>
    <row r="200" spans="1:13" x14ac:dyDescent="0.25">
      <c r="A200" s="172"/>
      <c r="G200" s="142"/>
      <c r="H200" s="156">
        <v>195</v>
      </c>
      <c r="I200" s="157" t="str">
        <f t="shared" si="17"/>
        <v/>
      </c>
      <c r="J200" s="156" t="e">
        <f t="shared" si="18"/>
        <v>#NUM!</v>
      </c>
      <c r="K200" s="156" t="e">
        <f t="shared" si="15"/>
        <v>#NUM!</v>
      </c>
      <c r="L200" s="156"/>
      <c r="M200" s="158">
        <f t="shared" si="16"/>
        <v>0</v>
      </c>
    </row>
    <row r="201" spans="1:13" x14ac:dyDescent="0.25">
      <c r="A201" s="172"/>
      <c r="G201" s="142"/>
      <c r="H201" s="156">
        <v>196</v>
      </c>
      <c r="I201" s="157" t="str">
        <f t="shared" si="17"/>
        <v/>
      </c>
      <c r="J201" s="156" t="e">
        <f t="shared" si="18"/>
        <v>#NUM!</v>
      </c>
      <c r="K201" s="156" t="e">
        <f t="shared" si="15"/>
        <v>#NUM!</v>
      </c>
      <c r="L201" s="156"/>
      <c r="M201" s="158">
        <f t="shared" si="16"/>
        <v>0</v>
      </c>
    </row>
    <row r="202" spans="1:13" x14ac:dyDescent="0.25">
      <c r="A202" s="172"/>
      <c r="G202" s="142"/>
      <c r="H202" s="156">
        <v>197</v>
      </c>
      <c r="I202" s="157" t="str">
        <f t="shared" si="17"/>
        <v/>
      </c>
      <c r="J202" s="156" t="e">
        <f t="shared" si="18"/>
        <v>#NUM!</v>
      </c>
      <c r="K202" s="156" t="e">
        <f t="shared" si="15"/>
        <v>#NUM!</v>
      </c>
      <c r="L202" s="156"/>
      <c r="M202" s="158">
        <f t="shared" si="16"/>
        <v>0</v>
      </c>
    </row>
    <row r="203" spans="1:13" x14ac:dyDescent="0.25">
      <c r="A203" s="172"/>
      <c r="G203" s="142"/>
      <c r="H203" s="156">
        <v>198</v>
      </c>
      <c r="I203" s="157" t="str">
        <f t="shared" si="17"/>
        <v/>
      </c>
      <c r="J203" s="156" t="e">
        <f t="shared" si="18"/>
        <v>#NUM!</v>
      </c>
      <c r="K203" s="156" t="e">
        <f t="shared" si="15"/>
        <v>#NUM!</v>
      </c>
      <c r="L203" s="156"/>
      <c r="M203" s="158">
        <f t="shared" si="16"/>
        <v>0</v>
      </c>
    </row>
    <row r="204" spans="1:13" x14ac:dyDescent="0.25">
      <c r="A204" s="172"/>
      <c r="G204" s="142"/>
      <c r="H204" s="156">
        <v>199</v>
      </c>
      <c r="I204" s="157" t="str">
        <f t="shared" si="17"/>
        <v/>
      </c>
      <c r="J204" s="156" t="e">
        <f t="shared" si="18"/>
        <v>#NUM!</v>
      </c>
      <c r="K204" s="156" t="e">
        <f t="shared" si="15"/>
        <v>#NUM!</v>
      </c>
      <c r="L204" s="156"/>
      <c r="M204" s="158">
        <f t="shared" si="16"/>
        <v>0</v>
      </c>
    </row>
    <row r="205" spans="1:13" x14ac:dyDescent="0.25">
      <c r="A205" s="172"/>
      <c r="G205" s="142"/>
      <c r="H205" s="156">
        <v>200</v>
      </c>
      <c r="I205" s="157" t="str">
        <f t="shared" si="17"/>
        <v/>
      </c>
      <c r="J205" s="156" t="e">
        <f t="shared" si="18"/>
        <v>#NUM!</v>
      </c>
      <c r="K205" s="156" t="e">
        <f t="shared" si="15"/>
        <v>#NUM!</v>
      </c>
      <c r="L205" s="156"/>
      <c r="M205" s="158">
        <f t="shared" si="16"/>
        <v>0</v>
      </c>
    </row>
    <row r="206" spans="1:13" x14ac:dyDescent="0.25">
      <c r="A206" s="172"/>
      <c r="G206" s="142"/>
      <c r="H206" s="156">
        <v>201</v>
      </c>
      <c r="I206" s="157" t="str">
        <f t="shared" si="17"/>
        <v/>
      </c>
      <c r="J206" s="156" t="e">
        <f t="shared" si="18"/>
        <v>#NUM!</v>
      </c>
      <c r="K206" s="156" t="e">
        <f t="shared" si="15"/>
        <v>#NUM!</v>
      </c>
      <c r="L206" s="156"/>
      <c r="M206" s="158">
        <f t="shared" si="16"/>
        <v>0</v>
      </c>
    </row>
    <row r="207" spans="1:13" x14ac:dyDescent="0.25">
      <c r="A207" s="172"/>
      <c r="G207" s="142"/>
      <c r="H207" s="156">
        <v>202</v>
      </c>
      <c r="I207" s="157" t="str">
        <f t="shared" si="17"/>
        <v/>
      </c>
      <c r="J207" s="156" t="e">
        <f t="shared" si="18"/>
        <v>#NUM!</v>
      </c>
      <c r="K207" s="156" t="e">
        <f t="shared" si="15"/>
        <v>#NUM!</v>
      </c>
      <c r="L207" s="156"/>
      <c r="M207" s="158">
        <f t="shared" si="16"/>
        <v>0</v>
      </c>
    </row>
    <row r="208" spans="1:13" x14ac:dyDescent="0.25">
      <c r="A208" s="172"/>
      <c r="G208" s="142"/>
      <c r="H208" s="156">
        <v>203</v>
      </c>
      <c r="I208" s="157" t="str">
        <f t="shared" si="17"/>
        <v/>
      </c>
      <c r="J208" s="156" t="e">
        <f t="shared" si="18"/>
        <v>#NUM!</v>
      </c>
      <c r="K208" s="156" t="e">
        <f t="shared" si="15"/>
        <v>#NUM!</v>
      </c>
      <c r="L208" s="156"/>
      <c r="M208" s="158">
        <f t="shared" si="16"/>
        <v>0</v>
      </c>
    </row>
    <row r="209" spans="1:13" x14ac:dyDescent="0.25">
      <c r="A209" s="172"/>
      <c r="G209" s="142"/>
      <c r="H209" s="156">
        <v>204</v>
      </c>
      <c r="I209" s="157" t="str">
        <f t="shared" si="17"/>
        <v/>
      </c>
      <c r="J209" s="156" t="e">
        <f t="shared" si="18"/>
        <v>#NUM!</v>
      </c>
      <c r="K209" s="156" t="e">
        <f t="shared" si="15"/>
        <v>#NUM!</v>
      </c>
      <c r="L209" s="156"/>
      <c r="M209" s="158">
        <f t="shared" si="16"/>
        <v>0</v>
      </c>
    </row>
    <row r="210" spans="1:13" x14ac:dyDescent="0.25">
      <c r="A210" s="172"/>
      <c r="G210" s="142"/>
      <c r="H210" s="156">
        <v>205</v>
      </c>
      <c r="I210" s="157" t="str">
        <f t="shared" si="17"/>
        <v/>
      </c>
      <c r="J210" s="156" t="e">
        <f t="shared" si="18"/>
        <v>#NUM!</v>
      </c>
      <c r="K210" s="156" t="e">
        <f t="shared" si="15"/>
        <v>#NUM!</v>
      </c>
      <c r="L210" s="156"/>
      <c r="M210" s="158">
        <f t="shared" si="16"/>
        <v>0</v>
      </c>
    </row>
    <row r="211" spans="1:13" x14ac:dyDescent="0.25">
      <c r="A211" s="172"/>
      <c r="G211" s="142"/>
      <c r="H211" s="156">
        <v>206</v>
      </c>
      <c r="I211" s="157" t="str">
        <f t="shared" si="17"/>
        <v/>
      </c>
      <c r="J211" s="156" t="e">
        <f t="shared" si="18"/>
        <v>#NUM!</v>
      </c>
      <c r="K211" s="156" t="e">
        <f t="shared" si="15"/>
        <v>#NUM!</v>
      </c>
      <c r="L211" s="156"/>
      <c r="M211" s="158">
        <f t="shared" si="16"/>
        <v>0</v>
      </c>
    </row>
    <row r="212" spans="1:13" x14ac:dyDescent="0.25">
      <c r="A212" s="172"/>
      <c r="G212" s="142"/>
      <c r="H212" s="156">
        <v>207</v>
      </c>
      <c r="I212" s="157" t="str">
        <f t="shared" si="17"/>
        <v/>
      </c>
      <c r="J212" s="156" t="e">
        <f t="shared" si="18"/>
        <v>#NUM!</v>
      </c>
      <c r="K212" s="156" t="e">
        <f t="shared" si="15"/>
        <v>#NUM!</v>
      </c>
      <c r="L212" s="156"/>
      <c r="M212" s="158">
        <f t="shared" si="16"/>
        <v>0</v>
      </c>
    </row>
    <row r="213" spans="1:13" x14ac:dyDescent="0.25">
      <c r="A213" s="172"/>
      <c r="G213" s="142"/>
      <c r="H213" s="156">
        <v>208</v>
      </c>
      <c r="I213" s="157" t="str">
        <f t="shared" si="17"/>
        <v/>
      </c>
      <c r="J213" s="156" t="e">
        <f t="shared" si="18"/>
        <v>#NUM!</v>
      </c>
      <c r="K213" s="156" t="e">
        <f t="shared" si="15"/>
        <v>#NUM!</v>
      </c>
      <c r="L213" s="156"/>
      <c r="M213" s="158">
        <f t="shared" si="16"/>
        <v>0</v>
      </c>
    </row>
    <row r="214" spans="1:13" x14ac:dyDescent="0.25">
      <c r="A214" s="172"/>
      <c r="G214" s="142"/>
      <c r="H214" s="156">
        <v>209</v>
      </c>
      <c r="I214" s="157" t="str">
        <f t="shared" si="17"/>
        <v/>
      </c>
      <c r="J214" s="156" t="e">
        <f t="shared" si="18"/>
        <v>#NUM!</v>
      </c>
      <c r="K214" s="156" t="e">
        <f t="shared" si="15"/>
        <v>#NUM!</v>
      </c>
      <c r="L214" s="156"/>
      <c r="M214" s="158">
        <f t="shared" si="16"/>
        <v>0</v>
      </c>
    </row>
    <row r="215" spans="1:13" x14ac:dyDescent="0.25">
      <c r="A215" s="172"/>
      <c r="G215" s="142"/>
      <c r="H215" s="156">
        <v>210</v>
      </c>
      <c r="I215" s="157" t="str">
        <f t="shared" si="17"/>
        <v/>
      </c>
      <c r="J215" s="156" t="e">
        <f t="shared" si="18"/>
        <v>#NUM!</v>
      </c>
      <c r="K215" s="156" t="e">
        <f t="shared" si="15"/>
        <v>#NUM!</v>
      </c>
      <c r="L215" s="156"/>
      <c r="M215" s="158">
        <f t="shared" si="16"/>
        <v>0</v>
      </c>
    </row>
    <row r="216" spans="1:13" x14ac:dyDescent="0.25">
      <c r="A216" s="172"/>
      <c r="G216" s="142"/>
      <c r="H216" s="156">
        <v>211</v>
      </c>
      <c r="I216" s="157" t="str">
        <f t="shared" si="17"/>
        <v/>
      </c>
      <c r="J216" s="156" t="e">
        <f t="shared" si="18"/>
        <v>#NUM!</v>
      </c>
      <c r="K216" s="156" t="e">
        <f t="shared" si="15"/>
        <v>#NUM!</v>
      </c>
      <c r="L216" s="156"/>
      <c r="M216" s="158">
        <f t="shared" si="16"/>
        <v>0</v>
      </c>
    </row>
    <row r="217" spans="1:13" x14ac:dyDescent="0.25">
      <c r="A217" s="172"/>
      <c r="G217" s="142"/>
      <c r="H217" s="156">
        <v>212</v>
      </c>
      <c r="I217" s="157" t="str">
        <f t="shared" si="17"/>
        <v/>
      </c>
      <c r="J217" s="156" t="e">
        <f t="shared" si="18"/>
        <v>#NUM!</v>
      </c>
      <c r="K217" s="156" t="e">
        <f t="shared" si="15"/>
        <v>#NUM!</v>
      </c>
      <c r="L217" s="156"/>
      <c r="M217" s="158">
        <f t="shared" si="16"/>
        <v>0</v>
      </c>
    </row>
    <row r="218" spans="1:13" x14ac:dyDescent="0.25">
      <c r="A218" s="172"/>
      <c r="G218" s="142"/>
      <c r="H218" s="156">
        <v>213</v>
      </c>
      <c r="I218" s="157" t="str">
        <f t="shared" si="17"/>
        <v/>
      </c>
      <c r="J218" s="156" t="e">
        <f t="shared" si="18"/>
        <v>#NUM!</v>
      </c>
      <c r="K218" s="156" t="e">
        <f t="shared" si="15"/>
        <v>#NUM!</v>
      </c>
      <c r="L218" s="156"/>
      <c r="M218" s="158">
        <f t="shared" si="16"/>
        <v>0</v>
      </c>
    </row>
    <row r="219" spans="1:13" x14ac:dyDescent="0.25">
      <c r="A219" s="172"/>
      <c r="G219" s="142"/>
      <c r="H219" s="156">
        <v>214</v>
      </c>
      <c r="I219" s="157" t="str">
        <f t="shared" si="17"/>
        <v/>
      </c>
      <c r="J219" s="156" t="e">
        <f t="shared" si="18"/>
        <v>#NUM!</v>
      </c>
      <c r="K219" s="156" t="e">
        <f t="shared" si="15"/>
        <v>#NUM!</v>
      </c>
      <c r="L219" s="156"/>
      <c r="M219" s="158">
        <f t="shared" si="16"/>
        <v>0</v>
      </c>
    </row>
    <row r="220" spans="1:13" x14ac:dyDescent="0.25">
      <c r="A220" s="172"/>
      <c r="G220" s="142"/>
      <c r="H220" s="156">
        <v>215</v>
      </c>
      <c r="I220" s="157" t="str">
        <f t="shared" si="17"/>
        <v/>
      </c>
      <c r="J220" s="156" t="e">
        <f t="shared" si="18"/>
        <v>#NUM!</v>
      </c>
      <c r="K220" s="156" t="e">
        <f t="shared" si="15"/>
        <v>#NUM!</v>
      </c>
      <c r="L220" s="156"/>
      <c r="M220" s="158">
        <f t="shared" si="16"/>
        <v>0</v>
      </c>
    </row>
    <row r="221" spans="1:13" x14ac:dyDescent="0.25">
      <c r="A221" s="172"/>
      <c r="G221" s="142"/>
      <c r="H221" s="156">
        <v>216</v>
      </c>
      <c r="I221" s="157" t="str">
        <f t="shared" si="17"/>
        <v/>
      </c>
      <c r="J221" s="156" t="e">
        <f t="shared" si="18"/>
        <v>#NUM!</v>
      </c>
      <c r="K221" s="156" t="e">
        <f t="shared" si="15"/>
        <v>#NUM!</v>
      </c>
      <c r="L221" s="156"/>
      <c r="M221" s="158">
        <f t="shared" si="16"/>
        <v>0</v>
      </c>
    </row>
    <row r="222" spans="1:13" x14ac:dyDescent="0.25">
      <c r="A222" s="172"/>
      <c r="G222" s="142"/>
      <c r="H222" s="156">
        <v>217</v>
      </c>
      <c r="I222" s="157" t="str">
        <f t="shared" si="17"/>
        <v/>
      </c>
      <c r="J222" s="156" t="e">
        <f t="shared" si="18"/>
        <v>#NUM!</v>
      </c>
      <c r="K222" s="156" t="e">
        <f t="shared" si="15"/>
        <v>#NUM!</v>
      </c>
      <c r="L222" s="156"/>
      <c r="M222" s="158">
        <f t="shared" si="16"/>
        <v>0</v>
      </c>
    </row>
    <row r="223" spans="1:13" x14ac:dyDescent="0.25">
      <c r="A223" s="172"/>
      <c r="G223" s="142"/>
      <c r="H223" s="156">
        <v>218</v>
      </c>
      <c r="I223" s="157" t="str">
        <f t="shared" si="17"/>
        <v/>
      </c>
      <c r="J223" s="156" t="e">
        <f t="shared" si="18"/>
        <v>#NUM!</v>
      </c>
      <c r="K223" s="156" t="e">
        <f t="shared" si="15"/>
        <v>#NUM!</v>
      </c>
      <c r="L223" s="156"/>
      <c r="M223" s="158">
        <f t="shared" si="16"/>
        <v>0</v>
      </c>
    </row>
    <row r="224" spans="1:13" x14ac:dyDescent="0.25">
      <c r="A224" s="172"/>
      <c r="G224" s="142"/>
      <c r="H224" s="156">
        <v>219</v>
      </c>
      <c r="I224" s="157" t="str">
        <f t="shared" si="17"/>
        <v/>
      </c>
      <c r="J224" s="156" t="e">
        <f t="shared" si="18"/>
        <v>#NUM!</v>
      </c>
      <c r="K224" s="156" t="e">
        <f t="shared" si="15"/>
        <v>#NUM!</v>
      </c>
      <c r="L224" s="156"/>
      <c r="M224" s="158">
        <f t="shared" si="16"/>
        <v>0</v>
      </c>
    </row>
    <row r="225" spans="1:13" x14ac:dyDescent="0.25">
      <c r="A225" s="172"/>
      <c r="G225" s="142"/>
      <c r="H225" s="156">
        <v>220</v>
      </c>
      <c r="I225" s="157" t="str">
        <f t="shared" si="17"/>
        <v/>
      </c>
      <c r="J225" s="156" t="e">
        <f t="shared" si="18"/>
        <v>#NUM!</v>
      </c>
      <c r="K225" s="156" t="e">
        <f t="shared" si="15"/>
        <v>#NUM!</v>
      </c>
      <c r="L225" s="156"/>
      <c r="M225" s="158">
        <f t="shared" si="16"/>
        <v>0</v>
      </c>
    </row>
    <row r="226" spans="1:13" x14ac:dyDescent="0.25">
      <c r="A226" s="172"/>
      <c r="G226" s="142"/>
      <c r="H226" s="156">
        <v>221</v>
      </c>
      <c r="I226" s="157" t="str">
        <f t="shared" si="17"/>
        <v/>
      </c>
      <c r="J226" s="156" t="e">
        <f t="shared" si="18"/>
        <v>#NUM!</v>
      </c>
      <c r="K226" s="156" t="e">
        <f t="shared" si="15"/>
        <v>#NUM!</v>
      </c>
      <c r="L226" s="156"/>
      <c r="M226" s="158">
        <f t="shared" si="16"/>
        <v>0</v>
      </c>
    </row>
    <row r="227" spans="1:13" x14ac:dyDescent="0.25">
      <c r="A227" s="172"/>
      <c r="G227" s="142"/>
      <c r="H227" s="156">
        <v>222</v>
      </c>
      <c r="I227" s="157" t="str">
        <f t="shared" si="17"/>
        <v/>
      </c>
      <c r="J227" s="156" t="e">
        <f t="shared" si="18"/>
        <v>#NUM!</v>
      </c>
      <c r="K227" s="156" t="e">
        <f t="shared" si="15"/>
        <v>#NUM!</v>
      </c>
      <c r="L227" s="156"/>
      <c r="M227" s="158">
        <f t="shared" si="16"/>
        <v>0</v>
      </c>
    </row>
    <row r="228" spans="1:13" x14ac:dyDescent="0.25">
      <c r="A228" s="172"/>
      <c r="G228" s="142"/>
      <c r="H228" s="156">
        <v>223</v>
      </c>
      <c r="I228" s="157" t="str">
        <f t="shared" si="17"/>
        <v/>
      </c>
      <c r="J228" s="156" t="e">
        <f t="shared" si="18"/>
        <v>#NUM!</v>
      </c>
      <c r="K228" s="156" t="e">
        <f t="shared" si="15"/>
        <v>#NUM!</v>
      </c>
      <c r="L228" s="156"/>
      <c r="M228" s="158">
        <f t="shared" si="16"/>
        <v>0</v>
      </c>
    </row>
    <row r="229" spans="1:13" x14ac:dyDescent="0.25">
      <c r="A229" s="172"/>
      <c r="G229" s="142"/>
      <c r="H229" s="156">
        <v>224</v>
      </c>
      <c r="I229" s="157" t="str">
        <f t="shared" si="17"/>
        <v/>
      </c>
      <c r="J229" s="156" t="e">
        <f t="shared" si="18"/>
        <v>#NUM!</v>
      </c>
      <c r="K229" s="156" t="e">
        <f t="shared" si="15"/>
        <v>#NUM!</v>
      </c>
      <c r="L229" s="156"/>
      <c r="M229" s="158">
        <f t="shared" si="16"/>
        <v>0</v>
      </c>
    </row>
    <row r="230" spans="1:13" x14ac:dyDescent="0.25">
      <c r="A230" s="172"/>
      <c r="G230" s="142"/>
      <c r="H230" s="156">
        <v>225</v>
      </c>
      <c r="I230" s="157" t="str">
        <f t="shared" si="17"/>
        <v/>
      </c>
      <c r="J230" s="156" t="e">
        <f t="shared" si="18"/>
        <v>#NUM!</v>
      </c>
      <c r="K230" s="156" t="e">
        <f t="shared" si="15"/>
        <v>#NUM!</v>
      </c>
      <c r="L230" s="156"/>
      <c r="M230" s="158">
        <f t="shared" si="16"/>
        <v>0</v>
      </c>
    </row>
    <row r="231" spans="1:13" x14ac:dyDescent="0.25">
      <c r="A231" s="172"/>
      <c r="G231" s="142"/>
      <c r="H231" s="156">
        <v>226</v>
      </c>
      <c r="I231" s="157" t="str">
        <f t="shared" si="17"/>
        <v/>
      </c>
      <c r="J231" s="156" t="e">
        <f t="shared" si="18"/>
        <v>#NUM!</v>
      </c>
      <c r="K231" s="156" t="e">
        <f t="shared" si="15"/>
        <v>#NUM!</v>
      </c>
      <c r="L231" s="156"/>
      <c r="M231" s="158">
        <f t="shared" si="16"/>
        <v>0</v>
      </c>
    </row>
    <row r="232" spans="1:13" x14ac:dyDescent="0.25">
      <c r="A232" s="172"/>
      <c r="G232" s="142"/>
      <c r="H232" s="156">
        <v>227</v>
      </c>
      <c r="I232" s="157" t="str">
        <f t="shared" si="17"/>
        <v/>
      </c>
      <c r="J232" s="156" t="e">
        <f t="shared" si="18"/>
        <v>#NUM!</v>
      </c>
      <c r="K232" s="156" t="e">
        <f t="shared" si="15"/>
        <v>#NUM!</v>
      </c>
      <c r="L232" s="156"/>
      <c r="M232" s="158">
        <f t="shared" si="16"/>
        <v>0</v>
      </c>
    </row>
    <row r="233" spans="1:13" x14ac:dyDescent="0.25">
      <c r="A233" s="172"/>
      <c r="G233" s="142"/>
      <c r="H233" s="156">
        <v>228</v>
      </c>
      <c r="I233" s="157" t="str">
        <f t="shared" si="17"/>
        <v/>
      </c>
      <c r="J233" s="156" t="e">
        <f t="shared" si="18"/>
        <v>#NUM!</v>
      </c>
      <c r="K233" s="156" t="e">
        <f t="shared" si="15"/>
        <v>#NUM!</v>
      </c>
      <c r="L233" s="156"/>
      <c r="M233" s="158">
        <f t="shared" si="16"/>
        <v>0</v>
      </c>
    </row>
    <row r="234" spans="1:13" x14ac:dyDescent="0.25">
      <c r="A234" s="172"/>
      <c r="G234" s="142"/>
      <c r="H234" s="156">
        <v>229</v>
      </c>
      <c r="I234" s="157" t="str">
        <f t="shared" si="17"/>
        <v/>
      </c>
      <c r="J234" s="156" t="e">
        <f t="shared" si="18"/>
        <v>#NUM!</v>
      </c>
      <c r="K234" s="156" t="e">
        <f t="shared" si="15"/>
        <v>#NUM!</v>
      </c>
      <c r="L234" s="156"/>
      <c r="M234" s="158">
        <f t="shared" si="16"/>
        <v>0</v>
      </c>
    </row>
    <row r="235" spans="1:13" x14ac:dyDescent="0.25">
      <c r="A235" s="172"/>
      <c r="G235" s="142"/>
      <c r="H235" s="156">
        <v>230</v>
      </c>
      <c r="I235" s="157" t="str">
        <f t="shared" si="17"/>
        <v/>
      </c>
      <c r="J235" s="156" t="e">
        <f t="shared" si="18"/>
        <v>#NUM!</v>
      </c>
      <c r="K235" s="156" t="e">
        <f t="shared" si="15"/>
        <v>#NUM!</v>
      </c>
      <c r="L235" s="156"/>
      <c r="M235" s="158">
        <f t="shared" si="16"/>
        <v>0</v>
      </c>
    </row>
    <row r="236" spans="1:13" x14ac:dyDescent="0.25">
      <c r="A236" s="172"/>
      <c r="G236" s="142"/>
      <c r="H236" s="156">
        <v>231</v>
      </c>
      <c r="I236" s="157" t="str">
        <f t="shared" si="17"/>
        <v/>
      </c>
      <c r="J236" s="156" t="e">
        <f t="shared" si="18"/>
        <v>#NUM!</v>
      </c>
      <c r="K236" s="156" t="e">
        <f t="shared" si="15"/>
        <v>#NUM!</v>
      </c>
      <c r="L236" s="156"/>
      <c r="M236" s="158">
        <f t="shared" si="16"/>
        <v>0</v>
      </c>
    </row>
    <row r="237" spans="1:13" x14ac:dyDescent="0.25">
      <c r="A237" s="172"/>
      <c r="G237" s="142"/>
      <c r="H237" s="156">
        <v>232</v>
      </c>
      <c r="I237" s="157" t="str">
        <f t="shared" si="17"/>
        <v/>
      </c>
      <c r="J237" s="156" t="e">
        <f t="shared" si="18"/>
        <v>#NUM!</v>
      </c>
      <c r="K237" s="156" t="e">
        <f t="shared" si="15"/>
        <v>#NUM!</v>
      </c>
      <c r="L237" s="156"/>
      <c r="M237" s="158">
        <f t="shared" si="16"/>
        <v>0</v>
      </c>
    </row>
    <row r="238" spans="1:13" x14ac:dyDescent="0.25">
      <c r="A238" s="172"/>
      <c r="G238" s="142"/>
      <c r="H238" s="156">
        <v>233</v>
      </c>
      <c r="I238" s="157" t="str">
        <f t="shared" si="17"/>
        <v/>
      </c>
      <c r="J238" s="156" t="e">
        <f t="shared" si="18"/>
        <v>#NUM!</v>
      </c>
      <c r="K238" s="156" t="e">
        <f t="shared" si="15"/>
        <v>#NUM!</v>
      </c>
      <c r="L238" s="156"/>
      <c r="M238" s="158">
        <f t="shared" si="16"/>
        <v>0</v>
      </c>
    </row>
    <row r="239" spans="1:13" x14ac:dyDescent="0.25">
      <c r="A239" s="172"/>
      <c r="G239" s="142"/>
      <c r="H239" s="156">
        <v>234</v>
      </c>
      <c r="I239" s="157" t="str">
        <f t="shared" si="17"/>
        <v/>
      </c>
      <c r="J239" s="156" t="e">
        <f t="shared" si="18"/>
        <v>#NUM!</v>
      </c>
      <c r="K239" s="156" t="e">
        <f t="shared" si="15"/>
        <v>#NUM!</v>
      </c>
      <c r="L239" s="156"/>
      <c r="M239" s="158">
        <f t="shared" si="16"/>
        <v>0</v>
      </c>
    </row>
    <row r="240" spans="1:13" x14ac:dyDescent="0.25">
      <c r="A240" s="172"/>
      <c r="G240" s="142"/>
      <c r="H240" s="156">
        <v>235</v>
      </c>
      <c r="I240" s="157" t="str">
        <f t="shared" si="17"/>
        <v/>
      </c>
      <c r="J240" s="156" t="e">
        <f t="shared" si="18"/>
        <v>#NUM!</v>
      </c>
      <c r="K240" s="156" t="e">
        <f t="shared" si="15"/>
        <v>#NUM!</v>
      </c>
      <c r="L240" s="156"/>
      <c r="M240" s="158">
        <f t="shared" si="16"/>
        <v>0</v>
      </c>
    </row>
    <row r="241" spans="1:13" x14ac:dyDescent="0.25">
      <c r="A241" s="172"/>
      <c r="G241" s="142"/>
      <c r="H241" s="156">
        <v>236</v>
      </c>
      <c r="I241" s="157" t="str">
        <f t="shared" si="17"/>
        <v/>
      </c>
      <c r="J241" s="156" t="e">
        <f t="shared" si="18"/>
        <v>#NUM!</v>
      </c>
      <c r="K241" s="156" t="e">
        <f t="shared" si="15"/>
        <v>#NUM!</v>
      </c>
      <c r="L241" s="156"/>
      <c r="M241" s="158">
        <f t="shared" si="16"/>
        <v>0</v>
      </c>
    </row>
    <row r="242" spans="1:13" x14ac:dyDescent="0.25">
      <c r="A242" s="172"/>
      <c r="G242" s="142"/>
      <c r="H242" s="156">
        <v>237</v>
      </c>
      <c r="I242" s="157" t="str">
        <f t="shared" si="17"/>
        <v/>
      </c>
      <c r="J242" s="156" t="e">
        <f t="shared" si="18"/>
        <v>#NUM!</v>
      </c>
      <c r="K242" s="156" t="e">
        <f t="shared" si="15"/>
        <v>#NUM!</v>
      </c>
      <c r="L242" s="156"/>
      <c r="M242" s="158">
        <f t="shared" si="16"/>
        <v>0</v>
      </c>
    </row>
    <row r="243" spans="1:13" x14ac:dyDescent="0.25">
      <c r="A243" s="172"/>
      <c r="G243" s="142"/>
      <c r="H243" s="156">
        <v>238</v>
      </c>
      <c r="I243" s="157" t="str">
        <f t="shared" si="17"/>
        <v/>
      </c>
      <c r="J243" s="156" t="e">
        <f t="shared" si="18"/>
        <v>#NUM!</v>
      </c>
      <c r="K243" s="156" t="e">
        <f t="shared" si="15"/>
        <v>#NUM!</v>
      </c>
      <c r="L243" s="156"/>
      <c r="M243" s="158">
        <f t="shared" si="16"/>
        <v>0</v>
      </c>
    </row>
    <row r="244" spans="1:13" x14ac:dyDescent="0.25">
      <c r="A244" s="172"/>
      <c r="G244" s="142"/>
      <c r="H244" s="156">
        <v>239</v>
      </c>
      <c r="I244" s="157" t="str">
        <f t="shared" si="17"/>
        <v/>
      </c>
      <c r="J244" s="156" t="e">
        <f t="shared" si="18"/>
        <v>#NUM!</v>
      </c>
      <c r="K244" s="156" t="e">
        <f t="shared" si="15"/>
        <v>#NUM!</v>
      </c>
      <c r="L244" s="156"/>
      <c r="M244" s="158">
        <f t="shared" si="16"/>
        <v>0</v>
      </c>
    </row>
    <row r="245" spans="1:13" x14ac:dyDescent="0.25">
      <c r="A245" s="172"/>
      <c r="G245" s="142"/>
      <c r="H245" s="156">
        <v>240</v>
      </c>
      <c r="I245" s="157" t="str">
        <f t="shared" si="17"/>
        <v/>
      </c>
      <c r="J245" s="156" t="e">
        <f t="shared" si="18"/>
        <v>#NUM!</v>
      </c>
      <c r="K245" s="156" t="e">
        <f t="shared" si="15"/>
        <v>#NUM!</v>
      </c>
      <c r="L245" s="156"/>
      <c r="M245" s="158">
        <f t="shared" si="16"/>
        <v>0</v>
      </c>
    </row>
    <row r="246" spans="1:13" x14ac:dyDescent="0.25">
      <c r="A246" s="172"/>
      <c r="G246" s="142"/>
      <c r="H246" s="156">
        <v>241</v>
      </c>
      <c r="I246" s="157" t="str">
        <f t="shared" si="17"/>
        <v/>
      </c>
      <c r="J246" s="156" t="e">
        <f t="shared" si="18"/>
        <v>#NUM!</v>
      </c>
      <c r="K246" s="156" t="e">
        <f t="shared" si="15"/>
        <v>#NUM!</v>
      </c>
      <c r="L246" s="156"/>
      <c r="M246" s="158">
        <f t="shared" si="16"/>
        <v>0</v>
      </c>
    </row>
    <row r="247" spans="1:13" x14ac:dyDescent="0.25">
      <c r="A247" s="172"/>
      <c r="G247" s="142"/>
      <c r="H247" s="156">
        <v>242</v>
      </c>
      <c r="I247" s="157" t="str">
        <f t="shared" si="17"/>
        <v/>
      </c>
      <c r="J247" s="156" t="e">
        <f t="shared" si="18"/>
        <v>#NUM!</v>
      </c>
      <c r="K247" s="156" t="e">
        <f t="shared" si="15"/>
        <v>#NUM!</v>
      </c>
      <c r="L247" s="156"/>
      <c r="M247" s="158">
        <f t="shared" si="16"/>
        <v>0</v>
      </c>
    </row>
    <row r="248" spans="1:13" x14ac:dyDescent="0.25">
      <c r="A248" s="172"/>
      <c r="G248" s="142"/>
      <c r="H248" s="156">
        <v>243</v>
      </c>
      <c r="I248" s="157" t="str">
        <f t="shared" si="17"/>
        <v/>
      </c>
      <c r="J248" s="156" t="e">
        <f t="shared" si="18"/>
        <v>#NUM!</v>
      </c>
      <c r="K248" s="156" t="e">
        <f t="shared" si="15"/>
        <v>#NUM!</v>
      </c>
      <c r="L248" s="156"/>
      <c r="M248" s="158">
        <f t="shared" si="16"/>
        <v>0</v>
      </c>
    </row>
    <row r="249" spans="1:13" x14ac:dyDescent="0.25">
      <c r="A249" s="172"/>
      <c r="G249" s="142"/>
      <c r="H249" s="156">
        <v>244</v>
      </c>
      <c r="I249" s="157" t="str">
        <f t="shared" si="17"/>
        <v/>
      </c>
      <c r="J249" s="156" t="e">
        <f t="shared" si="18"/>
        <v>#NUM!</v>
      </c>
      <c r="K249" s="156" t="e">
        <f t="shared" si="15"/>
        <v>#NUM!</v>
      </c>
      <c r="L249" s="156"/>
      <c r="M249" s="158">
        <f t="shared" si="16"/>
        <v>0</v>
      </c>
    </row>
    <row r="250" spans="1:13" x14ac:dyDescent="0.25">
      <c r="A250" s="172"/>
      <c r="G250" s="142"/>
      <c r="H250" s="156">
        <v>245</v>
      </c>
      <c r="I250" s="157" t="str">
        <f t="shared" si="17"/>
        <v/>
      </c>
      <c r="J250" s="156" t="e">
        <f t="shared" si="18"/>
        <v>#NUM!</v>
      </c>
      <c r="K250" s="156" t="e">
        <f t="shared" si="15"/>
        <v>#NUM!</v>
      </c>
      <c r="L250" s="156"/>
      <c r="M250" s="158">
        <f t="shared" si="16"/>
        <v>0</v>
      </c>
    </row>
    <row r="251" spans="1:13" x14ac:dyDescent="0.25">
      <c r="A251" s="172"/>
      <c r="G251" s="142"/>
      <c r="H251" s="156">
        <v>246</v>
      </c>
      <c r="I251" s="157" t="str">
        <f t="shared" si="17"/>
        <v/>
      </c>
      <c r="J251" s="156" t="e">
        <f t="shared" si="18"/>
        <v>#NUM!</v>
      </c>
      <c r="K251" s="156" t="e">
        <f t="shared" si="15"/>
        <v>#NUM!</v>
      </c>
      <c r="L251" s="156"/>
      <c r="M251" s="158">
        <f t="shared" si="16"/>
        <v>0</v>
      </c>
    </row>
    <row r="252" spans="1:13" x14ac:dyDescent="0.25">
      <c r="A252" s="172"/>
      <c r="G252" s="142"/>
      <c r="H252" s="156">
        <v>247</v>
      </c>
      <c r="I252" s="157" t="str">
        <f t="shared" si="17"/>
        <v/>
      </c>
      <c r="J252" s="156" t="e">
        <f t="shared" si="18"/>
        <v>#NUM!</v>
      </c>
      <c r="K252" s="156" t="e">
        <f t="shared" si="15"/>
        <v>#NUM!</v>
      </c>
      <c r="L252" s="156"/>
      <c r="M252" s="158">
        <f t="shared" si="16"/>
        <v>0</v>
      </c>
    </row>
    <row r="253" spans="1:13" x14ac:dyDescent="0.25">
      <c r="A253" s="172"/>
      <c r="G253" s="142"/>
      <c r="H253" s="156">
        <v>248</v>
      </c>
      <c r="I253" s="157" t="str">
        <f t="shared" si="17"/>
        <v/>
      </c>
      <c r="J253" s="156" t="e">
        <f t="shared" si="18"/>
        <v>#NUM!</v>
      </c>
      <c r="K253" s="156" t="e">
        <f t="shared" si="15"/>
        <v>#NUM!</v>
      </c>
      <c r="L253" s="156"/>
      <c r="M253" s="158">
        <f t="shared" si="16"/>
        <v>0</v>
      </c>
    </row>
    <row r="254" spans="1:13" x14ac:dyDescent="0.25">
      <c r="A254" s="172"/>
      <c r="G254" s="142"/>
      <c r="H254" s="156">
        <v>249</v>
      </c>
      <c r="I254" s="157" t="str">
        <f t="shared" si="17"/>
        <v/>
      </c>
      <c r="J254" s="156" t="e">
        <f t="shared" si="18"/>
        <v>#NUM!</v>
      </c>
      <c r="K254" s="156" t="e">
        <f t="shared" si="15"/>
        <v>#NUM!</v>
      </c>
      <c r="L254" s="156"/>
      <c r="M254" s="158">
        <f t="shared" si="16"/>
        <v>0</v>
      </c>
    </row>
    <row r="255" spans="1:13" x14ac:dyDescent="0.25">
      <c r="A255" s="172"/>
      <c r="G255" s="142"/>
      <c r="H255" s="156">
        <v>250</v>
      </c>
      <c r="I255" s="157" t="str">
        <f t="shared" si="17"/>
        <v/>
      </c>
      <c r="J255" s="156" t="e">
        <f t="shared" si="18"/>
        <v>#NUM!</v>
      </c>
      <c r="K255" s="156" t="e">
        <f t="shared" si="15"/>
        <v>#NUM!</v>
      </c>
      <c r="L255" s="156"/>
      <c r="M255" s="158">
        <f t="shared" si="16"/>
        <v>0</v>
      </c>
    </row>
    <row r="256" spans="1:13" x14ac:dyDescent="0.25">
      <c r="A256" s="172"/>
      <c r="G256" s="142"/>
      <c r="H256" s="156">
        <v>251</v>
      </c>
      <c r="I256" s="157" t="str">
        <f t="shared" si="17"/>
        <v/>
      </c>
      <c r="J256" s="156" t="e">
        <f t="shared" si="18"/>
        <v>#NUM!</v>
      </c>
      <c r="K256" s="156" t="e">
        <f t="shared" si="15"/>
        <v>#NUM!</v>
      </c>
      <c r="L256" s="156"/>
      <c r="M256" s="158">
        <f t="shared" si="16"/>
        <v>0</v>
      </c>
    </row>
    <row r="257" spans="1:13" x14ac:dyDescent="0.25">
      <c r="A257" s="172"/>
      <c r="G257" s="142"/>
      <c r="H257" s="156">
        <v>252</v>
      </c>
      <c r="I257" s="157" t="str">
        <f t="shared" si="17"/>
        <v/>
      </c>
      <c r="J257" s="156" t="e">
        <f t="shared" si="18"/>
        <v>#NUM!</v>
      </c>
      <c r="K257" s="156" t="e">
        <f t="shared" si="15"/>
        <v>#NUM!</v>
      </c>
      <c r="L257" s="156"/>
      <c r="M257" s="158">
        <f t="shared" si="16"/>
        <v>0</v>
      </c>
    </row>
    <row r="258" spans="1:13" x14ac:dyDescent="0.25">
      <c r="A258" s="172"/>
      <c r="G258" s="142"/>
      <c r="H258" s="156">
        <v>253</v>
      </c>
      <c r="I258" s="157" t="str">
        <f t="shared" si="17"/>
        <v/>
      </c>
      <c r="J258" s="156" t="e">
        <f t="shared" si="18"/>
        <v>#NUM!</v>
      </c>
      <c r="K258" s="156" t="e">
        <f t="shared" si="15"/>
        <v>#NUM!</v>
      </c>
      <c r="L258" s="156"/>
      <c r="M258" s="158">
        <f t="shared" si="16"/>
        <v>0</v>
      </c>
    </row>
    <row r="259" spans="1:13" x14ac:dyDescent="0.25">
      <c r="A259" s="172"/>
      <c r="G259" s="142"/>
      <c r="H259" s="156">
        <v>254</v>
      </c>
      <c r="I259" s="157" t="str">
        <f t="shared" si="17"/>
        <v/>
      </c>
      <c r="J259" s="156" t="e">
        <f t="shared" si="18"/>
        <v>#NUM!</v>
      </c>
      <c r="K259" s="156" t="e">
        <f t="shared" si="15"/>
        <v>#NUM!</v>
      </c>
      <c r="L259" s="156"/>
      <c r="M259" s="158">
        <f t="shared" si="16"/>
        <v>0</v>
      </c>
    </row>
    <row r="260" spans="1:13" x14ac:dyDescent="0.25">
      <c r="A260" s="172"/>
      <c r="G260" s="142"/>
      <c r="H260" s="156">
        <v>255</v>
      </c>
      <c r="I260" s="157" t="str">
        <f t="shared" si="17"/>
        <v/>
      </c>
      <c r="J260" s="156" t="e">
        <f t="shared" si="18"/>
        <v>#NUM!</v>
      </c>
      <c r="K260" s="156" t="e">
        <f t="shared" si="15"/>
        <v>#NUM!</v>
      </c>
      <c r="L260" s="156"/>
      <c r="M260" s="158">
        <f t="shared" si="16"/>
        <v>0</v>
      </c>
    </row>
    <row r="261" spans="1:13" x14ac:dyDescent="0.25">
      <c r="A261" s="172"/>
      <c r="G261" s="142"/>
      <c r="H261" s="156">
        <v>256</v>
      </c>
      <c r="I261" s="157" t="str">
        <f t="shared" si="17"/>
        <v/>
      </c>
      <c r="J261" s="156" t="e">
        <f t="shared" si="18"/>
        <v>#NUM!</v>
      </c>
      <c r="K261" s="156" t="e">
        <f t="shared" si="15"/>
        <v>#NUM!</v>
      </c>
      <c r="L261" s="156"/>
      <c r="M261" s="158">
        <f t="shared" si="16"/>
        <v>0</v>
      </c>
    </row>
    <row r="262" spans="1:13" x14ac:dyDescent="0.25">
      <c r="A262" s="172"/>
      <c r="G262" s="142"/>
      <c r="H262" s="156">
        <v>257</v>
      </c>
      <c r="I262" s="157" t="str">
        <f t="shared" si="17"/>
        <v/>
      </c>
      <c r="J262" s="156" t="e">
        <f t="shared" si="18"/>
        <v>#NUM!</v>
      </c>
      <c r="K262" s="156" t="e">
        <f t="shared" ref="K262:K305" si="19">J262*$J$2</f>
        <v>#NUM!</v>
      </c>
      <c r="L262" s="156"/>
      <c r="M262" s="158">
        <f t="shared" ref="M262:M305" si="20">IF(I262&lt;&gt;"",K262+I262+L262,0)</f>
        <v>0</v>
      </c>
    </row>
    <row r="263" spans="1:13" x14ac:dyDescent="0.25">
      <c r="A263" s="172"/>
      <c r="G263" s="142"/>
      <c r="H263" s="156">
        <v>258</v>
      </c>
      <c r="I263" s="157" t="str">
        <f t="shared" ref="I263:I305" si="21">IF(H263&lt;$H$2+1,($I$2-($I$2-1)*(LOG(H263)/LOG($H$2))),"")</f>
        <v/>
      </c>
      <c r="J263" s="156" t="e">
        <f t="shared" ref="J263:J305" si="22">INT(LOG($H$2,2))-ROUNDUP(LOG(H263,2),0)+IF(OR($H$2=1,$H$2=2,$H$2=4,$H$2=8,$H$2=16,$H$2=32,$H$2=64,$H$2=128,$H$2=256),0,1)</f>
        <v>#NUM!</v>
      </c>
      <c r="K263" s="156" t="e">
        <f t="shared" si="19"/>
        <v>#NUM!</v>
      </c>
      <c r="L263" s="156"/>
      <c r="M263" s="158">
        <f t="shared" si="20"/>
        <v>0</v>
      </c>
    </row>
    <row r="264" spans="1:13" x14ac:dyDescent="0.25">
      <c r="A264" s="172"/>
      <c r="G264" s="142"/>
      <c r="H264" s="156">
        <v>259</v>
      </c>
      <c r="I264" s="157" t="str">
        <f t="shared" si="21"/>
        <v/>
      </c>
      <c r="J264" s="156" t="e">
        <f t="shared" si="22"/>
        <v>#NUM!</v>
      </c>
      <c r="K264" s="156" t="e">
        <f t="shared" si="19"/>
        <v>#NUM!</v>
      </c>
      <c r="L264" s="156"/>
      <c r="M264" s="158">
        <f t="shared" si="20"/>
        <v>0</v>
      </c>
    </row>
    <row r="265" spans="1:13" x14ac:dyDescent="0.25">
      <c r="A265" s="172"/>
      <c r="G265" s="142"/>
      <c r="H265" s="156">
        <v>260</v>
      </c>
      <c r="I265" s="157" t="str">
        <f t="shared" si="21"/>
        <v/>
      </c>
      <c r="J265" s="156" t="e">
        <f t="shared" si="22"/>
        <v>#NUM!</v>
      </c>
      <c r="K265" s="156" t="e">
        <f t="shared" si="19"/>
        <v>#NUM!</v>
      </c>
      <c r="L265" s="156"/>
      <c r="M265" s="158">
        <f t="shared" si="20"/>
        <v>0</v>
      </c>
    </row>
    <row r="266" spans="1:13" x14ac:dyDescent="0.25">
      <c r="A266" s="172"/>
      <c r="G266" s="142"/>
      <c r="H266" s="156">
        <v>261</v>
      </c>
      <c r="I266" s="157" t="str">
        <f t="shared" si="21"/>
        <v/>
      </c>
      <c r="J266" s="156" t="e">
        <f t="shared" si="22"/>
        <v>#NUM!</v>
      </c>
      <c r="K266" s="156" t="e">
        <f t="shared" si="19"/>
        <v>#NUM!</v>
      </c>
      <c r="L266" s="156"/>
      <c r="M266" s="158">
        <f t="shared" si="20"/>
        <v>0</v>
      </c>
    </row>
    <row r="267" spans="1:13" x14ac:dyDescent="0.25">
      <c r="A267" s="172"/>
      <c r="G267" s="142"/>
      <c r="H267" s="156">
        <v>262</v>
      </c>
      <c r="I267" s="157" t="str">
        <f t="shared" si="21"/>
        <v/>
      </c>
      <c r="J267" s="156" t="e">
        <f t="shared" si="22"/>
        <v>#NUM!</v>
      </c>
      <c r="K267" s="156" t="e">
        <f t="shared" si="19"/>
        <v>#NUM!</v>
      </c>
      <c r="L267" s="156"/>
      <c r="M267" s="158">
        <f t="shared" si="20"/>
        <v>0</v>
      </c>
    </row>
    <row r="268" spans="1:13" x14ac:dyDescent="0.25">
      <c r="A268" s="172"/>
      <c r="G268" s="142"/>
      <c r="H268" s="156">
        <v>263</v>
      </c>
      <c r="I268" s="157" t="str">
        <f t="shared" si="21"/>
        <v/>
      </c>
      <c r="J268" s="156" t="e">
        <f t="shared" si="22"/>
        <v>#NUM!</v>
      </c>
      <c r="K268" s="156" t="e">
        <f t="shared" si="19"/>
        <v>#NUM!</v>
      </c>
      <c r="L268" s="156"/>
      <c r="M268" s="158">
        <f t="shared" si="20"/>
        <v>0</v>
      </c>
    </row>
    <row r="269" spans="1:13" x14ac:dyDescent="0.25">
      <c r="A269" s="172"/>
      <c r="G269" s="142"/>
      <c r="H269" s="156">
        <v>264</v>
      </c>
      <c r="I269" s="157" t="str">
        <f t="shared" si="21"/>
        <v/>
      </c>
      <c r="J269" s="156" t="e">
        <f t="shared" si="22"/>
        <v>#NUM!</v>
      </c>
      <c r="K269" s="156" t="e">
        <f t="shared" si="19"/>
        <v>#NUM!</v>
      </c>
      <c r="L269" s="156"/>
      <c r="M269" s="158">
        <f t="shared" si="20"/>
        <v>0</v>
      </c>
    </row>
    <row r="270" spans="1:13" x14ac:dyDescent="0.25">
      <c r="A270" s="172"/>
      <c r="G270" s="142"/>
      <c r="H270" s="156">
        <v>265</v>
      </c>
      <c r="I270" s="157" t="str">
        <f t="shared" si="21"/>
        <v/>
      </c>
      <c r="J270" s="156" t="e">
        <f t="shared" si="22"/>
        <v>#NUM!</v>
      </c>
      <c r="K270" s="156" t="e">
        <f t="shared" si="19"/>
        <v>#NUM!</v>
      </c>
      <c r="L270" s="156"/>
      <c r="M270" s="158">
        <f t="shared" si="20"/>
        <v>0</v>
      </c>
    </row>
    <row r="271" spans="1:13" x14ac:dyDescent="0.25">
      <c r="A271" s="172"/>
      <c r="G271" s="142"/>
      <c r="H271" s="156">
        <v>266</v>
      </c>
      <c r="I271" s="157" t="str">
        <f t="shared" si="21"/>
        <v/>
      </c>
      <c r="J271" s="156" t="e">
        <f t="shared" si="22"/>
        <v>#NUM!</v>
      </c>
      <c r="K271" s="156" t="e">
        <f t="shared" si="19"/>
        <v>#NUM!</v>
      </c>
      <c r="L271" s="156"/>
      <c r="M271" s="158">
        <f t="shared" si="20"/>
        <v>0</v>
      </c>
    </row>
    <row r="272" spans="1:13" x14ac:dyDescent="0.25">
      <c r="A272" s="172"/>
      <c r="G272" s="142"/>
      <c r="H272" s="156">
        <v>267</v>
      </c>
      <c r="I272" s="157" t="str">
        <f t="shared" si="21"/>
        <v/>
      </c>
      <c r="J272" s="156" t="e">
        <f t="shared" si="22"/>
        <v>#NUM!</v>
      </c>
      <c r="K272" s="156" t="e">
        <f t="shared" si="19"/>
        <v>#NUM!</v>
      </c>
      <c r="L272" s="156"/>
      <c r="M272" s="158">
        <f t="shared" si="20"/>
        <v>0</v>
      </c>
    </row>
    <row r="273" spans="1:13" x14ac:dyDescent="0.25">
      <c r="A273" s="172"/>
      <c r="G273" s="142"/>
      <c r="H273" s="156">
        <v>268</v>
      </c>
      <c r="I273" s="157" t="str">
        <f t="shared" si="21"/>
        <v/>
      </c>
      <c r="J273" s="156" t="e">
        <f t="shared" si="22"/>
        <v>#NUM!</v>
      </c>
      <c r="K273" s="156" t="e">
        <f t="shared" si="19"/>
        <v>#NUM!</v>
      </c>
      <c r="L273" s="156"/>
      <c r="M273" s="158">
        <f t="shared" si="20"/>
        <v>0</v>
      </c>
    </row>
    <row r="274" spans="1:13" x14ac:dyDescent="0.25">
      <c r="A274" s="172"/>
      <c r="G274" s="142"/>
      <c r="H274" s="156">
        <v>269</v>
      </c>
      <c r="I274" s="157" t="str">
        <f t="shared" si="21"/>
        <v/>
      </c>
      <c r="J274" s="156" t="e">
        <f t="shared" si="22"/>
        <v>#NUM!</v>
      </c>
      <c r="K274" s="156" t="e">
        <f t="shared" si="19"/>
        <v>#NUM!</v>
      </c>
      <c r="L274" s="156"/>
      <c r="M274" s="158">
        <f t="shared" si="20"/>
        <v>0</v>
      </c>
    </row>
    <row r="275" spans="1:13" x14ac:dyDescent="0.25">
      <c r="A275" s="172"/>
      <c r="G275" s="142"/>
      <c r="H275" s="156">
        <v>270</v>
      </c>
      <c r="I275" s="157" t="str">
        <f t="shared" si="21"/>
        <v/>
      </c>
      <c r="J275" s="156" t="e">
        <f t="shared" si="22"/>
        <v>#NUM!</v>
      </c>
      <c r="K275" s="156" t="e">
        <f t="shared" si="19"/>
        <v>#NUM!</v>
      </c>
      <c r="L275" s="156"/>
      <c r="M275" s="158">
        <f t="shared" si="20"/>
        <v>0</v>
      </c>
    </row>
    <row r="276" spans="1:13" x14ac:dyDescent="0.25">
      <c r="A276" s="172"/>
      <c r="G276" s="142"/>
      <c r="H276" s="156">
        <v>271</v>
      </c>
      <c r="I276" s="157" t="str">
        <f t="shared" si="21"/>
        <v/>
      </c>
      <c r="J276" s="156" t="e">
        <f t="shared" si="22"/>
        <v>#NUM!</v>
      </c>
      <c r="K276" s="156" t="e">
        <f t="shared" si="19"/>
        <v>#NUM!</v>
      </c>
      <c r="L276" s="156"/>
      <c r="M276" s="158">
        <f t="shared" si="20"/>
        <v>0</v>
      </c>
    </row>
    <row r="277" spans="1:13" x14ac:dyDescent="0.25">
      <c r="A277" s="172"/>
      <c r="G277" s="142"/>
      <c r="H277" s="156">
        <v>272</v>
      </c>
      <c r="I277" s="157" t="str">
        <f t="shared" si="21"/>
        <v/>
      </c>
      <c r="J277" s="156" t="e">
        <f t="shared" si="22"/>
        <v>#NUM!</v>
      </c>
      <c r="K277" s="156" t="e">
        <f t="shared" si="19"/>
        <v>#NUM!</v>
      </c>
      <c r="L277" s="156"/>
      <c r="M277" s="158">
        <f t="shared" si="20"/>
        <v>0</v>
      </c>
    </row>
    <row r="278" spans="1:13" x14ac:dyDescent="0.25">
      <c r="A278" s="172"/>
      <c r="G278" s="142"/>
      <c r="H278" s="156">
        <v>273</v>
      </c>
      <c r="I278" s="157" t="str">
        <f t="shared" si="21"/>
        <v/>
      </c>
      <c r="J278" s="156" t="e">
        <f t="shared" si="22"/>
        <v>#NUM!</v>
      </c>
      <c r="K278" s="156" t="e">
        <f t="shared" si="19"/>
        <v>#NUM!</v>
      </c>
      <c r="L278" s="156"/>
      <c r="M278" s="158">
        <f t="shared" si="20"/>
        <v>0</v>
      </c>
    </row>
    <row r="279" spans="1:13" x14ac:dyDescent="0.25">
      <c r="A279" s="172"/>
      <c r="G279" s="142"/>
      <c r="H279" s="156">
        <v>274</v>
      </c>
      <c r="I279" s="157" t="str">
        <f t="shared" si="21"/>
        <v/>
      </c>
      <c r="J279" s="156" t="e">
        <f t="shared" si="22"/>
        <v>#NUM!</v>
      </c>
      <c r="K279" s="156" t="e">
        <f t="shared" si="19"/>
        <v>#NUM!</v>
      </c>
      <c r="L279" s="156"/>
      <c r="M279" s="158">
        <f t="shared" si="20"/>
        <v>0</v>
      </c>
    </row>
    <row r="280" spans="1:13" x14ac:dyDescent="0.25">
      <c r="A280" s="172"/>
      <c r="G280" s="142"/>
      <c r="H280" s="156">
        <v>275</v>
      </c>
      <c r="I280" s="157" t="str">
        <f t="shared" si="21"/>
        <v/>
      </c>
      <c r="J280" s="156" t="e">
        <f t="shared" si="22"/>
        <v>#NUM!</v>
      </c>
      <c r="K280" s="156" t="e">
        <f t="shared" si="19"/>
        <v>#NUM!</v>
      </c>
      <c r="L280" s="156"/>
      <c r="M280" s="158">
        <f t="shared" si="20"/>
        <v>0</v>
      </c>
    </row>
    <row r="281" spans="1:13" x14ac:dyDescent="0.25">
      <c r="A281" s="172"/>
      <c r="G281" s="142"/>
      <c r="H281" s="156">
        <v>276</v>
      </c>
      <c r="I281" s="157" t="str">
        <f t="shared" si="21"/>
        <v/>
      </c>
      <c r="J281" s="156" t="e">
        <f t="shared" si="22"/>
        <v>#NUM!</v>
      </c>
      <c r="K281" s="156" t="e">
        <f t="shared" si="19"/>
        <v>#NUM!</v>
      </c>
      <c r="L281" s="156"/>
      <c r="M281" s="158">
        <f t="shared" si="20"/>
        <v>0</v>
      </c>
    </row>
    <row r="282" spans="1:13" x14ac:dyDescent="0.25">
      <c r="A282" s="172"/>
      <c r="G282" s="142"/>
      <c r="H282" s="156">
        <v>277</v>
      </c>
      <c r="I282" s="157" t="str">
        <f t="shared" si="21"/>
        <v/>
      </c>
      <c r="J282" s="156" t="e">
        <f t="shared" si="22"/>
        <v>#NUM!</v>
      </c>
      <c r="K282" s="156" t="e">
        <f t="shared" si="19"/>
        <v>#NUM!</v>
      </c>
      <c r="L282" s="156"/>
      <c r="M282" s="158">
        <f t="shared" si="20"/>
        <v>0</v>
      </c>
    </row>
    <row r="283" spans="1:13" x14ac:dyDescent="0.25">
      <c r="A283" s="172"/>
      <c r="G283" s="142"/>
      <c r="H283" s="156">
        <v>278</v>
      </c>
      <c r="I283" s="157" t="str">
        <f t="shared" si="21"/>
        <v/>
      </c>
      <c r="J283" s="156" t="e">
        <f t="shared" si="22"/>
        <v>#NUM!</v>
      </c>
      <c r="K283" s="156" t="e">
        <f t="shared" si="19"/>
        <v>#NUM!</v>
      </c>
      <c r="L283" s="156"/>
      <c r="M283" s="158">
        <f t="shared" si="20"/>
        <v>0</v>
      </c>
    </row>
    <row r="284" spans="1:13" x14ac:dyDescent="0.25">
      <c r="A284" s="172"/>
      <c r="G284" s="142"/>
      <c r="H284" s="156">
        <v>279</v>
      </c>
      <c r="I284" s="157" t="str">
        <f t="shared" si="21"/>
        <v/>
      </c>
      <c r="J284" s="156" t="e">
        <f t="shared" si="22"/>
        <v>#NUM!</v>
      </c>
      <c r="K284" s="156" t="e">
        <f t="shared" si="19"/>
        <v>#NUM!</v>
      </c>
      <c r="L284" s="156"/>
      <c r="M284" s="158">
        <f t="shared" si="20"/>
        <v>0</v>
      </c>
    </row>
    <row r="285" spans="1:13" x14ac:dyDescent="0.25">
      <c r="A285" s="172"/>
      <c r="G285" s="142"/>
      <c r="H285" s="156">
        <v>280</v>
      </c>
      <c r="I285" s="157" t="str">
        <f t="shared" si="21"/>
        <v/>
      </c>
      <c r="J285" s="156" t="e">
        <f t="shared" si="22"/>
        <v>#NUM!</v>
      </c>
      <c r="K285" s="156" t="e">
        <f t="shared" si="19"/>
        <v>#NUM!</v>
      </c>
      <c r="L285" s="156"/>
      <c r="M285" s="158">
        <f t="shared" si="20"/>
        <v>0</v>
      </c>
    </row>
    <row r="286" spans="1:13" x14ac:dyDescent="0.25">
      <c r="A286" s="172"/>
      <c r="G286" s="142"/>
      <c r="H286" s="156">
        <v>281</v>
      </c>
      <c r="I286" s="157" t="str">
        <f t="shared" si="21"/>
        <v/>
      </c>
      <c r="J286" s="156" t="e">
        <f t="shared" si="22"/>
        <v>#NUM!</v>
      </c>
      <c r="K286" s="156" t="e">
        <f t="shared" si="19"/>
        <v>#NUM!</v>
      </c>
      <c r="L286" s="156"/>
      <c r="M286" s="158">
        <f t="shared" si="20"/>
        <v>0</v>
      </c>
    </row>
    <row r="287" spans="1:13" x14ac:dyDescent="0.25">
      <c r="A287" s="172"/>
      <c r="G287" s="142"/>
      <c r="H287" s="156">
        <v>282</v>
      </c>
      <c r="I287" s="157" t="str">
        <f t="shared" si="21"/>
        <v/>
      </c>
      <c r="J287" s="156" t="e">
        <f t="shared" si="22"/>
        <v>#NUM!</v>
      </c>
      <c r="K287" s="156" t="e">
        <f t="shared" si="19"/>
        <v>#NUM!</v>
      </c>
      <c r="L287" s="156"/>
      <c r="M287" s="158">
        <f t="shared" si="20"/>
        <v>0</v>
      </c>
    </row>
    <row r="288" spans="1:13" x14ac:dyDescent="0.25">
      <c r="A288" s="172"/>
      <c r="G288" s="142"/>
      <c r="H288" s="156">
        <v>283</v>
      </c>
      <c r="I288" s="157" t="str">
        <f t="shared" si="21"/>
        <v/>
      </c>
      <c r="J288" s="156" t="e">
        <f t="shared" si="22"/>
        <v>#NUM!</v>
      </c>
      <c r="K288" s="156" t="e">
        <f t="shared" si="19"/>
        <v>#NUM!</v>
      </c>
      <c r="L288" s="156"/>
      <c r="M288" s="158">
        <f t="shared" si="20"/>
        <v>0</v>
      </c>
    </row>
    <row r="289" spans="1:13" x14ac:dyDescent="0.25">
      <c r="A289" s="172"/>
      <c r="G289" s="142"/>
      <c r="H289" s="156">
        <v>284</v>
      </c>
      <c r="I289" s="157" t="str">
        <f t="shared" si="21"/>
        <v/>
      </c>
      <c r="J289" s="156" t="e">
        <f t="shared" si="22"/>
        <v>#NUM!</v>
      </c>
      <c r="K289" s="156" t="e">
        <f t="shared" si="19"/>
        <v>#NUM!</v>
      </c>
      <c r="L289" s="156"/>
      <c r="M289" s="158">
        <f t="shared" si="20"/>
        <v>0</v>
      </c>
    </row>
    <row r="290" spans="1:13" x14ac:dyDescent="0.25">
      <c r="A290" s="172"/>
      <c r="G290" s="142"/>
      <c r="H290" s="156">
        <v>285</v>
      </c>
      <c r="I290" s="157" t="str">
        <f t="shared" si="21"/>
        <v/>
      </c>
      <c r="J290" s="156" t="e">
        <f t="shared" si="22"/>
        <v>#NUM!</v>
      </c>
      <c r="K290" s="156" t="e">
        <f t="shared" si="19"/>
        <v>#NUM!</v>
      </c>
      <c r="L290" s="156"/>
      <c r="M290" s="158">
        <f t="shared" si="20"/>
        <v>0</v>
      </c>
    </row>
    <row r="291" spans="1:13" x14ac:dyDescent="0.25">
      <c r="A291" s="172"/>
      <c r="G291" s="142"/>
      <c r="H291" s="156">
        <v>286</v>
      </c>
      <c r="I291" s="157" t="str">
        <f t="shared" si="21"/>
        <v/>
      </c>
      <c r="J291" s="156" t="e">
        <f t="shared" si="22"/>
        <v>#NUM!</v>
      </c>
      <c r="K291" s="156" t="e">
        <f t="shared" si="19"/>
        <v>#NUM!</v>
      </c>
      <c r="L291" s="156"/>
      <c r="M291" s="158">
        <f t="shared" si="20"/>
        <v>0</v>
      </c>
    </row>
    <row r="292" spans="1:13" x14ac:dyDescent="0.25">
      <c r="A292" s="172"/>
      <c r="G292" s="142"/>
      <c r="H292" s="156">
        <v>287</v>
      </c>
      <c r="I292" s="157" t="str">
        <f t="shared" si="21"/>
        <v/>
      </c>
      <c r="J292" s="156" t="e">
        <f t="shared" si="22"/>
        <v>#NUM!</v>
      </c>
      <c r="K292" s="156" t="e">
        <f t="shared" si="19"/>
        <v>#NUM!</v>
      </c>
      <c r="L292" s="156"/>
      <c r="M292" s="158">
        <f t="shared" si="20"/>
        <v>0</v>
      </c>
    </row>
    <row r="293" spans="1:13" x14ac:dyDescent="0.25">
      <c r="A293" s="172"/>
      <c r="G293" s="142"/>
      <c r="H293" s="156">
        <v>288</v>
      </c>
      <c r="I293" s="157" t="str">
        <f t="shared" si="21"/>
        <v/>
      </c>
      <c r="J293" s="156" t="e">
        <f t="shared" si="22"/>
        <v>#NUM!</v>
      </c>
      <c r="K293" s="156" t="e">
        <f t="shared" si="19"/>
        <v>#NUM!</v>
      </c>
      <c r="L293" s="156"/>
      <c r="M293" s="158">
        <f t="shared" si="20"/>
        <v>0</v>
      </c>
    </row>
    <row r="294" spans="1:13" x14ac:dyDescent="0.25">
      <c r="A294" s="172"/>
      <c r="G294" s="142"/>
      <c r="H294" s="156">
        <v>289</v>
      </c>
      <c r="I294" s="157" t="str">
        <f t="shared" si="21"/>
        <v/>
      </c>
      <c r="J294" s="156" t="e">
        <f t="shared" si="22"/>
        <v>#NUM!</v>
      </c>
      <c r="K294" s="156" t="e">
        <f t="shared" si="19"/>
        <v>#NUM!</v>
      </c>
      <c r="L294" s="156"/>
      <c r="M294" s="158">
        <f t="shared" si="20"/>
        <v>0</v>
      </c>
    </row>
    <row r="295" spans="1:13" x14ac:dyDescent="0.25">
      <c r="A295" s="172"/>
      <c r="G295" s="142"/>
      <c r="H295" s="156">
        <v>290</v>
      </c>
      <c r="I295" s="157" t="str">
        <f t="shared" si="21"/>
        <v/>
      </c>
      <c r="J295" s="156" t="e">
        <f t="shared" si="22"/>
        <v>#NUM!</v>
      </c>
      <c r="K295" s="156" t="e">
        <f t="shared" si="19"/>
        <v>#NUM!</v>
      </c>
      <c r="L295" s="156"/>
      <c r="M295" s="158">
        <f t="shared" si="20"/>
        <v>0</v>
      </c>
    </row>
    <row r="296" spans="1:13" x14ac:dyDescent="0.25">
      <c r="A296" s="172"/>
      <c r="G296" s="142"/>
      <c r="H296" s="156">
        <v>291</v>
      </c>
      <c r="I296" s="157" t="str">
        <f t="shared" si="21"/>
        <v/>
      </c>
      <c r="J296" s="156" t="e">
        <f t="shared" si="22"/>
        <v>#NUM!</v>
      </c>
      <c r="K296" s="156" t="e">
        <f t="shared" si="19"/>
        <v>#NUM!</v>
      </c>
      <c r="L296" s="156"/>
      <c r="M296" s="158">
        <f t="shared" si="20"/>
        <v>0</v>
      </c>
    </row>
    <row r="297" spans="1:13" x14ac:dyDescent="0.25">
      <c r="A297" s="172"/>
      <c r="G297" s="142"/>
      <c r="H297" s="156">
        <v>292</v>
      </c>
      <c r="I297" s="157" t="str">
        <f t="shared" si="21"/>
        <v/>
      </c>
      <c r="J297" s="156" t="e">
        <f t="shared" si="22"/>
        <v>#NUM!</v>
      </c>
      <c r="K297" s="156" t="e">
        <f t="shared" si="19"/>
        <v>#NUM!</v>
      </c>
      <c r="L297" s="156"/>
      <c r="M297" s="158">
        <f t="shared" si="20"/>
        <v>0</v>
      </c>
    </row>
    <row r="298" spans="1:13" x14ac:dyDescent="0.25">
      <c r="A298" s="172"/>
      <c r="G298" s="142"/>
      <c r="H298" s="156">
        <v>293</v>
      </c>
      <c r="I298" s="157" t="str">
        <f t="shared" si="21"/>
        <v/>
      </c>
      <c r="J298" s="156" t="e">
        <f t="shared" si="22"/>
        <v>#NUM!</v>
      </c>
      <c r="K298" s="156" t="e">
        <f t="shared" si="19"/>
        <v>#NUM!</v>
      </c>
      <c r="L298" s="156"/>
      <c r="M298" s="158">
        <f t="shared" si="20"/>
        <v>0</v>
      </c>
    </row>
    <row r="299" spans="1:13" x14ac:dyDescent="0.25">
      <c r="A299" s="172"/>
      <c r="G299" s="142"/>
      <c r="H299" s="156">
        <v>294</v>
      </c>
      <c r="I299" s="157" t="str">
        <f t="shared" si="21"/>
        <v/>
      </c>
      <c r="J299" s="156" t="e">
        <f t="shared" si="22"/>
        <v>#NUM!</v>
      </c>
      <c r="K299" s="156" t="e">
        <f t="shared" si="19"/>
        <v>#NUM!</v>
      </c>
      <c r="L299" s="156"/>
      <c r="M299" s="158">
        <f t="shared" si="20"/>
        <v>0</v>
      </c>
    </row>
    <row r="300" spans="1:13" x14ac:dyDescent="0.25">
      <c r="A300" s="172"/>
      <c r="G300" s="142"/>
      <c r="H300" s="156">
        <v>295</v>
      </c>
      <c r="I300" s="157" t="str">
        <f t="shared" si="21"/>
        <v/>
      </c>
      <c r="J300" s="156" t="e">
        <f t="shared" si="22"/>
        <v>#NUM!</v>
      </c>
      <c r="K300" s="156" t="e">
        <f t="shared" si="19"/>
        <v>#NUM!</v>
      </c>
      <c r="L300" s="156"/>
      <c r="M300" s="158">
        <f t="shared" si="20"/>
        <v>0</v>
      </c>
    </row>
    <row r="301" spans="1:13" x14ac:dyDescent="0.25">
      <c r="A301" s="172"/>
      <c r="G301" s="142"/>
      <c r="H301" s="156">
        <v>296</v>
      </c>
      <c r="I301" s="157" t="str">
        <f t="shared" si="21"/>
        <v/>
      </c>
      <c r="J301" s="156" t="e">
        <f t="shared" si="22"/>
        <v>#NUM!</v>
      </c>
      <c r="K301" s="156" t="e">
        <f t="shared" si="19"/>
        <v>#NUM!</v>
      </c>
      <c r="L301" s="156"/>
      <c r="M301" s="158">
        <f t="shared" si="20"/>
        <v>0</v>
      </c>
    </row>
    <row r="302" spans="1:13" x14ac:dyDescent="0.25">
      <c r="A302" s="172"/>
      <c r="G302" s="142"/>
      <c r="H302" s="156">
        <v>297</v>
      </c>
      <c r="I302" s="157" t="str">
        <f t="shared" si="21"/>
        <v/>
      </c>
      <c r="J302" s="156" t="e">
        <f t="shared" si="22"/>
        <v>#NUM!</v>
      </c>
      <c r="K302" s="156" t="e">
        <f t="shared" si="19"/>
        <v>#NUM!</v>
      </c>
      <c r="L302" s="156"/>
      <c r="M302" s="158">
        <f t="shared" si="20"/>
        <v>0</v>
      </c>
    </row>
    <row r="303" spans="1:13" x14ac:dyDescent="0.25">
      <c r="A303" s="172"/>
      <c r="G303" s="142"/>
      <c r="H303" s="156">
        <v>298</v>
      </c>
      <c r="I303" s="157" t="str">
        <f t="shared" si="21"/>
        <v/>
      </c>
      <c r="J303" s="156" t="e">
        <f t="shared" si="22"/>
        <v>#NUM!</v>
      </c>
      <c r="K303" s="156" t="e">
        <f t="shared" si="19"/>
        <v>#NUM!</v>
      </c>
      <c r="L303" s="156"/>
      <c r="M303" s="158">
        <f t="shared" si="20"/>
        <v>0</v>
      </c>
    </row>
    <row r="304" spans="1:13" x14ac:dyDescent="0.25">
      <c r="A304" s="172"/>
      <c r="G304" s="142"/>
      <c r="H304" s="156">
        <v>299</v>
      </c>
      <c r="I304" s="157" t="str">
        <f t="shared" si="21"/>
        <v/>
      </c>
      <c r="J304" s="156" t="e">
        <f t="shared" si="22"/>
        <v>#NUM!</v>
      </c>
      <c r="K304" s="156" t="e">
        <f t="shared" si="19"/>
        <v>#NUM!</v>
      </c>
      <c r="L304" s="156"/>
      <c r="M304" s="158">
        <f t="shared" si="20"/>
        <v>0</v>
      </c>
    </row>
    <row r="305" spans="1:16" x14ac:dyDescent="0.25">
      <c r="A305" s="172"/>
      <c r="G305" s="142"/>
      <c r="H305" s="156">
        <v>300</v>
      </c>
      <c r="I305" s="157" t="str">
        <f t="shared" si="21"/>
        <v/>
      </c>
      <c r="J305" s="156" t="e">
        <f t="shared" si="22"/>
        <v>#NUM!</v>
      </c>
      <c r="K305" s="156" t="e">
        <f t="shared" si="19"/>
        <v>#NUM!</v>
      </c>
      <c r="L305" s="156"/>
      <c r="M305" s="158">
        <f t="shared" si="20"/>
        <v>0</v>
      </c>
    </row>
    <row r="306" spans="1:16" x14ac:dyDescent="0.25">
      <c r="A306" s="174"/>
    </row>
    <row r="314" spans="1:16" x14ac:dyDescent="0.25">
      <c r="L314" s="177"/>
      <c r="P314" s="167"/>
    </row>
    <row r="315" spans="1:16" x14ac:dyDescent="0.25">
      <c r="L315" s="177"/>
      <c r="P315" s="167"/>
    </row>
    <row r="316" spans="1:16" x14ac:dyDescent="0.25">
      <c r="L316" s="177"/>
      <c r="P316" s="167"/>
    </row>
    <row r="317" spans="1:16" x14ac:dyDescent="0.25">
      <c r="L317" s="177"/>
      <c r="P317" s="167"/>
    </row>
  </sheetData>
  <mergeCells count="2">
    <mergeCell ref="C2:D2"/>
    <mergeCell ref="C3:D3"/>
  </mergeCells>
  <conditionalFormatting sqref="J6:K305">
    <cfRule type="cellIs" dxfId="27" priority="1" operator="lessThanOrEqual">
      <formula>0</formula>
    </cfRule>
  </conditionalFormatting>
  <dataValidations count="1">
    <dataValidation type="list" allowBlank="1" showInputMessage="1" showErrorMessage="1" sqref="C38:C69" xr:uid="{6B13F6C5-2CE3-410D-A669-29402AC931A5}">
      <formula1>#REF!</formula1>
    </dataValidation>
  </dataValidations>
  <hyperlinks>
    <hyperlink ref="C2:D2" r:id="rId1" location="today" display="TBD" xr:uid="{59ACF7E8-DE36-4CA4-A54E-36F3F73612DA}"/>
  </hyperlinks>
  <pageMargins left="0.7" right="0.7" top="0.75" bottom="0.75" header="0.3" footer="0.3"/>
  <pageSetup paperSize="9" orientation="portrait"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17D656-EAB5-4BB2-BB49-4FF425254076}">
  <sheetPr>
    <tabColor rgb="FF92D050"/>
  </sheetPr>
  <dimension ref="A1:AL317"/>
  <sheetViews>
    <sheetView workbookViewId="0">
      <selection activeCell="C4" sqref="C4"/>
    </sheetView>
  </sheetViews>
  <sheetFormatPr defaultColWidth="8.875" defaultRowHeight="14.3" x14ac:dyDescent="0.25"/>
  <cols>
    <col min="1" max="1" width="8" style="173" customWidth="1"/>
    <col min="2" max="2" width="8.25" style="173" customWidth="1"/>
    <col min="3" max="3" width="34.75" style="173" customWidth="1"/>
    <col min="4" max="4" width="11.25" style="173" customWidth="1"/>
    <col min="5" max="6" width="8.875" style="173"/>
    <col min="7" max="7" width="0.875" style="173" customWidth="1"/>
    <col min="8" max="8" width="8.875" style="175"/>
    <col min="9" max="9" width="11" style="175" customWidth="1"/>
    <col min="10" max="10" width="15.25" style="175" customWidth="1"/>
    <col min="11" max="11" width="8.75" style="175" customWidth="1"/>
    <col min="12" max="12" width="11" style="175" customWidth="1"/>
    <col min="13" max="13" width="11.75" style="176" customWidth="1"/>
    <col min="14" max="15" width="13.875" style="142" customWidth="1"/>
    <col min="16" max="18" width="8.875" style="142"/>
    <col min="19" max="20" width="8.875" style="147"/>
    <col min="21" max="21" width="12.125" style="147" customWidth="1"/>
    <col min="22" max="22" width="27.375" style="147" customWidth="1"/>
    <col min="23" max="38" width="8.875" style="147"/>
    <col min="39" max="16384" width="8.875" style="173"/>
  </cols>
  <sheetData>
    <row r="1" spans="1:36" x14ac:dyDescent="0.25">
      <c r="A1" s="142"/>
      <c r="B1" s="142"/>
      <c r="C1" s="142"/>
      <c r="D1" s="142"/>
      <c r="E1" s="142"/>
      <c r="F1" s="142"/>
      <c r="G1" s="142"/>
      <c r="H1" s="143" t="s">
        <v>20</v>
      </c>
      <c r="I1" s="144" t="s">
        <v>21</v>
      </c>
      <c r="J1" s="144" t="s">
        <v>22</v>
      </c>
      <c r="K1" s="145" t="s">
        <v>23</v>
      </c>
      <c r="L1" s="146"/>
      <c r="M1" s="146"/>
    </row>
    <row r="2" spans="1:36" ht="14.45" customHeight="1" x14ac:dyDescent="0.25">
      <c r="A2" s="142"/>
      <c r="B2" s="19" t="s">
        <v>24</v>
      </c>
      <c r="C2" s="277" t="s">
        <v>56</v>
      </c>
      <c r="D2" s="277"/>
      <c r="E2" s="20"/>
      <c r="F2" s="20"/>
      <c r="G2" s="20"/>
      <c r="H2" s="148">
        <v>0</v>
      </c>
      <c r="I2" s="149">
        <v>50</v>
      </c>
      <c r="J2" s="149">
        <v>10</v>
      </c>
      <c r="K2" s="150">
        <f>3*H2^(1/3)</f>
        <v>0</v>
      </c>
      <c r="L2" s="146"/>
      <c r="M2" s="146"/>
    </row>
    <row r="3" spans="1:36" ht="14.45" customHeight="1" x14ac:dyDescent="0.25">
      <c r="A3" s="142"/>
      <c r="B3" s="151" t="s">
        <v>26</v>
      </c>
      <c r="C3" s="278" t="s">
        <v>203</v>
      </c>
      <c r="D3" s="278"/>
      <c r="E3" s="25"/>
      <c r="F3" s="25"/>
      <c r="G3" s="25"/>
      <c r="H3" s="146"/>
      <c r="I3" s="146"/>
      <c r="J3" s="152"/>
      <c r="K3" s="146"/>
      <c r="L3" s="146"/>
      <c r="M3" s="146"/>
    </row>
    <row r="4" spans="1:36" ht="10.199999999999999" customHeight="1" x14ac:dyDescent="0.25">
      <c r="A4" s="27"/>
      <c r="B4" s="25"/>
      <c r="C4" s="27"/>
      <c r="D4" s="27"/>
      <c r="E4" s="27"/>
      <c r="F4" s="27"/>
      <c r="G4" s="27"/>
      <c r="H4" s="146"/>
      <c r="I4" s="146"/>
      <c r="J4" s="152"/>
      <c r="K4" s="146"/>
      <c r="L4" s="146"/>
      <c r="M4" s="146"/>
    </row>
    <row r="5" spans="1:36" ht="34.65" x14ac:dyDescent="0.25">
      <c r="A5" s="1" t="s">
        <v>28</v>
      </c>
      <c r="B5" s="28" t="s">
        <v>29</v>
      </c>
      <c r="C5" s="1" t="s">
        <v>30</v>
      </c>
      <c r="D5" s="1" t="s">
        <v>31</v>
      </c>
      <c r="E5" s="1" t="s">
        <v>32</v>
      </c>
      <c r="F5" s="1" t="s">
        <v>33</v>
      </c>
      <c r="G5" s="27"/>
      <c r="H5" s="153" t="s">
        <v>34</v>
      </c>
      <c r="I5" s="154" t="s">
        <v>35</v>
      </c>
      <c r="J5" s="155" t="s">
        <v>36</v>
      </c>
      <c r="K5" s="154" t="s">
        <v>37</v>
      </c>
      <c r="L5" s="154" t="s">
        <v>38</v>
      </c>
      <c r="M5" s="153" t="s">
        <v>39</v>
      </c>
    </row>
    <row r="6" spans="1:36" ht="14.45" customHeight="1" x14ac:dyDescent="0.25">
      <c r="A6" s="32">
        <f>M6</f>
        <v>0</v>
      </c>
      <c r="B6" s="33" t="str">
        <f t="shared" ref="B6:B13" si="0">IF(H6&gt;$H$2,"",(ROW()-5))</f>
        <v/>
      </c>
      <c r="C6" s="34"/>
      <c r="D6" s="34"/>
      <c r="E6" s="34"/>
      <c r="F6" s="34"/>
      <c r="G6" s="27"/>
      <c r="H6" s="156">
        <v>1</v>
      </c>
      <c r="I6" s="157" t="str">
        <f>IF(H2=1,50,IF(H6&lt;$H$2+1,($I$2-($I$2-1)*(LOG(H6)/LOG($H$2))),""))</f>
        <v/>
      </c>
      <c r="J6" s="156" t="e">
        <f>INT(LOG($H$2,2))-ROUNDUP(LOG(H6,2),0)+IF(OR($H$2=1,$H$2=2,$H$2=4,$H$2=8,$H$2=16,$H$2=32,$H$2=64,$H$2=128,$H$2=256),0,1)</f>
        <v>#NUM!</v>
      </c>
      <c r="K6" s="156" t="e">
        <f t="shared" ref="K6:K69" si="1">J6*$J$2</f>
        <v>#NUM!</v>
      </c>
      <c r="L6" s="158">
        <f>3*K2</f>
        <v>0</v>
      </c>
      <c r="M6" s="158">
        <f t="shared" ref="M6:M69" si="2">IF(I6&lt;&gt;"",K6+I6+L6,0)</f>
        <v>0</v>
      </c>
    </row>
    <row r="7" spans="1:36" ht="14.45" customHeight="1" x14ac:dyDescent="0.25">
      <c r="A7" s="38">
        <f t="shared" ref="A7:A37" si="3">M7</f>
        <v>0</v>
      </c>
      <c r="B7" s="39" t="str">
        <f t="shared" si="0"/>
        <v/>
      </c>
      <c r="C7" s="40"/>
      <c r="D7" s="40"/>
      <c r="E7" s="40"/>
      <c r="F7" s="40"/>
      <c r="G7" s="27"/>
      <c r="H7" s="159">
        <v>2</v>
      </c>
      <c r="I7" s="160" t="str">
        <f t="shared" ref="I7:I70" si="4">IF(H7&lt;$H$2+1,($I$2-($I$2-1)*(LOG(H7)/LOG($H$2))),"")</f>
        <v/>
      </c>
      <c r="J7" s="159" t="e">
        <f t="shared" ref="J7:J70" si="5">INT(LOG($H$2,2))-ROUNDUP(LOG(H7,2),0)+IF(OR($H$2=1,$H$2=2,$H$2=4,$H$2=8,$H$2=16,$H$2=32,$H$2=64,$H$2=128,$H$2=256),0,1)</f>
        <v>#NUM!</v>
      </c>
      <c r="K7" s="159" t="e">
        <f t="shared" si="1"/>
        <v>#NUM!</v>
      </c>
      <c r="L7" s="161">
        <f>2*K2</f>
        <v>0</v>
      </c>
      <c r="M7" s="161">
        <f t="shared" si="2"/>
        <v>0</v>
      </c>
    </row>
    <row r="8" spans="1:36" ht="14.45" customHeight="1" x14ac:dyDescent="0.25">
      <c r="A8" s="32">
        <f t="shared" si="3"/>
        <v>0</v>
      </c>
      <c r="B8" s="33" t="str">
        <f t="shared" si="0"/>
        <v/>
      </c>
      <c r="C8" s="34"/>
      <c r="D8" s="34"/>
      <c r="E8" s="34"/>
      <c r="F8" s="34"/>
      <c r="G8" s="27"/>
      <c r="H8" s="156">
        <v>3</v>
      </c>
      <c r="I8" s="157" t="str">
        <f t="shared" si="4"/>
        <v/>
      </c>
      <c r="J8" s="156" t="e">
        <f t="shared" si="5"/>
        <v>#NUM!</v>
      </c>
      <c r="K8" s="156" t="e">
        <f t="shared" si="1"/>
        <v>#NUM!</v>
      </c>
      <c r="L8" s="158">
        <f>K2</f>
        <v>0</v>
      </c>
      <c r="M8" s="158">
        <f t="shared" si="2"/>
        <v>0</v>
      </c>
    </row>
    <row r="9" spans="1:36" ht="14.45" customHeight="1" x14ac:dyDescent="0.25">
      <c r="A9" s="38">
        <f t="shared" si="3"/>
        <v>0</v>
      </c>
      <c r="B9" s="39" t="str">
        <f t="shared" si="0"/>
        <v/>
      </c>
      <c r="C9" s="40"/>
      <c r="D9" s="40"/>
      <c r="E9" s="40"/>
      <c r="F9" s="40"/>
      <c r="G9" s="27"/>
      <c r="H9" s="159">
        <v>4</v>
      </c>
      <c r="I9" s="160" t="str">
        <f t="shared" si="4"/>
        <v/>
      </c>
      <c r="J9" s="159" t="e">
        <f t="shared" si="5"/>
        <v>#NUM!</v>
      </c>
      <c r="K9" s="159" t="e">
        <f t="shared" si="1"/>
        <v>#NUM!</v>
      </c>
      <c r="L9" s="161"/>
      <c r="M9" s="161">
        <f t="shared" si="2"/>
        <v>0</v>
      </c>
      <c r="V9" s="162"/>
      <c r="Z9" s="163"/>
      <c r="AA9" s="163"/>
      <c r="AG9" s="164"/>
      <c r="AH9" s="147" t="s">
        <v>40</v>
      </c>
      <c r="AI9" s="147">
        <v>23</v>
      </c>
    </row>
    <row r="10" spans="1:36" ht="14.45" customHeight="1" x14ac:dyDescent="0.25">
      <c r="A10" s="32">
        <f t="shared" si="3"/>
        <v>0</v>
      </c>
      <c r="B10" s="33" t="str">
        <f t="shared" si="0"/>
        <v/>
      </c>
      <c r="C10" s="34"/>
      <c r="D10" s="34"/>
      <c r="E10" s="34"/>
      <c r="F10" s="34"/>
      <c r="G10" s="27"/>
      <c r="H10" s="156">
        <v>5</v>
      </c>
      <c r="I10" s="157" t="str">
        <f t="shared" si="4"/>
        <v/>
      </c>
      <c r="J10" s="156" t="e">
        <f t="shared" si="5"/>
        <v>#NUM!</v>
      </c>
      <c r="K10" s="156" t="e">
        <f t="shared" si="1"/>
        <v>#NUM!</v>
      </c>
      <c r="L10" s="156"/>
      <c r="M10" s="158">
        <f t="shared" si="2"/>
        <v>0</v>
      </c>
      <c r="V10" s="162"/>
      <c r="Z10" s="163"/>
      <c r="AA10" s="163"/>
      <c r="AG10" s="164"/>
      <c r="AH10" s="147" t="s">
        <v>41</v>
      </c>
      <c r="AI10" s="147">
        <v>45</v>
      </c>
    </row>
    <row r="11" spans="1:36" ht="14.45" customHeight="1" x14ac:dyDescent="0.25">
      <c r="A11" s="38">
        <f t="shared" si="3"/>
        <v>0</v>
      </c>
      <c r="B11" s="39" t="str">
        <f t="shared" si="0"/>
        <v/>
      </c>
      <c r="C11" s="40"/>
      <c r="D11" s="40"/>
      <c r="E11" s="40"/>
      <c r="F11" s="40"/>
      <c r="G11" s="27"/>
      <c r="H11" s="159">
        <v>6</v>
      </c>
      <c r="I11" s="160" t="str">
        <f t="shared" si="4"/>
        <v/>
      </c>
      <c r="J11" s="159" t="e">
        <f t="shared" si="5"/>
        <v>#NUM!</v>
      </c>
      <c r="K11" s="159" t="e">
        <f t="shared" si="1"/>
        <v>#NUM!</v>
      </c>
      <c r="L11" s="159"/>
      <c r="M11" s="161">
        <f t="shared" si="2"/>
        <v>0</v>
      </c>
      <c r="V11" s="165"/>
      <c r="Z11" s="163"/>
      <c r="AA11" s="163"/>
      <c r="AG11" s="164"/>
      <c r="AH11" s="147" t="s">
        <v>42</v>
      </c>
      <c r="AI11" s="147">
        <v>50</v>
      </c>
    </row>
    <row r="12" spans="1:36" ht="14.45" customHeight="1" x14ac:dyDescent="0.25">
      <c r="A12" s="32">
        <f t="shared" si="3"/>
        <v>0</v>
      </c>
      <c r="B12" s="33" t="str">
        <f t="shared" si="0"/>
        <v/>
      </c>
      <c r="C12" s="34"/>
      <c r="D12" s="34"/>
      <c r="E12" s="34"/>
      <c r="F12" s="34"/>
      <c r="G12" s="27"/>
      <c r="H12" s="156">
        <v>7</v>
      </c>
      <c r="I12" s="157" t="str">
        <f t="shared" si="4"/>
        <v/>
      </c>
      <c r="J12" s="156" t="e">
        <f t="shared" si="5"/>
        <v>#NUM!</v>
      </c>
      <c r="K12" s="156" t="e">
        <f t="shared" si="1"/>
        <v>#NUM!</v>
      </c>
      <c r="L12" s="156"/>
      <c r="M12" s="158">
        <f t="shared" si="2"/>
        <v>0</v>
      </c>
      <c r="Z12" s="163"/>
      <c r="AA12" s="163"/>
      <c r="AG12" s="164"/>
      <c r="AH12" s="147" t="s">
        <v>43</v>
      </c>
      <c r="AI12" s="147">
        <f>AI11-1</f>
        <v>49</v>
      </c>
    </row>
    <row r="13" spans="1:36" ht="14.45" customHeight="1" x14ac:dyDescent="0.25">
      <c r="A13" s="48">
        <f t="shared" si="3"/>
        <v>0</v>
      </c>
      <c r="B13" s="39" t="str">
        <f t="shared" si="0"/>
        <v/>
      </c>
      <c r="C13" s="40"/>
      <c r="D13" s="40"/>
      <c r="E13" s="40"/>
      <c r="F13" s="40"/>
      <c r="G13" s="27"/>
      <c r="H13" s="159">
        <v>8</v>
      </c>
      <c r="I13" s="160" t="str">
        <f t="shared" si="4"/>
        <v/>
      </c>
      <c r="J13" s="159" t="e">
        <f t="shared" si="5"/>
        <v>#NUM!</v>
      </c>
      <c r="K13" s="159" t="e">
        <f t="shared" si="1"/>
        <v>#NUM!</v>
      </c>
      <c r="L13" s="159"/>
      <c r="M13" s="161">
        <f t="shared" si="2"/>
        <v>0</v>
      </c>
      <c r="X13" s="162"/>
      <c r="AG13" s="164"/>
      <c r="AH13" s="147" t="s">
        <v>44</v>
      </c>
      <c r="AI13" s="147">
        <f>LOG(AI9)</f>
        <v>1.3617278360175928</v>
      </c>
    </row>
    <row r="14" spans="1:36" x14ac:dyDescent="0.25">
      <c r="A14" s="49">
        <f t="shared" si="3"/>
        <v>0</v>
      </c>
      <c r="B14" s="33" t="str">
        <f>IF(H14&gt;$H$2,"",(ROW()-5))</f>
        <v/>
      </c>
      <c r="C14" s="34"/>
      <c r="D14" s="34"/>
      <c r="E14" s="34"/>
      <c r="F14" s="34"/>
      <c r="G14" s="27"/>
      <c r="H14" s="156">
        <v>9</v>
      </c>
      <c r="I14" s="157" t="str">
        <f t="shared" si="4"/>
        <v/>
      </c>
      <c r="J14" s="156" t="e">
        <f t="shared" si="5"/>
        <v>#NUM!</v>
      </c>
      <c r="K14" s="156" t="e">
        <f t="shared" si="1"/>
        <v>#NUM!</v>
      </c>
      <c r="L14" s="156"/>
      <c r="M14" s="158">
        <f t="shared" si="2"/>
        <v>0</v>
      </c>
      <c r="X14" s="166"/>
      <c r="Z14" s="163"/>
      <c r="AA14" s="163"/>
      <c r="AG14" s="164"/>
      <c r="AH14" s="147" t="s">
        <v>45</v>
      </c>
      <c r="AI14" s="147">
        <f>LOG(AI10)</f>
        <v>1.6532125137753437</v>
      </c>
    </row>
    <row r="15" spans="1:36" x14ac:dyDescent="0.25">
      <c r="A15" s="48">
        <f t="shared" si="3"/>
        <v>0</v>
      </c>
      <c r="B15" s="39" t="str">
        <f t="shared" ref="B15:B65" si="6">IF(H15&gt;$H$2,"",(ROW()-5))</f>
        <v/>
      </c>
      <c r="C15" s="40"/>
      <c r="D15" s="40"/>
      <c r="E15" s="40"/>
      <c r="F15" s="40"/>
      <c r="G15" s="27"/>
      <c r="H15" s="159">
        <v>10</v>
      </c>
      <c r="I15" s="160" t="str">
        <f t="shared" si="4"/>
        <v/>
      </c>
      <c r="J15" s="159" t="e">
        <f t="shared" si="5"/>
        <v>#NUM!</v>
      </c>
      <c r="K15" s="159" t="e">
        <f t="shared" si="1"/>
        <v>#NUM!</v>
      </c>
      <c r="L15" s="159"/>
      <c r="M15" s="161">
        <f t="shared" si="2"/>
        <v>0</v>
      </c>
      <c r="X15" s="162"/>
      <c r="Z15" s="163"/>
      <c r="AA15" s="163"/>
    </row>
    <row r="16" spans="1:36" x14ac:dyDescent="0.25">
      <c r="A16" s="49">
        <f t="shared" si="3"/>
        <v>0</v>
      </c>
      <c r="B16" s="33" t="str">
        <f t="shared" si="6"/>
        <v/>
      </c>
      <c r="C16" s="34"/>
      <c r="D16" s="34"/>
      <c r="E16" s="34"/>
      <c r="F16" s="34"/>
      <c r="G16" s="27"/>
      <c r="H16" s="156">
        <v>11</v>
      </c>
      <c r="I16" s="157" t="str">
        <f t="shared" si="4"/>
        <v/>
      </c>
      <c r="J16" s="156" t="e">
        <f t="shared" si="5"/>
        <v>#NUM!</v>
      </c>
      <c r="K16" s="156" t="e">
        <f t="shared" si="1"/>
        <v>#NUM!</v>
      </c>
      <c r="L16" s="156"/>
      <c r="M16" s="158">
        <f t="shared" si="2"/>
        <v>0</v>
      </c>
      <c r="R16" s="167"/>
      <c r="Z16" s="163"/>
      <c r="AA16" s="163"/>
      <c r="AH16" s="168" t="s">
        <v>46</v>
      </c>
      <c r="AI16" s="147">
        <f>AI11-AI12*AI13/AI14</f>
        <v>9.6393909380186855</v>
      </c>
      <c r="AJ16" s="147" t="s">
        <v>47</v>
      </c>
    </row>
    <row r="17" spans="1:19" x14ac:dyDescent="0.25">
      <c r="A17" s="48">
        <f t="shared" si="3"/>
        <v>0</v>
      </c>
      <c r="B17" s="39" t="str">
        <f t="shared" si="6"/>
        <v/>
      </c>
      <c r="C17" s="40"/>
      <c r="D17" s="40"/>
      <c r="E17" s="40"/>
      <c r="F17" s="40"/>
      <c r="G17" s="27"/>
      <c r="H17" s="159">
        <v>12</v>
      </c>
      <c r="I17" s="160" t="str">
        <f t="shared" si="4"/>
        <v/>
      </c>
      <c r="J17" s="159" t="e">
        <f t="shared" si="5"/>
        <v>#NUM!</v>
      </c>
      <c r="K17" s="159" t="e">
        <f t="shared" si="1"/>
        <v>#NUM!</v>
      </c>
      <c r="L17" s="159"/>
      <c r="M17" s="161">
        <f t="shared" si="2"/>
        <v>0</v>
      </c>
    </row>
    <row r="18" spans="1:19" x14ac:dyDescent="0.25">
      <c r="A18" s="49">
        <f t="shared" si="3"/>
        <v>0</v>
      </c>
      <c r="B18" s="33" t="str">
        <f t="shared" si="6"/>
        <v/>
      </c>
      <c r="C18" s="34"/>
      <c r="D18" s="34"/>
      <c r="E18" s="34"/>
      <c r="F18" s="34"/>
      <c r="G18" s="27"/>
      <c r="H18" s="156">
        <v>13</v>
      </c>
      <c r="I18" s="157" t="str">
        <f t="shared" si="4"/>
        <v/>
      </c>
      <c r="J18" s="156" t="e">
        <f t="shared" si="5"/>
        <v>#NUM!</v>
      </c>
      <c r="K18" s="156" t="e">
        <f t="shared" si="1"/>
        <v>#NUM!</v>
      </c>
      <c r="L18" s="156"/>
      <c r="M18" s="158">
        <f t="shared" si="2"/>
        <v>0</v>
      </c>
    </row>
    <row r="19" spans="1:19" x14ac:dyDescent="0.25">
      <c r="A19" s="48">
        <f t="shared" si="3"/>
        <v>0</v>
      </c>
      <c r="B19" s="39" t="str">
        <f t="shared" si="6"/>
        <v/>
      </c>
      <c r="C19" s="40"/>
      <c r="D19" s="40"/>
      <c r="E19" s="40"/>
      <c r="F19" s="40"/>
      <c r="G19" s="27"/>
      <c r="H19" s="159">
        <v>14</v>
      </c>
      <c r="I19" s="160" t="str">
        <f t="shared" si="4"/>
        <v/>
      </c>
      <c r="J19" s="159" t="e">
        <f t="shared" si="5"/>
        <v>#NUM!</v>
      </c>
      <c r="K19" s="159" t="e">
        <f t="shared" si="1"/>
        <v>#NUM!</v>
      </c>
      <c r="L19" s="159"/>
      <c r="M19" s="161">
        <f t="shared" si="2"/>
        <v>0</v>
      </c>
    </row>
    <row r="20" spans="1:19" x14ac:dyDescent="0.25">
      <c r="A20" s="49">
        <f t="shared" si="3"/>
        <v>0</v>
      </c>
      <c r="B20" s="33" t="str">
        <f t="shared" si="6"/>
        <v/>
      </c>
      <c r="C20" s="34"/>
      <c r="D20" s="34"/>
      <c r="E20" s="34"/>
      <c r="F20" s="34"/>
      <c r="G20" s="27"/>
      <c r="H20" s="156">
        <v>15</v>
      </c>
      <c r="I20" s="157" t="str">
        <f t="shared" si="4"/>
        <v/>
      </c>
      <c r="J20" s="156" t="e">
        <f t="shared" si="5"/>
        <v>#NUM!</v>
      </c>
      <c r="K20" s="156" t="e">
        <f t="shared" si="1"/>
        <v>#NUM!</v>
      </c>
      <c r="L20" s="156"/>
      <c r="M20" s="158">
        <f t="shared" si="2"/>
        <v>0</v>
      </c>
      <c r="R20" s="169"/>
      <c r="S20" s="170"/>
    </row>
    <row r="21" spans="1:19" x14ac:dyDescent="0.25">
      <c r="A21" s="48">
        <f t="shared" si="3"/>
        <v>0</v>
      </c>
      <c r="B21" s="39" t="str">
        <f t="shared" si="6"/>
        <v/>
      </c>
      <c r="C21" s="40"/>
      <c r="D21" s="40"/>
      <c r="E21" s="40"/>
      <c r="F21" s="40"/>
      <c r="G21" s="27"/>
      <c r="H21" s="159">
        <v>16</v>
      </c>
      <c r="I21" s="160" t="str">
        <f t="shared" si="4"/>
        <v/>
      </c>
      <c r="J21" s="159" t="e">
        <f t="shared" si="5"/>
        <v>#NUM!</v>
      </c>
      <c r="K21" s="159" t="e">
        <f t="shared" si="1"/>
        <v>#NUM!</v>
      </c>
      <c r="L21" s="159"/>
      <c r="M21" s="161">
        <f t="shared" si="2"/>
        <v>0</v>
      </c>
    </row>
    <row r="22" spans="1:19" x14ac:dyDescent="0.25">
      <c r="A22" s="49">
        <f t="shared" si="3"/>
        <v>0</v>
      </c>
      <c r="B22" s="33" t="str">
        <f t="shared" si="6"/>
        <v/>
      </c>
      <c r="C22" s="34"/>
      <c r="D22" s="34"/>
      <c r="E22" s="34"/>
      <c r="F22" s="34"/>
      <c r="G22" s="27"/>
      <c r="H22" s="156">
        <v>17</v>
      </c>
      <c r="I22" s="157" t="str">
        <f t="shared" si="4"/>
        <v/>
      </c>
      <c r="J22" s="156" t="e">
        <f t="shared" si="5"/>
        <v>#NUM!</v>
      </c>
      <c r="K22" s="156" t="e">
        <f t="shared" si="1"/>
        <v>#NUM!</v>
      </c>
      <c r="L22" s="156"/>
      <c r="M22" s="158">
        <f t="shared" si="2"/>
        <v>0</v>
      </c>
    </row>
    <row r="23" spans="1:19" x14ac:dyDescent="0.25">
      <c r="A23" s="48">
        <f t="shared" si="3"/>
        <v>0</v>
      </c>
      <c r="B23" s="39" t="str">
        <f t="shared" si="6"/>
        <v/>
      </c>
      <c r="C23" s="40"/>
      <c r="D23" s="40"/>
      <c r="E23" s="40"/>
      <c r="F23" s="40"/>
      <c r="G23" s="27"/>
      <c r="H23" s="159">
        <v>18</v>
      </c>
      <c r="I23" s="160" t="str">
        <f t="shared" si="4"/>
        <v/>
      </c>
      <c r="J23" s="159" t="e">
        <f t="shared" si="5"/>
        <v>#NUM!</v>
      </c>
      <c r="K23" s="159" t="e">
        <f t="shared" si="1"/>
        <v>#NUM!</v>
      </c>
      <c r="L23" s="159"/>
      <c r="M23" s="161">
        <f t="shared" si="2"/>
        <v>0</v>
      </c>
    </row>
    <row r="24" spans="1:19" x14ac:dyDescent="0.25">
      <c r="A24" s="49">
        <f t="shared" si="3"/>
        <v>0</v>
      </c>
      <c r="B24" s="33" t="str">
        <f t="shared" si="6"/>
        <v/>
      </c>
      <c r="C24" s="34"/>
      <c r="D24" s="34"/>
      <c r="E24" s="34"/>
      <c r="F24" s="34"/>
      <c r="G24" s="27"/>
      <c r="H24" s="156">
        <v>19</v>
      </c>
      <c r="I24" s="157" t="str">
        <f t="shared" si="4"/>
        <v/>
      </c>
      <c r="J24" s="156" t="e">
        <f t="shared" si="5"/>
        <v>#NUM!</v>
      </c>
      <c r="K24" s="156" t="e">
        <f t="shared" si="1"/>
        <v>#NUM!</v>
      </c>
      <c r="L24" s="156"/>
      <c r="M24" s="158">
        <f t="shared" si="2"/>
        <v>0</v>
      </c>
      <c r="R24" s="169"/>
      <c r="S24" s="170"/>
    </row>
    <row r="25" spans="1:19" x14ac:dyDescent="0.25">
      <c r="A25" s="48">
        <f t="shared" si="3"/>
        <v>0</v>
      </c>
      <c r="B25" s="39" t="str">
        <f t="shared" si="6"/>
        <v/>
      </c>
      <c r="C25" s="40"/>
      <c r="D25" s="40"/>
      <c r="E25" s="40"/>
      <c r="F25" s="40"/>
      <c r="G25" s="27"/>
      <c r="H25" s="159">
        <v>20</v>
      </c>
      <c r="I25" s="160" t="str">
        <f t="shared" si="4"/>
        <v/>
      </c>
      <c r="J25" s="159" t="e">
        <f t="shared" si="5"/>
        <v>#NUM!</v>
      </c>
      <c r="K25" s="159" t="e">
        <f t="shared" si="1"/>
        <v>#NUM!</v>
      </c>
      <c r="L25" s="159"/>
      <c r="M25" s="161">
        <f t="shared" si="2"/>
        <v>0</v>
      </c>
    </row>
    <row r="26" spans="1:19" x14ac:dyDescent="0.25">
      <c r="A26" s="49">
        <f t="shared" si="3"/>
        <v>0</v>
      </c>
      <c r="B26" s="33" t="str">
        <f t="shared" si="6"/>
        <v/>
      </c>
      <c r="C26" s="34"/>
      <c r="D26" s="34"/>
      <c r="E26" s="34"/>
      <c r="F26" s="34"/>
      <c r="G26" s="27"/>
      <c r="H26" s="156">
        <v>21</v>
      </c>
      <c r="I26" s="157" t="str">
        <f t="shared" si="4"/>
        <v/>
      </c>
      <c r="J26" s="156" t="e">
        <f t="shared" si="5"/>
        <v>#NUM!</v>
      </c>
      <c r="K26" s="156" t="e">
        <f t="shared" si="1"/>
        <v>#NUM!</v>
      </c>
      <c r="L26" s="156"/>
      <c r="M26" s="158">
        <f t="shared" si="2"/>
        <v>0</v>
      </c>
    </row>
    <row r="27" spans="1:19" x14ac:dyDescent="0.25">
      <c r="A27" s="48">
        <f t="shared" si="3"/>
        <v>0</v>
      </c>
      <c r="B27" s="39" t="str">
        <f t="shared" si="6"/>
        <v/>
      </c>
      <c r="C27" s="40"/>
      <c r="D27" s="40"/>
      <c r="E27" s="40"/>
      <c r="F27" s="40"/>
      <c r="G27" s="27"/>
      <c r="H27" s="159">
        <v>22</v>
      </c>
      <c r="I27" s="160" t="str">
        <f t="shared" si="4"/>
        <v/>
      </c>
      <c r="J27" s="159" t="e">
        <f t="shared" si="5"/>
        <v>#NUM!</v>
      </c>
      <c r="K27" s="159" t="e">
        <f t="shared" si="1"/>
        <v>#NUM!</v>
      </c>
      <c r="L27" s="159"/>
      <c r="M27" s="161">
        <f t="shared" si="2"/>
        <v>0</v>
      </c>
    </row>
    <row r="28" spans="1:19" x14ac:dyDescent="0.25">
      <c r="A28" s="49">
        <f t="shared" si="3"/>
        <v>0</v>
      </c>
      <c r="B28" s="33" t="str">
        <f t="shared" si="6"/>
        <v/>
      </c>
      <c r="C28" s="34"/>
      <c r="D28" s="34"/>
      <c r="E28" s="34"/>
      <c r="F28" s="34"/>
      <c r="G28" s="27"/>
      <c r="H28" s="156">
        <v>23</v>
      </c>
      <c r="I28" s="157" t="str">
        <f t="shared" si="4"/>
        <v/>
      </c>
      <c r="J28" s="156" t="e">
        <f t="shared" si="5"/>
        <v>#NUM!</v>
      </c>
      <c r="K28" s="156" t="e">
        <f t="shared" si="1"/>
        <v>#NUM!</v>
      </c>
      <c r="L28" s="156"/>
      <c r="M28" s="158">
        <f t="shared" si="2"/>
        <v>0</v>
      </c>
      <c r="R28" s="169"/>
      <c r="S28" s="170"/>
    </row>
    <row r="29" spans="1:19" x14ac:dyDescent="0.25">
      <c r="A29" s="48">
        <f t="shared" si="3"/>
        <v>0</v>
      </c>
      <c r="B29" s="39" t="str">
        <f t="shared" si="6"/>
        <v/>
      </c>
      <c r="C29" s="40"/>
      <c r="D29" s="40"/>
      <c r="E29" s="40"/>
      <c r="F29" s="40"/>
      <c r="G29" s="142"/>
      <c r="H29" s="159">
        <v>24</v>
      </c>
      <c r="I29" s="160" t="str">
        <f t="shared" si="4"/>
        <v/>
      </c>
      <c r="J29" s="159" t="e">
        <f t="shared" si="5"/>
        <v>#NUM!</v>
      </c>
      <c r="K29" s="159" t="e">
        <f t="shared" si="1"/>
        <v>#NUM!</v>
      </c>
      <c r="L29" s="159"/>
      <c r="M29" s="161">
        <f t="shared" si="2"/>
        <v>0</v>
      </c>
    </row>
    <row r="30" spans="1:19" x14ac:dyDescent="0.25">
      <c r="A30" s="49">
        <f t="shared" si="3"/>
        <v>0</v>
      </c>
      <c r="B30" s="33" t="str">
        <f t="shared" si="6"/>
        <v/>
      </c>
      <c r="C30" s="34"/>
      <c r="D30" s="34"/>
      <c r="E30" s="34"/>
      <c r="F30" s="34"/>
      <c r="G30" s="142"/>
      <c r="H30" s="156">
        <v>25</v>
      </c>
      <c r="I30" s="157" t="str">
        <f t="shared" si="4"/>
        <v/>
      </c>
      <c r="J30" s="156" t="e">
        <f t="shared" si="5"/>
        <v>#NUM!</v>
      </c>
      <c r="K30" s="156" t="e">
        <f t="shared" si="1"/>
        <v>#NUM!</v>
      </c>
      <c r="L30" s="156"/>
      <c r="M30" s="158">
        <f t="shared" si="2"/>
        <v>0</v>
      </c>
    </row>
    <row r="31" spans="1:19" x14ac:dyDescent="0.25">
      <c r="A31" s="48">
        <f t="shared" si="3"/>
        <v>0</v>
      </c>
      <c r="B31" s="39" t="str">
        <f t="shared" si="6"/>
        <v/>
      </c>
      <c r="C31" s="40"/>
      <c r="D31" s="40"/>
      <c r="E31" s="40"/>
      <c r="F31" s="40"/>
      <c r="G31" s="142"/>
      <c r="H31" s="159">
        <v>26</v>
      </c>
      <c r="I31" s="160" t="str">
        <f t="shared" si="4"/>
        <v/>
      </c>
      <c r="J31" s="159" t="e">
        <f t="shared" si="5"/>
        <v>#NUM!</v>
      </c>
      <c r="K31" s="159" t="e">
        <f t="shared" si="1"/>
        <v>#NUM!</v>
      </c>
      <c r="L31" s="159"/>
      <c r="M31" s="161">
        <f t="shared" si="2"/>
        <v>0</v>
      </c>
    </row>
    <row r="32" spans="1:19" x14ac:dyDescent="0.25">
      <c r="A32" s="49">
        <f t="shared" si="3"/>
        <v>0</v>
      </c>
      <c r="B32" s="33" t="str">
        <f t="shared" si="6"/>
        <v/>
      </c>
      <c r="C32" s="34"/>
      <c r="D32" s="34"/>
      <c r="E32" s="34"/>
      <c r="F32" s="34"/>
      <c r="G32" s="142"/>
      <c r="H32" s="156">
        <v>27</v>
      </c>
      <c r="I32" s="157" t="str">
        <f t="shared" si="4"/>
        <v/>
      </c>
      <c r="J32" s="156" t="e">
        <f t="shared" si="5"/>
        <v>#NUM!</v>
      </c>
      <c r="K32" s="156" t="e">
        <f t="shared" si="1"/>
        <v>#NUM!</v>
      </c>
      <c r="L32" s="156"/>
      <c r="M32" s="158">
        <f t="shared" si="2"/>
        <v>0</v>
      </c>
      <c r="R32" s="169"/>
      <c r="S32" s="170"/>
    </row>
    <row r="33" spans="1:21" x14ac:dyDescent="0.25">
      <c r="A33" s="48">
        <f t="shared" si="3"/>
        <v>0</v>
      </c>
      <c r="B33" s="39" t="str">
        <f t="shared" si="6"/>
        <v/>
      </c>
      <c r="C33" s="40"/>
      <c r="D33" s="40"/>
      <c r="E33" s="40"/>
      <c r="F33" s="40"/>
      <c r="G33" s="142"/>
      <c r="H33" s="159">
        <v>28</v>
      </c>
      <c r="I33" s="160" t="str">
        <f t="shared" si="4"/>
        <v/>
      </c>
      <c r="J33" s="159" t="e">
        <f t="shared" si="5"/>
        <v>#NUM!</v>
      </c>
      <c r="K33" s="159" t="e">
        <f t="shared" si="1"/>
        <v>#NUM!</v>
      </c>
      <c r="L33" s="159"/>
      <c r="M33" s="161">
        <f t="shared" si="2"/>
        <v>0</v>
      </c>
    </row>
    <row r="34" spans="1:21" x14ac:dyDescent="0.25">
      <c r="A34" s="49">
        <f t="shared" si="3"/>
        <v>0</v>
      </c>
      <c r="B34" s="33" t="str">
        <f t="shared" si="6"/>
        <v/>
      </c>
      <c r="C34" s="34"/>
      <c r="D34" s="34"/>
      <c r="E34" s="34"/>
      <c r="F34" s="34"/>
      <c r="G34" s="142"/>
      <c r="H34" s="156">
        <v>29</v>
      </c>
      <c r="I34" s="157" t="str">
        <f t="shared" si="4"/>
        <v/>
      </c>
      <c r="J34" s="156" t="e">
        <f t="shared" si="5"/>
        <v>#NUM!</v>
      </c>
      <c r="K34" s="156" t="e">
        <f t="shared" si="1"/>
        <v>#NUM!</v>
      </c>
      <c r="L34" s="156"/>
      <c r="M34" s="158">
        <f t="shared" si="2"/>
        <v>0</v>
      </c>
    </row>
    <row r="35" spans="1:21" x14ac:dyDescent="0.25">
      <c r="A35" s="48">
        <f t="shared" si="3"/>
        <v>0</v>
      </c>
      <c r="B35" s="39" t="str">
        <f t="shared" si="6"/>
        <v/>
      </c>
      <c r="C35" s="40"/>
      <c r="D35" s="40"/>
      <c r="E35" s="40"/>
      <c r="F35" s="40"/>
      <c r="G35" s="142"/>
      <c r="H35" s="159">
        <v>30</v>
      </c>
      <c r="I35" s="160" t="str">
        <f t="shared" si="4"/>
        <v/>
      </c>
      <c r="J35" s="159" t="e">
        <f t="shared" si="5"/>
        <v>#NUM!</v>
      </c>
      <c r="K35" s="159" t="e">
        <f t="shared" si="1"/>
        <v>#NUM!</v>
      </c>
      <c r="L35" s="159"/>
      <c r="M35" s="161">
        <f t="shared" si="2"/>
        <v>0</v>
      </c>
    </row>
    <row r="36" spans="1:21" x14ac:dyDescent="0.25">
      <c r="A36" s="49">
        <f t="shared" si="3"/>
        <v>0</v>
      </c>
      <c r="B36" s="33" t="str">
        <f t="shared" si="6"/>
        <v/>
      </c>
      <c r="C36" s="34"/>
      <c r="D36" s="34"/>
      <c r="E36" s="34"/>
      <c r="F36" s="34"/>
      <c r="G36" s="142"/>
      <c r="H36" s="156">
        <v>31</v>
      </c>
      <c r="I36" s="157" t="str">
        <f t="shared" si="4"/>
        <v/>
      </c>
      <c r="J36" s="156" t="e">
        <f t="shared" si="5"/>
        <v>#NUM!</v>
      </c>
      <c r="K36" s="156" t="e">
        <f t="shared" si="1"/>
        <v>#NUM!</v>
      </c>
      <c r="L36" s="156"/>
      <c r="M36" s="158">
        <f t="shared" si="2"/>
        <v>0</v>
      </c>
      <c r="R36" s="169"/>
      <c r="S36" s="170"/>
    </row>
    <row r="37" spans="1:21" x14ac:dyDescent="0.25">
      <c r="A37" s="48">
        <f t="shared" si="3"/>
        <v>0</v>
      </c>
      <c r="B37" s="39" t="str">
        <f t="shared" si="6"/>
        <v/>
      </c>
      <c r="C37" s="40"/>
      <c r="D37" s="40"/>
      <c r="E37" s="40"/>
      <c r="F37" s="40"/>
      <c r="G37" s="142"/>
      <c r="H37" s="159">
        <v>32</v>
      </c>
      <c r="I37" s="160" t="str">
        <f t="shared" si="4"/>
        <v/>
      </c>
      <c r="J37" s="159" t="e">
        <f t="shared" si="5"/>
        <v>#NUM!</v>
      </c>
      <c r="K37" s="159" t="e">
        <f t="shared" si="1"/>
        <v>#NUM!</v>
      </c>
      <c r="L37" s="159"/>
      <c r="M37" s="161">
        <f t="shared" si="2"/>
        <v>0</v>
      </c>
    </row>
    <row r="38" spans="1:21" x14ac:dyDescent="0.25">
      <c r="A38" s="49"/>
      <c r="B38" s="33" t="str">
        <f t="shared" si="6"/>
        <v/>
      </c>
      <c r="C38" s="34"/>
      <c r="D38" s="34"/>
      <c r="E38" s="34"/>
      <c r="F38" s="34"/>
      <c r="G38" s="142"/>
      <c r="H38" s="156">
        <v>33</v>
      </c>
      <c r="I38" s="157" t="str">
        <f t="shared" si="4"/>
        <v/>
      </c>
      <c r="J38" s="156" t="e">
        <f t="shared" si="5"/>
        <v>#NUM!</v>
      </c>
      <c r="K38" s="156" t="e">
        <f t="shared" si="1"/>
        <v>#NUM!</v>
      </c>
      <c r="L38" s="156"/>
      <c r="M38" s="158">
        <f t="shared" si="2"/>
        <v>0</v>
      </c>
    </row>
    <row r="39" spans="1:21" x14ac:dyDescent="0.25">
      <c r="A39" s="48"/>
      <c r="B39" s="39" t="str">
        <f t="shared" si="6"/>
        <v/>
      </c>
      <c r="C39" s="40"/>
      <c r="D39" s="40"/>
      <c r="E39" s="40"/>
      <c r="F39" s="40"/>
      <c r="G39" s="142"/>
      <c r="H39" s="159">
        <v>34</v>
      </c>
      <c r="I39" s="160" t="str">
        <f t="shared" si="4"/>
        <v/>
      </c>
      <c r="J39" s="159" t="e">
        <f t="shared" si="5"/>
        <v>#NUM!</v>
      </c>
      <c r="K39" s="159" t="e">
        <f t="shared" si="1"/>
        <v>#NUM!</v>
      </c>
      <c r="L39" s="159"/>
      <c r="M39" s="161">
        <f t="shared" si="2"/>
        <v>0</v>
      </c>
    </row>
    <row r="40" spans="1:21" x14ac:dyDescent="0.25">
      <c r="A40" s="49"/>
      <c r="B40" s="33" t="str">
        <f t="shared" si="6"/>
        <v/>
      </c>
      <c r="C40" s="34"/>
      <c r="D40" s="34"/>
      <c r="E40" s="34"/>
      <c r="F40" s="34"/>
      <c r="G40" s="142"/>
      <c r="H40" s="156">
        <v>35</v>
      </c>
      <c r="I40" s="157" t="str">
        <f t="shared" si="4"/>
        <v/>
      </c>
      <c r="J40" s="156" t="e">
        <f t="shared" si="5"/>
        <v>#NUM!</v>
      </c>
      <c r="K40" s="156" t="e">
        <f t="shared" si="1"/>
        <v>#NUM!</v>
      </c>
      <c r="L40" s="156"/>
      <c r="M40" s="158">
        <f t="shared" si="2"/>
        <v>0</v>
      </c>
    </row>
    <row r="41" spans="1:21" x14ac:dyDescent="0.25">
      <c r="A41" s="48"/>
      <c r="B41" s="39" t="str">
        <f t="shared" si="6"/>
        <v/>
      </c>
      <c r="C41" s="40"/>
      <c r="D41" s="40"/>
      <c r="E41" s="40"/>
      <c r="F41" s="40"/>
      <c r="G41" s="142"/>
      <c r="H41" s="159">
        <v>36</v>
      </c>
      <c r="I41" s="160" t="str">
        <f t="shared" si="4"/>
        <v/>
      </c>
      <c r="J41" s="159" t="e">
        <f t="shared" si="5"/>
        <v>#NUM!</v>
      </c>
      <c r="K41" s="159" t="e">
        <f t="shared" si="1"/>
        <v>#NUM!</v>
      </c>
      <c r="L41" s="159"/>
      <c r="M41" s="161">
        <f t="shared" si="2"/>
        <v>0</v>
      </c>
      <c r="S41" s="171"/>
    </row>
    <row r="42" spans="1:21" x14ac:dyDescent="0.25">
      <c r="A42" s="49"/>
      <c r="B42" s="33" t="str">
        <f t="shared" si="6"/>
        <v/>
      </c>
      <c r="C42" s="34"/>
      <c r="D42" s="34"/>
      <c r="E42" s="34"/>
      <c r="F42" s="34"/>
      <c r="G42" s="142"/>
      <c r="H42" s="156">
        <v>37</v>
      </c>
      <c r="I42" s="157" t="str">
        <f t="shared" si="4"/>
        <v/>
      </c>
      <c r="J42" s="156" t="e">
        <f t="shared" si="5"/>
        <v>#NUM!</v>
      </c>
      <c r="K42" s="156" t="e">
        <f t="shared" si="1"/>
        <v>#NUM!</v>
      </c>
      <c r="L42" s="156"/>
      <c r="M42" s="158">
        <f t="shared" si="2"/>
        <v>0</v>
      </c>
    </row>
    <row r="43" spans="1:21" x14ac:dyDescent="0.25">
      <c r="A43" s="48"/>
      <c r="B43" s="39" t="str">
        <f t="shared" si="6"/>
        <v/>
      </c>
      <c r="C43" s="40"/>
      <c r="D43" s="40"/>
      <c r="E43" s="40"/>
      <c r="F43" s="40"/>
      <c r="G43" s="142"/>
      <c r="H43" s="159">
        <v>38</v>
      </c>
      <c r="I43" s="160" t="str">
        <f t="shared" si="4"/>
        <v/>
      </c>
      <c r="J43" s="159" t="e">
        <f t="shared" si="5"/>
        <v>#NUM!</v>
      </c>
      <c r="K43" s="159" t="e">
        <f t="shared" si="1"/>
        <v>#NUM!</v>
      </c>
      <c r="L43" s="159"/>
      <c r="M43" s="161">
        <f t="shared" si="2"/>
        <v>0</v>
      </c>
    </row>
    <row r="44" spans="1:21" x14ac:dyDescent="0.25">
      <c r="A44" s="49"/>
      <c r="B44" s="33" t="str">
        <f t="shared" si="6"/>
        <v/>
      </c>
      <c r="C44" s="34"/>
      <c r="D44" s="34"/>
      <c r="E44" s="34"/>
      <c r="F44" s="34"/>
      <c r="G44" s="142"/>
      <c r="H44" s="156">
        <v>39</v>
      </c>
      <c r="I44" s="157" t="str">
        <f t="shared" si="4"/>
        <v/>
      </c>
      <c r="J44" s="156" t="e">
        <f t="shared" si="5"/>
        <v>#NUM!</v>
      </c>
      <c r="K44" s="156" t="e">
        <f t="shared" si="1"/>
        <v>#NUM!</v>
      </c>
      <c r="L44" s="156"/>
      <c r="M44" s="158">
        <f t="shared" si="2"/>
        <v>0</v>
      </c>
    </row>
    <row r="45" spans="1:21" x14ac:dyDescent="0.25">
      <c r="A45" s="48"/>
      <c r="B45" s="39" t="str">
        <f t="shared" si="6"/>
        <v/>
      </c>
      <c r="C45" s="40"/>
      <c r="D45" s="40"/>
      <c r="E45" s="40"/>
      <c r="F45" s="40"/>
      <c r="G45" s="142"/>
      <c r="H45" s="159">
        <v>40</v>
      </c>
      <c r="I45" s="160" t="str">
        <f t="shared" si="4"/>
        <v/>
      </c>
      <c r="J45" s="159" t="e">
        <f t="shared" si="5"/>
        <v>#NUM!</v>
      </c>
      <c r="K45" s="159" t="e">
        <f t="shared" si="1"/>
        <v>#NUM!</v>
      </c>
      <c r="L45" s="159"/>
      <c r="M45" s="161">
        <f t="shared" si="2"/>
        <v>0</v>
      </c>
    </row>
    <row r="46" spans="1:21" x14ac:dyDescent="0.25">
      <c r="A46" s="49"/>
      <c r="B46" s="33" t="str">
        <f t="shared" si="6"/>
        <v/>
      </c>
      <c r="C46" s="34"/>
      <c r="D46" s="34"/>
      <c r="E46" s="34"/>
      <c r="F46" s="34"/>
      <c r="G46" s="142"/>
      <c r="H46" s="156">
        <v>41</v>
      </c>
      <c r="I46" s="157" t="str">
        <f t="shared" si="4"/>
        <v/>
      </c>
      <c r="J46" s="156" t="e">
        <f t="shared" si="5"/>
        <v>#NUM!</v>
      </c>
      <c r="K46" s="156" t="e">
        <f t="shared" si="1"/>
        <v>#NUM!</v>
      </c>
      <c r="L46" s="156"/>
      <c r="M46" s="158">
        <f t="shared" si="2"/>
        <v>0</v>
      </c>
      <c r="R46" s="142" t="e">
        <f>LOG($H$2,2)</f>
        <v>#NUM!</v>
      </c>
      <c r="T46" s="147">
        <f>LOG(H38,2)</f>
        <v>5.0443941193584534</v>
      </c>
      <c r="U46" s="147" t="e">
        <f>R46-T46</f>
        <v>#NUM!</v>
      </c>
    </row>
    <row r="47" spans="1:21" x14ac:dyDescent="0.25">
      <c r="A47" s="48"/>
      <c r="B47" s="39" t="str">
        <f t="shared" si="6"/>
        <v/>
      </c>
      <c r="C47" s="40"/>
      <c r="D47" s="40"/>
      <c r="E47" s="40"/>
      <c r="F47" s="40"/>
      <c r="G47" s="142"/>
      <c r="H47" s="159">
        <v>42</v>
      </c>
      <c r="I47" s="160" t="str">
        <f t="shared" si="4"/>
        <v/>
      </c>
      <c r="J47" s="159" t="e">
        <f t="shared" si="5"/>
        <v>#NUM!</v>
      </c>
      <c r="K47" s="159" t="e">
        <f t="shared" si="1"/>
        <v>#NUM!</v>
      </c>
      <c r="L47" s="159"/>
      <c r="M47" s="161">
        <f t="shared" si="2"/>
        <v>0</v>
      </c>
    </row>
    <row r="48" spans="1:21" x14ac:dyDescent="0.25">
      <c r="A48" s="49"/>
      <c r="B48" s="33" t="str">
        <f t="shared" si="6"/>
        <v/>
      </c>
      <c r="C48" s="34"/>
      <c r="D48" s="34"/>
      <c r="E48" s="34"/>
      <c r="F48" s="34"/>
      <c r="G48" s="142"/>
      <c r="H48" s="156">
        <v>43</v>
      </c>
      <c r="I48" s="157" t="str">
        <f t="shared" si="4"/>
        <v/>
      </c>
      <c r="J48" s="156" t="e">
        <f t="shared" si="5"/>
        <v>#NUM!</v>
      </c>
      <c r="K48" s="156" t="e">
        <f t="shared" si="1"/>
        <v>#NUM!</v>
      </c>
      <c r="L48" s="156"/>
      <c r="M48" s="158">
        <f t="shared" si="2"/>
        <v>0</v>
      </c>
    </row>
    <row r="49" spans="1:13" x14ac:dyDescent="0.25">
      <c r="A49" s="48"/>
      <c r="B49" s="39" t="str">
        <f t="shared" si="6"/>
        <v/>
      </c>
      <c r="C49" s="40"/>
      <c r="D49" s="40"/>
      <c r="E49" s="40"/>
      <c r="F49" s="40"/>
      <c r="G49" s="142"/>
      <c r="H49" s="159">
        <v>44</v>
      </c>
      <c r="I49" s="160" t="str">
        <f t="shared" si="4"/>
        <v/>
      </c>
      <c r="J49" s="159" t="e">
        <f t="shared" si="5"/>
        <v>#NUM!</v>
      </c>
      <c r="K49" s="159" t="e">
        <f t="shared" si="1"/>
        <v>#NUM!</v>
      </c>
      <c r="L49" s="159"/>
      <c r="M49" s="161">
        <f t="shared" si="2"/>
        <v>0</v>
      </c>
    </row>
    <row r="50" spans="1:13" x14ac:dyDescent="0.25">
      <c r="A50" s="49"/>
      <c r="B50" s="33" t="str">
        <f t="shared" si="6"/>
        <v/>
      </c>
      <c r="C50" s="34"/>
      <c r="D50" s="34"/>
      <c r="E50" s="34"/>
      <c r="F50" s="34"/>
      <c r="G50" s="142"/>
      <c r="H50" s="156">
        <v>45</v>
      </c>
      <c r="I50" s="157" t="str">
        <f t="shared" si="4"/>
        <v/>
      </c>
      <c r="J50" s="156" t="e">
        <f t="shared" si="5"/>
        <v>#NUM!</v>
      </c>
      <c r="K50" s="156" t="e">
        <f t="shared" si="1"/>
        <v>#NUM!</v>
      </c>
      <c r="L50" s="156"/>
      <c r="M50" s="158">
        <f t="shared" si="2"/>
        <v>0</v>
      </c>
    </row>
    <row r="51" spans="1:13" x14ac:dyDescent="0.25">
      <c r="A51" s="48"/>
      <c r="B51" s="39" t="str">
        <f t="shared" si="6"/>
        <v/>
      </c>
      <c r="C51" s="40"/>
      <c r="D51" s="40"/>
      <c r="E51" s="40"/>
      <c r="F51" s="40"/>
      <c r="G51" s="142"/>
      <c r="H51" s="159">
        <v>46</v>
      </c>
      <c r="I51" s="160" t="str">
        <f t="shared" si="4"/>
        <v/>
      </c>
      <c r="J51" s="159" t="e">
        <f t="shared" si="5"/>
        <v>#NUM!</v>
      </c>
      <c r="K51" s="159" t="e">
        <f t="shared" si="1"/>
        <v>#NUM!</v>
      </c>
      <c r="L51" s="159"/>
      <c r="M51" s="161">
        <f t="shared" si="2"/>
        <v>0</v>
      </c>
    </row>
    <row r="52" spans="1:13" x14ac:dyDescent="0.25">
      <c r="A52" s="49"/>
      <c r="B52" s="33" t="str">
        <f t="shared" si="6"/>
        <v/>
      </c>
      <c r="C52" s="34"/>
      <c r="D52" s="34"/>
      <c r="E52" s="34"/>
      <c r="F52" s="34"/>
      <c r="G52" s="142"/>
      <c r="H52" s="156">
        <v>47</v>
      </c>
      <c r="I52" s="157" t="str">
        <f t="shared" si="4"/>
        <v/>
      </c>
      <c r="J52" s="156" t="e">
        <f t="shared" si="5"/>
        <v>#NUM!</v>
      </c>
      <c r="K52" s="156" t="e">
        <f t="shared" si="1"/>
        <v>#NUM!</v>
      </c>
      <c r="L52" s="156"/>
      <c r="M52" s="158">
        <f t="shared" si="2"/>
        <v>0</v>
      </c>
    </row>
    <row r="53" spans="1:13" x14ac:dyDescent="0.25">
      <c r="A53" s="48"/>
      <c r="B53" s="39" t="str">
        <f t="shared" si="6"/>
        <v/>
      </c>
      <c r="C53" s="40"/>
      <c r="D53" s="40"/>
      <c r="E53" s="40"/>
      <c r="F53" s="40"/>
      <c r="G53" s="142"/>
      <c r="H53" s="159">
        <v>48</v>
      </c>
      <c r="I53" s="160" t="str">
        <f t="shared" si="4"/>
        <v/>
      </c>
      <c r="J53" s="159" t="e">
        <f t="shared" si="5"/>
        <v>#NUM!</v>
      </c>
      <c r="K53" s="159" t="e">
        <f t="shared" si="1"/>
        <v>#NUM!</v>
      </c>
      <c r="L53" s="159"/>
      <c r="M53" s="161">
        <f t="shared" si="2"/>
        <v>0</v>
      </c>
    </row>
    <row r="54" spans="1:13" x14ac:dyDescent="0.25">
      <c r="A54" s="49"/>
      <c r="B54" s="33" t="str">
        <f t="shared" si="6"/>
        <v/>
      </c>
      <c r="C54" s="34"/>
      <c r="D54" s="34"/>
      <c r="E54" s="34"/>
      <c r="F54" s="34"/>
      <c r="G54" s="142"/>
      <c r="H54" s="156">
        <v>49</v>
      </c>
      <c r="I54" s="157" t="str">
        <f t="shared" si="4"/>
        <v/>
      </c>
      <c r="J54" s="156" t="e">
        <f t="shared" si="5"/>
        <v>#NUM!</v>
      </c>
      <c r="K54" s="156" t="e">
        <f t="shared" si="1"/>
        <v>#NUM!</v>
      </c>
      <c r="L54" s="156"/>
      <c r="M54" s="158">
        <f t="shared" si="2"/>
        <v>0</v>
      </c>
    </row>
    <row r="55" spans="1:13" x14ac:dyDescent="0.25">
      <c r="A55" s="48"/>
      <c r="B55" s="39" t="str">
        <f t="shared" si="6"/>
        <v/>
      </c>
      <c r="C55" s="40"/>
      <c r="D55" s="40"/>
      <c r="E55" s="40"/>
      <c r="F55" s="40"/>
      <c r="G55" s="142"/>
      <c r="H55" s="159">
        <v>50</v>
      </c>
      <c r="I55" s="160" t="str">
        <f t="shared" si="4"/>
        <v/>
      </c>
      <c r="J55" s="159" t="e">
        <f t="shared" si="5"/>
        <v>#NUM!</v>
      </c>
      <c r="K55" s="159" t="e">
        <f t="shared" si="1"/>
        <v>#NUM!</v>
      </c>
      <c r="L55" s="159"/>
      <c r="M55" s="161">
        <f t="shared" si="2"/>
        <v>0</v>
      </c>
    </row>
    <row r="56" spans="1:13" x14ac:dyDescent="0.25">
      <c r="A56" s="49"/>
      <c r="B56" s="33" t="str">
        <f t="shared" si="6"/>
        <v/>
      </c>
      <c r="C56" s="34"/>
      <c r="D56" s="34"/>
      <c r="E56" s="34"/>
      <c r="F56" s="34"/>
      <c r="G56" s="142"/>
      <c r="H56" s="156">
        <v>51</v>
      </c>
      <c r="I56" s="157" t="str">
        <f t="shared" si="4"/>
        <v/>
      </c>
      <c r="J56" s="156" t="e">
        <f t="shared" si="5"/>
        <v>#NUM!</v>
      </c>
      <c r="K56" s="156" t="e">
        <f t="shared" si="1"/>
        <v>#NUM!</v>
      </c>
      <c r="L56" s="156"/>
      <c r="M56" s="158">
        <f t="shared" si="2"/>
        <v>0</v>
      </c>
    </row>
    <row r="57" spans="1:13" x14ac:dyDescent="0.25">
      <c r="A57" s="48"/>
      <c r="B57" s="39" t="str">
        <f t="shared" si="6"/>
        <v/>
      </c>
      <c r="C57" s="40"/>
      <c r="D57" s="40"/>
      <c r="E57" s="40"/>
      <c r="F57" s="40"/>
      <c r="G57" s="142"/>
      <c r="H57" s="159">
        <v>52</v>
      </c>
      <c r="I57" s="160" t="str">
        <f t="shared" si="4"/>
        <v/>
      </c>
      <c r="J57" s="159" t="e">
        <f t="shared" si="5"/>
        <v>#NUM!</v>
      </c>
      <c r="K57" s="159" t="e">
        <f t="shared" si="1"/>
        <v>#NUM!</v>
      </c>
      <c r="L57" s="159"/>
      <c r="M57" s="161">
        <f t="shared" si="2"/>
        <v>0</v>
      </c>
    </row>
    <row r="58" spans="1:13" x14ac:dyDescent="0.25">
      <c r="A58" s="49"/>
      <c r="B58" s="33" t="str">
        <f t="shared" si="6"/>
        <v/>
      </c>
      <c r="C58" s="34"/>
      <c r="D58" s="34"/>
      <c r="E58" s="34"/>
      <c r="F58" s="34"/>
      <c r="G58" s="142"/>
      <c r="H58" s="156">
        <v>53</v>
      </c>
      <c r="I58" s="157" t="str">
        <f t="shared" si="4"/>
        <v/>
      </c>
      <c r="J58" s="156" t="e">
        <f t="shared" si="5"/>
        <v>#NUM!</v>
      </c>
      <c r="K58" s="156" t="e">
        <f t="shared" si="1"/>
        <v>#NUM!</v>
      </c>
      <c r="L58" s="156"/>
      <c r="M58" s="158">
        <f t="shared" si="2"/>
        <v>0</v>
      </c>
    </row>
    <row r="59" spans="1:13" x14ac:dyDescent="0.25">
      <c r="A59" s="48"/>
      <c r="B59" s="39" t="str">
        <f t="shared" si="6"/>
        <v/>
      </c>
      <c r="C59" s="40"/>
      <c r="D59" s="40"/>
      <c r="E59" s="40"/>
      <c r="F59" s="40"/>
      <c r="G59" s="142"/>
      <c r="H59" s="159">
        <v>54</v>
      </c>
      <c r="I59" s="160" t="str">
        <f t="shared" si="4"/>
        <v/>
      </c>
      <c r="J59" s="159" t="e">
        <f t="shared" si="5"/>
        <v>#NUM!</v>
      </c>
      <c r="K59" s="159" t="e">
        <f t="shared" si="1"/>
        <v>#NUM!</v>
      </c>
      <c r="L59" s="159"/>
      <c r="M59" s="161">
        <f t="shared" si="2"/>
        <v>0</v>
      </c>
    </row>
    <row r="60" spans="1:13" x14ac:dyDescent="0.25">
      <c r="A60" s="49"/>
      <c r="B60" s="33" t="str">
        <f t="shared" si="6"/>
        <v/>
      </c>
      <c r="C60" s="34"/>
      <c r="D60" s="34"/>
      <c r="E60" s="34"/>
      <c r="F60" s="34"/>
      <c r="G60" s="142"/>
      <c r="H60" s="156">
        <v>55</v>
      </c>
      <c r="I60" s="157" t="str">
        <f t="shared" si="4"/>
        <v/>
      </c>
      <c r="J60" s="156" t="e">
        <f t="shared" si="5"/>
        <v>#NUM!</v>
      </c>
      <c r="K60" s="156" t="e">
        <f t="shared" si="1"/>
        <v>#NUM!</v>
      </c>
      <c r="L60" s="156"/>
      <c r="M60" s="158">
        <f t="shared" si="2"/>
        <v>0</v>
      </c>
    </row>
    <row r="61" spans="1:13" x14ac:dyDescent="0.25">
      <c r="A61" s="48"/>
      <c r="B61" s="39" t="str">
        <f t="shared" si="6"/>
        <v/>
      </c>
      <c r="C61" s="40"/>
      <c r="D61" s="40"/>
      <c r="E61" s="40"/>
      <c r="F61" s="40"/>
      <c r="G61" s="142"/>
      <c r="H61" s="159">
        <v>56</v>
      </c>
      <c r="I61" s="160" t="str">
        <f t="shared" si="4"/>
        <v/>
      </c>
      <c r="J61" s="159" t="e">
        <f t="shared" si="5"/>
        <v>#NUM!</v>
      </c>
      <c r="K61" s="159" t="e">
        <f t="shared" si="1"/>
        <v>#NUM!</v>
      </c>
      <c r="L61" s="159"/>
      <c r="M61" s="161">
        <f t="shared" si="2"/>
        <v>0</v>
      </c>
    </row>
    <row r="62" spans="1:13" x14ac:dyDescent="0.25">
      <c r="A62" s="49"/>
      <c r="B62" s="33" t="str">
        <f t="shared" si="6"/>
        <v/>
      </c>
      <c r="C62" s="34"/>
      <c r="D62" s="34"/>
      <c r="E62" s="34"/>
      <c r="F62" s="34"/>
      <c r="G62" s="142"/>
      <c r="H62" s="156">
        <v>57</v>
      </c>
      <c r="I62" s="157" t="str">
        <f t="shared" si="4"/>
        <v/>
      </c>
      <c r="J62" s="156" t="e">
        <f t="shared" si="5"/>
        <v>#NUM!</v>
      </c>
      <c r="K62" s="156" t="e">
        <f t="shared" si="1"/>
        <v>#NUM!</v>
      </c>
      <c r="L62" s="156"/>
      <c r="M62" s="158">
        <f t="shared" si="2"/>
        <v>0</v>
      </c>
    </row>
    <row r="63" spans="1:13" x14ac:dyDescent="0.25">
      <c r="A63" s="48"/>
      <c r="B63" s="39" t="str">
        <f t="shared" si="6"/>
        <v/>
      </c>
      <c r="C63" s="40"/>
      <c r="D63" s="40"/>
      <c r="E63" s="40"/>
      <c r="F63" s="40"/>
      <c r="G63" s="142"/>
      <c r="H63" s="159">
        <v>58</v>
      </c>
      <c r="I63" s="160" t="str">
        <f t="shared" si="4"/>
        <v/>
      </c>
      <c r="J63" s="159" t="e">
        <f t="shared" si="5"/>
        <v>#NUM!</v>
      </c>
      <c r="K63" s="159" t="e">
        <f t="shared" si="1"/>
        <v>#NUM!</v>
      </c>
      <c r="L63" s="159"/>
      <c r="M63" s="161">
        <f t="shared" si="2"/>
        <v>0</v>
      </c>
    </row>
    <row r="64" spans="1:13" x14ac:dyDescent="0.25">
      <c r="A64" s="49"/>
      <c r="B64" s="33" t="str">
        <f t="shared" si="6"/>
        <v/>
      </c>
      <c r="C64" s="34"/>
      <c r="D64" s="34"/>
      <c r="E64" s="34"/>
      <c r="F64" s="34"/>
      <c r="G64" s="142"/>
      <c r="H64" s="156">
        <v>59</v>
      </c>
      <c r="I64" s="157" t="str">
        <f t="shared" si="4"/>
        <v/>
      </c>
      <c r="J64" s="156" t="e">
        <f t="shared" si="5"/>
        <v>#NUM!</v>
      </c>
      <c r="K64" s="156" t="e">
        <f t="shared" si="1"/>
        <v>#NUM!</v>
      </c>
      <c r="L64" s="156"/>
      <c r="M64" s="158">
        <f t="shared" si="2"/>
        <v>0</v>
      </c>
    </row>
    <row r="65" spans="1:13" x14ac:dyDescent="0.25">
      <c r="A65" s="48"/>
      <c r="B65" s="39" t="str">
        <f t="shared" si="6"/>
        <v/>
      </c>
      <c r="C65" s="40"/>
      <c r="D65" s="40"/>
      <c r="E65" s="40"/>
      <c r="F65" s="40"/>
      <c r="G65" s="142"/>
      <c r="H65" s="159">
        <v>60</v>
      </c>
      <c r="I65" s="160" t="str">
        <f t="shared" si="4"/>
        <v/>
      </c>
      <c r="J65" s="159" t="e">
        <f t="shared" si="5"/>
        <v>#NUM!</v>
      </c>
      <c r="K65" s="159" t="e">
        <f t="shared" si="1"/>
        <v>#NUM!</v>
      </c>
      <c r="L65" s="159"/>
      <c r="M65" s="161">
        <f t="shared" si="2"/>
        <v>0</v>
      </c>
    </row>
    <row r="66" spans="1:13" x14ac:dyDescent="0.25">
      <c r="A66" s="172"/>
      <c r="B66" s="33"/>
      <c r="G66" s="142"/>
      <c r="H66" s="156">
        <v>61</v>
      </c>
      <c r="I66" s="157" t="str">
        <f t="shared" si="4"/>
        <v/>
      </c>
      <c r="J66" s="156" t="e">
        <f t="shared" si="5"/>
        <v>#NUM!</v>
      </c>
      <c r="K66" s="156" t="e">
        <f t="shared" si="1"/>
        <v>#NUM!</v>
      </c>
      <c r="L66" s="156"/>
      <c r="M66" s="158">
        <f t="shared" si="2"/>
        <v>0</v>
      </c>
    </row>
    <row r="67" spans="1:13" x14ac:dyDescent="0.25">
      <c r="A67" s="172"/>
      <c r="B67" s="39"/>
      <c r="G67" s="142"/>
      <c r="H67" s="156">
        <v>62</v>
      </c>
      <c r="I67" s="157" t="str">
        <f t="shared" si="4"/>
        <v/>
      </c>
      <c r="J67" s="156" t="e">
        <f t="shared" si="5"/>
        <v>#NUM!</v>
      </c>
      <c r="K67" s="156" t="e">
        <f t="shared" si="1"/>
        <v>#NUM!</v>
      </c>
      <c r="L67" s="156"/>
      <c r="M67" s="158">
        <f t="shared" si="2"/>
        <v>0</v>
      </c>
    </row>
    <row r="68" spans="1:13" x14ac:dyDescent="0.25">
      <c r="A68" s="172"/>
      <c r="B68" s="33"/>
      <c r="G68" s="142"/>
      <c r="H68" s="156">
        <v>63</v>
      </c>
      <c r="I68" s="157" t="str">
        <f t="shared" si="4"/>
        <v/>
      </c>
      <c r="J68" s="156" t="e">
        <f t="shared" si="5"/>
        <v>#NUM!</v>
      </c>
      <c r="K68" s="156" t="e">
        <f t="shared" si="1"/>
        <v>#NUM!</v>
      </c>
      <c r="L68" s="156"/>
      <c r="M68" s="158">
        <f t="shared" si="2"/>
        <v>0</v>
      </c>
    </row>
    <row r="69" spans="1:13" x14ac:dyDescent="0.25">
      <c r="A69" s="172"/>
      <c r="B69" s="39"/>
      <c r="G69" s="142"/>
      <c r="H69" s="156">
        <v>64</v>
      </c>
      <c r="I69" s="157" t="str">
        <f t="shared" si="4"/>
        <v/>
      </c>
      <c r="J69" s="156" t="e">
        <f t="shared" si="5"/>
        <v>#NUM!</v>
      </c>
      <c r="K69" s="156" t="e">
        <f t="shared" si="1"/>
        <v>#NUM!</v>
      </c>
      <c r="L69" s="156"/>
      <c r="M69" s="158">
        <f t="shared" si="2"/>
        <v>0</v>
      </c>
    </row>
    <row r="70" spans="1:13" x14ac:dyDescent="0.25">
      <c r="A70" s="172"/>
      <c r="G70" s="142"/>
      <c r="H70" s="156">
        <v>65</v>
      </c>
      <c r="I70" s="157" t="str">
        <f t="shared" si="4"/>
        <v/>
      </c>
      <c r="J70" s="156" t="e">
        <f t="shared" si="5"/>
        <v>#NUM!</v>
      </c>
      <c r="K70" s="156" t="e">
        <f t="shared" ref="K70:K133" si="7">J70*$J$2</f>
        <v>#NUM!</v>
      </c>
      <c r="L70" s="156"/>
      <c r="M70" s="158">
        <f t="shared" ref="M70:M133" si="8">IF(I70&lt;&gt;"",K70+I70+L70,0)</f>
        <v>0</v>
      </c>
    </row>
    <row r="71" spans="1:13" x14ac:dyDescent="0.25">
      <c r="A71" s="172"/>
      <c r="G71" s="142"/>
      <c r="H71" s="156">
        <v>66</v>
      </c>
      <c r="I71" s="157" t="str">
        <f t="shared" ref="I71:I134" si="9">IF(H71&lt;$H$2+1,($I$2-($I$2-1)*(LOG(H71)/LOG($H$2))),"")</f>
        <v/>
      </c>
      <c r="J71" s="156" t="e">
        <f t="shared" ref="J71:J134" si="10">INT(LOG($H$2,2))-ROUNDUP(LOG(H71,2),0)+IF(OR($H$2=1,$H$2=2,$H$2=4,$H$2=8,$H$2=16,$H$2=32,$H$2=64,$H$2=128,$H$2=256),0,1)</f>
        <v>#NUM!</v>
      </c>
      <c r="K71" s="156" t="e">
        <f t="shared" si="7"/>
        <v>#NUM!</v>
      </c>
      <c r="L71" s="156"/>
      <c r="M71" s="158">
        <f t="shared" si="8"/>
        <v>0</v>
      </c>
    </row>
    <row r="72" spans="1:13" x14ac:dyDescent="0.25">
      <c r="A72" s="172"/>
      <c r="G72" s="142"/>
      <c r="H72" s="156">
        <v>67</v>
      </c>
      <c r="I72" s="157" t="str">
        <f t="shared" si="9"/>
        <v/>
      </c>
      <c r="J72" s="156" t="e">
        <f t="shared" si="10"/>
        <v>#NUM!</v>
      </c>
      <c r="K72" s="156" t="e">
        <f t="shared" si="7"/>
        <v>#NUM!</v>
      </c>
      <c r="L72" s="156"/>
      <c r="M72" s="158">
        <f t="shared" si="8"/>
        <v>0</v>
      </c>
    </row>
    <row r="73" spans="1:13" x14ac:dyDescent="0.25">
      <c r="A73" s="172"/>
      <c r="G73" s="142"/>
      <c r="H73" s="156">
        <v>68</v>
      </c>
      <c r="I73" s="157" t="str">
        <f t="shared" si="9"/>
        <v/>
      </c>
      <c r="J73" s="156" t="e">
        <f t="shared" si="10"/>
        <v>#NUM!</v>
      </c>
      <c r="K73" s="156" t="e">
        <f t="shared" si="7"/>
        <v>#NUM!</v>
      </c>
      <c r="L73" s="156"/>
      <c r="M73" s="158">
        <f t="shared" si="8"/>
        <v>0</v>
      </c>
    </row>
    <row r="74" spans="1:13" x14ac:dyDescent="0.25">
      <c r="A74" s="172"/>
      <c r="G74" s="142"/>
      <c r="H74" s="156">
        <v>69</v>
      </c>
      <c r="I74" s="157" t="str">
        <f t="shared" si="9"/>
        <v/>
      </c>
      <c r="J74" s="156" t="e">
        <f t="shared" si="10"/>
        <v>#NUM!</v>
      </c>
      <c r="K74" s="156" t="e">
        <f t="shared" si="7"/>
        <v>#NUM!</v>
      </c>
      <c r="L74" s="156"/>
      <c r="M74" s="158">
        <f t="shared" si="8"/>
        <v>0</v>
      </c>
    </row>
    <row r="75" spans="1:13" x14ac:dyDescent="0.25">
      <c r="A75" s="172"/>
      <c r="G75" s="142"/>
      <c r="H75" s="156">
        <v>70</v>
      </c>
      <c r="I75" s="157" t="str">
        <f t="shared" si="9"/>
        <v/>
      </c>
      <c r="J75" s="156" t="e">
        <f t="shared" si="10"/>
        <v>#NUM!</v>
      </c>
      <c r="K75" s="156" t="e">
        <f t="shared" si="7"/>
        <v>#NUM!</v>
      </c>
      <c r="L75" s="156"/>
      <c r="M75" s="158">
        <f t="shared" si="8"/>
        <v>0</v>
      </c>
    </row>
    <row r="76" spans="1:13" x14ac:dyDescent="0.25">
      <c r="A76" s="172"/>
      <c r="G76" s="142"/>
      <c r="H76" s="156">
        <v>71</v>
      </c>
      <c r="I76" s="157" t="str">
        <f t="shared" si="9"/>
        <v/>
      </c>
      <c r="J76" s="156" t="e">
        <f t="shared" si="10"/>
        <v>#NUM!</v>
      </c>
      <c r="K76" s="156" t="e">
        <f t="shared" si="7"/>
        <v>#NUM!</v>
      </c>
      <c r="L76" s="156"/>
      <c r="M76" s="158">
        <f t="shared" si="8"/>
        <v>0</v>
      </c>
    </row>
    <row r="77" spans="1:13" x14ac:dyDescent="0.25">
      <c r="A77" s="172"/>
      <c r="G77" s="142"/>
      <c r="H77" s="156">
        <v>72</v>
      </c>
      <c r="I77" s="157" t="str">
        <f t="shared" si="9"/>
        <v/>
      </c>
      <c r="J77" s="156" t="e">
        <f t="shared" si="10"/>
        <v>#NUM!</v>
      </c>
      <c r="K77" s="156" t="e">
        <f t="shared" si="7"/>
        <v>#NUM!</v>
      </c>
      <c r="L77" s="156"/>
      <c r="M77" s="158">
        <f t="shared" si="8"/>
        <v>0</v>
      </c>
    </row>
    <row r="78" spans="1:13" x14ac:dyDescent="0.25">
      <c r="A78" s="172"/>
      <c r="G78" s="142"/>
      <c r="H78" s="156">
        <v>73</v>
      </c>
      <c r="I78" s="157" t="str">
        <f t="shared" si="9"/>
        <v/>
      </c>
      <c r="J78" s="156" t="e">
        <f t="shared" si="10"/>
        <v>#NUM!</v>
      </c>
      <c r="K78" s="156" t="e">
        <f t="shared" si="7"/>
        <v>#NUM!</v>
      </c>
      <c r="L78" s="156"/>
      <c r="M78" s="158">
        <f t="shared" si="8"/>
        <v>0</v>
      </c>
    </row>
    <row r="79" spans="1:13" x14ac:dyDescent="0.25">
      <c r="A79" s="172"/>
      <c r="G79" s="142"/>
      <c r="H79" s="156">
        <v>74</v>
      </c>
      <c r="I79" s="157" t="str">
        <f t="shared" si="9"/>
        <v/>
      </c>
      <c r="J79" s="156" t="e">
        <f t="shared" si="10"/>
        <v>#NUM!</v>
      </c>
      <c r="K79" s="156" t="e">
        <f t="shared" si="7"/>
        <v>#NUM!</v>
      </c>
      <c r="L79" s="156"/>
      <c r="M79" s="158">
        <f t="shared" si="8"/>
        <v>0</v>
      </c>
    </row>
    <row r="80" spans="1:13" x14ac:dyDescent="0.25">
      <c r="A80" s="172"/>
      <c r="G80" s="142"/>
      <c r="H80" s="156">
        <v>75</v>
      </c>
      <c r="I80" s="157" t="str">
        <f t="shared" si="9"/>
        <v/>
      </c>
      <c r="J80" s="156" t="e">
        <f t="shared" si="10"/>
        <v>#NUM!</v>
      </c>
      <c r="K80" s="156" t="e">
        <f t="shared" si="7"/>
        <v>#NUM!</v>
      </c>
      <c r="L80" s="156"/>
      <c r="M80" s="158">
        <f t="shared" si="8"/>
        <v>0</v>
      </c>
    </row>
    <row r="81" spans="1:13" x14ac:dyDescent="0.25">
      <c r="A81" s="172"/>
      <c r="G81" s="142"/>
      <c r="H81" s="156">
        <v>76</v>
      </c>
      <c r="I81" s="157" t="str">
        <f t="shared" si="9"/>
        <v/>
      </c>
      <c r="J81" s="156" t="e">
        <f t="shared" si="10"/>
        <v>#NUM!</v>
      </c>
      <c r="K81" s="156" t="e">
        <f t="shared" si="7"/>
        <v>#NUM!</v>
      </c>
      <c r="L81" s="156"/>
      <c r="M81" s="158">
        <f t="shared" si="8"/>
        <v>0</v>
      </c>
    </row>
    <row r="82" spans="1:13" x14ac:dyDescent="0.25">
      <c r="A82" s="172"/>
      <c r="G82" s="142"/>
      <c r="H82" s="156">
        <v>77</v>
      </c>
      <c r="I82" s="157" t="str">
        <f t="shared" si="9"/>
        <v/>
      </c>
      <c r="J82" s="156" t="e">
        <f t="shared" si="10"/>
        <v>#NUM!</v>
      </c>
      <c r="K82" s="156" t="e">
        <f t="shared" si="7"/>
        <v>#NUM!</v>
      </c>
      <c r="L82" s="156"/>
      <c r="M82" s="158">
        <f t="shared" si="8"/>
        <v>0</v>
      </c>
    </row>
    <row r="83" spans="1:13" x14ac:dyDescent="0.25">
      <c r="A83" s="172"/>
      <c r="G83" s="142"/>
      <c r="H83" s="156">
        <v>78</v>
      </c>
      <c r="I83" s="157" t="str">
        <f t="shared" si="9"/>
        <v/>
      </c>
      <c r="J83" s="156" t="e">
        <f t="shared" si="10"/>
        <v>#NUM!</v>
      </c>
      <c r="K83" s="156" t="e">
        <f t="shared" si="7"/>
        <v>#NUM!</v>
      </c>
      <c r="L83" s="156"/>
      <c r="M83" s="158">
        <f t="shared" si="8"/>
        <v>0</v>
      </c>
    </row>
    <row r="84" spans="1:13" x14ac:dyDescent="0.25">
      <c r="A84" s="172"/>
      <c r="G84" s="142"/>
      <c r="H84" s="156">
        <v>79</v>
      </c>
      <c r="I84" s="157" t="str">
        <f t="shared" si="9"/>
        <v/>
      </c>
      <c r="J84" s="156" t="e">
        <f t="shared" si="10"/>
        <v>#NUM!</v>
      </c>
      <c r="K84" s="156" t="e">
        <f t="shared" si="7"/>
        <v>#NUM!</v>
      </c>
      <c r="L84" s="156"/>
      <c r="M84" s="158">
        <f t="shared" si="8"/>
        <v>0</v>
      </c>
    </row>
    <row r="85" spans="1:13" x14ac:dyDescent="0.25">
      <c r="A85" s="172"/>
      <c r="G85" s="142"/>
      <c r="H85" s="156">
        <v>80</v>
      </c>
      <c r="I85" s="157" t="str">
        <f t="shared" si="9"/>
        <v/>
      </c>
      <c r="J85" s="156" t="e">
        <f t="shared" si="10"/>
        <v>#NUM!</v>
      </c>
      <c r="K85" s="156" t="e">
        <f t="shared" si="7"/>
        <v>#NUM!</v>
      </c>
      <c r="L85" s="156"/>
      <c r="M85" s="158">
        <f t="shared" si="8"/>
        <v>0</v>
      </c>
    </row>
    <row r="86" spans="1:13" x14ac:dyDescent="0.25">
      <c r="A86" s="172"/>
      <c r="G86" s="142"/>
      <c r="H86" s="156">
        <v>81</v>
      </c>
      <c r="I86" s="157" t="str">
        <f t="shared" si="9"/>
        <v/>
      </c>
      <c r="J86" s="156" t="e">
        <f t="shared" si="10"/>
        <v>#NUM!</v>
      </c>
      <c r="K86" s="156" t="e">
        <f t="shared" si="7"/>
        <v>#NUM!</v>
      </c>
      <c r="L86" s="156"/>
      <c r="M86" s="158">
        <f t="shared" si="8"/>
        <v>0</v>
      </c>
    </row>
    <row r="87" spans="1:13" x14ac:dyDescent="0.25">
      <c r="A87" s="172"/>
      <c r="G87" s="142"/>
      <c r="H87" s="156">
        <v>82</v>
      </c>
      <c r="I87" s="157" t="str">
        <f t="shared" si="9"/>
        <v/>
      </c>
      <c r="J87" s="156" t="e">
        <f t="shared" si="10"/>
        <v>#NUM!</v>
      </c>
      <c r="K87" s="156" t="e">
        <f t="shared" si="7"/>
        <v>#NUM!</v>
      </c>
      <c r="L87" s="156"/>
      <c r="M87" s="158">
        <f t="shared" si="8"/>
        <v>0</v>
      </c>
    </row>
    <row r="88" spans="1:13" x14ac:dyDescent="0.25">
      <c r="A88" s="172"/>
      <c r="G88" s="142"/>
      <c r="H88" s="156">
        <v>83</v>
      </c>
      <c r="I88" s="157" t="str">
        <f t="shared" si="9"/>
        <v/>
      </c>
      <c r="J88" s="156" t="e">
        <f t="shared" si="10"/>
        <v>#NUM!</v>
      </c>
      <c r="K88" s="156" t="e">
        <f t="shared" si="7"/>
        <v>#NUM!</v>
      </c>
      <c r="L88" s="156"/>
      <c r="M88" s="158">
        <f t="shared" si="8"/>
        <v>0</v>
      </c>
    </row>
    <row r="89" spans="1:13" x14ac:dyDescent="0.25">
      <c r="A89" s="172"/>
      <c r="G89" s="142"/>
      <c r="H89" s="156">
        <v>84</v>
      </c>
      <c r="I89" s="157" t="str">
        <f t="shared" si="9"/>
        <v/>
      </c>
      <c r="J89" s="156" t="e">
        <f t="shared" si="10"/>
        <v>#NUM!</v>
      </c>
      <c r="K89" s="156" t="e">
        <f t="shared" si="7"/>
        <v>#NUM!</v>
      </c>
      <c r="L89" s="156"/>
      <c r="M89" s="158">
        <f t="shared" si="8"/>
        <v>0</v>
      </c>
    </row>
    <row r="90" spans="1:13" x14ac:dyDescent="0.25">
      <c r="A90" s="172"/>
      <c r="G90" s="142"/>
      <c r="H90" s="156">
        <v>85</v>
      </c>
      <c r="I90" s="157" t="str">
        <f t="shared" si="9"/>
        <v/>
      </c>
      <c r="J90" s="156" t="e">
        <f t="shared" si="10"/>
        <v>#NUM!</v>
      </c>
      <c r="K90" s="156" t="e">
        <f t="shared" si="7"/>
        <v>#NUM!</v>
      </c>
      <c r="L90" s="156"/>
      <c r="M90" s="158">
        <f t="shared" si="8"/>
        <v>0</v>
      </c>
    </row>
    <row r="91" spans="1:13" x14ac:dyDescent="0.25">
      <c r="A91" s="172"/>
      <c r="G91" s="142"/>
      <c r="H91" s="156">
        <v>86</v>
      </c>
      <c r="I91" s="157" t="str">
        <f t="shared" si="9"/>
        <v/>
      </c>
      <c r="J91" s="156" t="e">
        <f t="shared" si="10"/>
        <v>#NUM!</v>
      </c>
      <c r="K91" s="156" t="e">
        <f t="shared" si="7"/>
        <v>#NUM!</v>
      </c>
      <c r="L91" s="156"/>
      <c r="M91" s="158">
        <f t="shared" si="8"/>
        <v>0</v>
      </c>
    </row>
    <row r="92" spans="1:13" x14ac:dyDescent="0.25">
      <c r="A92" s="172"/>
      <c r="G92" s="142"/>
      <c r="H92" s="156">
        <v>87</v>
      </c>
      <c r="I92" s="157" t="str">
        <f t="shared" si="9"/>
        <v/>
      </c>
      <c r="J92" s="156" t="e">
        <f t="shared" si="10"/>
        <v>#NUM!</v>
      </c>
      <c r="K92" s="156" t="e">
        <f t="shared" si="7"/>
        <v>#NUM!</v>
      </c>
      <c r="L92" s="156"/>
      <c r="M92" s="158">
        <f t="shared" si="8"/>
        <v>0</v>
      </c>
    </row>
    <row r="93" spans="1:13" x14ac:dyDescent="0.25">
      <c r="A93" s="172"/>
      <c r="G93" s="142"/>
      <c r="H93" s="156">
        <v>88</v>
      </c>
      <c r="I93" s="157" t="str">
        <f t="shared" si="9"/>
        <v/>
      </c>
      <c r="J93" s="156" t="e">
        <f t="shared" si="10"/>
        <v>#NUM!</v>
      </c>
      <c r="K93" s="156" t="e">
        <f t="shared" si="7"/>
        <v>#NUM!</v>
      </c>
      <c r="L93" s="156"/>
      <c r="M93" s="158">
        <f t="shared" si="8"/>
        <v>0</v>
      </c>
    </row>
    <row r="94" spans="1:13" x14ac:dyDescent="0.25">
      <c r="A94" s="172"/>
      <c r="G94" s="142"/>
      <c r="H94" s="156">
        <v>89</v>
      </c>
      <c r="I94" s="157" t="str">
        <f t="shared" si="9"/>
        <v/>
      </c>
      <c r="J94" s="156" t="e">
        <f t="shared" si="10"/>
        <v>#NUM!</v>
      </c>
      <c r="K94" s="156" t="e">
        <f t="shared" si="7"/>
        <v>#NUM!</v>
      </c>
      <c r="L94" s="156"/>
      <c r="M94" s="158">
        <f t="shared" si="8"/>
        <v>0</v>
      </c>
    </row>
    <row r="95" spans="1:13" x14ac:dyDescent="0.25">
      <c r="A95" s="172"/>
      <c r="G95" s="142"/>
      <c r="H95" s="156">
        <v>90</v>
      </c>
      <c r="I95" s="157" t="str">
        <f t="shared" si="9"/>
        <v/>
      </c>
      <c r="J95" s="156" t="e">
        <f t="shared" si="10"/>
        <v>#NUM!</v>
      </c>
      <c r="K95" s="156" t="e">
        <f t="shared" si="7"/>
        <v>#NUM!</v>
      </c>
      <c r="L95" s="156"/>
      <c r="M95" s="158">
        <f t="shared" si="8"/>
        <v>0</v>
      </c>
    </row>
    <row r="96" spans="1:13" x14ac:dyDescent="0.25">
      <c r="A96" s="172"/>
      <c r="G96" s="142"/>
      <c r="H96" s="156">
        <v>91</v>
      </c>
      <c r="I96" s="157" t="str">
        <f t="shared" si="9"/>
        <v/>
      </c>
      <c r="J96" s="156" t="e">
        <f t="shared" si="10"/>
        <v>#NUM!</v>
      </c>
      <c r="K96" s="156" t="e">
        <f t="shared" si="7"/>
        <v>#NUM!</v>
      </c>
      <c r="L96" s="156"/>
      <c r="M96" s="158">
        <f t="shared" si="8"/>
        <v>0</v>
      </c>
    </row>
    <row r="97" spans="1:13" x14ac:dyDescent="0.25">
      <c r="A97" s="172"/>
      <c r="G97" s="142"/>
      <c r="H97" s="156">
        <v>92</v>
      </c>
      <c r="I97" s="157" t="str">
        <f t="shared" si="9"/>
        <v/>
      </c>
      <c r="J97" s="156" t="e">
        <f t="shared" si="10"/>
        <v>#NUM!</v>
      </c>
      <c r="K97" s="156" t="e">
        <f t="shared" si="7"/>
        <v>#NUM!</v>
      </c>
      <c r="L97" s="156"/>
      <c r="M97" s="158">
        <f t="shared" si="8"/>
        <v>0</v>
      </c>
    </row>
    <row r="98" spans="1:13" x14ac:dyDescent="0.25">
      <c r="A98" s="172"/>
      <c r="G98" s="142"/>
      <c r="H98" s="156">
        <v>93</v>
      </c>
      <c r="I98" s="157" t="str">
        <f t="shared" si="9"/>
        <v/>
      </c>
      <c r="J98" s="156" t="e">
        <f t="shared" si="10"/>
        <v>#NUM!</v>
      </c>
      <c r="K98" s="156" t="e">
        <f t="shared" si="7"/>
        <v>#NUM!</v>
      </c>
      <c r="L98" s="156"/>
      <c r="M98" s="158">
        <f t="shared" si="8"/>
        <v>0</v>
      </c>
    </row>
    <row r="99" spans="1:13" x14ac:dyDescent="0.25">
      <c r="A99" s="172"/>
      <c r="G99" s="142"/>
      <c r="H99" s="156">
        <v>94</v>
      </c>
      <c r="I99" s="157" t="str">
        <f t="shared" si="9"/>
        <v/>
      </c>
      <c r="J99" s="156" t="e">
        <f t="shared" si="10"/>
        <v>#NUM!</v>
      </c>
      <c r="K99" s="156" t="e">
        <f t="shared" si="7"/>
        <v>#NUM!</v>
      </c>
      <c r="L99" s="156"/>
      <c r="M99" s="158">
        <f t="shared" si="8"/>
        <v>0</v>
      </c>
    </row>
    <row r="100" spans="1:13" x14ac:dyDescent="0.25">
      <c r="A100" s="172"/>
      <c r="G100" s="142"/>
      <c r="H100" s="156">
        <v>95</v>
      </c>
      <c r="I100" s="157" t="str">
        <f t="shared" si="9"/>
        <v/>
      </c>
      <c r="J100" s="156" t="e">
        <f t="shared" si="10"/>
        <v>#NUM!</v>
      </c>
      <c r="K100" s="156" t="e">
        <f t="shared" si="7"/>
        <v>#NUM!</v>
      </c>
      <c r="L100" s="156"/>
      <c r="M100" s="158">
        <f t="shared" si="8"/>
        <v>0</v>
      </c>
    </row>
    <row r="101" spans="1:13" x14ac:dyDescent="0.25">
      <c r="A101" s="172"/>
      <c r="G101" s="142"/>
      <c r="H101" s="156">
        <v>96</v>
      </c>
      <c r="I101" s="157" t="str">
        <f t="shared" si="9"/>
        <v/>
      </c>
      <c r="J101" s="156" t="e">
        <f t="shared" si="10"/>
        <v>#NUM!</v>
      </c>
      <c r="K101" s="156" t="e">
        <f t="shared" si="7"/>
        <v>#NUM!</v>
      </c>
      <c r="L101" s="156"/>
      <c r="M101" s="158">
        <f t="shared" si="8"/>
        <v>0</v>
      </c>
    </row>
    <row r="102" spans="1:13" x14ac:dyDescent="0.25">
      <c r="A102" s="172"/>
      <c r="G102" s="142"/>
      <c r="H102" s="156">
        <v>97</v>
      </c>
      <c r="I102" s="157" t="str">
        <f t="shared" si="9"/>
        <v/>
      </c>
      <c r="J102" s="156" t="e">
        <f t="shared" si="10"/>
        <v>#NUM!</v>
      </c>
      <c r="K102" s="156" t="e">
        <f t="shared" si="7"/>
        <v>#NUM!</v>
      </c>
      <c r="L102" s="156"/>
      <c r="M102" s="158">
        <f t="shared" si="8"/>
        <v>0</v>
      </c>
    </row>
    <row r="103" spans="1:13" x14ac:dyDescent="0.25">
      <c r="A103" s="172"/>
      <c r="G103" s="142"/>
      <c r="H103" s="156">
        <v>98</v>
      </c>
      <c r="I103" s="157" t="str">
        <f t="shared" si="9"/>
        <v/>
      </c>
      <c r="J103" s="156" t="e">
        <f t="shared" si="10"/>
        <v>#NUM!</v>
      </c>
      <c r="K103" s="156" t="e">
        <f t="shared" si="7"/>
        <v>#NUM!</v>
      </c>
      <c r="L103" s="156"/>
      <c r="M103" s="158">
        <f t="shared" si="8"/>
        <v>0</v>
      </c>
    </row>
    <row r="104" spans="1:13" x14ac:dyDescent="0.25">
      <c r="A104" s="172"/>
      <c r="G104" s="142"/>
      <c r="H104" s="156">
        <v>99</v>
      </c>
      <c r="I104" s="157" t="str">
        <f t="shared" si="9"/>
        <v/>
      </c>
      <c r="J104" s="156" t="e">
        <f t="shared" si="10"/>
        <v>#NUM!</v>
      </c>
      <c r="K104" s="156" t="e">
        <f t="shared" si="7"/>
        <v>#NUM!</v>
      </c>
      <c r="L104" s="156"/>
      <c r="M104" s="158">
        <f t="shared" si="8"/>
        <v>0</v>
      </c>
    </row>
    <row r="105" spans="1:13" x14ac:dyDescent="0.25">
      <c r="A105" s="172"/>
      <c r="G105" s="142"/>
      <c r="H105" s="156">
        <v>100</v>
      </c>
      <c r="I105" s="157" t="str">
        <f t="shared" si="9"/>
        <v/>
      </c>
      <c r="J105" s="156" t="e">
        <f t="shared" si="10"/>
        <v>#NUM!</v>
      </c>
      <c r="K105" s="156" t="e">
        <f t="shared" si="7"/>
        <v>#NUM!</v>
      </c>
      <c r="L105" s="156"/>
      <c r="M105" s="158">
        <f t="shared" si="8"/>
        <v>0</v>
      </c>
    </row>
    <row r="106" spans="1:13" x14ac:dyDescent="0.25">
      <c r="A106" s="172"/>
      <c r="G106" s="142"/>
      <c r="H106" s="156">
        <v>101</v>
      </c>
      <c r="I106" s="157" t="str">
        <f t="shared" si="9"/>
        <v/>
      </c>
      <c r="J106" s="156" t="e">
        <f t="shared" si="10"/>
        <v>#NUM!</v>
      </c>
      <c r="K106" s="156" t="e">
        <f t="shared" si="7"/>
        <v>#NUM!</v>
      </c>
      <c r="L106" s="156"/>
      <c r="M106" s="158">
        <f t="shared" si="8"/>
        <v>0</v>
      </c>
    </row>
    <row r="107" spans="1:13" x14ac:dyDescent="0.25">
      <c r="A107" s="172"/>
      <c r="G107" s="142"/>
      <c r="H107" s="156">
        <v>102</v>
      </c>
      <c r="I107" s="157" t="str">
        <f t="shared" si="9"/>
        <v/>
      </c>
      <c r="J107" s="156" t="e">
        <f t="shared" si="10"/>
        <v>#NUM!</v>
      </c>
      <c r="K107" s="156" t="e">
        <f t="shared" si="7"/>
        <v>#NUM!</v>
      </c>
      <c r="L107" s="156"/>
      <c r="M107" s="158">
        <f t="shared" si="8"/>
        <v>0</v>
      </c>
    </row>
    <row r="108" spans="1:13" x14ac:dyDescent="0.25">
      <c r="A108" s="172"/>
      <c r="G108" s="142"/>
      <c r="H108" s="156">
        <v>103</v>
      </c>
      <c r="I108" s="157" t="str">
        <f t="shared" si="9"/>
        <v/>
      </c>
      <c r="J108" s="156" t="e">
        <f t="shared" si="10"/>
        <v>#NUM!</v>
      </c>
      <c r="K108" s="156" t="e">
        <f t="shared" si="7"/>
        <v>#NUM!</v>
      </c>
      <c r="L108" s="156"/>
      <c r="M108" s="158">
        <f t="shared" si="8"/>
        <v>0</v>
      </c>
    </row>
    <row r="109" spans="1:13" x14ac:dyDescent="0.25">
      <c r="A109" s="172"/>
      <c r="G109" s="142"/>
      <c r="H109" s="156">
        <v>104</v>
      </c>
      <c r="I109" s="157" t="str">
        <f t="shared" si="9"/>
        <v/>
      </c>
      <c r="J109" s="156" t="e">
        <f t="shared" si="10"/>
        <v>#NUM!</v>
      </c>
      <c r="K109" s="156" t="e">
        <f t="shared" si="7"/>
        <v>#NUM!</v>
      </c>
      <c r="L109" s="156"/>
      <c r="M109" s="158">
        <f t="shared" si="8"/>
        <v>0</v>
      </c>
    </row>
    <row r="110" spans="1:13" x14ac:dyDescent="0.25">
      <c r="A110" s="172"/>
      <c r="G110" s="142"/>
      <c r="H110" s="156">
        <v>105</v>
      </c>
      <c r="I110" s="157" t="str">
        <f t="shared" si="9"/>
        <v/>
      </c>
      <c r="J110" s="156" t="e">
        <f t="shared" si="10"/>
        <v>#NUM!</v>
      </c>
      <c r="K110" s="156" t="e">
        <f t="shared" si="7"/>
        <v>#NUM!</v>
      </c>
      <c r="L110" s="156"/>
      <c r="M110" s="158">
        <f t="shared" si="8"/>
        <v>0</v>
      </c>
    </row>
    <row r="111" spans="1:13" x14ac:dyDescent="0.25">
      <c r="A111" s="172"/>
      <c r="G111" s="142"/>
      <c r="H111" s="156">
        <v>106</v>
      </c>
      <c r="I111" s="157" t="str">
        <f t="shared" si="9"/>
        <v/>
      </c>
      <c r="J111" s="156" t="e">
        <f t="shared" si="10"/>
        <v>#NUM!</v>
      </c>
      <c r="K111" s="156" t="e">
        <f t="shared" si="7"/>
        <v>#NUM!</v>
      </c>
      <c r="L111" s="156"/>
      <c r="M111" s="158">
        <f t="shared" si="8"/>
        <v>0</v>
      </c>
    </row>
    <row r="112" spans="1:13" x14ac:dyDescent="0.25">
      <c r="A112" s="172"/>
      <c r="G112" s="142"/>
      <c r="H112" s="156">
        <v>107</v>
      </c>
      <c r="I112" s="157" t="str">
        <f t="shared" si="9"/>
        <v/>
      </c>
      <c r="J112" s="156" t="e">
        <f t="shared" si="10"/>
        <v>#NUM!</v>
      </c>
      <c r="K112" s="156" t="e">
        <f t="shared" si="7"/>
        <v>#NUM!</v>
      </c>
      <c r="L112" s="156"/>
      <c r="M112" s="158">
        <f t="shared" si="8"/>
        <v>0</v>
      </c>
    </row>
    <row r="113" spans="1:13" x14ac:dyDescent="0.25">
      <c r="A113" s="172"/>
      <c r="G113" s="142"/>
      <c r="H113" s="156">
        <v>108</v>
      </c>
      <c r="I113" s="157" t="str">
        <f t="shared" si="9"/>
        <v/>
      </c>
      <c r="J113" s="156" t="e">
        <f t="shared" si="10"/>
        <v>#NUM!</v>
      </c>
      <c r="K113" s="156" t="e">
        <f t="shared" si="7"/>
        <v>#NUM!</v>
      </c>
      <c r="L113" s="156"/>
      <c r="M113" s="158">
        <f t="shared" si="8"/>
        <v>0</v>
      </c>
    </row>
    <row r="114" spans="1:13" x14ac:dyDescent="0.25">
      <c r="A114" s="172"/>
      <c r="G114" s="142"/>
      <c r="H114" s="156">
        <v>109</v>
      </c>
      <c r="I114" s="157" t="str">
        <f t="shared" si="9"/>
        <v/>
      </c>
      <c r="J114" s="156" t="e">
        <f t="shared" si="10"/>
        <v>#NUM!</v>
      </c>
      <c r="K114" s="156" t="e">
        <f t="shared" si="7"/>
        <v>#NUM!</v>
      </c>
      <c r="L114" s="156"/>
      <c r="M114" s="158">
        <f t="shared" si="8"/>
        <v>0</v>
      </c>
    </row>
    <row r="115" spans="1:13" x14ac:dyDescent="0.25">
      <c r="A115" s="172"/>
      <c r="G115" s="142"/>
      <c r="H115" s="156">
        <v>110</v>
      </c>
      <c r="I115" s="157" t="str">
        <f t="shared" si="9"/>
        <v/>
      </c>
      <c r="J115" s="156" t="e">
        <f t="shared" si="10"/>
        <v>#NUM!</v>
      </c>
      <c r="K115" s="156" t="e">
        <f t="shared" si="7"/>
        <v>#NUM!</v>
      </c>
      <c r="L115" s="156"/>
      <c r="M115" s="158">
        <f t="shared" si="8"/>
        <v>0</v>
      </c>
    </row>
    <row r="116" spans="1:13" x14ac:dyDescent="0.25">
      <c r="A116" s="172"/>
      <c r="G116" s="142"/>
      <c r="H116" s="156">
        <v>111</v>
      </c>
      <c r="I116" s="157" t="str">
        <f t="shared" si="9"/>
        <v/>
      </c>
      <c r="J116" s="156" t="e">
        <f t="shared" si="10"/>
        <v>#NUM!</v>
      </c>
      <c r="K116" s="156" t="e">
        <f t="shared" si="7"/>
        <v>#NUM!</v>
      </c>
      <c r="L116" s="156"/>
      <c r="M116" s="158">
        <f t="shared" si="8"/>
        <v>0</v>
      </c>
    </row>
    <row r="117" spans="1:13" x14ac:dyDescent="0.25">
      <c r="A117" s="172"/>
      <c r="G117" s="142"/>
      <c r="H117" s="156">
        <v>112</v>
      </c>
      <c r="I117" s="157" t="str">
        <f t="shared" si="9"/>
        <v/>
      </c>
      <c r="J117" s="156" t="e">
        <f t="shared" si="10"/>
        <v>#NUM!</v>
      </c>
      <c r="K117" s="156" t="e">
        <f t="shared" si="7"/>
        <v>#NUM!</v>
      </c>
      <c r="L117" s="156"/>
      <c r="M117" s="158">
        <f t="shared" si="8"/>
        <v>0</v>
      </c>
    </row>
    <row r="118" spans="1:13" x14ac:dyDescent="0.25">
      <c r="A118" s="172"/>
      <c r="G118" s="142"/>
      <c r="H118" s="156">
        <v>113</v>
      </c>
      <c r="I118" s="157" t="str">
        <f t="shared" si="9"/>
        <v/>
      </c>
      <c r="J118" s="156" t="e">
        <f t="shared" si="10"/>
        <v>#NUM!</v>
      </c>
      <c r="K118" s="156" t="e">
        <f t="shared" si="7"/>
        <v>#NUM!</v>
      </c>
      <c r="L118" s="156"/>
      <c r="M118" s="158">
        <f t="shared" si="8"/>
        <v>0</v>
      </c>
    </row>
    <row r="119" spans="1:13" x14ac:dyDescent="0.25">
      <c r="A119" s="172"/>
      <c r="G119" s="142"/>
      <c r="H119" s="156">
        <v>114</v>
      </c>
      <c r="I119" s="157" t="str">
        <f t="shared" si="9"/>
        <v/>
      </c>
      <c r="J119" s="156" t="e">
        <f t="shared" si="10"/>
        <v>#NUM!</v>
      </c>
      <c r="K119" s="156" t="e">
        <f t="shared" si="7"/>
        <v>#NUM!</v>
      </c>
      <c r="L119" s="156"/>
      <c r="M119" s="158">
        <f t="shared" si="8"/>
        <v>0</v>
      </c>
    </row>
    <row r="120" spans="1:13" x14ac:dyDescent="0.25">
      <c r="A120" s="172"/>
      <c r="G120" s="142"/>
      <c r="H120" s="156">
        <v>115</v>
      </c>
      <c r="I120" s="157" t="str">
        <f t="shared" si="9"/>
        <v/>
      </c>
      <c r="J120" s="156" t="e">
        <f t="shared" si="10"/>
        <v>#NUM!</v>
      </c>
      <c r="K120" s="156" t="e">
        <f t="shared" si="7"/>
        <v>#NUM!</v>
      </c>
      <c r="L120" s="156"/>
      <c r="M120" s="158">
        <f t="shared" si="8"/>
        <v>0</v>
      </c>
    </row>
    <row r="121" spans="1:13" x14ac:dyDescent="0.25">
      <c r="A121" s="172"/>
      <c r="G121" s="142"/>
      <c r="H121" s="156">
        <v>116</v>
      </c>
      <c r="I121" s="157" t="str">
        <f t="shared" si="9"/>
        <v/>
      </c>
      <c r="J121" s="156" t="e">
        <f t="shared" si="10"/>
        <v>#NUM!</v>
      </c>
      <c r="K121" s="156" t="e">
        <f t="shared" si="7"/>
        <v>#NUM!</v>
      </c>
      <c r="L121" s="156"/>
      <c r="M121" s="158">
        <f t="shared" si="8"/>
        <v>0</v>
      </c>
    </row>
    <row r="122" spans="1:13" x14ac:dyDescent="0.25">
      <c r="A122" s="172"/>
      <c r="G122" s="142"/>
      <c r="H122" s="156">
        <v>117</v>
      </c>
      <c r="I122" s="157" t="str">
        <f t="shared" si="9"/>
        <v/>
      </c>
      <c r="J122" s="156" t="e">
        <f t="shared" si="10"/>
        <v>#NUM!</v>
      </c>
      <c r="K122" s="156" t="e">
        <f t="shared" si="7"/>
        <v>#NUM!</v>
      </c>
      <c r="L122" s="156"/>
      <c r="M122" s="158">
        <f t="shared" si="8"/>
        <v>0</v>
      </c>
    </row>
    <row r="123" spans="1:13" x14ac:dyDescent="0.25">
      <c r="A123" s="172"/>
      <c r="G123" s="142"/>
      <c r="H123" s="156">
        <v>118</v>
      </c>
      <c r="I123" s="157" t="str">
        <f t="shared" si="9"/>
        <v/>
      </c>
      <c r="J123" s="156" t="e">
        <f t="shared" si="10"/>
        <v>#NUM!</v>
      </c>
      <c r="K123" s="156" t="e">
        <f t="shared" si="7"/>
        <v>#NUM!</v>
      </c>
      <c r="L123" s="156"/>
      <c r="M123" s="158">
        <f t="shared" si="8"/>
        <v>0</v>
      </c>
    </row>
    <row r="124" spans="1:13" x14ac:dyDescent="0.25">
      <c r="A124" s="172"/>
      <c r="G124" s="142"/>
      <c r="H124" s="156">
        <v>119</v>
      </c>
      <c r="I124" s="157" t="str">
        <f t="shared" si="9"/>
        <v/>
      </c>
      <c r="J124" s="156" t="e">
        <f t="shared" si="10"/>
        <v>#NUM!</v>
      </c>
      <c r="K124" s="156" t="e">
        <f t="shared" si="7"/>
        <v>#NUM!</v>
      </c>
      <c r="L124" s="156"/>
      <c r="M124" s="158">
        <f t="shared" si="8"/>
        <v>0</v>
      </c>
    </row>
    <row r="125" spans="1:13" x14ac:dyDescent="0.25">
      <c r="A125" s="172"/>
      <c r="G125" s="142"/>
      <c r="H125" s="156">
        <v>120</v>
      </c>
      <c r="I125" s="157" t="str">
        <f t="shared" si="9"/>
        <v/>
      </c>
      <c r="J125" s="156" t="e">
        <f t="shared" si="10"/>
        <v>#NUM!</v>
      </c>
      <c r="K125" s="156" t="e">
        <f t="shared" si="7"/>
        <v>#NUM!</v>
      </c>
      <c r="L125" s="156"/>
      <c r="M125" s="158">
        <f t="shared" si="8"/>
        <v>0</v>
      </c>
    </row>
    <row r="126" spans="1:13" x14ac:dyDescent="0.25">
      <c r="A126" s="172"/>
      <c r="G126" s="142"/>
      <c r="H126" s="156">
        <v>121</v>
      </c>
      <c r="I126" s="157" t="str">
        <f t="shared" si="9"/>
        <v/>
      </c>
      <c r="J126" s="156" t="e">
        <f t="shared" si="10"/>
        <v>#NUM!</v>
      </c>
      <c r="K126" s="156" t="e">
        <f t="shared" si="7"/>
        <v>#NUM!</v>
      </c>
      <c r="L126" s="156"/>
      <c r="M126" s="158">
        <f t="shared" si="8"/>
        <v>0</v>
      </c>
    </row>
    <row r="127" spans="1:13" x14ac:dyDescent="0.25">
      <c r="A127" s="172"/>
      <c r="G127" s="142"/>
      <c r="H127" s="156">
        <v>122</v>
      </c>
      <c r="I127" s="157" t="str">
        <f t="shared" si="9"/>
        <v/>
      </c>
      <c r="J127" s="156" t="e">
        <f t="shared" si="10"/>
        <v>#NUM!</v>
      </c>
      <c r="K127" s="156" t="e">
        <f t="shared" si="7"/>
        <v>#NUM!</v>
      </c>
      <c r="L127" s="156"/>
      <c r="M127" s="158">
        <f t="shared" si="8"/>
        <v>0</v>
      </c>
    </row>
    <row r="128" spans="1:13" x14ac:dyDescent="0.25">
      <c r="A128" s="172"/>
      <c r="G128" s="142"/>
      <c r="H128" s="156">
        <v>123</v>
      </c>
      <c r="I128" s="157" t="str">
        <f t="shared" si="9"/>
        <v/>
      </c>
      <c r="J128" s="156" t="e">
        <f t="shared" si="10"/>
        <v>#NUM!</v>
      </c>
      <c r="K128" s="156" t="e">
        <f t="shared" si="7"/>
        <v>#NUM!</v>
      </c>
      <c r="L128" s="156"/>
      <c r="M128" s="158">
        <f t="shared" si="8"/>
        <v>0</v>
      </c>
    </row>
    <row r="129" spans="1:13" x14ac:dyDescent="0.25">
      <c r="A129" s="172"/>
      <c r="G129" s="142"/>
      <c r="H129" s="156">
        <v>124</v>
      </c>
      <c r="I129" s="157" t="str">
        <f t="shared" si="9"/>
        <v/>
      </c>
      <c r="J129" s="156" t="e">
        <f t="shared" si="10"/>
        <v>#NUM!</v>
      </c>
      <c r="K129" s="156" t="e">
        <f t="shared" si="7"/>
        <v>#NUM!</v>
      </c>
      <c r="L129" s="156"/>
      <c r="M129" s="158">
        <f t="shared" si="8"/>
        <v>0</v>
      </c>
    </row>
    <row r="130" spans="1:13" x14ac:dyDescent="0.25">
      <c r="A130" s="172"/>
      <c r="G130" s="142"/>
      <c r="H130" s="156">
        <v>125</v>
      </c>
      <c r="I130" s="157" t="str">
        <f t="shared" si="9"/>
        <v/>
      </c>
      <c r="J130" s="156" t="e">
        <f t="shared" si="10"/>
        <v>#NUM!</v>
      </c>
      <c r="K130" s="156" t="e">
        <f t="shared" si="7"/>
        <v>#NUM!</v>
      </c>
      <c r="L130" s="156"/>
      <c r="M130" s="158">
        <f t="shared" si="8"/>
        <v>0</v>
      </c>
    </row>
    <row r="131" spans="1:13" x14ac:dyDescent="0.25">
      <c r="A131" s="172"/>
      <c r="G131" s="142"/>
      <c r="H131" s="156">
        <v>126</v>
      </c>
      <c r="I131" s="157" t="str">
        <f t="shared" si="9"/>
        <v/>
      </c>
      <c r="J131" s="156" t="e">
        <f t="shared" si="10"/>
        <v>#NUM!</v>
      </c>
      <c r="K131" s="156" t="e">
        <f t="shared" si="7"/>
        <v>#NUM!</v>
      </c>
      <c r="L131" s="156"/>
      <c r="M131" s="158">
        <f t="shared" si="8"/>
        <v>0</v>
      </c>
    </row>
    <row r="132" spans="1:13" x14ac:dyDescent="0.25">
      <c r="A132" s="172"/>
      <c r="G132" s="142"/>
      <c r="H132" s="156">
        <v>127</v>
      </c>
      <c r="I132" s="157" t="str">
        <f t="shared" si="9"/>
        <v/>
      </c>
      <c r="J132" s="156" t="e">
        <f t="shared" si="10"/>
        <v>#NUM!</v>
      </c>
      <c r="K132" s="156" t="e">
        <f t="shared" si="7"/>
        <v>#NUM!</v>
      </c>
      <c r="L132" s="156"/>
      <c r="M132" s="158">
        <f t="shared" si="8"/>
        <v>0</v>
      </c>
    </row>
    <row r="133" spans="1:13" x14ac:dyDescent="0.25">
      <c r="A133" s="172"/>
      <c r="G133" s="142"/>
      <c r="H133" s="156">
        <v>128</v>
      </c>
      <c r="I133" s="157" t="str">
        <f t="shared" si="9"/>
        <v/>
      </c>
      <c r="J133" s="156" t="e">
        <f t="shared" si="10"/>
        <v>#NUM!</v>
      </c>
      <c r="K133" s="156" t="e">
        <f t="shared" si="7"/>
        <v>#NUM!</v>
      </c>
      <c r="L133" s="156"/>
      <c r="M133" s="158">
        <f t="shared" si="8"/>
        <v>0</v>
      </c>
    </row>
    <row r="134" spans="1:13" x14ac:dyDescent="0.25">
      <c r="A134" s="172"/>
      <c r="G134" s="142"/>
      <c r="H134" s="156">
        <v>129</v>
      </c>
      <c r="I134" s="157" t="str">
        <f t="shared" si="9"/>
        <v/>
      </c>
      <c r="J134" s="156" t="e">
        <f t="shared" si="10"/>
        <v>#NUM!</v>
      </c>
      <c r="K134" s="156" t="e">
        <f t="shared" ref="K134:K197" si="11">J134*$J$2</f>
        <v>#NUM!</v>
      </c>
      <c r="L134" s="156"/>
      <c r="M134" s="158">
        <f t="shared" ref="M134:M197" si="12">IF(I134&lt;&gt;"",K134+I134+L134,0)</f>
        <v>0</v>
      </c>
    </row>
    <row r="135" spans="1:13" x14ac:dyDescent="0.25">
      <c r="A135" s="172"/>
      <c r="G135" s="142"/>
      <c r="H135" s="156">
        <v>130</v>
      </c>
      <c r="I135" s="157" t="str">
        <f t="shared" ref="I135:I198" si="13">IF(H135&lt;$H$2+1,($I$2-($I$2-1)*(LOG(H135)/LOG($H$2))),"")</f>
        <v/>
      </c>
      <c r="J135" s="156" t="e">
        <f t="shared" ref="J135:J198" si="14">INT(LOG($H$2,2))-ROUNDUP(LOG(H135,2),0)+IF(OR($H$2=1,$H$2=2,$H$2=4,$H$2=8,$H$2=16,$H$2=32,$H$2=64,$H$2=128,$H$2=256),0,1)</f>
        <v>#NUM!</v>
      </c>
      <c r="K135" s="156" t="e">
        <f t="shared" si="11"/>
        <v>#NUM!</v>
      </c>
      <c r="L135" s="156"/>
      <c r="M135" s="158">
        <f t="shared" si="12"/>
        <v>0</v>
      </c>
    </row>
    <row r="136" spans="1:13" x14ac:dyDescent="0.25">
      <c r="A136" s="172"/>
      <c r="G136" s="142"/>
      <c r="H136" s="156">
        <v>131</v>
      </c>
      <c r="I136" s="157" t="str">
        <f t="shared" si="13"/>
        <v/>
      </c>
      <c r="J136" s="156" t="e">
        <f t="shared" si="14"/>
        <v>#NUM!</v>
      </c>
      <c r="K136" s="156" t="e">
        <f t="shared" si="11"/>
        <v>#NUM!</v>
      </c>
      <c r="L136" s="156"/>
      <c r="M136" s="158">
        <f t="shared" si="12"/>
        <v>0</v>
      </c>
    </row>
    <row r="137" spans="1:13" x14ac:dyDescent="0.25">
      <c r="A137" s="172"/>
      <c r="G137" s="142"/>
      <c r="H137" s="156">
        <v>132</v>
      </c>
      <c r="I137" s="157" t="str">
        <f t="shared" si="13"/>
        <v/>
      </c>
      <c r="J137" s="156" t="e">
        <f t="shared" si="14"/>
        <v>#NUM!</v>
      </c>
      <c r="K137" s="156" t="e">
        <f t="shared" si="11"/>
        <v>#NUM!</v>
      </c>
      <c r="L137" s="156"/>
      <c r="M137" s="158">
        <f t="shared" si="12"/>
        <v>0</v>
      </c>
    </row>
    <row r="138" spans="1:13" x14ac:dyDescent="0.25">
      <c r="A138" s="172"/>
      <c r="G138" s="142"/>
      <c r="H138" s="156">
        <v>133</v>
      </c>
      <c r="I138" s="157" t="str">
        <f t="shared" si="13"/>
        <v/>
      </c>
      <c r="J138" s="156" t="e">
        <f t="shared" si="14"/>
        <v>#NUM!</v>
      </c>
      <c r="K138" s="156" t="e">
        <f t="shared" si="11"/>
        <v>#NUM!</v>
      </c>
      <c r="L138" s="156"/>
      <c r="M138" s="158">
        <f t="shared" si="12"/>
        <v>0</v>
      </c>
    </row>
    <row r="139" spans="1:13" x14ac:dyDescent="0.25">
      <c r="A139" s="172"/>
      <c r="G139" s="142"/>
      <c r="H139" s="156">
        <v>134</v>
      </c>
      <c r="I139" s="157" t="str">
        <f t="shared" si="13"/>
        <v/>
      </c>
      <c r="J139" s="156" t="e">
        <f t="shared" si="14"/>
        <v>#NUM!</v>
      </c>
      <c r="K139" s="156" t="e">
        <f t="shared" si="11"/>
        <v>#NUM!</v>
      </c>
      <c r="L139" s="156"/>
      <c r="M139" s="158">
        <f t="shared" si="12"/>
        <v>0</v>
      </c>
    </row>
    <row r="140" spans="1:13" x14ac:dyDescent="0.25">
      <c r="A140" s="172"/>
      <c r="G140" s="142"/>
      <c r="H140" s="156">
        <v>135</v>
      </c>
      <c r="I140" s="157" t="str">
        <f t="shared" si="13"/>
        <v/>
      </c>
      <c r="J140" s="156" t="e">
        <f t="shared" si="14"/>
        <v>#NUM!</v>
      </c>
      <c r="K140" s="156" t="e">
        <f t="shared" si="11"/>
        <v>#NUM!</v>
      </c>
      <c r="L140" s="156"/>
      <c r="M140" s="158">
        <f t="shared" si="12"/>
        <v>0</v>
      </c>
    </row>
    <row r="141" spans="1:13" x14ac:dyDescent="0.25">
      <c r="A141" s="172"/>
      <c r="G141" s="142"/>
      <c r="H141" s="156">
        <v>136</v>
      </c>
      <c r="I141" s="157" t="str">
        <f t="shared" si="13"/>
        <v/>
      </c>
      <c r="J141" s="156" t="e">
        <f t="shared" si="14"/>
        <v>#NUM!</v>
      </c>
      <c r="K141" s="156" t="e">
        <f t="shared" si="11"/>
        <v>#NUM!</v>
      </c>
      <c r="L141" s="156"/>
      <c r="M141" s="158">
        <f t="shared" si="12"/>
        <v>0</v>
      </c>
    </row>
    <row r="142" spans="1:13" x14ac:dyDescent="0.25">
      <c r="A142" s="172"/>
      <c r="G142" s="142"/>
      <c r="H142" s="156">
        <v>137</v>
      </c>
      <c r="I142" s="157" t="str">
        <f t="shared" si="13"/>
        <v/>
      </c>
      <c r="J142" s="156" t="e">
        <f t="shared" si="14"/>
        <v>#NUM!</v>
      </c>
      <c r="K142" s="156" t="e">
        <f t="shared" si="11"/>
        <v>#NUM!</v>
      </c>
      <c r="L142" s="156"/>
      <c r="M142" s="158">
        <f t="shared" si="12"/>
        <v>0</v>
      </c>
    </row>
    <row r="143" spans="1:13" x14ac:dyDescent="0.25">
      <c r="A143" s="172"/>
      <c r="G143" s="142"/>
      <c r="H143" s="156">
        <v>138</v>
      </c>
      <c r="I143" s="157" t="str">
        <f t="shared" si="13"/>
        <v/>
      </c>
      <c r="J143" s="156" t="e">
        <f t="shared" si="14"/>
        <v>#NUM!</v>
      </c>
      <c r="K143" s="156" t="e">
        <f t="shared" si="11"/>
        <v>#NUM!</v>
      </c>
      <c r="L143" s="156"/>
      <c r="M143" s="158">
        <f t="shared" si="12"/>
        <v>0</v>
      </c>
    </row>
    <row r="144" spans="1:13" x14ac:dyDescent="0.25">
      <c r="A144" s="172"/>
      <c r="G144" s="142"/>
      <c r="H144" s="156">
        <v>139</v>
      </c>
      <c r="I144" s="157" t="str">
        <f t="shared" si="13"/>
        <v/>
      </c>
      <c r="J144" s="156" t="e">
        <f t="shared" si="14"/>
        <v>#NUM!</v>
      </c>
      <c r="K144" s="156" t="e">
        <f t="shared" si="11"/>
        <v>#NUM!</v>
      </c>
      <c r="L144" s="156"/>
      <c r="M144" s="158">
        <f t="shared" si="12"/>
        <v>0</v>
      </c>
    </row>
    <row r="145" spans="1:13" x14ac:dyDescent="0.25">
      <c r="A145" s="172"/>
      <c r="G145" s="142"/>
      <c r="H145" s="156">
        <v>140</v>
      </c>
      <c r="I145" s="157" t="str">
        <f t="shared" si="13"/>
        <v/>
      </c>
      <c r="J145" s="156" t="e">
        <f t="shared" si="14"/>
        <v>#NUM!</v>
      </c>
      <c r="K145" s="156" t="e">
        <f t="shared" si="11"/>
        <v>#NUM!</v>
      </c>
      <c r="L145" s="156"/>
      <c r="M145" s="158">
        <f t="shared" si="12"/>
        <v>0</v>
      </c>
    </row>
    <row r="146" spans="1:13" x14ac:dyDescent="0.25">
      <c r="A146" s="172"/>
      <c r="G146" s="142"/>
      <c r="H146" s="156">
        <v>141</v>
      </c>
      <c r="I146" s="157" t="str">
        <f t="shared" si="13"/>
        <v/>
      </c>
      <c r="J146" s="156" t="e">
        <f t="shared" si="14"/>
        <v>#NUM!</v>
      </c>
      <c r="K146" s="156" t="e">
        <f t="shared" si="11"/>
        <v>#NUM!</v>
      </c>
      <c r="L146" s="156"/>
      <c r="M146" s="158">
        <f t="shared" si="12"/>
        <v>0</v>
      </c>
    </row>
    <row r="147" spans="1:13" x14ac:dyDescent="0.25">
      <c r="A147" s="172"/>
      <c r="G147" s="142"/>
      <c r="H147" s="156">
        <v>142</v>
      </c>
      <c r="I147" s="157" t="str">
        <f t="shared" si="13"/>
        <v/>
      </c>
      <c r="J147" s="156" t="e">
        <f t="shared" si="14"/>
        <v>#NUM!</v>
      </c>
      <c r="K147" s="156" t="e">
        <f t="shared" si="11"/>
        <v>#NUM!</v>
      </c>
      <c r="L147" s="156"/>
      <c r="M147" s="158">
        <f t="shared" si="12"/>
        <v>0</v>
      </c>
    </row>
    <row r="148" spans="1:13" x14ac:dyDescent="0.25">
      <c r="A148" s="172"/>
      <c r="G148" s="142"/>
      <c r="H148" s="156">
        <v>143</v>
      </c>
      <c r="I148" s="157" t="str">
        <f t="shared" si="13"/>
        <v/>
      </c>
      <c r="J148" s="156" t="e">
        <f t="shared" si="14"/>
        <v>#NUM!</v>
      </c>
      <c r="K148" s="156" t="e">
        <f t="shared" si="11"/>
        <v>#NUM!</v>
      </c>
      <c r="L148" s="156"/>
      <c r="M148" s="158">
        <f t="shared" si="12"/>
        <v>0</v>
      </c>
    </row>
    <row r="149" spans="1:13" x14ac:dyDescent="0.25">
      <c r="A149" s="172"/>
      <c r="G149" s="142"/>
      <c r="H149" s="156">
        <v>144</v>
      </c>
      <c r="I149" s="157" t="str">
        <f t="shared" si="13"/>
        <v/>
      </c>
      <c r="J149" s="156" t="e">
        <f t="shared" si="14"/>
        <v>#NUM!</v>
      </c>
      <c r="K149" s="156" t="e">
        <f t="shared" si="11"/>
        <v>#NUM!</v>
      </c>
      <c r="L149" s="156"/>
      <c r="M149" s="158">
        <f t="shared" si="12"/>
        <v>0</v>
      </c>
    </row>
    <row r="150" spans="1:13" x14ac:dyDescent="0.25">
      <c r="A150" s="172"/>
      <c r="G150" s="142"/>
      <c r="H150" s="156">
        <v>145</v>
      </c>
      <c r="I150" s="157" t="str">
        <f t="shared" si="13"/>
        <v/>
      </c>
      <c r="J150" s="156" t="e">
        <f t="shared" si="14"/>
        <v>#NUM!</v>
      </c>
      <c r="K150" s="156" t="e">
        <f t="shared" si="11"/>
        <v>#NUM!</v>
      </c>
      <c r="L150" s="156"/>
      <c r="M150" s="158">
        <f t="shared" si="12"/>
        <v>0</v>
      </c>
    </row>
    <row r="151" spans="1:13" x14ac:dyDescent="0.25">
      <c r="A151" s="172"/>
      <c r="G151" s="142"/>
      <c r="H151" s="156">
        <v>146</v>
      </c>
      <c r="I151" s="157" t="str">
        <f t="shared" si="13"/>
        <v/>
      </c>
      <c r="J151" s="156" t="e">
        <f t="shared" si="14"/>
        <v>#NUM!</v>
      </c>
      <c r="K151" s="156" t="e">
        <f t="shared" si="11"/>
        <v>#NUM!</v>
      </c>
      <c r="L151" s="156"/>
      <c r="M151" s="158">
        <f t="shared" si="12"/>
        <v>0</v>
      </c>
    </row>
    <row r="152" spans="1:13" x14ac:dyDescent="0.25">
      <c r="A152" s="172"/>
      <c r="G152" s="142"/>
      <c r="H152" s="156">
        <v>147</v>
      </c>
      <c r="I152" s="157" t="str">
        <f t="shared" si="13"/>
        <v/>
      </c>
      <c r="J152" s="156" t="e">
        <f t="shared" si="14"/>
        <v>#NUM!</v>
      </c>
      <c r="K152" s="156" t="e">
        <f t="shared" si="11"/>
        <v>#NUM!</v>
      </c>
      <c r="L152" s="156"/>
      <c r="M152" s="158">
        <f t="shared" si="12"/>
        <v>0</v>
      </c>
    </row>
    <row r="153" spans="1:13" x14ac:dyDescent="0.25">
      <c r="A153" s="172"/>
      <c r="G153" s="142"/>
      <c r="H153" s="156">
        <v>148</v>
      </c>
      <c r="I153" s="157" t="str">
        <f t="shared" si="13"/>
        <v/>
      </c>
      <c r="J153" s="156" t="e">
        <f t="shared" si="14"/>
        <v>#NUM!</v>
      </c>
      <c r="K153" s="156" t="e">
        <f t="shared" si="11"/>
        <v>#NUM!</v>
      </c>
      <c r="L153" s="156"/>
      <c r="M153" s="158">
        <f t="shared" si="12"/>
        <v>0</v>
      </c>
    </row>
    <row r="154" spans="1:13" x14ac:dyDescent="0.25">
      <c r="A154" s="172"/>
      <c r="G154" s="142"/>
      <c r="H154" s="156">
        <v>149</v>
      </c>
      <c r="I154" s="157" t="str">
        <f t="shared" si="13"/>
        <v/>
      </c>
      <c r="J154" s="156" t="e">
        <f t="shared" si="14"/>
        <v>#NUM!</v>
      </c>
      <c r="K154" s="156" t="e">
        <f t="shared" si="11"/>
        <v>#NUM!</v>
      </c>
      <c r="L154" s="156"/>
      <c r="M154" s="158">
        <f t="shared" si="12"/>
        <v>0</v>
      </c>
    </row>
    <row r="155" spans="1:13" x14ac:dyDescent="0.25">
      <c r="A155" s="172"/>
      <c r="G155" s="142"/>
      <c r="H155" s="156">
        <v>150</v>
      </c>
      <c r="I155" s="157" t="str">
        <f t="shared" si="13"/>
        <v/>
      </c>
      <c r="J155" s="156" t="e">
        <f t="shared" si="14"/>
        <v>#NUM!</v>
      </c>
      <c r="K155" s="156" t="e">
        <f t="shared" si="11"/>
        <v>#NUM!</v>
      </c>
      <c r="L155" s="156"/>
      <c r="M155" s="158">
        <f t="shared" si="12"/>
        <v>0</v>
      </c>
    </row>
    <row r="156" spans="1:13" x14ac:dyDescent="0.25">
      <c r="A156" s="172"/>
      <c r="G156" s="142"/>
      <c r="H156" s="156">
        <v>151</v>
      </c>
      <c r="I156" s="157" t="str">
        <f t="shared" si="13"/>
        <v/>
      </c>
      <c r="J156" s="156" t="e">
        <f t="shared" si="14"/>
        <v>#NUM!</v>
      </c>
      <c r="K156" s="156" t="e">
        <f t="shared" si="11"/>
        <v>#NUM!</v>
      </c>
      <c r="L156" s="156"/>
      <c r="M156" s="158">
        <f t="shared" si="12"/>
        <v>0</v>
      </c>
    </row>
    <row r="157" spans="1:13" x14ac:dyDescent="0.25">
      <c r="A157" s="172"/>
      <c r="G157" s="142"/>
      <c r="H157" s="156">
        <v>152</v>
      </c>
      <c r="I157" s="157" t="str">
        <f t="shared" si="13"/>
        <v/>
      </c>
      <c r="J157" s="156" t="e">
        <f t="shared" si="14"/>
        <v>#NUM!</v>
      </c>
      <c r="K157" s="156" t="e">
        <f t="shared" si="11"/>
        <v>#NUM!</v>
      </c>
      <c r="L157" s="156"/>
      <c r="M157" s="158">
        <f t="shared" si="12"/>
        <v>0</v>
      </c>
    </row>
    <row r="158" spans="1:13" x14ac:dyDescent="0.25">
      <c r="A158" s="172"/>
      <c r="G158" s="142"/>
      <c r="H158" s="156">
        <v>153</v>
      </c>
      <c r="I158" s="157" t="str">
        <f t="shared" si="13"/>
        <v/>
      </c>
      <c r="J158" s="156" t="e">
        <f t="shared" si="14"/>
        <v>#NUM!</v>
      </c>
      <c r="K158" s="156" t="e">
        <f t="shared" si="11"/>
        <v>#NUM!</v>
      </c>
      <c r="L158" s="156"/>
      <c r="M158" s="158">
        <f t="shared" si="12"/>
        <v>0</v>
      </c>
    </row>
    <row r="159" spans="1:13" x14ac:dyDescent="0.25">
      <c r="A159" s="172"/>
      <c r="G159" s="142"/>
      <c r="H159" s="156">
        <v>154</v>
      </c>
      <c r="I159" s="157" t="str">
        <f t="shared" si="13"/>
        <v/>
      </c>
      <c r="J159" s="156" t="e">
        <f t="shared" si="14"/>
        <v>#NUM!</v>
      </c>
      <c r="K159" s="156" t="e">
        <f t="shared" si="11"/>
        <v>#NUM!</v>
      </c>
      <c r="L159" s="156"/>
      <c r="M159" s="158">
        <f t="shared" si="12"/>
        <v>0</v>
      </c>
    </row>
    <row r="160" spans="1:13" x14ac:dyDescent="0.25">
      <c r="A160" s="172"/>
      <c r="G160" s="142"/>
      <c r="H160" s="156">
        <v>155</v>
      </c>
      <c r="I160" s="157" t="str">
        <f t="shared" si="13"/>
        <v/>
      </c>
      <c r="J160" s="156" t="e">
        <f t="shared" si="14"/>
        <v>#NUM!</v>
      </c>
      <c r="K160" s="156" t="e">
        <f t="shared" si="11"/>
        <v>#NUM!</v>
      </c>
      <c r="L160" s="156"/>
      <c r="M160" s="158">
        <f t="shared" si="12"/>
        <v>0</v>
      </c>
    </row>
    <row r="161" spans="1:13" x14ac:dyDescent="0.25">
      <c r="A161" s="172"/>
      <c r="G161" s="142"/>
      <c r="H161" s="156">
        <v>156</v>
      </c>
      <c r="I161" s="157" t="str">
        <f t="shared" si="13"/>
        <v/>
      </c>
      <c r="J161" s="156" t="e">
        <f t="shared" si="14"/>
        <v>#NUM!</v>
      </c>
      <c r="K161" s="156" t="e">
        <f t="shared" si="11"/>
        <v>#NUM!</v>
      </c>
      <c r="L161" s="156"/>
      <c r="M161" s="158">
        <f t="shared" si="12"/>
        <v>0</v>
      </c>
    </row>
    <row r="162" spans="1:13" x14ac:dyDescent="0.25">
      <c r="A162" s="172"/>
      <c r="G162" s="142"/>
      <c r="H162" s="156">
        <v>157</v>
      </c>
      <c r="I162" s="157" t="str">
        <f t="shared" si="13"/>
        <v/>
      </c>
      <c r="J162" s="156" t="e">
        <f t="shared" si="14"/>
        <v>#NUM!</v>
      </c>
      <c r="K162" s="156" t="e">
        <f t="shared" si="11"/>
        <v>#NUM!</v>
      </c>
      <c r="L162" s="156"/>
      <c r="M162" s="158">
        <f t="shared" si="12"/>
        <v>0</v>
      </c>
    </row>
    <row r="163" spans="1:13" x14ac:dyDescent="0.25">
      <c r="A163" s="172"/>
      <c r="G163" s="142"/>
      <c r="H163" s="156">
        <v>158</v>
      </c>
      <c r="I163" s="157" t="str">
        <f t="shared" si="13"/>
        <v/>
      </c>
      <c r="J163" s="156" t="e">
        <f t="shared" si="14"/>
        <v>#NUM!</v>
      </c>
      <c r="K163" s="156" t="e">
        <f t="shared" si="11"/>
        <v>#NUM!</v>
      </c>
      <c r="L163" s="156"/>
      <c r="M163" s="158">
        <f t="shared" si="12"/>
        <v>0</v>
      </c>
    </row>
    <row r="164" spans="1:13" x14ac:dyDescent="0.25">
      <c r="A164" s="172"/>
      <c r="G164" s="142"/>
      <c r="H164" s="156">
        <v>159</v>
      </c>
      <c r="I164" s="157" t="str">
        <f t="shared" si="13"/>
        <v/>
      </c>
      <c r="J164" s="156" t="e">
        <f t="shared" si="14"/>
        <v>#NUM!</v>
      </c>
      <c r="K164" s="156" t="e">
        <f t="shared" si="11"/>
        <v>#NUM!</v>
      </c>
      <c r="L164" s="156"/>
      <c r="M164" s="158">
        <f t="shared" si="12"/>
        <v>0</v>
      </c>
    </row>
    <row r="165" spans="1:13" x14ac:dyDescent="0.25">
      <c r="A165" s="172"/>
      <c r="G165" s="142"/>
      <c r="H165" s="156">
        <v>160</v>
      </c>
      <c r="I165" s="157" t="str">
        <f t="shared" si="13"/>
        <v/>
      </c>
      <c r="J165" s="156" t="e">
        <f t="shared" si="14"/>
        <v>#NUM!</v>
      </c>
      <c r="K165" s="156" t="e">
        <f t="shared" si="11"/>
        <v>#NUM!</v>
      </c>
      <c r="L165" s="156"/>
      <c r="M165" s="158">
        <f t="shared" si="12"/>
        <v>0</v>
      </c>
    </row>
    <row r="166" spans="1:13" x14ac:dyDescent="0.25">
      <c r="A166" s="172"/>
      <c r="G166" s="142"/>
      <c r="H166" s="156">
        <v>161</v>
      </c>
      <c r="I166" s="157" t="str">
        <f t="shared" si="13"/>
        <v/>
      </c>
      <c r="J166" s="156" t="e">
        <f t="shared" si="14"/>
        <v>#NUM!</v>
      </c>
      <c r="K166" s="156" t="e">
        <f t="shared" si="11"/>
        <v>#NUM!</v>
      </c>
      <c r="L166" s="156"/>
      <c r="M166" s="158">
        <f t="shared" si="12"/>
        <v>0</v>
      </c>
    </row>
    <row r="167" spans="1:13" x14ac:dyDescent="0.25">
      <c r="A167" s="172"/>
      <c r="G167" s="142"/>
      <c r="H167" s="156">
        <v>162</v>
      </c>
      <c r="I167" s="157" t="str">
        <f t="shared" si="13"/>
        <v/>
      </c>
      <c r="J167" s="156" t="e">
        <f t="shared" si="14"/>
        <v>#NUM!</v>
      </c>
      <c r="K167" s="156" t="e">
        <f t="shared" si="11"/>
        <v>#NUM!</v>
      </c>
      <c r="L167" s="156"/>
      <c r="M167" s="158">
        <f t="shared" si="12"/>
        <v>0</v>
      </c>
    </row>
    <row r="168" spans="1:13" x14ac:dyDescent="0.25">
      <c r="A168" s="172"/>
      <c r="G168" s="142"/>
      <c r="H168" s="156">
        <v>163</v>
      </c>
      <c r="I168" s="157" t="str">
        <f t="shared" si="13"/>
        <v/>
      </c>
      <c r="J168" s="156" t="e">
        <f t="shared" si="14"/>
        <v>#NUM!</v>
      </c>
      <c r="K168" s="156" t="e">
        <f t="shared" si="11"/>
        <v>#NUM!</v>
      </c>
      <c r="L168" s="156"/>
      <c r="M168" s="158">
        <f t="shared" si="12"/>
        <v>0</v>
      </c>
    </row>
    <row r="169" spans="1:13" x14ac:dyDescent="0.25">
      <c r="A169" s="172"/>
      <c r="G169" s="142"/>
      <c r="H169" s="156">
        <v>164</v>
      </c>
      <c r="I169" s="157" t="str">
        <f t="shared" si="13"/>
        <v/>
      </c>
      <c r="J169" s="156" t="e">
        <f t="shared" si="14"/>
        <v>#NUM!</v>
      </c>
      <c r="K169" s="156" t="e">
        <f t="shared" si="11"/>
        <v>#NUM!</v>
      </c>
      <c r="L169" s="156"/>
      <c r="M169" s="158">
        <f t="shared" si="12"/>
        <v>0</v>
      </c>
    </row>
    <row r="170" spans="1:13" x14ac:dyDescent="0.25">
      <c r="A170" s="172"/>
      <c r="G170" s="142"/>
      <c r="H170" s="156">
        <v>165</v>
      </c>
      <c r="I170" s="157" t="str">
        <f t="shared" si="13"/>
        <v/>
      </c>
      <c r="J170" s="156" t="e">
        <f t="shared" si="14"/>
        <v>#NUM!</v>
      </c>
      <c r="K170" s="156" t="e">
        <f t="shared" si="11"/>
        <v>#NUM!</v>
      </c>
      <c r="L170" s="156"/>
      <c r="M170" s="158">
        <f t="shared" si="12"/>
        <v>0</v>
      </c>
    </row>
    <row r="171" spans="1:13" x14ac:dyDescent="0.25">
      <c r="A171" s="172"/>
      <c r="G171" s="142"/>
      <c r="H171" s="156">
        <v>166</v>
      </c>
      <c r="I171" s="157" t="str">
        <f t="shared" si="13"/>
        <v/>
      </c>
      <c r="J171" s="156" t="e">
        <f t="shared" si="14"/>
        <v>#NUM!</v>
      </c>
      <c r="K171" s="156" t="e">
        <f t="shared" si="11"/>
        <v>#NUM!</v>
      </c>
      <c r="L171" s="156"/>
      <c r="M171" s="158">
        <f t="shared" si="12"/>
        <v>0</v>
      </c>
    </row>
    <row r="172" spans="1:13" x14ac:dyDescent="0.25">
      <c r="A172" s="172"/>
      <c r="G172" s="142"/>
      <c r="H172" s="156">
        <v>167</v>
      </c>
      <c r="I172" s="157" t="str">
        <f t="shared" si="13"/>
        <v/>
      </c>
      <c r="J172" s="156" t="e">
        <f t="shared" si="14"/>
        <v>#NUM!</v>
      </c>
      <c r="K172" s="156" t="e">
        <f t="shared" si="11"/>
        <v>#NUM!</v>
      </c>
      <c r="L172" s="156"/>
      <c r="M172" s="158">
        <f t="shared" si="12"/>
        <v>0</v>
      </c>
    </row>
    <row r="173" spans="1:13" x14ac:dyDescent="0.25">
      <c r="A173" s="172"/>
      <c r="G173" s="142"/>
      <c r="H173" s="156">
        <v>168</v>
      </c>
      <c r="I173" s="157" t="str">
        <f t="shared" si="13"/>
        <v/>
      </c>
      <c r="J173" s="156" t="e">
        <f t="shared" si="14"/>
        <v>#NUM!</v>
      </c>
      <c r="K173" s="156" t="e">
        <f t="shared" si="11"/>
        <v>#NUM!</v>
      </c>
      <c r="L173" s="156"/>
      <c r="M173" s="158">
        <f t="shared" si="12"/>
        <v>0</v>
      </c>
    </row>
    <row r="174" spans="1:13" x14ac:dyDescent="0.25">
      <c r="A174" s="172"/>
      <c r="G174" s="142"/>
      <c r="H174" s="156">
        <v>169</v>
      </c>
      <c r="I174" s="157" t="str">
        <f t="shared" si="13"/>
        <v/>
      </c>
      <c r="J174" s="156" t="e">
        <f t="shared" si="14"/>
        <v>#NUM!</v>
      </c>
      <c r="K174" s="156" t="e">
        <f t="shared" si="11"/>
        <v>#NUM!</v>
      </c>
      <c r="L174" s="156"/>
      <c r="M174" s="158">
        <f t="shared" si="12"/>
        <v>0</v>
      </c>
    </row>
    <row r="175" spans="1:13" x14ac:dyDescent="0.25">
      <c r="A175" s="172"/>
      <c r="G175" s="142"/>
      <c r="H175" s="156">
        <v>170</v>
      </c>
      <c r="I175" s="157" t="str">
        <f t="shared" si="13"/>
        <v/>
      </c>
      <c r="J175" s="156" t="e">
        <f t="shared" si="14"/>
        <v>#NUM!</v>
      </c>
      <c r="K175" s="156" t="e">
        <f t="shared" si="11"/>
        <v>#NUM!</v>
      </c>
      <c r="L175" s="156"/>
      <c r="M175" s="158">
        <f t="shared" si="12"/>
        <v>0</v>
      </c>
    </row>
    <row r="176" spans="1:13" x14ac:dyDescent="0.25">
      <c r="A176" s="172"/>
      <c r="G176" s="142"/>
      <c r="H176" s="156">
        <v>171</v>
      </c>
      <c r="I176" s="157" t="str">
        <f t="shared" si="13"/>
        <v/>
      </c>
      <c r="J176" s="156" t="e">
        <f t="shared" si="14"/>
        <v>#NUM!</v>
      </c>
      <c r="K176" s="156" t="e">
        <f t="shared" si="11"/>
        <v>#NUM!</v>
      </c>
      <c r="L176" s="156"/>
      <c r="M176" s="158">
        <f t="shared" si="12"/>
        <v>0</v>
      </c>
    </row>
    <row r="177" spans="1:13" x14ac:dyDescent="0.25">
      <c r="A177" s="172"/>
      <c r="G177" s="142"/>
      <c r="H177" s="156">
        <v>172</v>
      </c>
      <c r="I177" s="157" t="str">
        <f t="shared" si="13"/>
        <v/>
      </c>
      <c r="J177" s="156" t="e">
        <f t="shared" si="14"/>
        <v>#NUM!</v>
      </c>
      <c r="K177" s="156" t="e">
        <f t="shared" si="11"/>
        <v>#NUM!</v>
      </c>
      <c r="L177" s="156"/>
      <c r="M177" s="158">
        <f t="shared" si="12"/>
        <v>0</v>
      </c>
    </row>
    <row r="178" spans="1:13" x14ac:dyDescent="0.25">
      <c r="A178" s="172"/>
      <c r="G178" s="142"/>
      <c r="H178" s="156">
        <v>173</v>
      </c>
      <c r="I178" s="157" t="str">
        <f t="shared" si="13"/>
        <v/>
      </c>
      <c r="J178" s="156" t="e">
        <f t="shared" si="14"/>
        <v>#NUM!</v>
      </c>
      <c r="K178" s="156" t="e">
        <f t="shared" si="11"/>
        <v>#NUM!</v>
      </c>
      <c r="L178" s="156"/>
      <c r="M178" s="158">
        <f t="shared" si="12"/>
        <v>0</v>
      </c>
    </row>
    <row r="179" spans="1:13" x14ac:dyDescent="0.25">
      <c r="A179" s="172"/>
      <c r="G179" s="142"/>
      <c r="H179" s="156">
        <v>174</v>
      </c>
      <c r="I179" s="157" t="str">
        <f t="shared" si="13"/>
        <v/>
      </c>
      <c r="J179" s="156" t="e">
        <f t="shared" si="14"/>
        <v>#NUM!</v>
      </c>
      <c r="K179" s="156" t="e">
        <f t="shared" si="11"/>
        <v>#NUM!</v>
      </c>
      <c r="L179" s="156"/>
      <c r="M179" s="158">
        <f t="shared" si="12"/>
        <v>0</v>
      </c>
    </row>
    <row r="180" spans="1:13" x14ac:dyDescent="0.25">
      <c r="A180" s="172"/>
      <c r="G180" s="142"/>
      <c r="H180" s="156">
        <v>175</v>
      </c>
      <c r="I180" s="157" t="str">
        <f t="shared" si="13"/>
        <v/>
      </c>
      <c r="J180" s="156" t="e">
        <f t="shared" si="14"/>
        <v>#NUM!</v>
      </c>
      <c r="K180" s="156" t="e">
        <f t="shared" si="11"/>
        <v>#NUM!</v>
      </c>
      <c r="L180" s="156"/>
      <c r="M180" s="158">
        <f t="shared" si="12"/>
        <v>0</v>
      </c>
    </row>
    <row r="181" spans="1:13" x14ac:dyDescent="0.25">
      <c r="A181" s="172"/>
      <c r="G181" s="142"/>
      <c r="H181" s="156">
        <v>176</v>
      </c>
      <c r="I181" s="157" t="str">
        <f t="shared" si="13"/>
        <v/>
      </c>
      <c r="J181" s="156" t="e">
        <f t="shared" si="14"/>
        <v>#NUM!</v>
      </c>
      <c r="K181" s="156" t="e">
        <f t="shared" si="11"/>
        <v>#NUM!</v>
      </c>
      <c r="L181" s="156"/>
      <c r="M181" s="158">
        <f t="shared" si="12"/>
        <v>0</v>
      </c>
    </row>
    <row r="182" spans="1:13" x14ac:dyDescent="0.25">
      <c r="A182" s="172"/>
      <c r="G182" s="142"/>
      <c r="H182" s="156">
        <v>177</v>
      </c>
      <c r="I182" s="157" t="str">
        <f t="shared" si="13"/>
        <v/>
      </c>
      <c r="J182" s="156" t="e">
        <f t="shared" si="14"/>
        <v>#NUM!</v>
      </c>
      <c r="K182" s="156" t="e">
        <f t="shared" si="11"/>
        <v>#NUM!</v>
      </c>
      <c r="L182" s="156"/>
      <c r="M182" s="158">
        <f t="shared" si="12"/>
        <v>0</v>
      </c>
    </row>
    <row r="183" spans="1:13" x14ac:dyDescent="0.25">
      <c r="A183" s="172"/>
      <c r="G183" s="142"/>
      <c r="H183" s="156">
        <v>178</v>
      </c>
      <c r="I183" s="157" t="str">
        <f t="shared" si="13"/>
        <v/>
      </c>
      <c r="J183" s="156" t="e">
        <f t="shared" si="14"/>
        <v>#NUM!</v>
      </c>
      <c r="K183" s="156" t="e">
        <f t="shared" si="11"/>
        <v>#NUM!</v>
      </c>
      <c r="L183" s="156"/>
      <c r="M183" s="158">
        <f t="shared" si="12"/>
        <v>0</v>
      </c>
    </row>
    <row r="184" spans="1:13" x14ac:dyDescent="0.25">
      <c r="A184" s="172"/>
      <c r="G184" s="142"/>
      <c r="H184" s="156">
        <v>179</v>
      </c>
      <c r="I184" s="157" t="str">
        <f t="shared" si="13"/>
        <v/>
      </c>
      <c r="J184" s="156" t="e">
        <f t="shared" si="14"/>
        <v>#NUM!</v>
      </c>
      <c r="K184" s="156" t="e">
        <f t="shared" si="11"/>
        <v>#NUM!</v>
      </c>
      <c r="L184" s="156"/>
      <c r="M184" s="158">
        <f t="shared" si="12"/>
        <v>0</v>
      </c>
    </row>
    <row r="185" spans="1:13" x14ac:dyDescent="0.25">
      <c r="A185" s="172"/>
      <c r="G185" s="142"/>
      <c r="H185" s="156">
        <v>180</v>
      </c>
      <c r="I185" s="157" t="str">
        <f t="shared" si="13"/>
        <v/>
      </c>
      <c r="J185" s="156" t="e">
        <f t="shared" si="14"/>
        <v>#NUM!</v>
      </c>
      <c r="K185" s="156" t="e">
        <f t="shared" si="11"/>
        <v>#NUM!</v>
      </c>
      <c r="L185" s="156"/>
      <c r="M185" s="158">
        <f t="shared" si="12"/>
        <v>0</v>
      </c>
    </row>
    <row r="186" spans="1:13" x14ac:dyDescent="0.25">
      <c r="A186" s="172"/>
      <c r="G186" s="142"/>
      <c r="H186" s="156">
        <v>181</v>
      </c>
      <c r="I186" s="157" t="str">
        <f t="shared" si="13"/>
        <v/>
      </c>
      <c r="J186" s="156" t="e">
        <f t="shared" si="14"/>
        <v>#NUM!</v>
      </c>
      <c r="K186" s="156" t="e">
        <f t="shared" si="11"/>
        <v>#NUM!</v>
      </c>
      <c r="L186" s="156"/>
      <c r="M186" s="158">
        <f t="shared" si="12"/>
        <v>0</v>
      </c>
    </row>
    <row r="187" spans="1:13" x14ac:dyDescent="0.25">
      <c r="A187" s="172"/>
      <c r="G187" s="142"/>
      <c r="H187" s="156">
        <v>182</v>
      </c>
      <c r="I187" s="157" t="str">
        <f t="shared" si="13"/>
        <v/>
      </c>
      <c r="J187" s="156" t="e">
        <f t="shared" si="14"/>
        <v>#NUM!</v>
      </c>
      <c r="K187" s="156" t="e">
        <f t="shared" si="11"/>
        <v>#NUM!</v>
      </c>
      <c r="L187" s="156"/>
      <c r="M187" s="158">
        <f t="shared" si="12"/>
        <v>0</v>
      </c>
    </row>
    <row r="188" spans="1:13" x14ac:dyDescent="0.25">
      <c r="A188" s="172"/>
      <c r="G188" s="142"/>
      <c r="H188" s="156">
        <v>183</v>
      </c>
      <c r="I188" s="157" t="str">
        <f t="shared" si="13"/>
        <v/>
      </c>
      <c r="J188" s="156" t="e">
        <f t="shared" si="14"/>
        <v>#NUM!</v>
      </c>
      <c r="K188" s="156" t="e">
        <f t="shared" si="11"/>
        <v>#NUM!</v>
      </c>
      <c r="L188" s="156"/>
      <c r="M188" s="158">
        <f t="shared" si="12"/>
        <v>0</v>
      </c>
    </row>
    <row r="189" spans="1:13" x14ac:dyDescent="0.25">
      <c r="A189" s="172"/>
      <c r="G189" s="142"/>
      <c r="H189" s="156">
        <v>184</v>
      </c>
      <c r="I189" s="157" t="str">
        <f t="shared" si="13"/>
        <v/>
      </c>
      <c r="J189" s="156" t="e">
        <f t="shared" si="14"/>
        <v>#NUM!</v>
      </c>
      <c r="K189" s="156" t="e">
        <f t="shared" si="11"/>
        <v>#NUM!</v>
      </c>
      <c r="L189" s="156"/>
      <c r="M189" s="158">
        <f t="shared" si="12"/>
        <v>0</v>
      </c>
    </row>
    <row r="190" spans="1:13" x14ac:dyDescent="0.25">
      <c r="A190" s="172"/>
      <c r="G190" s="142"/>
      <c r="H190" s="156">
        <v>185</v>
      </c>
      <c r="I190" s="157" t="str">
        <f t="shared" si="13"/>
        <v/>
      </c>
      <c r="J190" s="156" t="e">
        <f t="shared" si="14"/>
        <v>#NUM!</v>
      </c>
      <c r="K190" s="156" t="e">
        <f t="shared" si="11"/>
        <v>#NUM!</v>
      </c>
      <c r="L190" s="156"/>
      <c r="M190" s="158">
        <f t="shared" si="12"/>
        <v>0</v>
      </c>
    </row>
    <row r="191" spans="1:13" x14ac:dyDescent="0.25">
      <c r="A191" s="172"/>
      <c r="G191" s="142"/>
      <c r="H191" s="156">
        <v>186</v>
      </c>
      <c r="I191" s="157" t="str">
        <f t="shared" si="13"/>
        <v/>
      </c>
      <c r="J191" s="156" t="e">
        <f t="shared" si="14"/>
        <v>#NUM!</v>
      </c>
      <c r="K191" s="156" t="e">
        <f t="shared" si="11"/>
        <v>#NUM!</v>
      </c>
      <c r="L191" s="156"/>
      <c r="M191" s="158">
        <f t="shared" si="12"/>
        <v>0</v>
      </c>
    </row>
    <row r="192" spans="1:13" x14ac:dyDescent="0.25">
      <c r="A192" s="172"/>
      <c r="G192" s="142"/>
      <c r="H192" s="156">
        <v>187</v>
      </c>
      <c r="I192" s="157" t="str">
        <f t="shared" si="13"/>
        <v/>
      </c>
      <c r="J192" s="156" t="e">
        <f t="shared" si="14"/>
        <v>#NUM!</v>
      </c>
      <c r="K192" s="156" t="e">
        <f t="shared" si="11"/>
        <v>#NUM!</v>
      </c>
      <c r="L192" s="156"/>
      <c r="M192" s="158">
        <f t="shared" si="12"/>
        <v>0</v>
      </c>
    </row>
    <row r="193" spans="1:13" x14ac:dyDescent="0.25">
      <c r="A193" s="172"/>
      <c r="G193" s="142"/>
      <c r="H193" s="156">
        <v>188</v>
      </c>
      <c r="I193" s="157" t="str">
        <f t="shared" si="13"/>
        <v/>
      </c>
      <c r="J193" s="156" t="e">
        <f t="shared" si="14"/>
        <v>#NUM!</v>
      </c>
      <c r="K193" s="156" t="e">
        <f t="shared" si="11"/>
        <v>#NUM!</v>
      </c>
      <c r="L193" s="156"/>
      <c r="M193" s="158">
        <f t="shared" si="12"/>
        <v>0</v>
      </c>
    </row>
    <row r="194" spans="1:13" x14ac:dyDescent="0.25">
      <c r="A194" s="172"/>
      <c r="G194" s="142"/>
      <c r="H194" s="156">
        <v>189</v>
      </c>
      <c r="I194" s="157" t="str">
        <f t="shared" si="13"/>
        <v/>
      </c>
      <c r="J194" s="156" t="e">
        <f t="shared" si="14"/>
        <v>#NUM!</v>
      </c>
      <c r="K194" s="156" t="e">
        <f t="shared" si="11"/>
        <v>#NUM!</v>
      </c>
      <c r="L194" s="156"/>
      <c r="M194" s="158">
        <f t="shared" si="12"/>
        <v>0</v>
      </c>
    </row>
    <row r="195" spans="1:13" x14ac:dyDescent="0.25">
      <c r="A195" s="172"/>
      <c r="G195" s="142"/>
      <c r="H195" s="156">
        <v>190</v>
      </c>
      <c r="I195" s="157" t="str">
        <f t="shared" si="13"/>
        <v/>
      </c>
      <c r="J195" s="156" t="e">
        <f t="shared" si="14"/>
        <v>#NUM!</v>
      </c>
      <c r="K195" s="156" t="e">
        <f t="shared" si="11"/>
        <v>#NUM!</v>
      </c>
      <c r="L195" s="156"/>
      <c r="M195" s="158">
        <f t="shared" si="12"/>
        <v>0</v>
      </c>
    </row>
    <row r="196" spans="1:13" x14ac:dyDescent="0.25">
      <c r="A196" s="172"/>
      <c r="G196" s="142"/>
      <c r="H196" s="156">
        <v>191</v>
      </c>
      <c r="I196" s="157" t="str">
        <f t="shared" si="13"/>
        <v/>
      </c>
      <c r="J196" s="156" t="e">
        <f t="shared" si="14"/>
        <v>#NUM!</v>
      </c>
      <c r="K196" s="156" t="e">
        <f t="shared" si="11"/>
        <v>#NUM!</v>
      </c>
      <c r="L196" s="156"/>
      <c r="M196" s="158">
        <f t="shared" si="12"/>
        <v>0</v>
      </c>
    </row>
    <row r="197" spans="1:13" x14ac:dyDescent="0.25">
      <c r="A197" s="172"/>
      <c r="G197" s="142"/>
      <c r="H197" s="156">
        <v>192</v>
      </c>
      <c r="I197" s="157" t="str">
        <f t="shared" si="13"/>
        <v/>
      </c>
      <c r="J197" s="156" t="e">
        <f t="shared" si="14"/>
        <v>#NUM!</v>
      </c>
      <c r="K197" s="156" t="e">
        <f t="shared" si="11"/>
        <v>#NUM!</v>
      </c>
      <c r="L197" s="156"/>
      <c r="M197" s="158">
        <f t="shared" si="12"/>
        <v>0</v>
      </c>
    </row>
    <row r="198" spans="1:13" x14ac:dyDescent="0.25">
      <c r="A198" s="172"/>
      <c r="G198" s="142"/>
      <c r="H198" s="156">
        <v>193</v>
      </c>
      <c r="I198" s="157" t="str">
        <f t="shared" si="13"/>
        <v/>
      </c>
      <c r="J198" s="156" t="e">
        <f t="shared" si="14"/>
        <v>#NUM!</v>
      </c>
      <c r="K198" s="156" t="e">
        <f t="shared" ref="K198:K261" si="15">J198*$J$2</f>
        <v>#NUM!</v>
      </c>
      <c r="L198" s="156"/>
      <c r="M198" s="158">
        <f t="shared" ref="M198:M261" si="16">IF(I198&lt;&gt;"",K198+I198+L198,0)</f>
        <v>0</v>
      </c>
    </row>
    <row r="199" spans="1:13" x14ac:dyDescent="0.25">
      <c r="A199" s="172"/>
      <c r="G199" s="142"/>
      <c r="H199" s="156">
        <v>194</v>
      </c>
      <c r="I199" s="157" t="str">
        <f t="shared" ref="I199:I262" si="17">IF(H199&lt;$H$2+1,($I$2-($I$2-1)*(LOG(H199)/LOG($H$2))),"")</f>
        <v/>
      </c>
      <c r="J199" s="156" t="e">
        <f t="shared" ref="J199:J262" si="18">INT(LOG($H$2,2))-ROUNDUP(LOG(H199,2),0)+IF(OR($H$2=1,$H$2=2,$H$2=4,$H$2=8,$H$2=16,$H$2=32,$H$2=64,$H$2=128,$H$2=256),0,1)</f>
        <v>#NUM!</v>
      </c>
      <c r="K199" s="156" t="e">
        <f t="shared" si="15"/>
        <v>#NUM!</v>
      </c>
      <c r="L199" s="156"/>
      <c r="M199" s="158">
        <f t="shared" si="16"/>
        <v>0</v>
      </c>
    </row>
    <row r="200" spans="1:13" x14ac:dyDescent="0.25">
      <c r="A200" s="172"/>
      <c r="G200" s="142"/>
      <c r="H200" s="156">
        <v>195</v>
      </c>
      <c r="I200" s="157" t="str">
        <f t="shared" si="17"/>
        <v/>
      </c>
      <c r="J200" s="156" t="e">
        <f t="shared" si="18"/>
        <v>#NUM!</v>
      </c>
      <c r="K200" s="156" t="e">
        <f t="shared" si="15"/>
        <v>#NUM!</v>
      </c>
      <c r="L200" s="156"/>
      <c r="M200" s="158">
        <f t="shared" si="16"/>
        <v>0</v>
      </c>
    </row>
    <row r="201" spans="1:13" x14ac:dyDescent="0.25">
      <c r="A201" s="172"/>
      <c r="G201" s="142"/>
      <c r="H201" s="156">
        <v>196</v>
      </c>
      <c r="I201" s="157" t="str">
        <f t="shared" si="17"/>
        <v/>
      </c>
      <c r="J201" s="156" t="e">
        <f t="shared" si="18"/>
        <v>#NUM!</v>
      </c>
      <c r="K201" s="156" t="e">
        <f t="shared" si="15"/>
        <v>#NUM!</v>
      </c>
      <c r="L201" s="156"/>
      <c r="M201" s="158">
        <f t="shared" si="16"/>
        <v>0</v>
      </c>
    </row>
    <row r="202" spans="1:13" x14ac:dyDescent="0.25">
      <c r="A202" s="172"/>
      <c r="G202" s="142"/>
      <c r="H202" s="156">
        <v>197</v>
      </c>
      <c r="I202" s="157" t="str">
        <f t="shared" si="17"/>
        <v/>
      </c>
      <c r="J202" s="156" t="e">
        <f t="shared" si="18"/>
        <v>#NUM!</v>
      </c>
      <c r="K202" s="156" t="e">
        <f t="shared" si="15"/>
        <v>#NUM!</v>
      </c>
      <c r="L202" s="156"/>
      <c r="M202" s="158">
        <f t="shared" si="16"/>
        <v>0</v>
      </c>
    </row>
    <row r="203" spans="1:13" x14ac:dyDescent="0.25">
      <c r="A203" s="172"/>
      <c r="G203" s="142"/>
      <c r="H203" s="156">
        <v>198</v>
      </c>
      <c r="I203" s="157" t="str">
        <f t="shared" si="17"/>
        <v/>
      </c>
      <c r="J203" s="156" t="e">
        <f t="shared" si="18"/>
        <v>#NUM!</v>
      </c>
      <c r="K203" s="156" t="e">
        <f t="shared" si="15"/>
        <v>#NUM!</v>
      </c>
      <c r="L203" s="156"/>
      <c r="M203" s="158">
        <f t="shared" si="16"/>
        <v>0</v>
      </c>
    </row>
    <row r="204" spans="1:13" x14ac:dyDescent="0.25">
      <c r="A204" s="172"/>
      <c r="G204" s="142"/>
      <c r="H204" s="156">
        <v>199</v>
      </c>
      <c r="I204" s="157" t="str">
        <f t="shared" si="17"/>
        <v/>
      </c>
      <c r="J204" s="156" t="e">
        <f t="shared" si="18"/>
        <v>#NUM!</v>
      </c>
      <c r="K204" s="156" t="e">
        <f t="shared" si="15"/>
        <v>#NUM!</v>
      </c>
      <c r="L204" s="156"/>
      <c r="M204" s="158">
        <f t="shared" si="16"/>
        <v>0</v>
      </c>
    </row>
    <row r="205" spans="1:13" x14ac:dyDescent="0.25">
      <c r="A205" s="172"/>
      <c r="G205" s="142"/>
      <c r="H205" s="156">
        <v>200</v>
      </c>
      <c r="I205" s="157" t="str">
        <f t="shared" si="17"/>
        <v/>
      </c>
      <c r="J205" s="156" t="e">
        <f t="shared" si="18"/>
        <v>#NUM!</v>
      </c>
      <c r="K205" s="156" t="e">
        <f t="shared" si="15"/>
        <v>#NUM!</v>
      </c>
      <c r="L205" s="156"/>
      <c r="M205" s="158">
        <f t="shared" si="16"/>
        <v>0</v>
      </c>
    </row>
    <row r="206" spans="1:13" x14ac:dyDescent="0.25">
      <c r="A206" s="172"/>
      <c r="G206" s="142"/>
      <c r="H206" s="156">
        <v>201</v>
      </c>
      <c r="I206" s="157" t="str">
        <f t="shared" si="17"/>
        <v/>
      </c>
      <c r="J206" s="156" t="e">
        <f t="shared" si="18"/>
        <v>#NUM!</v>
      </c>
      <c r="K206" s="156" t="e">
        <f t="shared" si="15"/>
        <v>#NUM!</v>
      </c>
      <c r="L206" s="156"/>
      <c r="M206" s="158">
        <f t="shared" si="16"/>
        <v>0</v>
      </c>
    </row>
    <row r="207" spans="1:13" x14ac:dyDescent="0.25">
      <c r="A207" s="172"/>
      <c r="G207" s="142"/>
      <c r="H207" s="156">
        <v>202</v>
      </c>
      <c r="I207" s="157" t="str">
        <f t="shared" si="17"/>
        <v/>
      </c>
      <c r="J207" s="156" t="e">
        <f t="shared" si="18"/>
        <v>#NUM!</v>
      </c>
      <c r="K207" s="156" t="e">
        <f t="shared" si="15"/>
        <v>#NUM!</v>
      </c>
      <c r="L207" s="156"/>
      <c r="M207" s="158">
        <f t="shared" si="16"/>
        <v>0</v>
      </c>
    </row>
    <row r="208" spans="1:13" x14ac:dyDescent="0.25">
      <c r="A208" s="172"/>
      <c r="G208" s="142"/>
      <c r="H208" s="156">
        <v>203</v>
      </c>
      <c r="I208" s="157" t="str">
        <f t="shared" si="17"/>
        <v/>
      </c>
      <c r="J208" s="156" t="e">
        <f t="shared" si="18"/>
        <v>#NUM!</v>
      </c>
      <c r="K208" s="156" t="e">
        <f t="shared" si="15"/>
        <v>#NUM!</v>
      </c>
      <c r="L208" s="156"/>
      <c r="M208" s="158">
        <f t="shared" si="16"/>
        <v>0</v>
      </c>
    </row>
    <row r="209" spans="1:13" x14ac:dyDescent="0.25">
      <c r="A209" s="172"/>
      <c r="G209" s="142"/>
      <c r="H209" s="156">
        <v>204</v>
      </c>
      <c r="I209" s="157" t="str">
        <f t="shared" si="17"/>
        <v/>
      </c>
      <c r="J209" s="156" t="e">
        <f t="shared" si="18"/>
        <v>#NUM!</v>
      </c>
      <c r="K209" s="156" t="e">
        <f t="shared" si="15"/>
        <v>#NUM!</v>
      </c>
      <c r="L209" s="156"/>
      <c r="M209" s="158">
        <f t="shared" si="16"/>
        <v>0</v>
      </c>
    </row>
    <row r="210" spans="1:13" x14ac:dyDescent="0.25">
      <c r="A210" s="172"/>
      <c r="G210" s="142"/>
      <c r="H210" s="156">
        <v>205</v>
      </c>
      <c r="I210" s="157" t="str">
        <f t="shared" si="17"/>
        <v/>
      </c>
      <c r="J210" s="156" t="e">
        <f t="shared" si="18"/>
        <v>#NUM!</v>
      </c>
      <c r="K210" s="156" t="e">
        <f t="shared" si="15"/>
        <v>#NUM!</v>
      </c>
      <c r="L210" s="156"/>
      <c r="M210" s="158">
        <f t="shared" si="16"/>
        <v>0</v>
      </c>
    </row>
    <row r="211" spans="1:13" x14ac:dyDescent="0.25">
      <c r="A211" s="172"/>
      <c r="G211" s="142"/>
      <c r="H211" s="156">
        <v>206</v>
      </c>
      <c r="I211" s="157" t="str">
        <f t="shared" si="17"/>
        <v/>
      </c>
      <c r="J211" s="156" t="e">
        <f t="shared" si="18"/>
        <v>#NUM!</v>
      </c>
      <c r="K211" s="156" t="e">
        <f t="shared" si="15"/>
        <v>#NUM!</v>
      </c>
      <c r="L211" s="156"/>
      <c r="M211" s="158">
        <f t="shared" si="16"/>
        <v>0</v>
      </c>
    </row>
    <row r="212" spans="1:13" x14ac:dyDescent="0.25">
      <c r="A212" s="172"/>
      <c r="G212" s="142"/>
      <c r="H212" s="156">
        <v>207</v>
      </c>
      <c r="I212" s="157" t="str">
        <f t="shared" si="17"/>
        <v/>
      </c>
      <c r="J212" s="156" t="e">
        <f t="shared" si="18"/>
        <v>#NUM!</v>
      </c>
      <c r="K212" s="156" t="e">
        <f t="shared" si="15"/>
        <v>#NUM!</v>
      </c>
      <c r="L212" s="156"/>
      <c r="M212" s="158">
        <f t="shared" si="16"/>
        <v>0</v>
      </c>
    </row>
    <row r="213" spans="1:13" x14ac:dyDescent="0.25">
      <c r="A213" s="172"/>
      <c r="G213" s="142"/>
      <c r="H213" s="156">
        <v>208</v>
      </c>
      <c r="I213" s="157" t="str">
        <f t="shared" si="17"/>
        <v/>
      </c>
      <c r="J213" s="156" t="e">
        <f t="shared" si="18"/>
        <v>#NUM!</v>
      </c>
      <c r="K213" s="156" t="e">
        <f t="shared" si="15"/>
        <v>#NUM!</v>
      </c>
      <c r="L213" s="156"/>
      <c r="M213" s="158">
        <f t="shared" si="16"/>
        <v>0</v>
      </c>
    </row>
    <row r="214" spans="1:13" x14ac:dyDescent="0.25">
      <c r="A214" s="172"/>
      <c r="G214" s="142"/>
      <c r="H214" s="156">
        <v>209</v>
      </c>
      <c r="I214" s="157" t="str">
        <f t="shared" si="17"/>
        <v/>
      </c>
      <c r="J214" s="156" t="e">
        <f t="shared" si="18"/>
        <v>#NUM!</v>
      </c>
      <c r="K214" s="156" t="e">
        <f t="shared" si="15"/>
        <v>#NUM!</v>
      </c>
      <c r="L214" s="156"/>
      <c r="M214" s="158">
        <f t="shared" si="16"/>
        <v>0</v>
      </c>
    </row>
    <row r="215" spans="1:13" x14ac:dyDescent="0.25">
      <c r="A215" s="172"/>
      <c r="G215" s="142"/>
      <c r="H215" s="156">
        <v>210</v>
      </c>
      <c r="I215" s="157" t="str">
        <f t="shared" si="17"/>
        <v/>
      </c>
      <c r="J215" s="156" t="e">
        <f t="shared" si="18"/>
        <v>#NUM!</v>
      </c>
      <c r="K215" s="156" t="e">
        <f t="shared" si="15"/>
        <v>#NUM!</v>
      </c>
      <c r="L215" s="156"/>
      <c r="M215" s="158">
        <f t="shared" si="16"/>
        <v>0</v>
      </c>
    </row>
    <row r="216" spans="1:13" x14ac:dyDescent="0.25">
      <c r="A216" s="172"/>
      <c r="G216" s="142"/>
      <c r="H216" s="156">
        <v>211</v>
      </c>
      <c r="I216" s="157" t="str">
        <f t="shared" si="17"/>
        <v/>
      </c>
      <c r="J216" s="156" t="e">
        <f t="shared" si="18"/>
        <v>#NUM!</v>
      </c>
      <c r="K216" s="156" t="e">
        <f t="shared" si="15"/>
        <v>#NUM!</v>
      </c>
      <c r="L216" s="156"/>
      <c r="M216" s="158">
        <f t="shared" si="16"/>
        <v>0</v>
      </c>
    </row>
    <row r="217" spans="1:13" x14ac:dyDescent="0.25">
      <c r="A217" s="172"/>
      <c r="G217" s="142"/>
      <c r="H217" s="156">
        <v>212</v>
      </c>
      <c r="I217" s="157" t="str">
        <f t="shared" si="17"/>
        <v/>
      </c>
      <c r="J217" s="156" t="e">
        <f t="shared" si="18"/>
        <v>#NUM!</v>
      </c>
      <c r="K217" s="156" t="e">
        <f t="shared" si="15"/>
        <v>#NUM!</v>
      </c>
      <c r="L217" s="156"/>
      <c r="M217" s="158">
        <f t="shared" si="16"/>
        <v>0</v>
      </c>
    </row>
    <row r="218" spans="1:13" x14ac:dyDescent="0.25">
      <c r="A218" s="172"/>
      <c r="G218" s="142"/>
      <c r="H218" s="156">
        <v>213</v>
      </c>
      <c r="I218" s="157" t="str">
        <f t="shared" si="17"/>
        <v/>
      </c>
      <c r="J218" s="156" t="e">
        <f t="shared" si="18"/>
        <v>#NUM!</v>
      </c>
      <c r="K218" s="156" t="e">
        <f t="shared" si="15"/>
        <v>#NUM!</v>
      </c>
      <c r="L218" s="156"/>
      <c r="M218" s="158">
        <f t="shared" si="16"/>
        <v>0</v>
      </c>
    </row>
    <row r="219" spans="1:13" x14ac:dyDescent="0.25">
      <c r="A219" s="172"/>
      <c r="G219" s="142"/>
      <c r="H219" s="156">
        <v>214</v>
      </c>
      <c r="I219" s="157" t="str">
        <f t="shared" si="17"/>
        <v/>
      </c>
      <c r="J219" s="156" t="e">
        <f t="shared" si="18"/>
        <v>#NUM!</v>
      </c>
      <c r="K219" s="156" t="e">
        <f t="shared" si="15"/>
        <v>#NUM!</v>
      </c>
      <c r="L219" s="156"/>
      <c r="M219" s="158">
        <f t="shared" si="16"/>
        <v>0</v>
      </c>
    </row>
    <row r="220" spans="1:13" x14ac:dyDescent="0.25">
      <c r="A220" s="172"/>
      <c r="G220" s="142"/>
      <c r="H220" s="156">
        <v>215</v>
      </c>
      <c r="I220" s="157" t="str">
        <f t="shared" si="17"/>
        <v/>
      </c>
      <c r="J220" s="156" t="e">
        <f t="shared" si="18"/>
        <v>#NUM!</v>
      </c>
      <c r="K220" s="156" t="e">
        <f t="shared" si="15"/>
        <v>#NUM!</v>
      </c>
      <c r="L220" s="156"/>
      <c r="M220" s="158">
        <f t="shared" si="16"/>
        <v>0</v>
      </c>
    </row>
    <row r="221" spans="1:13" x14ac:dyDescent="0.25">
      <c r="A221" s="172"/>
      <c r="G221" s="142"/>
      <c r="H221" s="156">
        <v>216</v>
      </c>
      <c r="I221" s="157" t="str">
        <f t="shared" si="17"/>
        <v/>
      </c>
      <c r="J221" s="156" t="e">
        <f t="shared" si="18"/>
        <v>#NUM!</v>
      </c>
      <c r="K221" s="156" t="e">
        <f t="shared" si="15"/>
        <v>#NUM!</v>
      </c>
      <c r="L221" s="156"/>
      <c r="M221" s="158">
        <f t="shared" si="16"/>
        <v>0</v>
      </c>
    </row>
    <row r="222" spans="1:13" x14ac:dyDescent="0.25">
      <c r="A222" s="172"/>
      <c r="G222" s="142"/>
      <c r="H222" s="156">
        <v>217</v>
      </c>
      <c r="I222" s="157" t="str">
        <f t="shared" si="17"/>
        <v/>
      </c>
      <c r="J222" s="156" t="e">
        <f t="shared" si="18"/>
        <v>#NUM!</v>
      </c>
      <c r="K222" s="156" t="e">
        <f t="shared" si="15"/>
        <v>#NUM!</v>
      </c>
      <c r="L222" s="156"/>
      <c r="M222" s="158">
        <f t="shared" si="16"/>
        <v>0</v>
      </c>
    </row>
    <row r="223" spans="1:13" x14ac:dyDescent="0.25">
      <c r="A223" s="172"/>
      <c r="G223" s="142"/>
      <c r="H223" s="156">
        <v>218</v>
      </c>
      <c r="I223" s="157" t="str">
        <f t="shared" si="17"/>
        <v/>
      </c>
      <c r="J223" s="156" t="e">
        <f t="shared" si="18"/>
        <v>#NUM!</v>
      </c>
      <c r="K223" s="156" t="e">
        <f t="shared" si="15"/>
        <v>#NUM!</v>
      </c>
      <c r="L223" s="156"/>
      <c r="M223" s="158">
        <f t="shared" si="16"/>
        <v>0</v>
      </c>
    </row>
    <row r="224" spans="1:13" x14ac:dyDescent="0.25">
      <c r="A224" s="172"/>
      <c r="G224" s="142"/>
      <c r="H224" s="156">
        <v>219</v>
      </c>
      <c r="I224" s="157" t="str">
        <f t="shared" si="17"/>
        <v/>
      </c>
      <c r="J224" s="156" t="e">
        <f t="shared" si="18"/>
        <v>#NUM!</v>
      </c>
      <c r="K224" s="156" t="e">
        <f t="shared" si="15"/>
        <v>#NUM!</v>
      </c>
      <c r="L224" s="156"/>
      <c r="M224" s="158">
        <f t="shared" si="16"/>
        <v>0</v>
      </c>
    </row>
    <row r="225" spans="1:13" x14ac:dyDescent="0.25">
      <c r="A225" s="172"/>
      <c r="G225" s="142"/>
      <c r="H225" s="156">
        <v>220</v>
      </c>
      <c r="I225" s="157" t="str">
        <f t="shared" si="17"/>
        <v/>
      </c>
      <c r="J225" s="156" t="e">
        <f t="shared" si="18"/>
        <v>#NUM!</v>
      </c>
      <c r="K225" s="156" t="e">
        <f t="shared" si="15"/>
        <v>#NUM!</v>
      </c>
      <c r="L225" s="156"/>
      <c r="M225" s="158">
        <f t="shared" si="16"/>
        <v>0</v>
      </c>
    </row>
    <row r="226" spans="1:13" x14ac:dyDescent="0.25">
      <c r="A226" s="172"/>
      <c r="G226" s="142"/>
      <c r="H226" s="156">
        <v>221</v>
      </c>
      <c r="I226" s="157" t="str">
        <f t="shared" si="17"/>
        <v/>
      </c>
      <c r="J226" s="156" t="e">
        <f t="shared" si="18"/>
        <v>#NUM!</v>
      </c>
      <c r="K226" s="156" t="e">
        <f t="shared" si="15"/>
        <v>#NUM!</v>
      </c>
      <c r="L226" s="156"/>
      <c r="M226" s="158">
        <f t="shared" si="16"/>
        <v>0</v>
      </c>
    </row>
    <row r="227" spans="1:13" x14ac:dyDescent="0.25">
      <c r="A227" s="172"/>
      <c r="G227" s="142"/>
      <c r="H227" s="156">
        <v>222</v>
      </c>
      <c r="I227" s="157" t="str">
        <f t="shared" si="17"/>
        <v/>
      </c>
      <c r="J227" s="156" t="e">
        <f t="shared" si="18"/>
        <v>#NUM!</v>
      </c>
      <c r="K227" s="156" t="e">
        <f t="shared" si="15"/>
        <v>#NUM!</v>
      </c>
      <c r="L227" s="156"/>
      <c r="M227" s="158">
        <f t="shared" si="16"/>
        <v>0</v>
      </c>
    </row>
    <row r="228" spans="1:13" x14ac:dyDescent="0.25">
      <c r="A228" s="172"/>
      <c r="G228" s="142"/>
      <c r="H228" s="156">
        <v>223</v>
      </c>
      <c r="I228" s="157" t="str">
        <f t="shared" si="17"/>
        <v/>
      </c>
      <c r="J228" s="156" t="e">
        <f t="shared" si="18"/>
        <v>#NUM!</v>
      </c>
      <c r="K228" s="156" t="e">
        <f t="shared" si="15"/>
        <v>#NUM!</v>
      </c>
      <c r="L228" s="156"/>
      <c r="M228" s="158">
        <f t="shared" si="16"/>
        <v>0</v>
      </c>
    </row>
    <row r="229" spans="1:13" x14ac:dyDescent="0.25">
      <c r="A229" s="172"/>
      <c r="G229" s="142"/>
      <c r="H229" s="156">
        <v>224</v>
      </c>
      <c r="I229" s="157" t="str">
        <f t="shared" si="17"/>
        <v/>
      </c>
      <c r="J229" s="156" t="e">
        <f t="shared" si="18"/>
        <v>#NUM!</v>
      </c>
      <c r="K229" s="156" t="e">
        <f t="shared" si="15"/>
        <v>#NUM!</v>
      </c>
      <c r="L229" s="156"/>
      <c r="M229" s="158">
        <f t="shared" si="16"/>
        <v>0</v>
      </c>
    </row>
    <row r="230" spans="1:13" x14ac:dyDescent="0.25">
      <c r="A230" s="172"/>
      <c r="G230" s="142"/>
      <c r="H230" s="156">
        <v>225</v>
      </c>
      <c r="I230" s="157" t="str">
        <f t="shared" si="17"/>
        <v/>
      </c>
      <c r="J230" s="156" t="e">
        <f t="shared" si="18"/>
        <v>#NUM!</v>
      </c>
      <c r="K230" s="156" t="e">
        <f t="shared" si="15"/>
        <v>#NUM!</v>
      </c>
      <c r="L230" s="156"/>
      <c r="M230" s="158">
        <f t="shared" si="16"/>
        <v>0</v>
      </c>
    </row>
    <row r="231" spans="1:13" x14ac:dyDescent="0.25">
      <c r="A231" s="172"/>
      <c r="G231" s="142"/>
      <c r="H231" s="156">
        <v>226</v>
      </c>
      <c r="I231" s="157" t="str">
        <f t="shared" si="17"/>
        <v/>
      </c>
      <c r="J231" s="156" t="e">
        <f t="shared" si="18"/>
        <v>#NUM!</v>
      </c>
      <c r="K231" s="156" t="e">
        <f t="shared" si="15"/>
        <v>#NUM!</v>
      </c>
      <c r="L231" s="156"/>
      <c r="M231" s="158">
        <f t="shared" si="16"/>
        <v>0</v>
      </c>
    </row>
    <row r="232" spans="1:13" x14ac:dyDescent="0.25">
      <c r="A232" s="172"/>
      <c r="G232" s="142"/>
      <c r="H232" s="156">
        <v>227</v>
      </c>
      <c r="I232" s="157" t="str">
        <f t="shared" si="17"/>
        <v/>
      </c>
      <c r="J232" s="156" t="e">
        <f t="shared" si="18"/>
        <v>#NUM!</v>
      </c>
      <c r="K232" s="156" t="e">
        <f t="shared" si="15"/>
        <v>#NUM!</v>
      </c>
      <c r="L232" s="156"/>
      <c r="M232" s="158">
        <f t="shared" si="16"/>
        <v>0</v>
      </c>
    </row>
    <row r="233" spans="1:13" x14ac:dyDescent="0.25">
      <c r="A233" s="172"/>
      <c r="G233" s="142"/>
      <c r="H233" s="156">
        <v>228</v>
      </c>
      <c r="I233" s="157" t="str">
        <f t="shared" si="17"/>
        <v/>
      </c>
      <c r="J233" s="156" t="e">
        <f t="shared" si="18"/>
        <v>#NUM!</v>
      </c>
      <c r="K233" s="156" t="e">
        <f t="shared" si="15"/>
        <v>#NUM!</v>
      </c>
      <c r="L233" s="156"/>
      <c r="M233" s="158">
        <f t="shared" si="16"/>
        <v>0</v>
      </c>
    </row>
    <row r="234" spans="1:13" x14ac:dyDescent="0.25">
      <c r="A234" s="172"/>
      <c r="G234" s="142"/>
      <c r="H234" s="156">
        <v>229</v>
      </c>
      <c r="I234" s="157" t="str">
        <f t="shared" si="17"/>
        <v/>
      </c>
      <c r="J234" s="156" t="e">
        <f t="shared" si="18"/>
        <v>#NUM!</v>
      </c>
      <c r="K234" s="156" t="e">
        <f t="shared" si="15"/>
        <v>#NUM!</v>
      </c>
      <c r="L234" s="156"/>
      <c r="M234" s="158">
        <f t="shared" si="16"/>
        <v>0</v>
      </c>
    </row>
    <row r="235" spans="1:13" x14ac:dyDescent="0.25">
      <c r="A235" s="172"/>
      <c r="G235" s="142"/>
      <c r="H235" s="156">
        <v>230</v>
      </c>
      <c r="I235" s="157" t="str">
        <f t="shared" si="17"/>
        <v/>
      </c>
      <c r="J235" s="156" t="e">
        <f t="shared" si="18"/>
        <v>#NUM!</v>
      </c>
      <c r="K235" s="156" t="e">
        <f t="shared" si="15"/>
        <v>#NUM!</v>
      </c>
      <c r="L235" s="156"/>
      <c r="M235" s="158">
        <f t="shared" si="16"/>
        <v>0</v>
      </c>
    </row>
    <row r="236" spans="1:13" x14ac:dyDescent="0.25">
      <c r="A236" s="172"/>
      <c r="G236" s="142"/>
      <c r="H236" s="156">
        <v>231</v>
      </c>
      <c r="I236" s="157" t="str">
        <f t="shared" si="17"/>
        <v/>
      </c>
      <c r="J236" s="156" t="e">
        <f t="shared" si="18"/>
        <v>#NUM!</v>
      </c>
      <c r="K236" s="156" t="e">
        <f t="shared" si="15"/>
        <v>#NUM!</v>
      </c>
      <c r="L236" s="156"/>
      <c r="M236" s="158">
        <f t="shared" si="16"/>
        <v>0</v>
      </c>
    </row>
    <row r="237" spans="1:13" x14ac:dyDescent="0.25">
      <c r="A237" s="172"/>
      <c r="G237" s="142"/>
      <c r="H237" s="156">
        <v>232</v>
      </c>
      <c r="I237" s="157" t="str">
        <f t="shared" si="17"/>
        <v/>
      </c>
      <c r="J237" s="156" t="e">
        <f t="shared" si="18"/>
        <v>#NUM!</v>
      </c>
      <c r="K237" s="156" t="e">
        <f t="shared" si="15"/>
        <v>#NUM!</v>
      </c>
      <c r="L237" s="156"/>
      <c r="M237" s="158">
        <f t="shared" si="16"/>
        <v>0</v>
      </c>
    </row>
    <row r="238" spans="1:13" x14ac:dyDescent="0.25">
      <c r="A238" s="172"/>
      <c r="G238" s="142"/>
      <c r="H238" s="156">
        <v>233</v>
      </c>
      <c r="I238" s="157" t="str">
        <f t="shared" si="17"/>
        <v/>
      </c>
      <c r="J238" s="156" t="e">
        <f t="shared" si="18"/>
        <v>#NUM!</v>
      </c>
      <c r="K238" s="156" t="e">
        <f t="shared" si="15"/>
        <v>#NUM!</v>
      </c>
      <c r="L238" s="156"/>
      <c r="M238" s="158">
        <f t="shared" si="16"/>
        <v>0</v>
      </c>
    </row>
    <row r="239" spans="1:13" x14ac:dyDescent="0.25">
      <c r="A239" s="172"/>
      <c r="G239" s="142"/>
      <c r="H239" s="156">
        <v>234</v>
      </c>
      <c r="I239" s="157" t="str">
        <f t="shared" si="17"/>
        <v/>
      </c>
      <c r="J239" s="156" t="e">
        <f t="shared" si="18"/>
        <v>#NUM!</v>
      </c>
      <c r="K239" s="156" t="e">
        <f t="shared" si="15"/>
        <v>#NUM!</v>
      </c>
      <c r="L239" s="156"/>
      <c r="M239" s="158">
        <f t="shared" si="16"/>
        <v>0</v>
      </c>
    </row>
    <row r="240" spans="1:13" x14ac:dyDescent="0.25">
      <c r="A240" s="172"/>
      <c r="G240" s="142"/>
      <c r="H240" s="156">
        <v>235</v>
      </c>
      <c r="I240" s="157" t="str">
        <f t="shared" si="17"/>
        <v/>
      </c>
      <c r="J240" s="156" t="e">
        <f t="shared" si="18"/>
        <v>#NUM!</v>
      </c>
      <c r="K240" s="156" t="e">
        <f t="shared" si="15"/>
        <v>#NUM!</v>
      </c>
      <c r="L240" s="156"/>
      <c r="M240" s="158">
        <f t="shared" si="16"/>
        <v>0</v>
      </c>
    </row>
    <row r="241" spans="1:13" x14ac:dyDescent="0.25">
      <c r="A241" s="172"/>
      <c r="G241" s="142"/>
      <c r="H241" s="156">
        <v>236</v>
      </c>
      <c r="I241" s="157" t="str">
        <f t="shared" si="17"/>
        <v/>
      </c>
      <c r="J241" s="156" t="e">
        <f t="shared" si="18"/>
        <v>#NUM!</v>
      </c>
      <c r="K241" s="156" t="e">
        <f t="shared" si="15"/>
        <v>#NUM!</v>
      </c>
      <c r="L241" s="156"/>
      <c r="M241" s="158">
        <f t="shared" si="16"/>
        <v>0</v>
      </c>
    </row>
    <row r="242" spans="1:13" x14ac:dyDescent="0.25">
      <c r="A242" s="172"/>
      <c r="G242" s="142"/>
      <c r="H242" s="156">
        <v>237</v>
      </c>
      <c r="I242" s="157" t="str">
        <f t="shared" si="17"/>
        <v/>
      </c>
      <c r="J242" s="156" t="e">
        <f t="shared" si="18"/>
        <v>#NUM!</v>
      </c>
      <c r="K242" s="156" t="e">
        <f t="shared" si="15"/>
        <v>#NUM!</v>
      </c>
      <c r="L242" s="156"/>
      <c r="M242" s="158">
        <f t="shared" si="16"/>
        <v>0</v>
      </c>
    </row>
    <row r="243" spans="1:13" x14ac:dyDescent="0.25">
      <c r="A243" s="172"/>
      <c r="G243" s="142"/>
      <c r="H243" s="156">
        <v>238</v>
      </c>
      <c r="I243" s="157" t="str">
        <f t="shared" si="17"/>
        <v/>
      </c>
      <c r="J243" s="156" t="e">
        <f t="shared" si="18"/>
        <v>#NUM!</v>
      </c>
      <c r="K243" s="156" t="e">
        <f t="shared" si="15"/>
        <v>#NUM!</v>
      </c>
      <c r="L243" s="156"/>
      <c r="M243" s="158">
        <f t="shared" si="16"/>
        <v>0</v>
      </c>
    </row>
    <row r="244" spans="1:13" x14ac:dyDescent="0.25">
      <c r="A244" s="172"/>
      <c r="G244" s="142"/>
      <c r="H244" s="156">
        <v>239</v>
      </c>
      <c r="I244" s="157" t="str">
        <f t="shared" si="17"/>
        <v/>
      </c>
      <c r="J244" s="156" t="e">
        <f t="shared" si="18"/>
        <v>#NUM!</v>
      </c>
      <c r="K244" s="156" t="e">
        <f t="shared" si="15"/>
        <v>#NUM!</v>
      </c>
      <c r="L244" s="156"/>
      <c r="M244" s="158">
        <f t="shared" si="16"/>
        <v>0</v>
      </c>
    </row>
    <row r="245" spans="1:13" x14ac:dyDescent="0.25">
      <c r="A245" s="172"/>
      <c r="G245" s="142"/>
      <c r="H245" s="156">
        <v>240</v>
      </c>
      <c r="I245" s="157" t="str">
        <f t="shared" si="17"/>
        <v/>
      </c>
      <c r="J245" s="156" t="e">
        <f t="shared" si="18"/>
        <v>#NUM!</v>
      </c>
      <c r="K245" s="156" t="e">
        <f t="shared" si="15"/>
        <v>#NUM!</v>
      </c>
      <c r="L245" s="156"/>
      <c r="M245" s="158">
        <f t="shared" si="16"/>
        <v>0</v>
      </c>
    </row>
    <row r="246" spans="1:13" x14ac:dyDescent="0.25">
      <c r="A246" s="172"/>
      <c r="G246" s="142"/>
      <c r="H246" s="156">
        <v>241</v>
      </c>
      <c r="I246" s="157" t="str">
        <f t="shared" si="17"/>
        <v/>
      </c>
      <c r="J246" s="156" t="e">
        <f t="shared" si="18"/>
        <v>#NUM!</v>
      </c>
      <c r="K246" s="156" t="e">
        <f t="shared" si="15"/>
        <v>#NUM!</v>
      </c>
      <c r="L246" s="156"/>
      <c r="M246" s="158">
        <f t="shared" si="16"/>
        <v>0</v>
      </c>
    </row>
    <row r="247" spans="1:13" x14ac:dyDescent="0.25">
      <c r="A247" s="172"/>
      <c r="G247" s="142"/>
      <c r="H247" s="156">
        <v>242</v>
      </c>
      <c r="I247" s="157" t="str">
        <f t="shared" si="17"/>
        <v/>
      </c>
      <c r="J247" s="156" t="e">
        <f t="shared" si="18"/>
        <v>#NUM!</v>
      </c>
      <c r="K247" s="156" t="e">
        <f t="shared" si="15"/>
        <v>#NUM!</v>
      </c>
      <c r="L247" s="156"/>
      <c r="M247" s="158">
        <f t="shared" si="16"/>
        <v>0</v>
      </c>
    </row>
    <row r="248" spans="1:13" x14ac:dyDescent="0.25">
      <c r="A248" s="172"/>
      <c r="G248" s="142"/>
      <c r="H248" s="156">
        <v>243</v>
      </c>
      <c r="I248" s="157" t="str">
        <f t="shared" si="17"/>
        <v/>
      </c>
      <c r="J248" s="156" t="e">
        <f t="shared" si="18"/>
        <v>#NUM!</v>
      </c>
      <c r="K248" s="156" t="e">
        <f t="shared" si="15"/>
        <v>#NUM!</v>
      </c>
      <c r="L248" s="156"/>
      <c r="M248" s="158">
        <f t="shared" si="16"/>
        <v>0</v>
      </c>
    </row>
    <row r="249" spans="1:13" x14ac:dyDescent="0.25">
      <c r="A249" s="172"/>
      <c r="G249" s="142"/>
      <c r="H249" s="156">
        <v>244</v>
      </c>
      <c r="I249" s="157" t="str">
        <f t="shared" si="17"/>
        <v/>
      </c>
      <c r="J249" s="156" t="e">
        <f t="shared" si="18"/>
        <v>#NUM!</v>
      </c>
      <c r="K249" s="156" t="e">
        <f t="shared" si="15"/>
        <v>#NUM!</v>
      </c>
      <c r="L249" s="156"/>
      <c r="M249" s="158">
        <f t="shared" si="16"/>
        <v>0</v>
      </c>
    </row>
    <row r="250" spans="1:13" x14ac:dyDescent="0.25">
      <c r="A250" s="172"/>
      <c r="G250" s="142"/>
      <c r="H250" s="156">
        <v>245</v>
      </c>
      <c r="I250" s="157" t="str">
        <f t="shared" si="17"/>
        <v/>
      </c>
      <c r="J250" s="156" t="e">
        <f t="shared" si="18"/>
        <v>#NUM!</v>
      </c>
      <c r="K250" s="156" t="e">
        <f t="shared" si="15"/>
        <v>#NUM!</v>
      </c>
      <c r="L250" s="156"/>
      <c r="M250" s="158">
        <f t="shared" si="16"/>
        <v>0</v>
      </c>
    </row>
    <row r="251" spans="1:13" x14ac:dyDescent="0.25">
      <c r="A251" s="172"/>
      <c r="G251" s="142"/>
      <c r="H251" s="156">
        <v>246</v>
      </c>
      <c r="I251" s="157" t="str">
        <f t="shared" si="17"/>
        <v/>
      </c>
      <c r="J251" s="156" t="e">
        <f t="shared" si="18"/>
        <v>#NUM!</v>
      </c>
      <c r="K251" s="156" t="e">
        <f t="shared" si="15"/>
        <v>#NUM!</v>
      </c>
      <c r="L251" s="156"/>
      <c r="M251" s="158">
        <f t="shared" si="16"/>
        <v>0</v>
      </c>
    </row>
    <row r="252" spans="1:13" x14ac:dyDescent="0.25">
      <c r="A252" s="172"/>
      <c r="G252" s="142"/>
      <c r="H252" s="156">
        <v>247</v>
      </c>
      <c r="I252" s="157" t="str">
        <f t="shared" si="17"/>
        <v/>
      </c>
      <c r="J252" s="156" t="e">
        <f t="shared" si="18"/>
        <v>#NUM!</v>
      </c>
      <c r="K252" s="156" t="e">
        <f t="shared" si="15"/>
        <v>#NUM!</v>
      </c>
      <c r="L252" s="156"/>
      <c r="M252" s="158">
        <f t="shared" si="16"/>
        <v>0</v>
      </c>
    </row>
    <row r="253" spans="1:13" x14ac:dyDescent="0.25">
      <c r="A253" s="172"/>
      <c r="G253" s="142"/>
      <c r="H253" s="156">
        <v>248</v>
      </c>
      <c r="I253" s="157" t="str">
        <f t="shared" si="17"/>
        <v/>
      </c>
      <c r="J253" s="156" t="e">
        <f t="shared" si="18"/>
        <v>#NUM!</v>
      </c>
      <c r="K253" s="156" t="e">
        <f t="shared" si="15"/>
        <v>#NUM!</v>
      </c>
      <c r="L253" s="156"/>
      <c r="M253" s="158">
        <f t="shared" si="16"/>
        <v>0</v>
      </c>
    </row>
    <row r="254" spans="1:13" x14ac:dyDescent="0.25">
      <c r="A254" s="172"/>
      <c r="G254" s="142"/>
      <c r="H254" s="156">
        <v>249</v>
      </c>
      <c r="I254" s="157" t="str">
        <f t="shared" si="17"/>
        <v/>
      </c>
      <c r="J254" s="156" t="e">
        <f t="shared" si="18"/>
        <v>#NUM!</v>
      </c>
      <c r="K254" s="156" t="e">
        <f t="shared" si="15"/>
        <v>#NUM!</v>
      </c>
      <c r="L254" s="156"/>
      <c r="M254" s="158">
        <f t="shared" si="16"/>
        <v>0</v>
      </c>
    </row>
    <row r="255" spans="1:13" x14ac:dyDescent="0.25">
      <c r="A255" s="172"/>
      <c r="G255" s="142"/>
      <c r="H255" s="156">
        <v>250</v>
      </c>
      <c r="I255" s="157" t="str">
        <f t="shared" si="17"/>
        <v/>
      </c>
      <c r="J255" s="156" t="e">
        <f t="shared" si="18"/>
        <v>#NUM!</v>
      </c>
      <c r="K255" s="156" t="e">
        <f t="shared" si="15"/>
        <v>#NUM!</v>
      </c>
      <c r="L255" s="156"/>
      <c r="M255" s="158">
        <f t="shared" si="16"/>
        <v>0</v>
      </c>
    </row>
    <row r="256" spans="1:13" x14ac:dyDescent="0.25">
      <c r="A256" s="172"/>
      <c r="G256" s="142"/>
      <c r="H256" s="156">
        <v>251</v>
      </c>
      <c r="I256" s="157" t="str">
        <f t="shared" si="17"/>
        <v/>
      </c>
      <c r="J256" s="156" t="e">
        <f t="shared" si="18"/>
        <v>#NUM!</v>
      </c>
      <c r="K256" s="156" t="e">
        <f t="shared" si="15"/>
        <v>#NUM!</v>
      </c>
      <c r="L256" s="156"/>
      <c r="M256" s="158">
        <f t="shared" si="16"/>
        <v>0</v>
      </c>
    </row>
    <row r="257" spans="1:13" x14ac:dyDescent="0.25">
      <c r="A257" s="172"/>
      <c r="G257" s="142"/>
      <c r="H257" s="156">
        <v>252</v>
      </c>
      <c r="I257" s="157" t="str">
        <f t="shared" si="17"/>
        <v/>
      </c>
      <c r="J257" s="156" t="e">
        <f t="shared" si="18"/>
        <v>#NUM!</v>
      </c>
      <c r="K257" s="156" t="e">
        <f t="shared" si="15"/>
        <v>#NUM!</v>
      </c>
      <c r="L257" s="156"/>
      <c r="M257" s="158">
        <f t="shared" si="16"/>
        <v>0</v>
      </c>
    </row>
    <row r="258" spans="1:13" x14ac:dyDescent="0.25">
      <c r="A258" s="172"/>
      <c r="G258" s="142"/>
      <c r="H258" s="156">
        <v>253</v>
      </c>
      <c r="I258" s="157" t="str">
        <f t="shared" si="17"/>
        <v/>
      </c>
      <c r="J258" s="156" t="e">
        <f t="shared" si="18"/>
        <v>#NUM!</v>
      </c>
      <c r="K258" s="156" t="e">
        <f t="shared" si="15"/>
        <v>#NUM!</v>
      </c>
      <c r="L258" s="156"/>
      <c r="M258" s="158">
        <f t="shared" si="16"/>
        <v>0</v>
      </c>
    </row>
    <row r="259" spans="1:13" x14ac:dyDescent="0.25">
      <c r="A259" s="172"/>
      <c r="G259" s="142"/>
      <c r="H259" s="156">
        <v>254</v>
      </c>
      <c r="I259" s="157" t="str">
        <f t="shared" si="17"/>
        <v/>
      </c>
      <c r="J259" s="156" t="e">
        <f t="shared" si="18"/>
        <v>#NUM!</v>
      </c>
      <c r="K259" s="156" t="e">
        <f t="shared" si="15"/>
        <v>#NUM!</v>
      </c>
      <c r="L259" s="156"/>
      <c r="M259" s="158">
        <f t="shared" si="16"/>
        <v>0</v>
      </c>
    </row>
    <row r="260" spans="1:13" x14ac:dyDescent="0.25">
      <c r="A260" s="172"/>
      <c r="G260" s="142"/>
      <c r="H260" s="156">
        <v>255</v>
      </c>
      <c r="I260" s="157" t="str">
        <f t="shared" si="17"/>
        <v/>
      </c>
      <c r="J260" s="156" t="e">
        <f t="shared" si="18"/>
        <v>#NUM!</v>
      </c>
      <c r="K260" s="156" t="e">
        <f t="shared" si="15"/>
        <v>#NUM!</v>
      </c>
      <c r="L260" s="156"/>
      <c r="M260" s="158">
        <f t="shared" si="16"/>
        <v>0</v>
      </c>
    </row>
    <row r="261" spans="1:13" x14ac:dyDescent="0.25">
      <c r="A261" s="172"/>
      <c r="G261" s="142"/>
      <c r="H261" s="156">
        <v>256</v>
      </c>
      <c r="I261" s="157" t="str">
        <f t="shared" si="17"/>
        <v/>
      </c>
      <c r="J261" s="156" t="e">
        <f t="shared" si="18"/>
        <v>#NUM!</v>
      </c>
      <c r="K261" s="156" t="e">
        <f t="shared" si="15"/>
        <v>#NUM!</v>
      </c>
      <c r="L261" s="156"/>
      <c r="M261" s="158">
        <f t="shared" si="16"/>
        <v>0</v>
      </c>
    </row>
    <row r="262" spans="1:13" x14ac:dyDescent="0.25">
      <c r="A262" s="172"/>
      <c r="G262" s="142"/>
      <c r="H262" s="156">
        <v>257</v>
      </c>
      <c r="I262" s="157" t="str">
        <f t="shared" si="17"/>
        <v/>
      </c>
      <c r="J262" s="156" t="e">
        <f t="shared" si="18"/>
        <v>#NUM!</v>
      </c>
      <c r="K262" s="156" t="e">
        <f t="shared" ref="K262:K305" si="19">J262*$J$2</f>
        <v>#NUM!</v>
      </c>
      <c r="L262" s="156"/>
      <c r="M262" s="158">
        <f t="shared" ref="M262:M305" si="20">IF(I262&lt;&gt;"",K262+I262+L262,0)</f>
        <v>0</v>
      </c>
    </row>
    <row r="263" spans="1:13" x14ac:dyDescent="0.25">
      <c r="A263" s="172"/>
      <c r="G263" s="142"/>
      <c r="H263" s="156">
        <v>258</v>
      </c>
      <c r="I263" s="157" t="str">
        <f t="shared" ref="I263:I305" si="21">IF(H263&lt;$H$2+1,($I$2-($I$2-1)*(LOG(H263)/LOG($H$2))),"")</f>
        <v/>
      </c>
      <c r="J263" s="156" t="e">
        <f t="shared" ref="J263:J305" si="22">INT(LOG($H$2,2))-ROUNDUP(LOG(H263,2),0)+IF(OR($H$2=1,$H$2=2,$H$2=4,$H$2=8,$H$2=16,$H$2=32,$H$2=64,$H$2=128,$H$2=256),0,1)</f>
        <v>#NUM!</v>
      </c>
      <c r="K263" s="156" t="e">
        <f t="shared" si="19"/>
        <v>#NUM!</v>
      </c>
      <c r="L263" s="156"/>
      <c r="M263" s="158">
        <f t="shared" si="20"/>
        <v>0</v>
      </c>
    </row>
    <row r="264" spans="1:13" x14ac:dyDescent="0.25">
      <c r="A264" s="172"/>
      <c r="G264" s="142"/>
      <c r="H264" s="156">
        <v>259</v>
      </c>
      <c r="I264" s="157" t="str">
        <f t="shared" si="21"/>
        <v/>
      </c>
      <c r="J264" s="156" t="e">
        <f t="shared" si="22"/>
        <v>#NUM!</v>
      </c>
      <c r="K264" s="156" t="e">
        <f t="shared" si="19"/>
        <v>#NUM!</v>
      </c>
      <c r="L264" s="156"/>
      <c r="M264" s="158">
        <f t="shared" si="20"/>
        <v>0</v>
      </c>
    </row>
    <row r="265" spans="1:13" x14ac:dyDescent="0.25">
      <c r="A265" s="172"/>
      <c r="G265" s="142"/>
      <c r="H265" s="156">
        <v>260</v>
      </c>
      <c r="I265" s="157" t="str">
        <f t="shared" si="21"/>
        <v/>
      </c>
      <c r="J265" s="156" t="e">
        <f t="shared" si="22"/>
        <v>#NUM!</v>
      </c>
      <c r="K265" s="156" t="e">
        <f t="shared" si="19"/>
        <v>#NUM!</v>
      </c>
      <c r="L265" s="156"/>
      <c r="M265" s="158">
        <f t="shared" si="20"/>
        <v>0</v>
      </c>
    </row>
    <row r="266" spans="1:13" x14ac:dyDescent="0.25">
      <c r="A266" s="172"/>
      <c r="G266" s="142"/>
      <c r="H266" s="156">
        <v>261</v>
      </c>
      <c r="I266" s="157" t="str">
        <f t="shared" si="21"/>
        <v/>
      </c>
      <c r="J266" s="156" t="e">
        <f t="shared" si="22"/>
        <v>#NUM!</v>
      </c>
      <c r="K266" s="156" t="e">
        <f t="shared" si="19"/>
        <v>#NUM!</v>
      </c>
      <c r="L266" s="156"/>
      <c r="M266" s="158">
        <f t="shared" si="20"/>
        <v>0</v>
      </c>
    </row>
    <row r="267" spans="1:13" x14ac:dyDescent="0.25">
      <c r="A267" s="172"/>
      <c r="G267" s="142"/>
      <c r="H267" s="156">
        <v>262</v>
      </c>
      <c r="I267" s="157" t="str">
        <f t="shared" si="21"/>
        <v/>
      </c>
      <c r="J267" s="156" t="e">
        <f t="shared" si="22"/>
        <v>#NUM!</v>
      </c>
      <c r="K267" s="156" t="e">
        <f t="shared" si="19"/>
        <v>#NUM!</v>
      </c>
      <c r="L267" s="156"/>
      <c r="M267" s="158">
        <f t="shared" si="20"/>
        <v>0</v>
      </c>
    </row>
    <row r="268" spans="1:13" x14ac:dyDescent="0.25">
      <c r="A268" s="172"/>
      <c r="G268" s="142"/>
      <c r="H268" s="156">
        <v>263</v>
      </c>
      <c r="I268" s="157" t="str">
        <f t="shared" si="21"/>
        <v/>
      </c>
      <c r="J268" s="156" t="e">
        <f t="shared" si="22"/>
        <v>#NUM!</v>
      </c>
      <c r="K268" s="156" t="e">
        <f t="shared" si="19"/>
        <v>#NUM!</v>
      </c>
      <c r="L268" s="156"/>
      <c r="M268" s="158">
        <f t="shared" si="20"/>
        <v>0</v>
      </c>
    </row>
    <row r="269" spans="1:13" x14ac:dyDescent="0.25">
      <c r="A269" s="172"/>
      <c r="G269" s="142"/>
      <c r="H269" s="156">
        <v>264</v>
      </c>
      <c r="I269" s="157" t="str">
        <f t="shared" si="21"/>
        <v/>
      </c>
      <c r="J269" s="156" t="e">
        <f t="shared" si="22"/>
        <v>#NUM!</v>
      </c>
      <c r="K269" s="156" t="e">
        <f t="shared" si="19"/>
        <v>#NUM!</v>
      </c>
      <c r="L269" s="156"/>
      <c r="M269" s="158">
        <f t="shared" si="20"/>
        <v>0</v>
      </c>
    </row>
    <row r="270" spans="1:13" x14ac:dyDescent="0.25">
      <c r="A270" s="172"/>
      <c r="G270" s="142"/>
      <c r="H270" s="156">
        <v>265</v>
      </c>
      <c r="I270" s="157" t="str">
        <f t="shared" si="21"/>
        <v/>
      </c>
      <c r="J270" s="156" t="e">
        <f t="shared" si="22"/>
        <v>#NUM!</v>
      </c>
      <c r="K270" s="156" t="e">
        <f t="shared" si="19"/>
        <v>#NUM!</v>
      </c>
      <c r="L270" s="156"/>
      <c r="M270" s="158">
        <f t="shared" si="20"/>
        <v>0</v>
      </c>
    </row>
    <row r="271" spans="1:13" x14ac:dyDescent="0.25">
      <c r="A271" s="172"/>
      <c r="G271" s="142"/>
      <c r="H271" s="156">
        <v>266</v>
      </c>
      <c r="I271" s="157" t="str">
        <f t="shared" si="21"/>
        <v/>
      </c>
      <c r="J271" s="156" t="e">
        <f t="shared" si="22"/>
        <v>#NUM!</v>
      </c>
      <c r="K271" s="156" t="e">
        <f t="shared" si="19"/>
        <v>#NUM!</v>
      </c>
      <c r="L271" s="156"/>
      <c r="M271" s="158">
        <f t="shared" si="20"/>
        <v>0</v>
      </c>
    </row>
    <row r="272" spans="1:13" x14ac:dyDescent="0.25">
      <c r="A272" s="172"/>
      <c r="G272" s="142"/>
      <c r="H272" s="156">
        <v>267</v>
      </c>
      <c r="I272" s="157" t="str">
        <f t="shared" si="21"/>
        <v/>
      </c>
      <c r="J272" s="156" t="e">
        <f t="shared" si="22"/>
        <v>#NUM!</v>
      </c>
      <c r="K272" s="156" t="e">
        <f t="shared" si="19"/>
        <v>#NUM!</v>
      </c>
      <c r="L272" s="156"/>
      <c r="M272" s="158">
        <f t="shared" si="20"/>
        <v>0</v>
      </c>
    </row>
    <row r="273" spans="1:13" x14ac:dyDescent="0.25">
      <c r="A273" s="172"/>
      <c r="G273" s="142"/>
      <c r="H273" s="156">
        <v>268</v>
      </c>
      <c r="I273" s="157" t="str">
        <f t="shared" si="21"/>
        <v/>
      </c>
      <c r="J273" s="156" t="e">
        <f t="shared" si="22"/>
        <v>#NUM!</v>
      </c>
      <c r="K273" s="156" t="e">
        <f t="shared" si="19"/>
        <v>#NUM!</v>
      </c>
      <c r="L273" s="156"/>
      <c r="M273" s="158">
        <f t="shared" si="20"/>
        <v>0</v>
      </c>
    </row>
    <row r="274" spans="1:13" x14ac:dyDescent="0.25">
      <c r="A274" s="172"/>
      <c r="G274" s="142"/>
      <c r="H274" s="156">
        <v>269</v>
      </c>
      <c r="I274" s="157" t="str">
        <f t="shared" si="21"/>
        <v/>
      </c>
      <c r="J274" s="156" t="e">
        <f t="shared" si="22"/>
        <v>#NUM!</v>
      </c>
      <c r="K274" s="156" t="e">
        <f t="shared" si="19"/>
        <v>#NUM!</v>
      </c>
      <c r="L274" s="156"/>
      <c r="M274" s="158">
        <f t="shared" si="20"/>
        <v>0</v>
      </c>
    </row>
    <row r="275" spans="1:13" x14ac:dyDescent="0.25">
      <c r="A275" s="172"/>
      <c r="G275" s="142"/>
      <c r="H275" s="156">
        <v>270</v>
      </c>
      <c r="I275" s="157" t="str">
        <f t="shared" si="21"/>
        <v/>
      </c>
      <c r="J275" s="156" t="e">
        <f t="shared" si="22"/>
        <v>#NUM!</v>
      </c>
      <c r="K275" s="156" t="e">
        <f t="shared" si="19"/>
        <v>#NUM!</v>
      </c>
      <c r="L275" s="156"/>
      <c r="M275" s="158">
        <f t="shared" si="20"/>
        <v>0</v>
      </c>
    </row>
    <row r="276" spans="1:13" x14ac:dyDescent="0.25">
      <c r="A276" s="172"/>
      <c r="G276" s="142"/>
      <c r="H276" s="156">
        <v>271</v>
      </c>
      <c r="I276" s="157" t="str">
        <f t="shared" si="21"/>
        <v/>
      </c>
      <c r="J276" s="156" t="e">
        <f t="shared" si="22"/>
        <v>#NUM!</v>
      </c>
      <c r="K276" s="156" t="e">
        <f t="shared" si="19"/>
        <v>#NUM!</v>
      </c>
      <c r="L276" s="156"/>
      <c r="M276" s="158">
        <f t="shared" si="20"/>
        <v>0</v>
      </c>
    </row>
    <row r="277" spans="1:13" x14ac:dyDescent="0.25">
      <c r="A277" s="172"/>
      <c r="G277" s="142"/>
      <c r="H277" s="156">
        <v>272</v>
      </c>
      <c r="I277" s="157" t="str">
        <f t="shared" si="21"/>
        <v/>
      </c>
      <c r="J277" s="156" t="e">
        <f t="shared" si="22"/>
        <v>#NUM!</v>
      </c>
      <c r="K277" s="156" t="e">
        <f t="shared" si="19"/>
        <v>#NUM!</v>
      </c>
      <c r="L277" s="156"/>
      <c r="M277" s="158">
        <f t="shared" si="20"/>
        <v>0</v>
      </c>
    </row>
    <row r="278" spans="1:13" x14ac:dyDescent="0.25">
      <c r="A278" s="172"/>
      <c r="G278" s="142"/>
      <c r="H278" s="156">
        <v>273</v>
      </c>
      <c r="I278" s="157" t="str">
        <f t="shared" si="21"/>
        <v/>
      </c>
      <c r="J278" s="156" t="e">
        <f t="shared" si="22"/>
        <v>#NUM!</v>
      </c>
      <c r="K278" s="156" t="e">
        <f t="shared" si="19"/>
        <v>#NUM!</v>
      </c>
      <c r="L278" s="156"/>
      <c r="M278" s="158">
        <f t="shared" si="20"/>
        <v>0</v>
      </c>
    </row>
    <row r="279" spans="1:13" x14ac:dyDescent="0.25">
      <c r="A279" s="172"/>
      <c r="G279" s="142"/>
      <c r="H279" s="156">
        <v>274</v>
      </c>
      <c r="I279" s="157" t="str">
        <f t="shared" si="21"/>
        <v/>
      </c>
      <c r="J279" s="156" t="e">
        <f t="shared" si="22"/>
        <v>#NUM!</v>
      </c>
      <c r="K279" s="156" t="e">
        <f t="shared" si="19"/>
        <v>#NUM!</v>
      </c>
      <c r="L279" s="156"/>
      <c r="M279" s="158">
        <f t="shared" si="20"/>
        <v>0</v>
      </c>
    </row>
    <row r="280" spans="1:13" x14ac:dyDescent="0.25">
      <c r="A280" s="172"/>
      <c r="G280" s="142"/>
      <c r="H280" s="156">
        <v>275</v>
      </c>
      <c r="I280" s="157" t="str">
        <f t="shared" si="21"/>
        <v/>
      </c>
      <c r="J280" s="156" t="e">
        <f t="shared" si="22"/>
        <v>#NUM!</v>
      </c>
      <c r="K280" s="156" t="e">
        <f t="shared" si="19"/>
        <v>#NUM!</v>
      </c>
      <c r="L280" s="156"/>
      <c r="M280" s="158">
        <f t="shared" si="20"/>
        <v>0</v>
      </c>
    </row>
    <row r="281" spans="1:13" x14ac:dyDescent="0.25">
      <c r="A281" s="172"/>
      <c r="G281" s="142"/>
      <c r="H281" s="156">
        <v>276</v>
      </c>
      <c r="I281" s="157" t="str">
        <f t="shared" si="21"/>
        <v/>
      </c>
      <c r="J281" s="156" t="e">
        <f t="shared" si="22"/>
        <v>#NUM!</v>
      </c>
      <c r="K281" s="156" t="e">
        <f t="shared" si="19"/>
        <v>#NUM!</v>
      </c>
      <c r="L281" s="156"/>
      <c r="M281" s="158">
        <f t="shared" si="20"/>
        <v>0</v>
      </c>
    </row>
    <row r="282" spans="1:13" x14ac:dyDescent="0.25">
      <c r="A282" s="172"/>
      <c r="G282" s="142"/>
      <c r="H282" s="156">
        <v>277</v>
      </c>
      <c r="I282" s="157" t="str">
        <f t="shared" si="21"/>
        <v/>
      </c>
      <c r="J282" s="156" t="e">
        <f t="shared" si="22"/>
        <v>#NUM!</v>
      </c>
      <c r="K282" s="156" t="e">
        <f t="shared" si="19"/>
        <v>#NUM!</v>
      </c>
      <c r="L282" s="156"/>
      <c r="M282" s="158">
        <f t="shared" si="20"/>
        <v>0</v>
      </c>
    </row>
    <row r="283" spans="1:13" x14ac:dyDescent="0.25">
      <c r="A283" s="172"/>
      <c r="G283" s="142"/>
      <c r="H283" s="156">
        <v>278</v>
      </c>
      <c r="I283" s="157" t="str">
        <f t="shared" si="21"/>
        <v/>
      </c>
      <c r="J283" s="156" t="e">
        <f t="shared" si="22"/>
        <v>#NUM!</v>
      </c>
      <c r="K283" s="156" t="e">
        <f t="shared" si="19"/>
        <v>#NUM!</v>
      </c>
      <c r="L283" s="156"/>
      <c r="M283" s="158">
        <f t="shared" si="20"/>
        <v>0</v>
      </c>
    </row>
    <row r="284" spans="1:13" x14ac:dyDescent="0.25">
      <c r="A284" s="172"/>
      <c r="G284" s="142"/>
      <c r="H284" s="156">
        <v>279</v>
      </c>
      <c r="I284" s="157" t="str">
        <f t="shared" si="21"/>
        <v/>
      </c>
      <c r="J284" s="156" t="e">
        <f t="shared" si="22"/>
        <v>#NUM!</v>
      </c>
      <c r="K284" s="156" t="e">
        <f t="shared" si="19"/>
        <v>#NUM!</v>
      </c>
      <c r="L284" s="156"/>
      <c r="M284" s="158">
        <f t="shared" si="20"/>
        <v>0</v>
      </c>
    </row>
    <row r="285" spans="1:13" x14ac:dyDescent="0.25">
      <c r="A285" s="172"/>
      <c r="G285" s="142"/>
      <c r="H285" s="156">
        <v>280</v>
      </c>
      <c r="I285" s="157" t="str">
        <f t="shared" si="21"/>
        <v/>
      </c>
      <c r="J285" s="156" t="e">
        <f t="shared" si="22"/>
        <v>#NUM!</v>
      </c>
      <c r="K285" s="156" t="e">
        <f t="shared" si="19"/>
        <v>#NUM!</v>
      </c>
      <c r="L285" s="156"/>
      <c r="M285" s="158">
        <f t="shared" si="20"/>
        <v>0</v>
      </c>
    </row>
    <row r="286" spans="1:13" x14ac:dyDescent="0.25">
      <c r="A286" s="172"/>
      <c r="G286" s="142"/>
      <c r="H286" s="156">
        <v>281</v>
      </c>
      <c r="I286" s="157" t="str">
        <f t="shared" si="21"/>
        <v/>
      </c>
      <c r="J286" s="156" t="e">
        <f t="shared" si="22"/>
        <v>#NUM!</v>
      </c>
      <c r="K286" s="156" t="e">
        <f t="shared" si="19"/>
        <v>#NUM!</v>
      </c>
      <c r="L286" s="156"/>
      <c r="M286" s="158">
        <f t="shared" si="20"/>
        <v>0</v>
      </c>
    </row>
    <row r="287" spans="1:13" x14ac:dyDescent="0.25">
      <c r="A287" s="172"/>
      <c r="G287" s="142"/>
      <c r="H287" s="156">
        <v>282</v>
      </c>
      <c r="I287" s="157" t="str">
        <f t="shared" si="21"/>
        <v/>
      </c>
      <c r="J287" s="156" t="e">
        <f t="shared" si="22"/>
        <v>#NUM!</v>
      </c>
      <c r="K287" s="156" t="e">
        <f t="shared" si="19"/>
        <v>#NUM!</v>
      </c>
      <c r="L287" s="156"/>
      <c r="M287" s="158">
        <f t="shared" si="20"/>
        <v>0</v>
      </c>
    </row>
    <row r="288" spans="1:13" x14ac:dyDescent="0.25">
      <c r="A288" s="172"/>
      <c r="G288" s="142"/>
      <c r="H288" s="156">
        <v>283</v>
      </c>
      <c r="I288" s="157" t="str">
        <f t="shared" si="21"/>
        <v/>
      </c>
      <c r="J288" s="156" t="e">
        <f t="shared" si="22"/>
        <v>#NUM!</v>
      </c>
      <c r="K288" s="156" t="e">
        <f t="shared" si="19"/>
        <v>#NUM!</v>
      </c>
      <c r="L288" s="156"/>
      <c r="M288" s="158">
        <f t="shared" si="20"/>
        <v>0</v>
      </c>
    </row>
    <row r="289" spans="1:13" x14ac:dyDescent="0.25">
      <c r="A289" s="172"/>
      <c r="G289" s="142"/>
      <c r="H289" s="156">
        <v>284</v>
      </c>
      <c r="I289" s="157" t="str">
        <f t="shared" si="21"/>
        <v/>
      </c>
      <c r="J289" s="156" t="e">
        <f t="shared" si="22"/>
        <v>#NUM!</v>
      </c>
      <c r="K289" s="156" t="e">
        <f t="shared" si="19"/>
        <v>#NUM!</v>
      </c>
      <c r="L289" s="156"/>
      <c r="M289" s="158">
        <f t="shared" si="20"/>
        <v>0</v>
      </c>
    </row>
    <row r="290" spans="1:13" x14ac:dyDescent="0.25">
      <c r="A290" s="172"/>
      <c r="G290" s="142"/>
      <c r="H290" s="156">
        <v>285</v>
      </c>
      <c r="I290" s="157" t="str">
        <f t="shared" si="21"/>
        <v/>
      </c>
      <c r="J290" s="156" t="e">
        <f t="shared" si="22"/>
        <v>#NUM!</v>
      </c>
      <c r="K290" s="156" t="e">
        <f t="shared" si="19"/>
        <v>#NUM!</v>
      </c>
      <c r="L290" s="156"/>
      <c r="M290" s="158">
        <f t="shared" si="20"/>
        <v>0</v>
      </c>
    </row>
    <row r="291" spans="1:13" x14ac:dyDescent="0.25">
      <c r="A291" s="172"/>
      <c r="G291" s="142"/>
      <c r="H291" s="156">
        <v>286</v>
      </c>
      <c r="I291" s="157" t="str">
        <f t="shared" si="21"/>
        <v/>
      </c>
      <c r="J291" s="156" t="e">
        <f t="shared" si="22"/>
        <v>#NUM!</v>
      </c>
      <c r="K291" s="156" t="e">
        <f t="shared" si="19"/>
        <v>#NUM!</v>
      </c>
      <c r="L291" s="156"/>
      <c r="M291" s="158">
        <f t="shared" si="20"/>
        <v>0</v>
      </c>
    </row>
    <row r="292" spans="1:13" x14ac:dyDescent="0.25">
      <c r="A292" s="172"/>
      <c r="G292" s="142"/>
      <c r="H292" s="156">
        <v>287</v>
      </c>
      <c r="I292" s="157" t="str">
        <f t="shared" si="21"/>
        <v/>
      </c>
      <c r="J292" s="156" t="e">
        <f t="shared" si="22"/>
        <v>#NUM!</v>
      </c>
      <c r="K292" s="156" t="e">
        <f t="shared" si="19"/>
        <v>#NUM!</v>
      </c>
      <c r="L292" s="156"/>
      <c r="M292" s="158">
        <f t="shared" si="20"/>
        <v>0</v>
      </c>
    </row>
    <row r="293" spans="1:13" x14ac:dyDescent="0.25">
      <c r="A293" s="172"/>
      <c r="G293" s="142"/>
      <c r="H293" s="156">
        <v>288</v>
      </c>
      <c r="I293" s="157" t="str">
        <f t="shared" si="21"/>
        <v/>
      </c>
      <c r="J293" s="156" t="e">
        <f t="shared" si="22"/>
        <v>#NUM!</v>
      </c>
      <c r="K293" s="156" t="e">
        <f t="shared" si="19"/>
        <v>#NUM!</v>
      </c>
      <c r="L293" s="156"/>
      <c r="M293" s="158">
        <f t="shared" si="20"/>
        <v>0</v>
      </c>
    </row>
    <row r="294" spans="1:13" x14ac:dyDescent="0.25">
      <c r="A294" s="172"/>
      <c r="G294" s="142"/>
      <c r="H294" s="156">
        <v>289</v>
      </c>
      <c r="I294" s="157" t="str">
        <f t="shared" si="21"/>
        <v/>
      </c>
      <c r="J294" s="156" t="e">
        <f t="shared" si="22"/>
        <v>#NUM!</v>
      </c>
      <c r="K294" s="156" t="e">
        <f t="shared" si="19"/>
        <v>#NUM!</v>
      </c>
      <c r="L294" s="156"/>
      <c r="M294" s="158">
        <f t="shared" si="20"/>
        <v>0</v>
      </c>
    </row>
    <row r="295" spans="1:13" x14ac:dyDescent="0.25">
      <c r="A295" s="172"/>
      <c r="G295" s="142"/>
      <c r="H295" s="156">
        <v>290</v>
      </c>
      <c r="I295" s="157" t="str">
        <f t="shared" si="21"/>
        <v/>
      </c>
      <c r="J295" s="156" t="e">
        <f t="shared" si="22"/>
        <v>#NUM!</v>
      </c>
      <c r="K295" s="156" t="e">
        <f t="shared" si="19"/>
        <v>#NUM!</v>
      </c>
      <c r="L295" s="156"/>
      <c r="M295" s="158">
        <f t="shared" si="20"/>
        <v>0</v>
      </c>
    </row>
    <row r="296" spans="1:13" x14ac:dyDescent="0.25">
      <c r="A296" s="172"/>
      <c r="G296" s="142"/>
      <c r="H296" s="156">
        <v>291</v>
      </c>
      <c r="I296" s="157" t="str">
        <f t="shared" si="21"/>
        <v/>
      </c>
      <c r="J296" s="156" t="e">
        <f t="shared" si="22"/>
        <v>#NUM!</v>
      </c>
      <c r="K296" s="156" t="e">
        <f t="shared" si="19"/>
        <v>#NUM!</v>
      </c>
      <c r="L296" s="156"/>
      <c r="M296" s="158">
        <f t="shared" si="20"/>
        <v>0</v>
      </c>
    </row>
    <row r="297" spans="1:13" x14ac:dyDescent="0.25">
      <c r="A297" s="172"/>
      <c r="G297" s="142"/>
      <c r="H297" s="156">
        <v>292</v>
      </c>
      <c r="I297" s="157" t="str">
        <f t="shared" si="21"/>
        <v/>
      </c>
      <c r="J297" s="156" t="e">
        <f t="shared" si="22"/>
        <v>#NUM!</v>
      </c>
      <c r="K297" s="156" t="e">
        <f t="shared" si="19"/>
        <v>#NUM!</v>
      </c>
      <c r="L297" s="156"/>
      <c r="M297" s="158">
        <f t="shared" si="20"/>
        <v>0</v>
      </c>
    </row>
    <row r="298" spans="1:13" x14ac:dyDescent="0.25">
      <c r="A298" s="172"/>
      <c r="G298" s="142"/>
      <c r="H298" s="156">
        <v>293</v>
      </c>
      <c r="I298" s="157" t="str">
        <f t="shared" si="21"/>
        <v/>
      </c>
      <c r="J298" s="156" t="e">
        <f t="shared" si="22"/>
        <v>#NUM!</v>
      </c>
      <c r="K298" s="156" t="e">
        <f t="shared" si="19"/>
        <v>#NUM!</v>
      </c>
      <c r="L298" s="156"/>
      <c r="M298" s="158">
        <f t="shared" si="20"/>
        <v>0</v>
      </c>
    </row>
    <row r="299" spans="1:13" x14ac:dyDescent="0.25">
      <c r="A299" s="172"/>
      <c r="G299" s="142"/>
      <c r="H299" s="156">
        <v>294</v>
      </c>
      <c r="I299" s="157" t="str">
        <f t="shared" si="21"/>
        <v/>
      </c>
      <c r="J299" s="156" t="e">
        <f t="shared" si="22"/>
        <v>#NUM!</v>
      </c>
      <c r="K299" s="156" t="e">
        <f t="shared" si="19"/>
        <v>#NUM!</v>
      </c>
      <c r="L299" s="156"/>
      <c r="M299" s="158">
        <f t="shared" si="20"/>
        <v>0</v>
      </c>
    </row>
    <row r="300" spans="1:13" x14ac:dyDescent="0.25">
      <c r="A300" s="172"/>
      <c r="G300" s="142"/>
      <c r="H300" s="156">
        <v>295</v>
      </c>
      <c r="I300" s="157" t="str">
        <f t="shared" si="21"/>
        <v/>
      </c>
      <c r="J300" s="156" t="e">
        <f t="shared" si="22"/>
        <v>#NUM!</v>
      </c>
      <c r="K300" s="156" t="e">
        <f t="shared" si="19"/>
        <v>#NUM!</v>
      </c>
      <c r="L300" s="156"/>
      <c r="M300" s="158">
        <f t="shared" si="20"/>
        <v>0</v>
      </c>
    </row>
    <row r="301" spans="1:13" x14ac:dyDescent="0.25">
      <c r="A301" s="172"/>
      <c r="G301" s="142"/>
      <c r="H301" s="156">
        <v>296</v>
      </c>
      <c r="I301" s="157" t="str">
        <f t="shared" si="21"/>
        <v/>
      </c>
      <c r="J301" s="156" t="e">
        <f t="shared" si="22"/>
        <v>#NUM!</v>
      </c>
      <c r="K301" s="156" t="e">
        <f t="shared" si="19"/>
        <v>#NUM!</v>
      </c>
      <c r="L301" s="156"/>
      <c r="M301" s="158">
        <f t="shared" si="20"/>
        <v>0</v>
      </c>
    </row>
    <row r="302" spans="1:13" x14ac:dyDescent="0.25">
      <c r="A302" s="172"/>
      <c r="G302" s="142"/>
      <c r="H302" s="156">
        <v>297</v>
      </c>
      <c r="I302" s="157" t="str">
        <f t="shared" si="21"/>
        <v/>
      </c>
      <c r="J302" s="156" t="e">
        <f t="shared" si="22"/>
        <v>#NUM!</v>
      </c>
      <c r="K302" s="156" t="e">
        <f t="shared" si="19"/>
        <v>#NUM!</v>
      </c>
      <c r="L302" s="156"/>
      <c r="M302" s="158">
        <f t="shared" si="20"/>
        <v>0</v>
      </c>
    </row>
    <row r="303" spans="1:13" x14ac:dyDescent="0.25">
      <c r="A303" s="172"/>
      <c r="G303" s="142"/>
      <c r="H303" s="156">
        <v>298</v>
      </c>
      <c r="I303" s="157" t="str">
        <f t="shared" si="21"/>
        <v/>
      </c>
      <c r="J303" s="156" t="e">
        <f t="shared" si="22"/>
        <v>#NUM!</v>
      </c>
      <c r="K303" s="156" t="e">
        <f t="shared" si="19"/>
        <v>#NUM!</v>
      </c>
      <c r="L303" s="156"/>
      <c r="M303" s="158">
        <f t="shared" si="20"/>
        <v>0</v>
      </c>
    </row>
    <row r="304" spans="1:13" x14ac:dyDescent="0.25">
      <c r="A304" s="172"/>
      <c r="G304" s="142"/>
      <c r="H304" s="156">
        <v>299</v>
      </c>
      <c r="I304" s="157" t="str">
        <f t="shared" si="21"/>
        <v/>
      </c>
      <c r="J304" s="156" t="e">
        <f t="shared" si="22"/>
        <v>#NUM!</v>
      </c>
      <c r="K304" s="156" t="e">
        <f t="shared" si="19"/>
        <v>#NUM!</v>
      </c>
      <c r="L304" s="156"/>
      <c r="M304" s="158">
        <f t="shared" si="20"/>
        <v>0</v>
      </c>
    </row>
    <row r="305" spans="1:16" x14ac:dyDescent="0.25">
      <c r="A305" s="172"/>
      <c r="G305" s="142"/>
      <c r="H305" s="156">
        <v>300</v>
      </c>
      <c r="I305" s="157" t="str">
        <f t="shared" si="21"/>
        <v/>
      </c>
      <c r="J305" s="156" t="e">
        <f t="shared" si="22"/>
        <v>#NUM!</v>
      </c>
      <c r="K305" s="156" t="e">
        <f t="shared" si="19"/>
        <v>#NUM!</v>
      </c>
      <c r="L305" s="156"/>
      <c r="M305" s="158">
        <f t="shared" si="20"/>
        <v>0</v>
      </c>
    </row>
    <row r="306" spans="1:16" x14ac:dyDescent="0.25">
      <c r="A306" s="174"/>
    </row>
    <row r="314" spans="1:16" x14ac:dyDescent="0.25">
      <c r="L314" s="177"/>
      <c r="P314" s="167"/>
    </row>
    <row r="315" spans="1:16" x14ac:dyDescent="0.25">
      <c r="L315" s="177"/>
      <c r="P315" s="167"/>
    </row>
    <row r="316" spans="1:16" x14ac:dyDescent="0.25">
      <c r="L316" s="177"/>
      <c r="P316" s="167"/>
    </row>
    <row r="317" spans="1:16" x14ac:dyDescent="0.25">
      <c r="L317" s="177"/>
      <c r="P317" s="167"/>
    </row>
  </sheetData>
  <mergeCells count="2">
    <mergeCell ref="C2:D2"/>
    <mergeCell ref="C3:D3"/>
  </mergeCells>
  <conditionalFormatting sqref="J6:K305">
    <cfRule type="cellIs" dxfId="26" priority="1" operator="lessThanOrEqual">
      <formula>0</formula>
    </cfRule>
  </conditionalFormatting>
  <dataValidations count="1">
    <dataValidation type="list" allowBlank="1" showInputMessage="1" showErrorMessage="1" sqref="C38:C69" xr:uid="{1DBB600D-55EE-437B-A658-520D66B7C3EF}">
      <formula1>#REF!</formula1>
    </dataValidation>
  </dataValidations>
  <hyperlinks>
    <hyperlink ref="C2:D2" r:id="rId1" location="today" display="NIEPOŁOMICE" xr:uid="{7263A7FE-E842-4AC6-8880-EC7CE01AB0CF}"/>
  </hyperlinks>
  <pageMargins left="0.7" right="0.7" top="0.75" bottom="0.75" header="0.3" footer="0.3"/>
  <pageSetup paperSize="9" orientation="portrait"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43A5F-C2E5-46EB-8017-C382C9287BD0}">
  <sheetPr>
    <tabColor rgb="FF92D050"/>
  </sheetPr>
  <dimension ref="A1:AM317"/>
  <sheetViews>
    <sheetView workbookViewId="0">
      <selection activeCell="C13" sqref="C13"/>
    </sheetView>
  </sheetViews>
  <sheetFormatPr defaultColWidth="8.875" defaultRowHeight="14.3" x14ac:dyDescent="0.25"/>
  <cols>
    <col min="1" max="1" width="8" style="57" customWidth="1"/>
    <col min="2" max="2" width="8.25" style="57" customWidth="1"/>
    <col min="3" max="3" width="34.75" style="57" customWidth="1"/>
    <col min="4" max="4" width="11.25" style="57" customWidth="1"/>
    <col min="5" max="6" width="8.875" style="57"/>
    <col min="7" max="7" width="0.875" style="57" customWidth="1"/>
    <col min="8" max="8" width="8.875" style="59"/>
    <col min="9" max="9" width="11" style="59" customWidth="1"/>
    <col min="10" max="10" width="15.25" style="59" customWidth="1"/>
    <col min="11" max="11" width="8.75" style="59" customWidth="1"/>
    <col min="12" max="12" width="11" style="59" customWidth="1"/>
    <col min="13" max="13" width="11.75" style="59" customWidth="1"/>
    <col min="14" max="14" width="11.75" style="60" customWidth="1"/>
    <col min="15" max="16" width="13.875" style="13" customWidth="1"/>
    <col min="17" max="19" width="8.875" style="13"/>
    <col min="20" max="21" width="8.875" style="18"/>
    <col min="22" max="22" width="12.125" style="18" customWidth="1"/>
    <col min="23" max="23" width="27.375" style="18" customWidth="1"/>
    <col min="24" max="39" width="8.875" style="18"/>
    <col min="40" max="16384" width="8.875" style="57"/>
  </cols>
  <sheetData>
    <row r="1" spans="1:37" x14ac:dyDescent="0.25">
      <c r="A1" s="13"/>
      <c r="B1" s="13"/>
      <c r="C1" s="13"/>
      <c r="D1" s="13"/>
      <c r="E1" s="13"/>
      <c r="F1" s="13"/>
      <c r="G1" s="13"/>
      <c r="H1" s="14" t="s">
        <v>20</v>
      </c>
      <c r="I1" s="15" t="s">
        <v>21</v>
      </c>
      <c r="J1" s="15" t="s">
        <v>22</v>
      </c>
      <c r="K1" s="16" t="s">
        <v>64</v>
      </c>
      <c r="L1" s="62" t="s">
        <v>65</v>
      </c>
      <c r="M1" s="63"/>
      <c r="N1" s="17"/>
    </row>
    <row r="2" spans="1:37" x14ac:dyDescent="0.25">
      <c r="A2" s="13"/>
      <c r="B2" s="19" t="s">
        <v>24</v>
      </c>
      <c r="C2" s="277" t="s">
        <v>201</v>
      </c>
      <c r="D2" s="277"/>
      <c r="E2" s="20"/>
      <c r="F2" s="20"/>
      <c r="G2" s="20"/>
      <c r="H2" s="21">
        <v>2</v>
      </c>
      <c r="I2" s="22">
        <v>50</v>
      </c>
      <c r="J2" s="22">
        <v>10</v>
      </c>
      <c r="K2" s="23">
        <f>3*H2^(1/3)</f>
        <v>3.7797631496846193</v>
      </c>
      <c r="L2" s="64">
        <f>1.2</f>
        <v>1.2</v>
      </c>
      <c r="M2" s="17"/>
      <c r="N2" s="17"/>
    </row>
    <row r="3" spans="1:37" x14ac:dyDescent="0.25">
      <c r="A3" s="13"/>
      <c r="B3" s="24" t="s">
        <v>26</v>
      </c>
      <c r="C3" s="278" t="s">
        <v>202</v>
      </c>
      <c r="D3" s="278"/>
      <c r="E3" s="25"/>
      <c r="F3" s="25"/>
      <c r="G3" s="25"/>
      <c r="H3" s="17"/>
      <c r="I3" s="17"/>
      <c r="J3" s="26"/>
      <c r="K3" s="17"/>
      <c r="L3" s="17"/>
      <c r="M3" s="17"/>
      <c r="N3" s="17"/>
    </row>
    <row r="4" spans="1:37" ht="10.199999999999999" customHeight="1" x14ac:dyDescent="0.25">
      <c r="A4" s="27"/>
      <c r="B4" s="25"/>
      <c r="C4" s="27"/>
      <c r="D4" s="27"/>
      <c r="E4" s="27"/>
      <c r="F4" s="27"/>
      <c r="G4" s="27"/>
      <c r="H4" s="17"/>
      <c r="I4" s="17"/>
      <c r="J4" s="26"/>
      <c r="K4" s="17"/>
      <c r="L4" s="17"/>
      <c r="M4" s="17"/>
      <c r="N4" s="17"/>
    </row>
    <row r="5" spans="1:37" ht="34.65" x14ac:dyDescent="0.25">
      <c r="A5" s="1" t="s">
        <v>28</v>
      </c>
      <c r="B5" s="28" t="s">
        <v>29</v>
      </c>
      <c r="C5" s="1" t="s">
        <v>30</v>
      </c>
      <c r="D5" s="1" t="s">
        <v>31</v>
      </c>
      <c r="E5" s="1" t="s">
        <v>32</v>
      </c>
      <c r="F5" s="1" t="s">
        <v>33</v>
      </c>
      <c r="G5" s="27"/>
      <c r="H5" s="29" t="s">
        <v>34</v>
      </c>
      <c r="I5" s="30" t="s">
        <v>35</v>
      </c>
      <c r="J5" s="31" t="s">
        <v>36</v>
      </c>
      <c r="K5" s="30" t="s">
        <v>37</v>
      </c>
      <c r="L5" s="30" t="s">
        <v>38</v>
      </c>
      <c r="M5" s="29" t="s">
        <v>39</v>
      </c>
      <c r="N5" s="29" t="s">
        <v>66</v>
      </c>
      <c r="P5" s="255" t="s">
        <v>197</v>
      </c>
      <c r="Q5" s="254" t="s">
        <v>52</v>
      </c>
      <c r="R5" s="255" t="s">
        <v>198</v>
      </c>
      <c r="S5" s="255" t="s">
        <v>199</v>
      </c>
    </row>
    <row r="6" spans="1:37" ht="14.45" customHeight="1" x14ac:dyDescent="0.25">
      <c r="A6" s="32">
        <v>71</v>
      </c>
      <c r="B6" s="33">
        <f t="shared" ref="B6:B13" si="0">IF(H6&gt;$H$2,"",(ROW()-5))</f>
        <v>1</v>
      </c>
      <c r="C6" s="34" t="s">
        <v>200</v>
      </c>
      <c r="D6" s="34"/>
      <c r="E6" s="34"/>
      <c r="F6" s="34"/>
      <c r="G6" s="27"/>
      <c r="H6" s="35">
        <v>1</v>
      </c>
      <c r="I6" s="36">
        <f>IF(H2=1,50,IF(H6&lt;$H$2+1,($I$2-($I$2-1)*(LOG(H6)/LOG($H$2))),""))</f>
        <v>50</v>
      </c>
      <c r="J6" s="35">
        <f>INT(LOG($H$2,2))-ROUNDUP(LOG(H6,2),0)+IF(OR($H$2=1,$H$2=2,$H$2=4,$H$2=8,$H$2=16,$H$2=32,$H$2=64,$H$2=128,$H$2=256),0,1)</f>
        <v>1</v>
      </c>
      <c r="K6" s="35">
        <f t="shared" ref="K6:K69" si="1">J6*$J$2</f>
        <v>10</v>
      </c>
      <c r="L6" s="37">
        <f>3*K2</f>
        <v>11.339289449053858</v>
      </c>
      <c r="M6" s="37">
        <f t="shared" ref="M6:M69" si="2">IF(I6&lt;&gt;"",K6+I6+L6,0)</f>
        <v>71.339289449053865</v>
      </c>
      <c r="N6" s="37">
        <f t="shared" ref="N6:N69" si="3">IF(I6&lt;&gt;"",M6*L$2,0)</f>
        <v>85.607147338864635</v>
      </c>
      <c r="P6" s="256">
        <v>1</v>
      </c>
      <c r="Q6" s="254" t="s">
        <v>188</v>
      </c>
      <c r="R6" s="256">
        <v>4</v>
      </c>
      <c r="S6" s="256">
        <v>40</v>
      </c>
    </row>
    <row r="7" spans="1:37" ht="14.45" customHeight="1" x14ac:dyDescent="0.25">
      <c r="A7" s="38">
        <f t="shared" ref="A7:A70" si="4">N7</f>
        <v>10.271431559243085</v>
      </c>
      <c r="B7" s="39">
        <f t="shared" si="0"/>
        <v>2</v>
      </c>
      <c r="C7" s="40" t="s">
        <v>19</v>
      </c>
      <c r="D7" s="40"/>
      <c r="E7" s="40"/>
      <c r="F7" s="40"/>
      <c r="G7" s="27"/>
      <c r="H7" s="41">
        <v>2</v>
      </c>
      <c r="I7" s="42">
        <f t="shared" ref="I7:I69" si="5">IF(H7&lt;$H$2+1,($I$2-($I$2-1)*(LOG(H7)/LOG($H$2))),"")</f>
        <v>1</v>
      </c>
      <c r="J7" s="41">
        <f t="shared" ref="J7:J70" si="6">INT(LOG($H$2,2))-ROUNDUP(LOG(H7,2),0)+IF(OR($H$2=1,$H$2=2,$H$2=4,$H$2=8,$H$2=16,$H$2=32,$H$2=64,$H$2=128,$H$2=256),0,1)</f>
        <v>0</v>
      </c>
      <c r="K7" s="41">
        <f t="shared" si="1"/>
        <v>0</v>
      </c>
      <c r="L7" s="43">
        <f>2*K2</f>
        <v>7.5595262993692387</v>
      </c>
      <c r="M7" s="43">
        <f t="shared" si="2"/>
        <v>8.5595262993692387</v>
      </c>
      <c r="N7" s="43">
        <f t="shared" si="3"/>
        <v>10.271431559243085</v>
      </c>
      <c r="P7" s="256">
        <v>2</v>
      </c>
      <c r="Q7" s="254" t="s">
        <v>189</v>
      </c>
      <c r="R7" s="256">
        <v>3</v>
      </c>
      <c r="S7" s="256">
        <v>30</v>
      </c>
    </row>
    <row r="8" spans="1:37" ht="14.45" customHeight="1" x14ac:dyDescent="0.25">
      <c r="A8" s="32">
        <f t="shared" si="4"/>
        <v>0</v>
      </c>
      <c r="B8" s="33" t="str">
        <f t="shared" si="0"/>
        <v/>
      </c>
      <c r="C8" s="34"/>
      <c r="D8" s="34"/>
      <c r="E8" s="34"/>
      <c r="F8" s="34"/>
      <c r="G8" s="27"/>
      <c r="H8" s="35">
        <v>3</v>
      </c>
      <c r="I8" s="36" t="str">
        <f t="shared" si="5"/>
        <v/>
      </c>
      <c r="J8" s="35">
        <f t="shared" si="6"/>
        <v>-1</v>
      </c>
      <c r="K8" s="35">
        <f t="shared" si="1"/>
        <v>-10</v>
      </c>
      <c r="L8" s="37">
        <f>K2</f>
        <v>3.7797631496846193</v>
      </c>
      <c r="M8" s="37">
        <f t="shared" si="2"/>
        <v>0</v>
      </c>
      <c r="N8" s="37">
        <f t="shared" si="3"/>
        <v>0</v>
      </c>
      <c r="P8" s="256">
        <v>3</v>
      </c>
      <c r="Q8" s="254" t="s">
        <v>190</v>
      </c>
      <c r="R8" s="256">
        <v>2</v>
      </c>
      <c r="S8" s="256">
        <v>20</v>
      </c>
    </row>
    <row r="9" spans="1:37" ht="14.45" customHeight="1" x14ac:dyDescent="0.25">
      <c r="A9" s="38">
        <f t="shared" si="4"/>
        <v>0</v>
      </c>
      <c r="B9" s="39" t="str">
        <f t="shared" si="0"/>
        <v/>
      </c>
      <c r="C9" s="40"/>
      <c r="D9" s="40"/>
      <c r="E9" s="40"/>
      <c r="F9" s="40"/>
      <c r="G9" s="27"/>
      <c r="H9" s="41">
        <v>4</v>
      </c>
      <c r="I9" s="42" t="str">
        <f t="shared" si="5"/>
        <v/>
      </c>
      <c r="J9" s="41">
        <f t="shared" si="6"/>
        <v>-1</v>
      </c>
      <c r="K9" s="41">
        <f t="shared" si="1"/>
        <v>-10</v>
      </c>
      <c r="L9" s="43"/>
      <c r="M9" s="43">
        <f t="shared" si="2"/>
        <v>0</v>
      </c>
      <c r="N9" s="43">
        <f t="shared" si="3"/>
        <v>0</v>
      </c>
      <c r="P9" s="256">
        <v>4</v>
      </c>
      <c r="Q9" s="254" t="s">
        <v>191</v>
      </c>
      <c r="R9" s="256">
        <v>2</v>
      </c>
      <c r="S9" s="256">
        <v>20</v>
      </c>
      <c r="W9" s="44"/>
      <c r="AA9" s="45"/>
      <c r="AB9" s="45"/>
      <c r="AH9" s="46"/>
      <c r="AI9" s="18" t="s">
        <v>40</v>
      </c>
      <c r="AJ9" s="18">
        <v>23</v>
      </c>
    </row>
    <row r="10" spans="1:37" ht="14.45" customHeight="1" x14ac:dyDescent="0.25">
      <c r="A10" s="32">
        <f t="shared" si="4"/>
        <v>0</v>
      </c>
      <c r="B10" s="33" t="str">
        <f t="shared" si="0"/>
        <v/>
      </c>
      <c r="C10" s="34"/>
      <c r="D10" s="34"/>
      <c r="E10" s="34"/>
      <c r="F10" s="34"/>
      <c r="G10" s="27"/>
      <c r="H10" s="35">
        <v>5</v>
      </c>
      <c r="I10" s="36" t="str">
        <f t="shared" si="5"/>
        <v/>
      </c>
      <c r="J10" s="35">
        <f t="shared" si="6"/>
        <v>-2</v>
      </c>
      <c r="K10" s="35">
        <f t="shared" si="1"/>
        <v>-20</v>
      </c>
      <c r="L10" s="35"/>
      <c r="M10" s="37">
        <f t="shared" si="2"/>
        <v>0</v>
      </c>
      <c r="N10" s="37">
        <f t="shared" si="3"/>
        <v>0</v>
      </c>
      <c r="P10" s="256">
        <v>5</v>
      </c>
      <c r="Q10" s="254" t="s">
        <v>192</v>
      </c>
      <c r="R10" s="256">
        <v>1</v>
      </c>
      <c r="S10" s="256">
        <v>10</v>
      </c>
      <c r="W10" s="44"/>
      <c r="AA10" s="45"/>
      <c r="AB10" s="45"/>
      <c r="AH10" s="46"/>
      <c r="AI10" s="18" t="s">
        <v>41</v>
      </c>
      <c r="AJ10" s="18">
        <v>45</v>
      </c>
    </row>
    <row r="11" spans="1:37" ht="14.45" customHeight="1" x14ac:dyDescent="0.25">
      <c r="A11" s="38">
        <f t="shared" si="4"/>
        <v>0</v>
      </c>
      <c r="B11" s="39" t="str">
        <f t="shared" si="0"/>
        <v/>
      </c>
      <c r="C11" s="40"/>
      <c r="D11" s="40"/>
      <c r="E11" s="40"/>
      <c r="F11" s="40"/>
      <c r="G11" s="27"/>
      <c r="H11" s="41">
        <v>6</v>
      </c>
      <c r="I11" s="42" t="str">
        <f t="shared" si="5"/>
        <v/>
      </c>
      <c r="J11" s="41">
        <f t="shared" si="6"/>
        <v>-2</v>
      </c>
      <c r="K11" s="41">
        <f t="shared" si="1"/>
        <v>-20</v>
      </c>
      <c r="L11" s="41"/>
      <c r="M11" s="43">
        <f t="shared" si="2"/>
        <v>0</v>
      </c>
      <c r="N11" s="43">
        <f t="shared" si="3"/>
        <v>0</v>
      </c>
      <c r="P11" s="256">
        <v>6</v>
      </c>
      <c r="Q11" s="254" t="s">
        <v>193</v>
      </c>
      <c r="R11" s="256">
        <v>1</v>
      </c>
      <c r="S11" s="256">
        <v>10</v>
      </c>
      <c r="W11" s="47"/>
      <c r="AA11" s="45"/>
      <c r="AB11" s="45"/>
      <c r="AH11" s="46"/>
      <c r="AI11" s="18" t="s">
        <v>42</v>
      </c>
      <c r="AJ11" s="18">
        <v>50</v>
      </c>
    </row>
    <row r="12" spans="1:37" ht="14.45" customHeight="1" x14ac:dyDescent="0.25">
      <c r="A12" s="32">
        <f t="shared" si="4"/>
        <v>0</v>
      </c>
      <c r="B12" s="33" t="str">
        <f t="shared" si="0"/>
        <v/>
      </c>
      <c r="C12" s="34"/>
      <c r="D12" s="34"/>
      <c r="E12" s="34"/>
      <c r="F12" s="34"/>
      <c r="G12" s="27"/>
      <c r="H12" s="35">
        <v>7</v>
      </c>
      <c r="I12" s="36" t="str">
        <f t="shared" si="5"/>
        <v/>
      </c>
      <c r="J12" s="35">
        <f t="shared" si="6"/>
        <v>-2</v>
      </c>
      <c r="K12" s="35">
        <f t="shared" si="1"/>
        <v>-20</v>
      </c>
      <c r="L12" s="35"/>
      <c r="M12" s="37">
        <f t="shared" si="2"/>
        <v>0</v>
      </c>
      <c r="N12" s="37">
        <f t="shared" si="3"/>
        <v>0</v>
      </c>
      <c r="P12" s="256">
        <v>7</v>
      </c>
      <c r="Q12" s="254" t="s">
        <v>194</v>
      </c>
      <c r="R12" s="256">
        <v>1</v>
      </c>
      <c r="S12" s="256">
        <v>10</v>
      </c>
      <c r="AA12" s="45"/>
      <c r="AB12" s="45"/>
      <c r="AH12" s="46"/>
      <c r="AI12" s="18" t="s">
        <v>43</v>
      </c>
      <c r="AJ12" s="18">
        <f>AJ11-1</f>
        <v>49</v>
      </c>
    </row>
    <row r="13" spans="1:37" ht="14.45" customHeight="1" x14ac:dyDescent="0.25">
      <c r="A13" s="48">
        <f t="shared" si="4"/>
        <v>0</v>
      </c>
      <c r="B13" s="39" t="str">
        <f t="shared" si="0"/>
        <v/>
      </c>
      <c r="C13" s="40"/>
      <c r="D13" s="40"/>
      <c r="E13" s="40"/>
      <c r="F13" s="40"/>
      <c r="G13" s="27"/>
      <c r="H13" s="41">
        <v>8</v>
      </c>
      <c r="I13" s="42" t="str">
        <f t="shared" si="5"/>
        <v/>
      </c>
      <c r="J13" s="41">
        <f t="shared" si="6"/>
        <v>-2</v>
      </c>
      <c r="K13" s="41">
        <f t="shared" si="1"/>
        <v>-20</v>
      </c>
      <c r="L13" s="41"/>
      <c r="M13" s="43">
        <f t="shared" si="2"/>
        <v>0</v>
      </c>
      <c r="N13" s="43">
        <f t="shared" si="3"/>
        <v>0</v>
      </c>
      <c r="P13" s="256">
        <v>8</v>
      </c>
      <c r="Q13" s="254" t="s">
        <v>195</v>
      </c>
      <c r="R13" s="256">
        <v>1</v>
      </c>
      <c r="S13" s="256">
        <v>10</v>
      </c>
      <c r="Y13" s="44"/>
      <c r="AH13" s="46"/>
      <c r="AI13" s="18" t="s">
        <v>44</v>
      </c>
      <c r="AJ13" s="18">
        <f>LOG(AJ9)</f>
        <v>1.3617278360175928</v>
      </c>
    </row>
    <row r="14" spans="1:37" x14ac:dyDescent="0.25">
      <c r="A14" s="49">
        <f t="shared" si="4"/>
        <v>0</v>
      </c>
      <c r="B14" s="33" t="str">
        <f>IF(H14&gt;$H$2,"",(ROW()-5))</f>
        <v/>
      </c>
      <c r="C14" s="34"/>
      <c r="D14" s="34"/>
      <c r="E14" s="34"/>
      <c r="F14" s="34"/>
      <c r="G14" s="27"/>
      <c r="H14" s="35">
        <v>9</v>
      </c>
      <c r="I14" s="36" t="str">
        <f t="shared" si="5"/>
        <v/>
      </c>
      <c r="J14" s="35">
        <f t="shared" si="6"/>
        <v>-3</v>
      </c>
      <c r="K14" s="35">
        <f t="shared" si="1"/>
        <v>-30</v>
      </c>
      <c r="L14" s="35"/>
      <c r="M14" s="37">
        <f t="shared" si="2"/>
        <v>0</v>
      </c>
      <c r="N14" s="37">
        <f t="shared" si="3"/>
        <v>0</v>
      </c>
      <c r="P14" s="256">
        <v>9</v>
      </c>
      <c r="Q14" s="254" t="s">
        <v>196</v>
      </c>
      <c r="R14" s="256">
        <v>0</v>
      </c>
      <c r="S14" s="256">
        <v>0</v>
      </c>
      <c r="Y14" s="50"/>
      <c r="AA14" s="45"/>
      <c r="AB14" s="45"/>
      <c r="AH14" s="46"/>
      <c r="AI14" s="18" t="s">
        <v>45</v>
      </c>
      <c r="AJ14" s="18">
        <f>LOG(AJ10)</f>
        <v>1.6532125137753437</v>
      </c>
    </row>
    <row r="15" spans="1:37" x14ac:dyDescent="0.25">
      <c r="A15" s="48">
        <f t="shared" si="4"/>
        <v>0</v>
      </c>
      <c r="B15" s="39" t="str">
        <f t="shared" ref="B15:B65" si="7">IF(H15&gt;$H$2,"",(ROW()-5))</f>
        <v/>
      </c>
      <c r="C15" s="40"/>
      <c r="D15" s="40"/>
      <c r="E15" s="40"/>
      <c r="F15" s="40"/>
      <c r="G15" s="27"/>
      <c r="H15" s="41">
        <v>10</v>
      </c>
      <c r="I15" s="42" t="str">
        <f t="shared" si="5"/>
        <v/>
      </c>
      <c r="J15" s="41">
        <f t="shared" si="6"/>
        <v>-3</v>
      </c>
      <c r="K15" s="41">
        <f t="shared" si="1"/>
        <v>-30</v>
      </c>
      <c r="L15" s="41"/>
      <c r="M15" s="43">
        <f t="shared" si="2"/>
        <v>0</v>
      </c>
      <c r="N15" s="43">
        <f t="shared" si="3"/>
        <v>0</v>
      </c>
      <c r="Y15" s="44"/>
      <c r="AA15" s="45"/>
      <c r="AB15" s="45"/>
    </row>
    <row r="16" spans="1:37" x14ac:dyDescent="0.25">
      <c r="A16" s="49">
        <f t="shared" si="4"/>
        <v>0</v>
      </c>
      <c r="B16" s="33" t="str">
        <f t="shared" si="7"/>
        <v/>
      </c>
      <c r="C16" s="34"/>
      <c r="D16" s="34"/>
      <c r="E16" s="34"/>
      <c r="F16" s="34"/>
      <c r="G16" s="27"/>
      <c r="H16" s="35">
        <v>11</v>
      </c>
      <c r="I16" s="36" t="str">
        <f t="shared" si="5"/>
        <v/>
      </c>
      <c r="J16" s="35">
        <f t="shared" si="6"/>
        <v>-3</v>
      </c>
      <c r="K16" s="35">
        <f t="shared" si="1"/>
        <v>-30</v>
      </c>
      <c r="L16" s="35"/>
      <c r="M16" s="37">
        <f t="shared" si="2"/>
        <v>0</v>
      </c>
      <c r="N16" s="37">
        <f t="shared" si="3"/>
        <v>0</v>
      </c>
      <c r="S16" s="51"/>
      <c r="AA16" s="45"/>
      <c r="AB16" s="45"/>
      <c r="AI16" s="52" t="s">
        <v>46</v>
      </c>
      <c r="AJ16" s="18">
        <f>AJ11-AJ12*AJ13/AJ14</f>
        <v>9.6393909380186855</v>
      </c>
      <c r="AK16" s="18" t="s">
        <v>47</v>
      </c>
    </row>
    <row r="17" spans="1:20" x14ac:dyDescent="0.25">
      <c r="A17" s="48">
        <f t="shared" si="4"/>
        <v>0</v>
      </c>
      <c r="B17" s="39" t="str">
        <f t="shared" si="7"/>
        <v/>
      </c>
      <c r="C17" s="40"/>
      <c r="D17" s="40"/>
      <c r="E17" s="40"/>
      <c r="F17" s="40"/>
      <c r="G17" s="27"/>
      <c r="H17" s="41">
        <v>12</v>
      </c>
      <c r="I17" s="42" t="str">
        <f t="shared" si="5"/>
        <v/>
      </c>
      <c r="J17" s="41">
        <f t="shared" si="6"/>
        <v>-3</v>
      </c>
      <c r="K17" s="41">
        <f t="shared" si="1"/>
        <v>-30</v>
      </c>
      <c r="L17" s="41"/>
      <c r="M17" s="43">
        <f t="shared" si="2"/>
        <v>0</v>
      </c>
      <c r="N17" s="43">
        <f t="shared" si="3"/>
        <v>0</v>
      </c>
    </row>
    <row r="18" spans="1:20" x14ac:dyDescent="0.25">
      <c r="A18" s="49">
        <f t="shared" si="4"/>
        <v>0</v>
      </c>
      <c r="B18" s="33" t="str">
        <f t="shared" si="7"/>
        <v/>
      </c>
      <c r="C18" s="34"/>
      <c r="D18" s="34"/>
      <c r="E18" s="34"/>
      <c r="F18" s="34"/>
      <c r="G18" s="27"/>
      <c r="H18" s="35">
        <v>13</v>
      </c>
      <c r="I18" s="36" t="str">
        <f t="shared" si="5"/>
        <v/>
      </c>
      <c r="J18" s="35">
        <f t="shared" si="6"/>
        <v>-3</v>
      </c>
      <c r="K18" s="35">
        <f t="shared" si="1"/>
        <v>-30</v>
      </c>
      <c r="L18" s="35"/>
      <c r="M18" s="37">
        <f t="shared" si="2"/>
        <v>0</v>
      </c>
      <c r="N18" s="37">
        <f t="shared" si="3"/>
        <v>0</v>
      </c>
    </row>
    <row r="19" spans="1:20" x14ac:dyDescent="0.25">
      <c r="A19" s="48">
        <f t="shared" si="4"/>
        <v>0</v>
      </c>
      <c r="B19" s="39" t="str">
        <f t="shared" si="7"/>
        <v/>
      </c>
      <c r="C19" s="40"/>
      <c r="D19" s="40"/>
      <c r="E19" s="40"/>
      <c r="F19" s="40"/>
      <c r="G19" s="27"/>
      <c r="H19" s="41">
        <v>14</v>
      </c>
      <c r="I19" s="42" t="str">
        <f t="shared" si="5"/>
        <v/>
      </c>
      <c r="J19" s="41">
        <f t="shared" si="6"/>
        <v>-3</v>
      </c>
      <c r="K19" s="41">
        <f t="shared" si="1"/>
        <v>-30</v>
      </c>
      <c r="L19" s="41"/>
      <c r="M19" s="43">
        <f t="shared" si="2"/>
        <v>0</v>
      </c>
      <c r="N19" s="43">
        <f t="shared" si="3"/>
        <v>0</v>
      </c>
    </row>
    <row r="20" spans="1:20" x14ac:dyDescent="0.25">
      <c r="A20" s="49">
        <f t="shared" si="4"/>
        <v>0</v>
      </c>
      <c r="B20" s="33" t="str">
        <f t="shared" si="7"/>
        <v/>
      </c>
      <c r="C20" s="34"/>
      <c r="D20" s="34"/>
      <c r="E20" s="34"/>
      <c r="F20" s="34"/>
      <c r="G20" s="27"/>
      <c r="H20" s="35">
        <v>15</v>
      </c>
      <c r="I20" s="36" t="str">
        <f t="shared" si="5"/>
        <v/>
      </c>
      <c r="J20" s="35">
        <f t="shared" si="6"/>
        <v>-3</v>
      </c>
      <c r="K20" s="35">
        <f t="shared" si="1"/>
        <v>-30</v>
      </c>
      <c r="L20" s="35"/>
      <c r="M20" s="37">
        <f t="shared" si="2"/>
        <v>0</v>
      </c>
      <c r="N20" s="37">
        <f t="shared" si="3"/>
        <v>0</v>
      </c>
      <c r="S20" s="53"/>
      <c r="T20" s="54"/>
    </row>
    <row r="21" spans="1:20" x14ac:dyDescent="0.25">
      <c r="A21" s="48">
        <f t="shared" si="4"/>
        <v>0</v>
      </c>
      <c r="B21" s="39" t="str">
        <f t="shared" si="7"/>
        <v/>
      </c>
      <c r="C21" s="40"/>
      <c r="D21" s="40"/>
      <c r="E21" s="40"/>
      <c r="F21" s="40"/>
      <c r="G21" s="27"/>
      <c r="H21" s="41">
        <v>16</v>
      </c>
      <c r="I21" s="42" t="str">
        <f t="shared" si="5"/>
        <v/>
      </c>
      <c r="J21" s="41">
        <f t="shared" si="6"/>
        <v>-3</v>
      </c>
      <c r="K21" s="41">
        <f t="shared" si="1"/>
        <v>-30</v>
      </c>
      <c r="L21" s="41"/>
      <c r="M21" s="43">
        <f t="shared" si="2"/>
        <v>0</v>
      </c>
      <c r="N21" s="43">
        <f t="shared" si="3"/>
        <v>0</v>
      </c>
    </row>
    <row r="22" spans="1:20" x14ac:dyDescent="0.25">
      <c r="A22" s="49">
        <f t="shared" si="4"/>
        <v>0</v>
      </c>
      <c r="B22" s="33" t="str">
        <f t="shared" si="7"/>
        <v/>
      </c>
      <c r="C22" s="34"/>
      <c r="D22" s="34"/>
      <c r="E22" s="34"/>
      <c r="F22" s="34"/>
      <c r="G22" s="27"/>
      <c r="H22" s="35">
        <v>17</v>
      </c>
      <c r="I22" s="36" t="str">
        <f t="shared" si="5"/>
        <v/>
      </c>
      <c r="J22" s="35">
        <f t="shared" si="6"/>
        <v>-4</v>
      </c>
      <c r="K22" s="35">
        <f t="shared" si="1"/>
        <v>-40</v>
      </c>
      <c r="L22" s="35"/>
      <c r="M22" s="37">
        <f t="shared" si="2"/>
        <v>0</v>
      </c>
      <c r="N22" s="37">
        <f t="shared" si="3"/>
        <v>0</v>
      </c>
    </row>
    <row r="23" spans="1:20" x14ac:dyDescent="0.25">
      <c r="A23" s="48">
        <f t="shared" si="4"/>
        <v>0</v>
      </c>
      <c r="B23" s="39" t="str">
        <f t="shared" si="7"/>
        <v/>
      </c>
      <c r="C23" s="40"/>
      <c r="D23" s="40"/>
      <c r="E23" s="40"/>
      <c r="F23" s="40"/>
      <c r="G23" s="27"/>
      <c r="H23" s="41">
        <v>18</v>
      </c>
      <c r="I23" s="42" t="str">
        <f t="shared" si="5"/>
        <v/>
      </c>
      <c r="J23" s="41">
        <f t="shared" si="6"/>
        <v>-4</v>
      </c>
      <c r="K23" s="41">
        <f t="shared" si="1"/>
        <v>-40</v>
      </c>
      <c r="L23" s="41"/>
      <c r="M23" s="43">
        <f t="shared" si="2"/>
        <v>0</v>
      </c>
      <c r="N23" s="43">
        <f t="shared" si="3"/>
        <v>0</v>
      </c>
    </row>
    <row r="24" spans="1:20" x14ac:dyDescent="0.25">
      <c r="A24" s="49">
        <f t="shared" si="4"/>
        <v>0</v>
      </c>
      <c r="B24" s="33" t="str">
        <f t="shared" si="7"/>
        <v/>
      </c>
      <c r="C24" s="34"/>
      <c r="D24" s="34"/>
      <c r="E24" s="34"/>
      <c r="F24" s="34"/>
      <c r="G24" s="27"/>
      <c r="H24" s="35">
        <v>19</v>
      </c>
      <c r="I24" s="36" t="str">
        <f t="shared" si="5"/>
        <v/>
      </c>
      <c r="J24" s="35">
        <f t="shared" si="6"/>
        <v>-4</v>
      </c>
      <c r="K24" s="35">
        <f t="shared" si="1"/>
        <v>-40</v>
      </c>
      <c r="L24" s="35"/>
      <c r="M24" s="37">
        <f t="shared" si="2"/>
        <v>0</v>
      </c>
      <c r="N24" s="37">
        <f t="shared" si="3"/>
        <v>0</v>
      </c>
      <c r="S24" s="53"/>
      <c r="T24" s="54"/>
    </row>
    <row r="25" spans="1:20" x14ac:dyDescent="0.25">
      <c r="A25" s="48">
        <f t="shared" si="4"/>
        <v>0</v>
      </c>
      <c r="B25" s="39" t="str">
        <f t="shared" si="7"/>
        <v/>
      </c>
      <c r="C25" s="40"/>
      <c r="D25" s="40"/>
      <c r="E25" s="40"/>
      <c r="F25" s="40"/>
      <c r="G25" s="27"/>
      <c r="H25" s="41">
        <v>20</v>
      </c>
      <c r="I25" s="42" t="str">
        <f t="shared" si="5"/>
        <v/>
      </c>
      <c r="J25" s="41">
        <f t="shared" si="6"/>
        <v>-4</v>
      </c>
      <c r="K25" s="41">
        <f t="shared" si="1"/>
        <v>-40</v>
      </c>
      <c r="L25" s="41"/>
      <c r="M25" s="43">
        <f t="shared" si="2"/>
        <v>0</v>
      </c>
      <c r="N25" s="43">
        <f t="shared" si="3"/>
        <v>0</v>
      </c>
    </row>
    <row r="26" spans="1:20" x14ac:dyDescent="0.25">
      <c r="A26" s="49">
        <f t="shared" si="4"/>
        <v>0</v>
      </c>
      <c r="B26" s="33" t="str">
        <f t="shared" si="7"/>
        <v/>
      </c>
      <c r="C26" s="34"/>
      <c r="D26" s="34"/>
      <c r="E26" s="34"/>
      <c r="F26" s="34"/>
      <c r="G26" s="27"/>
      <c r="H26" s="35">
        <v>21</v>
      </c>
      <c r="I26" s="36" t="str">
        <f t="shared" si="5"/>
        <v/>
      </c>
      <c r="J26" s="35">
        <f t="shared" si="6"/>
        <v>-4</v>
      </c>
      <c r="K26" s="35">
        <f t="shared" si="1"/>
        <v>-40</v>
      </c>
      <c r="L26" s="35"/>
      <c r="M26" s="37">
        <f t="shared" si="2"/>
        <v>0</v>
      </c>
      <c r="N26" s="37">
        <f t="shared" si="3"/>
        <v>0</v>
      </c>
    </row>
    <row r="27" spans="1:20" x14ac:dyDescent="0.25">
      <c r="A27" s="48">
        <f t="shared" si="4"/>
        <v>0</v>
      </c>
      <c r="B27" s="39" t="str">
        <f t="shared" si="7"/>
        <v/>
      </c>
      <c r="C27" s="40"/>
      <c r="D27" s="40"/>
      <c r="E27" s="40"/>
      <c r="F27" s="40"/>
      <c r="G27" s="27"/>
      <c r="H27" s="41">
        <v>22</v>
      </c>
      <c r="I27" s="42" t="str">
        <f t="shared" si="5"/>
        <v/>
      </c>
      <c r="J27" s="41">
        <f t="shared" si="6"/>
        <v>-4</v>
      </c>
      <c r="K27" s="41">
        <f t="shared" si="1"/>
        <v>-40</v>
      </c>
      <c r="L27" s="41"/>
      <c r="M27" s="43">
        <f t="shared" si="2"/>
        <v>0</v>
      </c>
      <c r="N27" s="43">
        <f t="shared" si="3"/>
        <v>0</v>
      </c>
    </row>
    <row r="28" spans="1:20" x14ac:dyDescent="0.25">
      <c r="A28" s="49">
        <f t="shared" si="4"/>
        <v>0</v>
      </c>
      <c r="B28" s="33" t="str">
        <f t="shared" si="7"/>
        <v/>
      </c>
      <c r="C28" s="34"/>
      <c r="D28" s="34"/>
      <c r="E28" s="34"/>
      <c r="F28" s="34"/>
      <c r="G28" s="27"/>
      <c r="H28" s="35">
        <v>23</v>
      </c>
      <c r="I28" s="36" t="str">
        <f t="shared" si="5"/>
        <v/>
      </c>
      <c r="J28" s="35">
        <f t="shared" si="6"/>
        <v>-4</v>
      </c>
      <c r="K28" s="35">
        <f t="shared" si="1"/>
        <v>-40</v>
      </c>
      <c r="L28" s="35"/>
      <c r="M28" s="37">
        <f t="shared" si="2"/>
        <v>0</v>
      </c>
      <c r="N28" s="37">
        <f t="shared" si="3"/>
        <v>0</v>
      </c>
      <c r="S28" s="53"/>
      <c r="T28" s="54"/>
    </row>
    <row r="29" spans="1:20" x14ac:dyDescent="0.25">
      <c r="A29" s="48">
        <f t="shared" si="4"/>
        <v>0</v>
      </c>
      <c r="B29" s="39" t="str">
        <f t="shared" si="7"/>
        <v/>
      </c>
      <c r="C29" s="40"/>
      <c r="D29" s="40"/>
      <c r="E29" s="40"/>
      <c r="F29" s="40"/>
      <c r="G29" s="13"/>
      <c r="H29" s="41">
        <v>24</v>
      </c>
      <c r="I29" s="42" t="str">
        <f t="shared" si="5"/>
        <v/>
      </c>
      <c r="J29" s="41">
        <f t="shared" si="6"/>
        <v>-4</v>
      </c>
      <c r="K29" s="41">
        <f t="shared" si="1"/>
        <v>-40</v>
      </c>
      <c r="L29" s="41"/>
      <c r="M29" s="43">
        <f t="shared" si="2"/>
        <v>0</v>
      </c>
      <c r="N29" s="43">
        <f t="shared" si="3"/>
        <v>0</v>
      </c>
    </row>
    <row r="30" spans="1:20" x14ac:dyDescent="0.25">
      <c r="A30" s="49">
        <f t="shared" si="4"/>
        <v>0</v>
      </c>
      <c r="B30" s="33" t="str">
        <f t="shared" si="7"/>
        <v/>
      </c>
      <c r="C30" s="34"/>
      <c r="D30" s="34"/>
      <c r="E30" s="34"/>
      <c r="F30" s="34"/>
      <c r="G30" s="13"/>
      <c r="H30" s="35">
        <v>25</v>
      </c>
      <c r="I30" s="36" t="str">
        <f t="shared" si="5"/>
        <v/>
      </c>
      <c r="J30" s="35">
        <f t="shared" si="6"/>
        <v>-4</v>
      </c>
      <c r="K30" s="35">
        <f t="shared" si="1"/>
        <v>-40</v>
      </c>
      <c r="L30" s="35"/>
      <c r="M30" s="37">
        <f t="shared" si="2"/>
        <v>0</v>
      </c>
      <c r="N30" s="37">
        <f t="shared" si="3"/>
        <v>0</v>
      </c>
    </row>
    <row r="31" spans="1:20" x14ac:dyDescent="0.25">
      <c r="A31" s="48">
        <f t="shared" si="4"/>
        <v>0</v>
      </c>
      <c r="B31" s="39" t="str">
        <f t="shared" si="7"/>
        <v/>
      </c>
      <c r="C31" s="40"/>
      <c r="D31" s="40"/>
      <c r="E31" s="40"/>
      <c r="F31" s="40"/>
      <c r="G31" s="13"/>
      <c r="H31" s="41">
        <v>26</v>
      </c>
      <c r="I31" s="42" t="str">
        <f t="shared" si="5"/>
        <v/>
      </c>
      <c r="J31" s="41">
        <f t="shared" si="6"/>
        <v>-4</v>
      </c>
      <c r="K31" s="41">
        <f t="shared" si="1"/>
        <v>-40</v>
      </c>
      <c r="L31" s="41"/>
      <c r="M31" s="43">
        <f t="shared" si="2"/>
        <v>0</v>
      </c>
      <c r="N31" s="43">
        <f t="shared" si="3"/>
        <v>0</v>
      </c>
    </row>
    <row r="32" spans="1:20" x14ac:dyDescent="0.25">
      <c r="A32" s="49">
        <f t="shared" si="4"/>
        <v>0</v>
      </c>
      <c r="B32" s="33" t="str">
        <f t="shared" si="7"/>
        <v/>
      </c>
      <c r="C32" s="34"/>
      <c r="D32" s="34"/>
      <c r="E32" s="34"/>
      <c r="F32" s="34"/>
      <c r="G32" s="13"/>
      <c r="H32" s="35">
        <v>27</v>
      </c>
      <c r="I32" s="36" t="str">
        <f t="shared" si="5"/>
        <v/>
      </c>
      <c r="J32" s="35">
        <f t="shared" si="6"/>
        <v>-4</v>
      </c>
      <c r="K32" s="35">
        <f t="shared" si="1"/>
        <v>-40</v>
      </c>
      <c r="L32" s="35"/>
      <c r="M32" s="37">
        <f t="shared" si="2"/>
        <v>0</v>
      </c>
      <c r="N32" s="37">
        <f t="shared" si="3"/>
        <v>0</v>
      </c>
      <c r="S32" s="53"/>
      <c r="T32" s="54"/>
    </row>
    <row r="33" spans="1:22" x14ac:dyDescent="0.25">
      <c r="A33" s="48">
        <f t="shared" si="4"/>
        <v>0</v>
      </c>
      <c r="B33" s="39" t="str">
        <f t="shared" si="7"/>
        <v/>
      </c>
      <c r="C33" s="40"/>
      <c r="D33" s="40"/>
      <c r="E33" s="40"/>
      <c r="F33" s="40"/>
      <c r="G33" s="13"/>
      <c r="H33" s="41">
        <v>28</v>
      </c>
      <c r="I33" s="42" t="str">
        <f t="shared" si="5"/>
        <v/>
      </c>
      <c r="J33" s="41">
        <f t="shared" si="6"/>
        <v>-4</v>
      </c>
      <c r="K33" s="41">
        <f t="shared" si="1"/>
        <v>-40</v>
      </c>
      <c r="L33" s="41"/>
      <c r="M33" s="43">
        <f t="shared" si="2"/>
        <v>0</v>
      </c>
      <c r="N33" s="43">
        <f t="shared" si="3"/>
        <v>0</v>
      </c>
    </row>
    <row r="34" spans="1:22" x14ac:dyDescent="0.25">
      <c r="A34" s="49">
        <f t="shared" si="4"/>
        <v>0</v>
      </c>
      <c r="B34" s="33" t="str">
        <f t="shared" si="7"/>
        <v/>
      </c>
      <c r="C34" s="34"/>
      <c r="D34" s="34"/>
      <c r="E34" s="34"/>
      <c r="F34" s="34"/>
      <c r="G34" s="13"/>
      <c r="H34" s="35">
        <v>29</v>
      </c>
      <c r="I34" s="36" t="str">
        <f t="shared" si="5"/>
        <v/>
      </c>
      <c r="J34" s="35">
        <f t="shared" si="6"/>
        <v>-4</v>
      </c>
      <c r="K34" s="35">
        <f t="shared" si="1"/>
        <v>-40</v>
      </c>
      <c r="L34" s="35"/>
      <c r="M34" s="37">
        <f t="shared" si="2"/>
        <v>0</v>
      </c>
      <c r="N34" s="37">
        <f t="shared" si="3"/>
        <v>0</v>
      </c>
    </row>
    <row r="35" spans="1:22" x14ac:dyDescent="0.25">
      <c r="A35" s="48">
        <f t="shared" si="4"/>
        <v>0</v>
      </c>
      <c r="B35" s="39" t="str">
        <f t="shared" si="7"/>
        <v/>
      </c>
      <c r="C35" s="40"/>
      <c r="D35" s="40"/>
      <c r="E35" s="40"/>
      <c r="F35" s="40"/>
      <c r="G35" s="13"/>
      <c r="H35" s="41">
        <v>30</v>
      </c>
      <c r="I35" s="42" t="str">
        <f t="shared" si="5"/>
        <v/>
      </c>
      <c r="J35" s="41">
        <f t="shared" si="6"/>
        <v>-4</v>
      </c>
      <c r="K35" s="41">
        <f t="shared" si="1"/>
        <v>-40</v>
      </c>
      <c r="L35" s="41"/>
      <c r="M35" s="43">
        <f t="shared" si="2"/>
        <v>0</v>
      </c>
      <c r="N35" s="43">
        <f t="shared" si="3"/>
        <v>0</v>
      </c>
    </row>
    <row r="36" spans="1:22" x14ac:dyDescent="0.25">
      <c r="A36" s="49">
        <f t="shared" si="4"/>
        <v>0</v>
      </c>
      <c r="B36" s="33" t="str">
        <f t="shared" si="7"/>
        <v/>
      </c>
      <c r="C36" s="34"/>
      <c r="D36" s="34"/>
      <c r="E36" s="34"/>
      <c r="F36" s="34"/>
      <c r="G36" s="13"/>
      <c r="H36" s="35">
        <v>31</v>
      </c>
      <c r="I36" s="36" t="str">
        <f t="shared" si="5"/>
        <v/>
      </c>
      <c r="J36" s="35">
        <f t="shared" si="6"/>
        <v>-4</v>
      </c>
      <c r="K36" s="35">
        <f t="shared" si="1"/>
        <v>-40</v>
      </c>
      <c r="L36" s="35"/>
      <c r="M36" s="37">
        <f t="shared" si="2"/>
        <v>0</v>
      </c>
      <c r="N36" s="37">
        <f t="shared" si="3"/>
        <v>0</v>
      </c>
      <c r="S36" s="53"/>
      <c r="T36" s="54"/>
    </row>
    <row r="37" spans="1:22" x14ac:dyDescent="0.25">
      <c r="A37" s="48">
        <f t="shared" si="4"/>
        <v>0</v>
      </c>
      <c r="B37" s="39" t="str">
        <f t="shared" si="7"/>
        <v/>
      </c>
      <c r="C37" s="40"/>
      <c r="D37" s="40"/>
      <c r="E37" s="40"/>
      <c r="F37" s="40"/>
      <c r="G37" s="13"/>
      <c r="H37" s="41">
        <v>32</v>
      </c>
      <c r="I37" s="42" t="str">
        <f t="shared" si="5"/>
        <v/>
      </c>
      <c r="J37" s="41">
        <f t="shared" si="6"/>
        <v>-4</v>
      </c>
      <c r="K37" s="41">
        <f t="shared" si="1"/>
        <v>-40</v>
      </c>
      <c r="L37" s="41"/>
      <c r="M37" s="43">
        <f t="shared" si="2"/>
        <v>0</v>
      </c>
      <c r="N37" s="43">
        <f t="shared" si="3"/>
        <v>0</v>
      </c>
    </row>
    <row r="38" spans="1:22" x14ac:dyDescent="0.25">
      <c r="A38" s="49">
        <f t="shared" si="4"/>
        <v>0</v>
      </c>
      <c r="B38" s="33" t="str">
        <f t="shared" si="7"/>
        <v/>
      </c>
      <c r="C38" s="34"/>
      <c r="D38" s="34"/>
      <c r="E38" s="34"/>
      <c r="F38" s="34"/>
      <c r="G38" s="13"/>
      <c r="H38" s="35">
        <v>33</v>
      </c>
      <c r="I38" s="36" t="str">
        <f t="shared" si="5"/>
        <v/>
      </c>
      <c r="J38" s="35">
        <f t="shared" si="6"/>
        <v>-5</v>
      </c>
      <c r="K38" s="35">
        <f t="shared" si="1"/>
        <v>-50</v>
      </c>
      <c r="L38" s="35"/>
      <c r="M38" s="37">
        <f t="shared" si="2"/>
        <v>0</v>
      </c>
      <c r="N38" s="37">
        <f t="shared" si="3"/>
        <v>0</v>
      </c>
    </row>
    <row r="39" spans="1:22" x14ac:dyDescent="0.25">
      <c r="A39" s="48">
        <f t="shared" si="4"/>
        <v>0</v>
      </c>
      <c r="B39" s="39" t="str">
        <f t="shared" si="7"/>
        <v/>
      </c>
      <c r="C39" s="40"/>
      <c r="D39" s="40"/>
      <c r="E39" s="40"/>
      <c r="F39" s="40"/>
      <c r="G39" s="13"/>
      <c r="H39" s="41">
        <v>34</v>
      </c>
      <c r="I39" s="42" t="str">
        <f t="shared" si="5"/>
        <v/>
      </c>
      <c r="J39" s="41">
        <f t="shared" si="6"/>
        <v>-5</v>
      </c>
      <c r="K39" s="41">
        <f t="shared" si="1"/>
        <v>-50</v>
      </c>
      <c r="L39" s="41"/>
      <c r="M39" s="43">
        <f t="shared" si="2"/>
        <v>0</v>
      </c>
      <c r="N39" s="43">
        <f t="shared" si="3"/>
        <v>0</v>
      </c>
    </row>
    <row r="40" spans="1:22" x14ac:dyDescent="0.25">
      <c r="A40" s="49">
        <f t="shared" si="4"/>
        <v>0</v>
      </c>
      <c r="B40" s="33" t="str">
        <f t="shared" si="7"/>
        <v/>
      </c>
      <c r="C40" s="34"/>
      <c r="D40" s="34"/>
      <c r="E40" s="34"/>
      <c r="F40" s="34"/>
      <c r="G40" s="13"/>
      <c r="H40" s="35">
        <v>35</v>
      </c>
      <c r="I40" s="36" t="str">
        <f t="shared" si="5"/>
        <v/>
      </c>
      <c r="J40" s="35">
        <f t="shared" si="6"/>
        <v>-5</v>
      </c>
      <c r="K40" s="35">
        <f t="shared" si="1"/>
        <v>-50</v>
      </c>
      <c r="L40" s="35"/>
      <c r="M40" s="37">
        <f t="shared" si="2"/>
        <v>0</v>
      </c>
      <c r="N40" s="37">
        <f t="shared" si="3"/>
        <v>0</v>
      </c>
    </row>
    <row r="41" spans="1:22" x14ac:dyDescent="0.25">
      <c r="A41" s="48">
        <f t="shared" si="4"/>
        <v>0</v>
      </c>
      <c r="B41" s="39" t="str">
        <f t="shared" si="7"/>
        <v/>
      </c>
      <c r="C41" s="40"/>
      <c r="D41" s="40"/>
      <c r="E41" s="40"/>
      <c r="F41" s="40"/>
      <c r="G41" s="13"/>
      <c r="H41" s="41">
        <v>36</v>
      </c>
      <c r="I41" s="42" t="str">
        <f t="shared" si="5"/>
        <v/>
      </c>
      <c r="J41" s="41">
        <f t="shared" si="6"/>
        <v>-5</v>
      </c>
      <c r="K41" s="41">
        <f t="shared" si="1"/>
        <v>-50</v>
      </c>
      <c r="L41" s="41"/>
      <c r="M41" s="43">
        <f t="shared" si="2"/>
        <v>0</v>
      </c>
      <c r="N41" s="43">
        <f t="shared" si="3"/>
        <v>0</v>
      </c>
      <c r="T41" s="55"/>
    </row>
    <row r="42" spans="1:22" x14ac:dyDescent="0.25">
      <c r="A42" s="49">
        <f t="shared" si="4"/>
        <v>0</v>
      </c>
      <c r="B42" s="33" t="str">
        <f t="shared" si="7"/>
        <v/>
      </c>
      <c r="C42" s="34"/>
      <c r="D42" s="34"/>
      <c r="E42" s="34"/>
      <c r="F42" s="34"/>
      <c r="G42" s="13"/>
      <c r="H42" s="35">
        <v>37</v>
      </c>
      <c r="I42" s="36" t="str">
        <f t="shared" si="5"/>
        <v/>
      </c>
      <c r="J42" s="35">
        <f t="shared" si="6"/>
        <v>-5</v>
      </c>
      <c r="K42" s="35">
        <f t="shared" si="1"/>
        <v>-50</v>
      </c>
      <c r="L42" s="35"/>
      <c r="M42" s="37">
        <f t="shared" si="2"/>
        <v>0</v>
      </c>
      <c r="N42" s="37">
        <f t="shared" si="3"/>
        <v>0</v>
      </c>
    </row>
    <row r="43" spans="1:22" x14ac:dyDescent="0.25">
      <c r="A43" s="48">
        <f t="shared" si="4"/>
        <v>0</v>
      </c>
      <c r="B43" s="39" t="str">
        <f t="shared" si="7"/>
        <v/>
      </c>
      <c r="C43" s="40"/>
      <c r="D43" s="40"/>
      <c r="E43" s="40"/>
      <c r="F43" s="40"/>
      <c r="G43" s="13"/>
      <c r="H43" s="41">
        <v>38</v>
      </c>
      <c r="I43" s="42" t="str">
        <f t="shared" si="5"/>
        <v/>
      </c>
      <c r="J43" s="41">
        <f t="shared" si="6"/>
        <v>-5</v>
      </c>
      <c r="K43" s="41">
        <f t="shared" si="1"/>
        <v>-50</v>
      </c>
      <c r="L43" s="41"/>
      <c r="M43" s="43">
        <f t="shared" si="2"/>
        <v>0</v>
      </c>
      <c r="N43" s="43">
        <f t="shared" si="3"/>
        <v>0</v>
      </c>
    </row>
    <row r="44" spans="1:22" x14ac:dyDescent="0.25">
      <c r="A44" s="49">
        <f t="shared" si="4"/>
        <v>0</v>
      </c>
      <c r="B44" s="33" t="str">
        <f t="shared" si="7"/>
        <v/>
      </c>
      <c r="C44" s="34"/>
      <c r="D44" s="34"/>
      <c r="E44" s="34"/>
      <c r="F44" s="34"/>
      <c r="G44" s="13"/>
      <c r="H44" s="35">
        <v>39</v>
      </c>
      <c r="I44" s="36" t="str">
        <f t="shared" si="5"/>
        <v/>
      </c>
      <c r="J44" s="35">
        <f t="shared" si="6"/>
        <v>-5</v>
      </c>
      <c r="K44" s="35">
        <f t="shared" si="1"/>
        <v>-50</v>
      </c>
      <c r="L44" s="35"/>
      <c r="M44" s="37">
        <f t="shared" si="2"/>
        <v>0</v>
      </c>
      <c r="N44" s="37">
        <f t="shared" si="3"/>
        <v>0</v>
      </c>
    </row>
    <row r="45" spans="1:22" x14ac:dyDescent="0.25">
      <c r="A45" s="48">
        <f t="shared" si="4"/>
        <v>0</v>
      </c>
      <c r="B45" s="39" t="str">
        <f t="shared" si="7"/>
        <v/>
      </c>
      <c r="C45" s="40"/>
      <c r="D45" s="40"/>
      <c r="E45" s="40"/>
      <c r="F45" s="40"/>
      <c r="G45" s="13"/>
      <c r="H45" s="41">
        <v>40</v>
      </c>
      <c r="I45" s="42" t="str">
        <f t="shared" si="5"/>
        <v/>
      </c>
      <c r="J45" s="41">
        <f t="shared" si="6"/>
        <v>-5</v>
      </c>
      <c r="K45" s="41">
        <f t="shared" si="1"/>
        <v>-50</v>
      </c>
      <c r="L45" s="41"/>
      <c r="M45" s="43">
        <f t="shared" si="2"/>
        <v>0</v>
      </c>
      <c r="N45" s="43">
        <f t="shared" si="3"/>
        <v>0</v>
      </c>
    </row>
    <row r="46" spans="1:22" x14ac:dyDescent="0.25">
      <c r="A46" s="49">
        <f t="shared" si="4"/>
        <v>0</v>
      </c>
      <c r="B46" s="33" t="str">
        <f t="shared" si="7"/>
        <v/>
      </c>
      <c r="C46" s="34"/>
      <c r="D46" s="34"/>
      <c r="E46" s="34"/>
      <c r="F46" s="34"/>
      <c r="G46" s="13"/>
      <c r="H46" s="35">
        <v>41</v>
      </c>
      <c r="I46" s="36" t="str">
        <f t="shared" si="5"/>
        <v/>
      </c>
      <c r="J46" s="35">
        <f t="shared" si="6"/>
        <v>-5</v>
      </c>
      <c r="K46" s="35">
        <f t="shared" si="1"/>
        <v>-50</v>
      </c>
      <c r="L46" s="35"/>
      <c r="M46" s="37">
        <f t="shared" si="2"/>
        <v>0</v>
      </c>
      <c r="N46" s="37">
        <f t="shared" si="3"/>
        <v>0</v>
      </c>
      <c r="S46" s="13">
        <f>LOG($H$2,2)</f>
        <v>1</v>
      </c>
      <c r="U46" s="18">
        <f>LOG(H38,2)</f>
        <v>5.0443941193584534</v>
      </c>
      <c r="V46" s="18">
        <f>S46-U46</f>
        <v>-4.0443941193584534</v>
      </c>
    </row>
    <row r="47" spans="1:22" x14ac:dyDescent="0.25">
      <c r="A47" s="48">
        <f t="shared" si="4"/>
        <v>0</v>
      </c>
      <c r="B47" s="39" t="str">
        <f t="shared" si="7"/>
        <v/>
      </c>
      <c r="C47" s="40"/>
      <c r="D47" s="40"/>
      <c r="E47" s="40"/>
      <c r="F47" s="40"/>
      <c r="G47" s="13"/>
      <c r="H47" s="41">
        <v>42</v>
      </c>
      <c r="I47" s="42" t="str">
        <f t="shared" si="5"/>
        <v/>
      </c>
      <c r="J47" s="41">
        <f t="shared" si="6"/>
        <v>-5</v>
      </c>
      <c r="K47" s="41">
        <f t="shared" si="1"/>
        <v>-50</v>
      </c>
      <c r="L47" s="41"/>
      <c r="M47" s="43">
        <f t="shared" si="2"/>
        <v>0</v>
      </c>
      <c r="N47" s="43">
        <f t="shared" si="3"/>
        <v>0</v>
      </c>
    </row>
    <row r="48" spans="1:22" x14ac:dyDescent="0.25">
      <c r="A48" s="49">
        <f t="shared" si="4"/>
        <v>0</v>
      </c>
      <c r="B48" s="33" t="str">
        <f t="shared" si="7"/>
        <v/>
      </c>
      <c r="C48" s="34"/>
      <c r="D48" s="34"/>
      <c r="E48" s="34"/>
      <c r="F48" s="34"/>
      <c r="G48" s="13"/>
      <c r="H48" s="35">
        <v>43</v>
      </c>
      <c r="I48" s="36" t="str">
        <f t="shared" si="5"/>
        <v/>
      </c>
      <c r="J48" s="35">
        <f t="shared" si="6"/>
        <v>-5</v>
      </c>
      <c r="K48" s="35">
        <f t="shared" si="1"/>
        <v>-50</v>
      </c>
      <c r="L48" s="35"/>
      <c r="M48" s="37">
        <f t="shared" si="2"/>
        <v>0</v>
      </c>
      <c r="N48" s="37">
        <f t="shared" si="3"/>
        <v>0</v>
      </c>
    </row>
    <row r="49" spans="1:14" x14ac:dyDescent="0.25">
      <c r="A49" s="48">
        <f t="shared" si="4"/>
        <v>0</v>
      </c>
      <c r="B49" s="39" t="str">
        <f t="shared" si="7"/>
        <v/>
      </c>
      <c r="C49" s="40"/>
      <c r="D49" s="40"/>
      <c r="E49" s="40"/>
      <c r="F49" s="40"/>
      <c r="G49" s="13"/>
      <c r="H49" s="41">
        <v>44</v>
      </c>
      <c r="I49" s="42" t="str">
        <f t="shared" si="5"/>
        <v/>
      </c>
      <c r="J49" s="41">
        <f t="shared" si="6"/>
        <v>-5</v>
      </c>
      <c r="K49" s="41">
        <f t="shared" si="1"/>
        <v>-50</v>
      </c>
      <c r="L49" s="41"/>
      <c r="M49" s="43">
        <f t="shared" si="2"/>
        <v>0</v>
      </c>
      <c r="N49" s="43">
        <f t="shared" si="3"/>
        <v>0</v>
      </c>
    </row>
    <row r="50" spans="1:14" x14ac:dyDescent="0.25">
      <c r="A50" s="49">
        <f t="shared" si="4"/>
        <v>0</v>
      </c>
      <c r="B50" s="33" t="str">
        <f t="shared" si="7"/>
        <v/>
      </c>
      <c r="C50" s="34"/>
      <c r="D50" s="34"/>
      <c r="E50" s="34"/>
      <c r="F50" s="34"/>
      <c r="G50" s="13"/>
      <c r="H50" s="35">
        <v>45</v>
      </c>
      <c r="I50" s="36" t="str">
        <f t="shared" si="5"/>
        <v/>
      </c>
      <c r="J50" s="35">
        <f t="shared" si="6"/>
        <v>-5</v>
      </c>
      <c r="K50" s="35">
        <f t="shared" si="1"/>
        <v>-50</v>
      </c>
      <c r="L50" s="35"/>
      <c r="M50" s="37">
        <f t="shared" si="2"/>
        <v>0</v>
      </c>
      <c r="N50" s="37">
        <f t="shared" si="3"/>
        <v>0</v>
      </c>
    </row>
    <row r="51" spans="1:14" x14ac:dyDescent="0.25">
      <c r="A51" s="48">
        <f t="shared" si="4"/>
        <v>0</v>
      </c>
      <c r="B51" s="39" t="str">
        <f t="shared" si="7"/>
        <v/>
      </c>
      <c r="C51" s="40"/>
      <c r="D51" s="40"/>
      <c r="E51" s="40"/>
      <c r="F51" s="40"/>
      <c r="G51" s="13"/>
      <c r="H51" s="41">
        <v>46</v>
      </c>
      <c r="I51" s="42" t="str">
        <f t="shared" si="5"/>
        <v/>
      </c>
      <c r="J51" s="41">
        <f t="shared" si="6"/>
        <v>-5</v>
      </c>
      <c r="K51" s="41">
        <f t="shared" si="1"/>
        <v>-50</v>
      </c>
      <c r="L51" s="41"/>
      <c r="M51" s="43">
        <f t="shared" si="2"/>
        <v>0</v>
      </c>
      <c r="N51" s="43">
        <f t="shared" si="3"/>
        <v>0</v>
      </c>
    </row>
    <row r="52" spans="1:14" x14ac:dyDescent="0.25">
      <c r="A52" s="49">
        <f t="shared" si="4"/>
        <v>0</v>
      </c>
      <c r="B52" s="33" t="str">
        <f t="shared" si="7"/>
        <v/>
      </c>
      <c r="C52" s="34"/>
      <c r="D52" s="34"/>
      <c r="E52" s="34"/>
      <c r="F52" s="34"/>
      <c r="G52" s="13"/>
      <c r="H52" s="35">
        <v>47</v>
      </c>
      <c r="I52" s="36" t="str">
        <f t="shared" si="5"/>
        <v/>
      </c>
      <c r="J52" s="35">
        <f t="shared" si="6"/>
        <v>-5</v>
      </c>
      <c r="K52" s="35">
        <f t="shared" si="1"/>
        <v>-50</v>
      </c>
      <c r="L52" s="35"/>
      <c r="M52" s="37">
        <f t="shared" si="2"/>
        <v>0</v>
      </c>
      <c r="N52" s="37">
        <f t="shared" si="3"/>
        <v>0</v>
      </c>
    </row>
    <row r="53" spans="1:14" x14ac:dyDescent="0.25">
      <c r="A53" s="48">
        <f t="shared" si="4"/>
        <v>0</v>
      </c>
      <c r="B53" s="39" t="str">
        <f t="shared" si="7"/>
        <v/>
      </c>
      <c r="C53" s="40"/>
      <c r="D53" s="40"/>
      <c r="E53" s="40"/>
      <c r="F53" s="40"/>
      <c r="G53" s="13"/>
      <c r="H53" s="41">
        <v>48</v>
      </c>
      <c r="I53" s="42" t="str">
        <f t="shared" si="5"/>
        <v/>
      </c>
      <c r="J53" s="41">
        <f t="shared" si="6"/>
        <v>-5</v>
      </c>
      <c r="K53" s="41">
        <f t="shared" si="1"/>
        <v>-50</v>
      </c>
      <c r="L53" s="41"/>
      <c r="M53" s="43">
        <f t="shared" si="2"/>
        <v>0</v>
      </c>
      <c r="N53" s="43">
        <f t="shared" si="3"/>
        <v>0</v>
      </c>
    </row>
    <row r="54" spans="1:14" x14ac:dyDescent="0.25">
      <c r="A54" s="49">
        <f t="shared" si="4"/>
        <v>0</v>
      </c>
      <c r="B54" s="33" t="str">
        <f t="shared" si="7"/>
        <v/>
      </c>
      <c r="C54" s="34"/>
      <c r="D54" s="34"/>
      <c r="E54" s="34"/>
      <c r="F54" s="34"/>
      <c r="G54" s="13"/>
      <c r="H54" s="35">
        <v>49</v>
      </c>
      <c r="I54" s="36" t="str">
        <f t="shared" si="5"/>
        <v/>
      </c>
      <c r="J54" s="35">
        <f t="shared" si="6"/>
        <v>-5</v>
      </c>
      <c r="K54" s="35">
        <f t="shared" si="1"/>
        <v>-50</v>
      </c>
      <c r="L54" s="35"/>
      <c r="M54" s="37">
        <f t="shared" si="2"/>
        <v>0</v>
      </c>
      <c r="N54" s="37">
        <f t="shared" si="3"/>
        <v>0</v>
      </c>
    </row>
    <row r="55" spans="1:14" x14ac:dyDescent="0.25">
      <c r="A55" s="48">
        <f t="shared" si="4"/>
        <v>0</v>
      </c>
      <c r="B55" s="39" t="str">
        <f t="shared" si="7"/>
        <v/>
      </c>
      <c r="C55" s="40"/>
      <c r="D55" s="40"/>
      <c r="E55" s="40"/>
      <c r="F55" s="40"/>
      <c r="G55" s="13"/>
      <c r="H55" s="41">
        <v>50</v>
      </c>
      <c r="I55" s="42" t="str">
        <f t="shared" si="5"/>
        <v/>
      </c>
      <c r="J55" s="41">
        <f t="shared" si="6"/>
        <v>-5</v>
      </c>
      <c r="K55" s="41">
        <f t="shared" si="1"/>
        <v>-50</v>
      </c>
      <c r="L55" s="41"/>
      <c r="M55" s="43">
        <f t="shared" si="2"/>
        <v>0</v>
      </c>
      <c r="N55" s="43">
        <f t="shared" si="3"/>
        <v>0</v>
      </c>
    </row>
    <row r="56" spans="1:14" x14ac:dyDescent="0.25">
      <c r="A56" s="49">
        <f t="shared" si="4"/>
        <v>0</v>
      </c>
      <c r="B56" s="33" t="str">
        <f t="shared" si="7"/>
        <v/>
      </c>
      <c r="C56" s="34"/>
      <c r="D56" s="34"/>
      <c r="E56" s="34"/>
      <c r="F56" s="34"/>
      <c r="G56" s="13"/>
      <c r="H56" s="35">
        <v>51</v>
      </c>
      <c r="I56" s="36" t="str">
        <f t="shared" si="5"/>
        <v/>
      </c>
      <c r="J56" s="35">
        <f t="shared" si="6"/>
        <v>-5</v>
      </c>
      <c r="K56" s="35">
        <f t="shared" si="1"/>
        <v>-50</v>
      </c>
      <c r="L56" s="35"/>
      <c r="M56" s="37">
        <f t="shared" si="2"/>
        <v>0</v>
      </c>
      <c r="N56" s="37">
        <f t="shared" si="3"/>
        <v>0</v>
      </c>
    </row>
    <row r="57" spans="1:14" x14ac:dyDescent="0.25">
      <c r="A57" s="48">
        <f t="shared" si="4"/>
        <v>0</v>
      </c>
      <c r="B57" s="39" t="str">
        <f t="shared" si="7"/>
        <v/>
      </c>
      <c r="C57" s="40"/>
      <c r="D57" s="40"/>
      <c r="E57" s="40"/>
      <c r="F57" s="40"/>
      <c r="G57" s="13"/>
      <c r="H57" s="41">
        <v>52</v>
      </c>
      <c r="I57" s="42" t="str">
        <f t="shared" si="5"/>
        <v/>
      </c>
      <c r="J57" s="41">
        <f t="shared" si="6"/>
        <v>-5</v>
      </c>
      <c r="K57" s="41">
        <f t="shared" si="1"/>
        <v>-50</v>
      </c>
      <c r="L57" s="41"/>
      <c r="M57" s="43">
        <f t="shared" si="2"/>
        <v>0</v>
      </c>
      <c r="N57" s="43">
        <f t="shared" si="3"/>
        <v>0</v>
      </c>
    </row>
    <row r="58" spans="1:14" x14ac:dyDescent="0.25">
      <c r="A58" s="49">
        <f t="shared" si="4"/>
        <v>0</v>
      </c>
      <c r="B58" s="33" t="str">
        <f t="shared" si="7"/>
        <v/>
      </c>
      <c r="C58" s="34"/>
      <c r="D58" s="34"/>
      <c r="E58" s="34"/>
      <c r="F58" s="34"/>
      <c r="G58" s="13"/>
      <c r="H58" s="35">
        <v>53</v>
      </c>
      <c r="I58" s="36" t="str">
        <f t="shared" si="5"/>
        <v/>
      </c>
      <c r="J58" s="35">
        <f t="shared" si="6"/>
        <v>-5</v>
      </c>
      <c r="K58" s="35">
        <f t="shared" si="1"/>
        <v>-50</v>
      </c>
      <c r="L58" s="35"/>
      <c r="M58" s="37">
        <f t="shared" si="2"/>
        <v>0</v>
      </c>
      <c r="N58" s="37">
        <f t="shared" si="3"/>
        <v>0</v>
      </c>
    </row>
    <row r="59" spans="1:14" x14ac:dyDescent="0.25">
      <c r="A59" s="48">
        <f t="shared" si="4"/>
        <v>0</v>
      </c>
      <c r="B59" s="39" t="str">
        <f t="shared" si="7"/>
        <v/>
      </c>
      <c r="C59" s="40"/>
      <c r="D59" s="40"/>
      <c r="E59" s="40"/>
      <c r="F59" s="40"/>
      <c r="G59" s="13"/>
      <c r="H59" s="41">
        <v>54</v>
      </c>
      <c r="I59" s="42" t="str">
        <f t="shared" si="5"/>
        <v/>
      </c>
      <c r="J59" s="41">
        <f t="shared" si="6"/>
        <v>-5</v>
      </c>
      <c r="K59" s="41">
        <f t="shared" si="1"/>
        <v>-50</v>
      </c>
      <c r="L59" s="41"/>
      <c r="M59" s="43">
        <f t="shared" si="2"/>
        <v>0</v>
      </c>
      <c r="N59" s="43">
        <f t="shared" si="3"/>
        <v>0</v>
      </c>
    </row>
    <row r="60" spans="1:14" x14ac:dyDescent="0.25">
      <c r="A60" s="49">
        <f t="shared" si="4"/>
        <v>0</v>
      </c>
      <c r="B60" s="33" t="str">
        <f t="shared" si="7"/>
        <v/>
      </c>
      <c r="C60" s="34"/>
      <c r="D60" s="34"/>
      <c r="E60" s="34"/>
      <c r="F60" s="34"/>
      <c r="G60" s="13"/>
      <c r="H60" s="35">
        <v>55</v>
      </c>
      <c r="I60" s="36" t="str">
        <f t="shared" si="5"/>
        <v/>
      </c>
      <c r="J60" s="35">
        <f t="shared" si="6"/>
        <v>-5</v>
      </c>
      <c r="K60" s="35">
        <f t="shared" si="1"/>
        <v>-50</v>
      </c>
      <c r="L60" s="35"/>
      <c r="M60" s="37">
        <f t="shared" si="2"/>
        <v>0</v>
      </c>
      <c r="N60" s="37">
        <f t="shared" si="3"/>
        <v>0</v>
      </c>
    </row>
    <row r="61" spans="1:14" x14ac:dyDescent="0.25">
      <c r="A61" s="48">
        <f t="shared" si="4"/>
        <v>0</v>
      </c>
      <c r="B61" s="39" t="str">
        <f t="shared" si="7"/>
        <v/>
      </c>
      <c r="C61" s="40"/>
      <c r="D61" s="40"/>
      <c r="E61" s="40"/>
      <c r="F61" s="40"/>
      <c r="G61" s="13"/>
      <c r="H61" s="41">
        <v>56</v>
      </c>
      <c r="I61" s="42" t="str">
        <f t="shared" si="5"/>
        <v/>
      </c>
      <c r="J61" s="41">
        <f t="shared" si="6"/>
        <v>-5</v>
      </c>
      <c r="K61" s="41">
        <f t="shared" si="1"/>
        <v>-50</v>
      </c>
      <c r="L61" s="41"/>
      <c r="M61" s="43">
        <f t="shared" si="2"/>
        <v>0</v>
      </c>
      <c r="N61" s="43">
        <f t="shared" si="3"/>
        <v>0</v>
      </c>
    </row>
    <row r="62" spans="1:14" x14ac:dyDescent="0.25">
      <c r="A62" s="49">
        <f t="shared" si="4"/>
        <v>0</v>
      </c>
      <c r="B62" s="33" t="str">
        <f t="shared" si="7"/>
        <v/>
      </c>
      <c r="C62" s="34"/>
      <c r="D62" s="34"/>
      <c r="E62" s="34"/>
      <c r="F62" s="34"/>
      <c r="G62" s="13"/>
      <c r="H62" s="35">
        <v>57</v>
      </c>
      <c r="I62" s="36" t="str">
        <f t="shared" si="5"/>
        <v/>
      </c>
      <c r="J62" s="35">
        <f t="shared" si="6"/>
        <v>-5</v>
      </c>
      <c r="K62" s="35">
        <f t="shared" si="1"/>
        <v>-50</v>
      </c>
      <c r="L62" s="35"/>
      <c r="M62" s="37">
        <f t="shared" si="2"/>
        <v>0</v>
      </c>
      <c r="N62" s="37">
        <f t="shared" si="3"/>
        <v>0</v>
      </c>
    </row>
    <row r="63" spans="1:14" x14ac:dyDescent="0.25">
      <c r="A63" s="48">
        <f t="shared" si="4"/>
        <v>0</v>
      </c>
      <c r="B63" s="39" t="str">
        <f t="shared" si="7"/>
        <v/>
      </c>
      <c r="C63" s="40"/>
      <c r="D63" s="40"/>
      <c r="E63" s="40"/>
      <c r="F63" s="40"/>
      <c r="G63" s="13"/>
      <c r="H63" s="41">
        <v>58</v>
      </c>
      <c r="I63" s="42" t="str">
        <f t="shared" si="5"/>
        <v/>
      </c>
      <c r="J63" s="41">
        <f t="shared" si="6"/>
        <v>-5</v>
      </c>
      <c r="K63" s="41">
        <f t="shared" si="1"/>
        <v>-50</v>
      </c>
      <c r="L63" s="41"/>
      <c r="M63" s="43">
        <f t="shared" si="2"/>
        <v>0</v>
      </c>
      <c r="N63" s="43">
        <f t="shared" si="3"/>
        <v>0</v>
      </c>
    </row>
    <row r="64" spans="1:14" x14ac:dyDescent="0.25">
      <c r="A64" s="49">
        <f t="shared" si="4"/>
        <v>0</v>
      </c>
      <c r="B64" s="33" t="str">
        <f t="shared" si="7"/>
        <v/>
      </c>
      <c r="C64" s="34"/>
      <c r="D64" s="34"/>
      <c r="E64" s="34"/>
      <c r="F64" s="34"/>
      <c r="G64" s="13"/>
      <c r="H64" s="35">
        <v>59</v>
      </c>
      <c r="I64" s="36" t="str">
        <f t="shared" si="5"/>
        <v/>
      </c>
      <c r="J64" s="35">
        <f t="shared" si="6"/>
        <v>-5</v>
      </c>
      <c r="K64" s="35">
        <f t="shared" si="1"/>
        <v>-50</v>
      </c>
      <c r="L64" s="35"/>
      <c r="M64" s="37">
        <f t="shared" si="2"/>
        <v>0</v>
      </c>
      <c r="N64" s="37">
        <f t="shared" si="3"/>
        <v>0</v>
      </c>
    </row>
    <row r="65" spans="1:14" x14ac:dyDescent="0.25">
      <c r="A65" s="48">
        <f t="shared" si="4"/>
        <v>0</v>
      </c>
      <c r="B65" s="39" t="str">
        <f t="shared" si="7"/>
        <v/>
      </c>
      <c r="C65" s="40"/>
      <c r="D65" s="40"/>
      <c r="E65" s="40"/>
      <c r="F65" s="40"/>
      <c r="G65" s="13"/>
      <c r="H65" s="41">
        <v>60</v>
      </c>
      <c r="I65" s="42" t="str">
        <f t="shared" si="5"/>
        <v/>
      </c>
      <c r="J65" s="41">
        <f t="shared" si="6"/>
        <v>-5</v>
      </c>
      <c r="K65" s="41">
        <f t="shared" si="1"/>
        <v>-50</v>
      </c>
      <c r="L65" s="41"/>
      <c r="M65" s="43">
        <f t="shared" si="2"/>
        <v>0</v>
      </c>
      <c r="N65" s="43">
        <f t="shared" si="3"/>
        <v>0</v>
      </c>
    </row>
    <row r="66" spans="1:14" x14ac:dyDescent="0.25">
      <c r="A66" s="56">
        <f t="shared" si="4"/>
        <v>0</v>
      </c>
      <c r="B66" s="33"/>
      <c r="G66" s="13"/>
      <c r="H66" s="35">
        <v>61</v>
      </c>
      <c r="I66" s="36" t="str">
        <f t="shared" si="5"/>
        <v/>
      </c>
      <c r="J66" s="35">
        <f t="shared" si="6"/>
        <v>-5</v>
      </c>
      <c r="K66" s="35">
        <f t="shared" si="1"/>
        <v>-50</v>
      </c>
      <c r="L66" s="35"/>
      <c r="M66" s="37">
        <f t="shared" si="2"/>
        <v>0</v>
      </c>
      <c r="N66" s="37">
        <f t="shared" si="3"/>
        <v>0</v>
      </c>
    </row>
    <row r="67" spans="1:14" x14ac:dyDescent="0.25">
      <c r="A67" s="56">
        <f t="shared" si="4"/>
        <v>0</v>
      </c>
      <c r="B67" s="39"/>
      <c r="G67" s="13"/>
      <c r="H67" s="35">
        <v>62</v>
      </c>
      <c r="I67" s="36" t="str">
        <f t="shared" si="5"/>
        <v/>
      </c>
      <c r="J67" s="35">
        <f t="shared" si="6"/>
        <v>-5</v>
      </c>
      <c r="K67" s="35">
        <f t="shared" si="1"/>
        <v>-50</v>
      </c>
      <c r="L67" s="35"/>
      <c r="M67" s="37">
        <f t="shared" si="2"/>
        <v>0</v>
      </c>
      <c r="N67" s="37">
        <f t="shared" si="3"/>
        <v>0</v>
      </c>
    </row>
    <row r="68" spans="1:14" x14ac:dyDescent="0.25">
      <c r="A68" s="56">
        <f t="shared" si="4"/>
        <v>0</v>
      </c>
      <c r="B68" s="33"/>
      <c r="G68" s="13"/>
      <c r="H68" s="35">
        <v>63</v>
      </c>
      <c r="I68" s="36" t="str">
        <f t="shared" si="5"/>
        <v/>
      </c>
      <c r="J68" s="35">
        <f t="shared" si="6"/>
        <v>-5</v>
      </c>
      <c r="K68" s="35">
        <f t="shared" si="1"/>
        <v>-50</v>
      </c>
      <c r="L68" s="35"/>
      <c r="M68" s="37">
        <f t="shared" si="2"/>
        <v>0</v>
      </c>
      <c r="N68" s="37">
        <f t="shared" si="3"/>
        <v>0</v>
      </c>
    </row>
    <row r="69" spans="1:14" x14ac:dyDescent="0.25">
      <c r="A69" s="56">
        <f t="shared" si="4"/>
        <v>0</v>
      </c>
      <c r="B69" s="39"/>
      <c r="G69" s="13"/>
      <c r="H69" s="35">
        <v>64</v>
      </c>
      <c r="I69" s="36" t="str">
        <f t="shared" si="5"/>
        <v/>
      </c>
      <c r="J69" s="35">
        <f t="shared" si="6"/>
        <v>-5</v>
      </c>
      <c r="K69" s="35">
        <f t="shared" si="1"/>
        <v>-50</v>
      </c>
      <c r="L69" s="35"/>
      <c r="M69" s="37">
        <f t="shared" si="2"/>
        <v>0</v>
      </c>
      <c r="N69" s="37">
        <f t="shared" si="3"/>
        <v>0</v>
      </c>
    </row>
    <row r="70" spans="1:14" x14ac:dyDescent="0.25">
      <c r="A70" s="56">
        <f t="shared" si="4"/>
        <v>0</v>
      </c>
      <c r="G70" s="13"/>
      <c r="H70" s="35">
        <v>65</v>
      </c>
      <c r="I70" s="36" t="str">
        <f t="shared" ref="I70:I133" si="8">IF(H70&lt;$H$2+1,($I$2-($I$2-1)*(LOG(H70)/LOG($H$2))),"")</f>
        <v/>
      </c>
      <c r="J70" s="35">
        <f t="shared" si="6"/>
        <v>-6</v>
      </c>
      <c r="K70" s="35">
        <f t="shared" ref="K70:K133" si="9">J70*$J$2</f>
        <v>-60</v>
      </c>
      <c r="L70" s="35"/>
      <c r="M70" s="37">
        <f t="shared" ref="M70:M133" si="10">IF(I70&lt;&gt;"",K70+I70+L70,0)</f>
        <v>0</v>
      </c>
      <c r="N70" s="37">
        <f t="shared" ref="N70:N133" si="11">IF(I70&lt;&gt;"",M70*L$2,0)</f>
        <v>0</v>
      </c>
    </row>
    <row r="71" spans="1:14" x14ac:dyDescent="0.25">
      <c r="A71" s="56">
        <f t="shared" ref="A71:A134" si="12">N71</f>
        <v>0</v>
      </c>
      <c r="G71" s="13"/>
      <c r="H71" s="35">
        <v>66</v>
      </c>
      <c r="I71" s="36" t="str">
        <f t="shared" si="8"/>
        <v/>
      </c>
      <c r="J71" s="35">
        <f t="shared" ref="J71:J134" si="13">INT(LOG($H$2,2))-ROUNDUP(LOG(H71,2),0)+IF(OR($H$2=1,$H$2=2,$H$2=4,$H$2=8,$H$2=16,$H$2=32,$H$2=64,$H$2=128,$H$2=256),0,1)</f>
        <v>-6</v>
      </c>
      <c r="K71" s="35">
        <f t="shared" si="9"/>
        <v>-60</v>
      </c>
      <c r="L71" s="35"/>
      <c r="M71" s="37">
        <f t="shared" si="10"/>
        <v>0</v>
      </c>
      <c r="N71" s="37">
        <f t="shared" si="11"/>
        <v>0</v>
      </c>
    </row>
    <row r="72" spans="1:14" x14ac:dyDescent="0.25">
      <c r="A72" s="56">
        <f t="shared" si="12"/>
        <v>0</v>
      </c>
      <c r="G72" s="13"/>
      <c r="H72" s="35">
        <v>67</v>
      </c>
      <c r="I72" s="36" t="str">
        <f t="shared" si="8"/>
        <v/>
      </c>
      <c r="J72" s="35">
        <f t="shared" si="13"/>
        <v>-6</v>
      </c>
      <c r="K72" s="35">
        <f t="shared" si="9"/>
        <v>-60</v>
      </c>
      <c r="L72" s="35"/>
      <c r="M72" s="37">
        <f t="shared" si="10"/>
        <v>0</v>
      </c>
      <c r="N72" s="37">
        <f t="shared" si="11"/>
        <v>0</v>
      </c>
    </row>
    <row r="73" spans="1:14" x14ac:dyDescent="0.25">
      <c r="A73" s="56">
        <f t="shared" si="12"/>
        <v>0</v>
      </c>
      <c r="G73" s="13"/>
      <c r="H73" s="35">
        <v>68</v>
      </c>
      <c r="I73" s="36" t="str">
        <f t="shared" si="8"/>
        <v/>
      </c>
      <c r="J73" s="35">
        <f t="shared" si="13"/>
        <v>-6</v>
      </c>
      <c r="K73" s="35">
        <f t="shared" si="9"/>
        <v>-60</v>
      </c>
      <c r="L73" s="35"/>
      <c r="M73" s="37">
        <f t="shared" si="10"/>
        <v>0</v>
      </c>
      <c r="N73" s="37">
        <f t="shared" si="11"/>
        <v>0</v>
      </c>
    </row>
    <row r="74" spans="1:14" x14ac:dyDescent="0.25">
      <c r="A74" s="56">
        <f t="shared" si="12"/>
        <v>0</v>
      </c>
      <c r="G74" s="13"/>
      <c r="H74" s="35">
        <v>69</v>
      </c>
      <c r="I74" s="36" t="str">
        <f t="shared" si="8"/>
        <v/>
      </c>
      <c r="J74" s="35">
        <f t="shared" si="13"/>
        <v>-6</v>
      </c>
      <c r="K74" s="35">
        <f t="shared" si="9"/>
        <v>-60</v>
      </c>
      <c r="L74" s="35"/>
      <c r="M74" s="37">
        <f t="shared" si="10"/>
        <v>0</v>
      </c>
      <c r="N74" s="37">
        <f t="shared" si="11"/>
        <v>0</v>
      </c>
    </row>
    <row r="75" spans="1:14" x14ac:dyDescent="0.25">
      <c r="A75" s="56">
        <f t="shared" si="12"/>
        <v>0</v>
      </c>
      <c r="G75" s="13"/>
      <c r="H75" s="35">
        <v>70</v>
      </c>
      <c r="I75" s="36" t="str">
        <f t="shared" si="8"/>
        <v/>
      </c>
      <c r="J75" s="35">
        <f t="shared" si="13"/>
        <v>-6</v>
      </c>
      <c r="K75" s="35">
        <f t="shared" si="9"/>
        <v>-60</v>
      </c>
      <c r="L75" s="35"/>
      <c r="M75" s="37">
        <f t="shared" si="10"/>
        <v>0</v>
      </c>
      <c r="N75" s="37">
        <f t="shared" si="11"/>
        <v>0</v>
      </c>
    </row>
    <row r="76" spans="1:14" x14ac:dyDescent="0.25">
      <c r="A76" s="56">
        <f t="shared" si="12"/>
        <v>0</v>
      </c>
      <c r="G76" s="13"/>
      <c r="H76" s="35">
        <v>71</v>
      </c>
      <c r="I76" s="36" t="str">
        <f t="shared" si="8"/>
        <v/>
      </c>
      <c r="J76" s="35">
        <f t="shared" si="13"/>
        <v>-6</v>
      </c>
      <c r="K76" s="35">
        <f t="shared" si="9"/>
        <v>-60</v>
      </c>
      <c r="L76" s="35"/>
      <c r="M76" s="37">
        <f t="shared" si="10"/>
        <v>0</v>
      </c>
      <c r="N76" s="37">
        <f t="shared" si="11"/>
        <v>0</v>
      </c>
    </row>
    <row r="77" spans="1:14" x14ac:dyDescent="0.25">
      <c r="A77" s="56">
        <f t="shared" si="12"/>
        <v>0</v>
      </c>
      <c r="G77" s="13"/>
      <c r="H77" s="35">
        <v>72</v>
      </c>
      <c r="I77" s="36" t="str">
        <f t="shared" si="8"/>
        <v/>
      </c>
      <c r="J77" s="35">
        <f t="shared" si="13"/>
        <v>-6</v>
      </c>
      <c r="K77" s="35">
        <f t="shared" si="9"/>
        <v>-60</v>
      </c>
      <c r="L77" s="35"/>
      <c r="M77" s="37">
        <f t="shared" si="10"/>
        <v>0</v>
      </c>
      <c r="N77" s="37">
        <f t="shared" si="11"/>
        <v>0</v>
      </c>
    </row>
    <row r="78" spans="1:14" x14ac:dyDescent="0.25">
      <c r="A78" s="56">
        <f t="shared" si="12"/>
        <v>0</v>
      </c>
      <c r="G78" s="13"/>
      <c r="H78" s="35">
        <v>73</v>
      </c>
      <c r="I78" s="36" t="str">
        <f t="shared" si="8"/>
        <v/>
      </c>
      <c r="J78" s="35">
        <f t="shared" si="13"/>
        <v>-6</v>
      </c>
      <c r="K78" s="35">
        <f t="shared" si="9"/>
        <v>-60</v>
      </c>
      <c r="L78" s="35"/>
      <c r="M78" s="37">
        <f t="shared" si="10"/>
        <v>0</v>
      </c>
      <c r="N78" s="37">
        <f t="shared" si="11"/>
        <v>0</v>
      </c>
    </row>
    <row r="79" spans="1:14" x14ac:dyDescent="0.25">
      <c r="A79" s="56">
        <f t="shared" si="12"/>
        <v>0</v>
      </c>
      <c r="G79" s="13"/>
      <c r="H79" s="35">
        <v>74</v>
      </c>
      <c r="I79" s="36" t="str">
        <f t="shared" si="8"/>
        <v/>
      </c>
      <c r="J79" s="35">
        <f t="shared" si="13"/>
        <v>-6</v>
      </c>
      <c r="K79" s="35">
        <f t="shared" si="9"/>
        <v>-60</v>
      </c>
      <c r="L79" s="35"/>
      <c r="M79" s="37">
        <f t="shared" si="10"/>
        <v>0</v>
      </c>
      <c r="N79" s="37">
        <f t="shared" si="11"/>
        <v>0</v>
      </c>
    </row>
    <row r="80" spans="1:14" x14ac:dyDescent="0.25">
      <c r="A80" s="56">
        <f t="shared" si="12"/>
        <v>0</v>
      </c>
      <c r="G80" s="13"/>
      <c r="H80" s="35">
        <v>75</v>
      </c>
      <c r="I80" s="36" t="str">
        <f t="shared" si="8"/>
        <v/>
      </c>
      <c r="J80" s="35">
        <f t="shared" si="13"/>
        <v>-6</v>
      </c>
      <c r="K80" s="35">
        <f t="shared" si="9"/>
        <v>-60</v>
      </c>
      <c r="L80" s="35"/>
      <c r="M80" s="37">
        <f t="shared" si="10"/>
        <v>0</v>
      </c>
      <c r="N80" s="37">
        <f t="shared" si="11"/>
        <v>0</v>
      </c>
    </row>
    <row r="81" spans="1:14" x14ac:dyDescent="0.25">
      <c r="A81" s="56">
        <f t="shared" si="12"/>
        <v>0</v>
      </c>
      <c r="G81" s="13"/>
      <c r="H81" s="35">
        <v>76</v>
      </c>
      <c r="I81" s="36" t="str">
        <f t="shared" si="8"/>
        <v/>
      </c>
      <c r="J81" s="35">
        <f t="shared" si="13"/>
        <v>-6</v>
      </c>
      <c r="K81" s="35">
        <f t="shared" si="9"/>
        <v>-60</v>
      </c>
      <c r="L81" s="35"/>
      <c r="M81" s="37">
        <f t="shared" si="10"/>
        <v>0</v>
      </c>
      <c r="N81" s="37">
        <f t="shared" si="11"/>
        <v>0</v>
      </c>
    </row>
    <row r="82" spans="1:14" x14ac:dyDescent="0.25">
      <c r="A82" s="56">
        <f t="shared" si="12"/>
        <v>0</v>
      </c>
      <c r="G82" s="13"/>
      <c r="H82" s="35">
        <v>77</v>
      </c>
      <c r="I82" s="36" t="str">
        <f t="shared" si="8"/>
        <v/>
      </c>
      <c r="J82" s="35">
        <f t="shared" si="13"/>
        <v>-6</v>
      </c>
      <c r="K82" s="35">
        <f t="shared" si="9"/>
        <v>-60</v>
      </c>
      <c r="L82" s="35"/>
      <c r="M82" s="37">
        <f t="shared" si="10"/>
        <v>0</v>
      </c>
      <c r="N82" s="37">
        <f t="shared" si="11"/>
        <v>0</v>
      </c>
    </row>
    <row r="83" spans="1:14" x14ac:dyDescent="0.25">
      <c r="A83" s="56">
        <f t="shared" si="12"/>
        <v>0</v>
      </c>
      <c r="G83" s="13"/>
      <c r="H83" s="35">
        <v>78</v>
      </c>
      <c r="I83" s="36" t="str">
        <f t="shared" si="8"/>
        <v/>
      </c>
      <c r="J83" s="35">
        <f t="shared" si="13"/>
        <v>-6</v>
      </c>
      <c r="K83" s="35">
        <f t="shared" si="9"/>
        <v>-60</v>
      </c>
      <c r="L83" s="35"/>
      <c r="M83" s="37">
        <f t="shared" si="10"/>
        <v>0</v>
      </c>
      <c r="N83" s="37">
        <f t="shared" si="11"/>
        <v>0</v>
      </c>
    </row>
    <row r="84" spans="1:14" x14ac:dyDescent="0.25">
      <c r="A84" s="56">
        <f t="shared" si="12"/>
        <v>0</v>
      </c>
      <c r="G84" s="13"/>
      <c r="H84" s="35">
        <v>79</v>
      </c>
      <c r="I84" s="36" t="str">
        <f t="shared" si="8"/>
        <v/>
      </c>
      <c r="J84" s="35">
        <f t="shared" si="13"/>
        <v>-6</v>
      </c>
      <c r="K84" s="35">
        <f t="shared" si="9"/>
        <v>-60</v>
      </c>
      <c r="L84" s="35"/>
      <c r="M84" s="37">
        <f t="shared" si="10"/>
        <v>0</v>
      </c>
      <c r="N84" s="37">
        <f t="shared" si="11"/>
        <v>0</v>
      </c>
    </row>
    <row r="85" spans="1:14" x14ac:dyDescent="0.25">
      <c r="A85" s="56">
        <f t="shared" si="12"/>
        <v>0</v>
      </c>
      <c r="G85" s="13"/>
      <c r="H85" s="35">
        <v>80</v>
      </c>
      <c r="I85" s="36" t="str">
        <f t="shared" si="8"/>
        <v/>
      </c>
      <c r="J85" s="35">
        <f t="shared" si="13"/>
        <v>-6</v>
      </c>
      <c r="K85" s="35">
        <f t="shared" si="9"/>
        <v>-60</v>
      </c>
      <c r="L85" s="35"/>
      <c r="M85" s="37">
        <f t="shared" si="10"/>
        <v>0</v>
      </c>
      <c r="N85" s="37">
        <f t="shared" si="11"/>
        <v>0</v>
      </c>
    </row>
    <row r="86" spans="1:14" x14ac:dyDescent="0.25">
      <c r="A86" s="56">
        <f t="shared" si="12"/>
        <v>0</v>
      </c>
      <c r="G86" s="13"/>
      <c r="H86" s="35">
        <v>81</v>
      </c>
      <c r="I86" s="36" t="str">
        <f t="shared" si="8"/>
        <v/>
      </c>
      <c r="J86" s="35">
        <f t="shared" si="13"/>
        <v>-6</v>
      </c>
      <c r="K86" s="35">
        <f t="shared" si="9"/>
        <v>-60</v>
      </c>
      <c r="L86" s="35"/>
      <c r="M86" s="37">
        <f t="shared" si="10"/>
        <v>0</v>
      </c>
      <c r="N86" s="37">
        <f t="shared" si="11"/>
        <v>0</v>
      </c>
    </row>
    <row r="87" spans="1:14" x14ac:dyDescent="0.25">
      <c r="A87" s="56">
        <f t="shared" si="12"/>
        <v>0</v>
      </c>
      <c r="G87" s="13"/>
      <c r="H87" s="35">
        <v>82</v>
      </c>
      <c r="I87" s="36" t="str">
        <f t="shared" si="8"/>
        <v/>
      </c>
      <c r="J87" s="35">
        <f t="shared" si="13"/>
        <v>-6</v>
      </c>
      <c r="K87" s="35">
        <f t="shared" si="9"/>
        <v>-60</v>
      </c>
      <c r="L87" s="35"/>
      <c r="M87" s="37">
        <f t="shared" si="10"/>
        <v>0</v>
      </c>
      <c r="N87" s="37">
        <f t="shared" si="11"/>
        <v>0</v>
      </c>
    </row>
    <row r="88" spans="1:14" x14ac:dyDescent="0.25">
      <c r="A88" s="56">
        <f t="shared" si="12"/>
        <v>0</v>
      </c>
      <c r="G88" s="13"/>
      <c r="H88" s="35">
        <v>83</v>
      </c>
      <c r="I88" s="36" t="str">
        <f t="shared" si="8"/>
        <v/>
      </c>
      <c r="J88" s="35">
        <f t="shared" si="13"/>
        <v>-6</v>
      </c>
      <c r="K88" s="35">
        <f t="shared" si="9"/>
        <v>-60</v>
      </c>
      <c r="L88" s="35"/>
      <c r="M88" s="37">
        <f t="shared" si="10"/>
        <v>0</v>
      </c>
      <c r="N88" s="37">
        <f t="shared" si="11"/>
        <v>0</v>
      </c>
    </row>
    <row r="89" spans="1:14" x14ac:dyDescent="0.25">
      <c r="A89" s="56">
        <f t="shared" si="12"/>
        <v>0</v>
      </c>
      <c r="G89" s="13"/>
      <c r="H89" s="35">
        <v>84</v>
      </c>
      <c r="I89" s="36" t="str">
        <f t="shared" si="8"/>
        <v/>
      </c>
      <c r="J89" s="35">
        <f t="shared" si="13"/>
        <v>-6</v>
      </c>
      <c r="K89" s="35">
        <f t="shared" si="9"/>
        <v>-60</v>
      </c>
      <c r="L89" s="35"/>
      <c r="M89" s="37">
        <f t="shared" si="10"/>
        <v>0</v>
      </c>
      <c r="N89" s="37">
        <f t="shared" si="11"/>
        <v>0</v>
      </c>
    </row>
    <row r="90" spans="1:14" x14ac:dyDescent="0.25">
      <c r="A90" s="56">
        <f t="shared" si="12"/>
        <v>0</v>
      </c>
      <c r="G90" s="13"/>
      <c r="H90" s="35">
        <v>85</v>
      </c>
      <c r="I90" s="36" t="str">
        <f t="shared" si="8"/>
        <v/>
      </c>
      <c r="J90" s="35">
        <f t="shared" si="13"/>
        <v>-6</v>
      </c>
      <c r="K90" s="35">
        <f t="shared" si="9"/>
        <v>-60</v>
      </c>
      <c r="L90" s="35"/>
      <c r="M90" s="37">
        <f t="shared" si="10"/>
        <v>0</v>
      </c>
      <c r="N90" s="37">
        <f t="shared" si="11"/>
        <v>0</v>
      </c>
    </row>
    <row r="91" spans="1:14" x14ac:dyDescent="0.25">
      <c r="A91" s="56">
        <f t="shared" si="12"/>
        <v>0</v>
      </c>
      <c r="G91" s="13"/>
      <c r="H91" s="35">
        <v>86</v>
      </c>
      <c r="I91" s="36" t="str">
        <f t="shared" si="8"/>
        <v/>
      </c>
      <c r="J91" s="35">
        <f t="shared" si="13"/>
        <v>-6</v>
      </c>
      <c r="K91" s="35">
        <f t="shared" si="9"/>
        <v>-60</v>
      </c>
      <c r="L91" s="35"/>
      <c r="M91" s="37">
        <f t="shared" si="10"/>
        <v>0</v>
      </c>
      <c r="N91" s="37">
        <f t="shared" si="11"/>
        <v>0</v>
      </c>
    </row>
    <row r="92" spans="1:14" x14ac:dyDescent="0.25">
      <c r="A92" s="56">
        <f t="shared" si="12"/>
        <v>0</v>
      </c>
      <c r="G92" s="13"/>
      <c r="H92" s="35">
        <v>87</v>
      </c>
      <c r="I92" s="36" t="str">
        <f t="shared" si="8"/>
        <v/>
      </c>
      <c r="J92" s="35">
        <f t="shared" si="13"/>
        <v>-6</v>
      </c>
      <c r="K92" s="35">
        <f t="shared" si="9"/>
        <v>-60</v>
      </c>
      <c r="L92" s="35"/>
      <c r="M92" s="37">
        <f t="shared" si="10"/>
        <v>0</v>
      </c>
      <c r="N92" s="37">
        <f t="shared" si="11"/>
        <v>0</v>
      </c>
    </row>
    <row r="93" spans="1:14" x14ac:dyDescent="0.25">
      <c r="A93" s="56">
        <f t="shared" si="12"/>
        <v>0</v>
      </c>
      <c r="G93" s="13"/>
      <c r="H93" s="35">
        <v>88</v>
      </c>
      <c r="I93" s="36" t="str">
        <f t="shared" si="8"/>
        <v/>
      </c>
      <c r="J93" s="35">
        <f t="shared" si="13"/>
        <v>-6</v>
      </c>
      <c r="K93" s="35">
        <f t="shared" si="9"/>
        <v>-60</v>
      </c>
      <c r="L93" s="35"/>
      <c r="M93" s="37">
        <f t="shared" si="10"/>
        <v>0</v>
      </c>
      <c r="N93" s="37">
        <f t="shared" si="11"/>
        <v>0</v>
      </c>
    </row>
    <row r="94" spans="1:14" x14ac:dyDescent="0.25">
      <c r="A94" s="56">
        <f t="shared" si="12"/>
        <v>0</v>
      </c>
      <c r="G94" s="13"/>
      <c r="H94" s="35">
        <v>89</v>
      </c>
      <c r="I94" s="36" t="str">
        <f t="shared" si="8"/>
        <v/>
      </c>
      <c r="J94" s="35">
        <f t="shared" si="13"/>
        <v>-6</v>
      </c>
      <c r="K94" s="35">
        <f t="shared" si="9"/>
        <v>-60</v>
      </c>
      <c r="L94" s="35"/>
      <c r="M94" s="37">
        <f t="shared" si="10"/>
        <v>0</v>
      </c>
      <c r="N94" s="37">
        <f t="shared" si="11"/>
        <v>0</v>
      </c>
    </row>
    <row r="95" spans="1:14" x14ac:dyDescent="0.25">
      <c r="A95" s="56">
        <f t="shared" si="12"/>
        <v>0</v>
      </c>
      <c r="G95" s="13"/>
      <c r="H95" s="35">
        <v>90</v>
      </c>
      <c r="I95" s="36" t="str">
        <f t="shared" si="8"/>
        <v/>
      </c>
      <c r="J95" s="35">
        <f t="shared" si="13"/>
        <v>-6</v>
      </c>
      <c r="K95" s="35">
        <f t="shared" si="9"/>
        <v>-60</v>
      </c>
      <c r="L95" s="35"/>
      <c r="M95" s="37">
        <f t="shared" si="10"/>
        <v>0</v>
      </c>
      <c r="N95" s="37">
        <f t="shared" si="11"/>
        <v>0</v>
      </c>
    </row>
    <row r="96" spans="1:14" x14ac:dyDescent="0.25">
      <c r="A96" s="56">
        <f t="shared" si="12"/>
        <v>0</v>
      </c>
      <c r="G96" s="13"/>
      <c r="H96" s="35">
        <v>91</v>
      </c>
      <c r="I96" s="36" t="str">
        <f t="shared" si="8"/>
        <v/>
      </c>
      <c r="J96" s="35">
        <f t="shared" si="13"/>
        <v>-6</v>
      </c>
      <c r="K96" s="35">
        <f t="shared" si="9"/>
        <v>-60</v>
      </c>
      <c r="L96" s="35"/>
      <c r="M96" s="37">
        <f t="shared" si="10"/>
        <v>0</v>
      </c>
      <c r="N96" s="37">
        <f t="shared" si="11"/>
        <v>0</v>
      </c>
    </row>
    <row r="97" spans="1:14" x14ac:dyDescent="0.25">
      <c r="A97" s="56">
        <f t="shared" si="12"/>
        <v>0</v>
      </c>
      <c r="G97" s="13"/>
      <c r="H97" s="35">
        <v>92</v>
      </c>
      <c r="I97" s="36" t="str">
        <f t="shared" si="8"/>
        <v/>
      </c>
      <c r="J97" s="35">
        <f t="shared" si="13"/>
        <v>-6</v>
      </c>
      <c r="K97" s="35">
        <f t="shared" si="9"/>
        <v>-60</v>
      </c>
      <c r="L97" s="35"/>
      <c r="M97" s="37">
        <f t="shared" si="10"/>
        <v>0</v>
      </c>
      <c r="N97" s="37">
        <f t="shared" si="11"/>
        <v>0</v>
      </c>
    </row>
    <row r="98" spans="1:14" x14ac:dyDescent="0.25">
      <c r="A98" s="56">
        <f t="shared" si="12"/>
        <v>0</v>
      </c>
      <c r="G98" s="13"/>
      <c r="H98" s="35">
        <v>93</v>
      </c>
      <c r="I98" s="36" t="str">
        <f t="shared" si="8"/>
        <v/>
      </c>
      <c r="J98" s="35">
        <f t="shared" si="13"/>
        <v>-6</v>
      </c>
      <c r="K98" s="35">
        <f t="shared" si="9"/>
        <v>-60</v>
      </c>
      <c r="L98" s="35"/>
      <c r="M98" s="37">
        <f t="shared" si="10"/>
        <v>0</v>
      </c>
      <c r="N98" s="37">
        <f t="shared" si="11"/>
        <v>0</v>
      </c>
    </row>
    <row r="99" spans="1:14" x14ac:dyDescent="0.25">
      <c r="A99" s="56">
        <f t="shared" si="12"/>
        <v>0</v>
      </c>
      <c r="G99" s="13"/>
      <c r="H99" s="35">
        <v>94</v>
      </c>
      <c r="I99" s="36" t="str">
        <f t="shared" si="8"/>
        <v/>
      </c>
      <c r="J99" s="35">
        <f t="shared" si="13"/>
        <v>-6</v>
      </c>
      <c r="K99" s="35">
        <f t="shared" si="9"/>
        <v>-60</v>
      </c>
      <c r="L99" s="35"/>
      <c r="M99" s="37">
        <f t="shared" si="10"/>
        <v>0</v>
      </c>
      <c r="N99" s="37">
        <f t="shared" si="11"/>
        <v>0</v>
      </c>
    </row>
    <row r="100" spans="1:14" x14ac:dyDescent="0.25">
      <c r="A100" s="56">
        <f t="shared" si="12"/>
        <v>0</v>
      </c>
      <c r="G100" s="13"/>
      <c r="H100" s="35">
        <v>95</v>
      </c>
      <c r="I100" s="36" t="str">
        <f t="shared" si="8"/>
        <v/>
      </c>
      <c r="J100" s="35">
        <f t="shared" si="13"/>
        <v>-6</v>
      </c>
      <c r="K100" s="35">
        <f t="shared" si="9"/>
        <v>-60</v>
      </c>
      <c r="L100" s="35"/>
      <c r="M100" s="37">
        <f t="shared" si="10"/>
        <v>0</v>
      </c>
      <c r="N100" s="37">
        <f t="shared" si="11"/>
        <v>0</v>
      </c>
    </row>
    <row r="101" spans="1:14" x14ac:dyDescent="0.25">
      <c r="A101" s="56">
        <f t="shared" si="12"/>
        <v>0</v>
      </c>
      <c r="G101" s="13"/>
      <c r="H101" s="35">
        <v>96</v>
      </c>
      <c r="I101" s="36" t="str">
        <f t="shared" si="8"/>
        <v/>
      </c>
      <c r="J101" s="35">
        <f t="shared" si="13"/>
        <v>-6</v>
      </c>
      <c r="K101" s="35">
        <f t="shared" si="9"/>
        <v>-60</v>
      </c>
      <c r="L101" s="35"/>
      <c r="M101" s="37">
        <f t="shared" si="10"/>
        <v>0</v>
      </c>
      <c r="N101" s="37">
        <f t="shared" si="11"/>
        <v>0</v>
      </c>
    </row>
    <row r="102" spans="1:14" x14ac:dyDescent="0.25">
      <c r="A102" s="56">
        <f t="shared" si="12"/>
        <v>0</v>
      </c>
      <c r="G102" s="13"/>
      <c r="H102" s="35">
        <v>97</v>
      </c>
      <c r="I102" s="36" t="str">
        <f t="shared" si="8"/>
        <v/>
      </c>
      <c r="J102" s="35">
        <f t="shared" si="13"/>
        <v>-6</v>
      </c>
      <c r="K102" s="35">
        <f t="shared" si="9"/>
        <v>-60</v>
      </c>
      <c r="L102" s="35"/>
      <c r="M102" s="37">
        <f t="shared" si="10"/>
        <v>0</v>
      </c>
      <c r="N102" s="37">
        <f t="shared" si="11"/>
        <v>0</v>
      </c>
    </row>
    <row r="103" spans="1:14" x14ac:dyDescent="0.25">
      <c r="A103" s="56">
        <f t="shared" si="12"/>
        <v>0</v>
      </c>
      <c r="G103" s="13"/>
      <c r="H103" s="35">
        <v>98</v>
      </c>
      <c r="I103" s="36" t="str">
        <f t="shared" si="8"/>
        <v/>
      </c>
      <c r="J103" s="35">
        <f t="shared" si="13"/>
        <v>-6</v>
      </c>
      <c r="K103" s="35">
        <f t="shared" si="9"/>
        <v>-60</v>
      </c>
      <c r="L103" s="35"/>
      <c r="M103" s="37">
        <f t="shared" si="10"/>
        <v>0</v>
      </c>
      <c r="N103" s="37">
        <f t="shared" si="11"/>
        <v>0</v>
      </c>
    </row>
    <row r="104" spans="1:14" x14ac:dyDescent="0.25">
      <c r="A104" s="56">
        <f t="shared" si="12"/>
        <v>0</v>
      </c>
      <c r="G104" s="13"/>
      <c r="H104" s="35">
        <v>99</v>
      </c>
      <c r="I104" s="36" t="str">
        <f t="shared" si="8"/>
        <v/>
      </c>
      <c r="J104" s="35">
        <f t="shared" si="13"/>
        <v>-6</v>
      </c>
      <c r="K104" s="35">
        <f t="shared" si="9"/>
        <v>-60</v>
      </c>
      <c r="L104" s="35"/>
      <c r="M104" s="37">
        <f t="shared" si="10"/>
        <v>0</v>
      </c>
      <c r="N104" s="37">
        <f t="shared" si="11"/>
        <v>0</v>
      </c>
    </row>
    <row r="105" spans="1:14" x14ac:dyDescent="0.25">
      <c r="A105" s="56">
        <f t="shared" si="12"/>
        <v>0</v>
      </c>
      <c r="G105" s="13"/>
      <c r="H105" s="35">
        <v>100</v>
      </c>
      <c r="I105" s="36" t="str">
        <f t="shared" si="8"/>
        <v/>
      </c>
      <c r="J105" s="35">
        <f t="shared" si="13"/>
        <v>-6</v>
      </c>
      <c r="K105" s="35">
        <f t="shared" si="9"/>
        <v>-60</v>
      </c>
      <c r="L105" s="35"/>
      <c r="M105" s="37">
        <f t="shared" si="10"/>
        <v>0</v>
      </c>
      <c r="N105" s="37">
        <f t="shared" si="11"/>
        <v>0</v>
      </c>
    </row>
    <row r="106" spans="1:14" x14ac:dyDescent="0.25">
      <c r="A106" s="56">
        <f t="shared" si="12"/>
        <v>0</v>
      </c>
      <c r="G106" s="13"/>
      <c r="H106" s="35">
        <v>101</v>
      </c>
      <c r="I106" s="36" t="str">
        <f t="shared" si="8"/>
        <v/>
      </c>
      <c r="J106" s="35">
        <f t="shared" si="13"/>
        <v>-6</v>
      </c>
      <c r="K106" s="35">
        <f t="shared" si="9"/>
        <v>-60</v>
      </c>
      <c r="L106" s="35"/>
      <c r="M106" s="37">
        <f t="shared" si="10"/>
        <v>0</v>
      </c>
      <c r="N106" s="37">
        <f t="shared" si="11"/>
        <v>0</v>
      </c>
    </row>
    <row r="107" spans="1:14" x14ac:dyDescent="0.25">
      <c r="A107" s="56">
        <f t="shared" si="12"/>
        <v>0</v>
      </c>
      <c r="G107" s="13"/>
      <c r="H107" s="35">
        <v>102</v>
      </c>
      <c r="I107" s="36" t="str">
        <f t="shared" si="8"/>
        <v/>
      </c>
      <c r="J107" s="35">
        <f t="shared" si="13"/>
        <v>-6</v>
      </c>
      <c r="K107" s="35">
        <f t="shared" si="9"/>
        <v>-60</v>
      </c>
      <c r="L107" s="35"/>
      <c r="M107" s="37">
        <f t="shared" si="10"/>
        <v>0</v>
      </c>
      <c r="N107" s="37">
        <f t="shared" si="11"/>
        <v>0</v>
      </c>
    </row>
    <row r="108" spans="1:14" x14ac:dyDescent="0.25">
      <c r="A108" s="56">
        <f t="shared" si="12"/>
        <v>0</v>
      </c>
      <c r="G108" s="13"/>
      <c r="H108" s="35">
        <v>103</v>
      </c>
      <c r="I108" s="36" t="str">
        <f t="shared" si="8"/>
        <v/>
      </c>
      <c r="J108" s="35">
        <f t="shared" si="13"/>
        <v>-6</v>
      </c>
      <c r="K108" s="35">
        <f t="shared" si="9"/>
        <v>-60</v>
      </c>
      <c r="L108" s="35"/>
      <c r="M108" s="37">
        <f t="shared" si="10"/>
        <v>0</v>
      </c>
      <c r="N108" s="37">
        <f t="shared" si="11"/>
        <v>0</v>
      </c>
    </row>
    <row r="109" spans="1:14" x14ac:dyDescent="0.25">
      <c r="A109" s="56">
        <f t="shared" si="12"/>
        <v>0</v>
      </c>
      <c r="G109" s="13"/>
      <c r="H109" s="35">
        <v>104</v>
      </c>
      <c r="I109" s="36" t="str">
        <f t="shared" si="8"/>
        <v/>
      </c>
      <c r="J109" s="35">
        <f t="shared" si="13"/>
        <v>-6</v>
      </c>
      <c r="K109" s="35">
        <f t="shared" si="9"/>
        <v>-60</v>
      </c>
      <c r="L109" s="35"/>
      <c r="M109" s="37">
        <f t="shared" si="10"/>
        <v>0</v>
      </c>
      <c r="N109" s="37">
        <f t="shared" si="11"/>
        <v>0</v>
      </c>
    </row>
    <row r="110" spans="1:14" x14ac:dyDescent="0.25">
      <c r="A110" s="56">
        <f t="shared" si="12"/>
        <v>0</v>
      </c>
      <c r="G110" s="13"/>
      <c r="H110" s="35">
        <v>105</v>
      </c>
      <c r="I110" s="36" t="str">
        <f t="shared" si="8"/>
        <v/>
      </c>
      <c r="J110" s="35">
        <f t="shared" si="13"/>
        <v>-6</v>
      </c>
      <c r="K110" s="35">
        <f t="shared" si="9"/>
        <v>-60</v>
      </c>
      <c r="L110" s="35"/>
      <c r="M110" s="37">
        <f t="shared" si="10"/>
        <v>0</v>
      </c>
      <c r="N110" s="37">
        <f t="shared" si="11"/>
        <v>0</v>
      </c>
    </row>
    <row r="111" spans="1:14" x14ac:dyDescent="0.25">
      <c r="A111" s="56">
        <f t="shared" si="12"/>
        <v>0</v>
      </c>
      <c r="G111" s="13"/>
      <c r="H111" s="35">
        <v>106</v>
      </c>
      <c r="I111" s="36" t="str">
        <f t="shared" si="8"/>
        <v/>
      </c>
      <c r="J111" s="35">
        <f t="shared" si="13"/>
        <v>-6</v>
      </c>
      <c r="K111" s="35">
        <f t="shared" si="9"/>
        <v>-60</v>
      </c>
      <c r="L111" s="35"/>
      <c r="M111" s="37">
        <f t="shared" si="10"/>
        <v>0</v>
      </c>
      <c r="N111" s="37">
        <f t="shared" si="11"/>
        <v>0</v>
      </c>
    </row>
    <row r="112" spans="1:14" x14ac:dyDescent="0.25">
      <c r="A112" s="56">
        <f t="shared" si="12"/>
        <v>0</v>
      </c>
      <c r="G112" s="13"/>
      <c r="H112" s="35">
        <v>107</v>
      </c>
      <c r="I112" s="36" t="str">
        <f t="shared" si="8"/>
        <v/>
      </c>
      <c r="J112" s="35">
        <f t="shared" si="13"/>
        <v>-6</v>
      </c>
      <c r="K112" s="35">
        <f t="shared" si="9"/>
        <v>-60</v>
      </c>
      <c r="L112" s="35"/>
      <c r="M112" s="37">
        <f t="shared" si="10"/>
        <v>0</v>
      </c>
      <c r="N112" s="37">
        <f t="shared" si="11"/>
        <v>0</v>
      </c>
    </row>
    <row r="113" spans="1:14" x14ac:dyDescent="0.25">
      <c r="A113" s="56">
        <f t="shared" si="12"/>
        <v>0</v>
      </c>
      <c r="G113" s="13"/>
      <c r="H113" s="35">
        <v>108</v>
      </c>
      <c r="I113" s="36" t="str">
        <f t="shared" si="8"/>
        <v/>
      </c>
      <c r="J113" s="35">
        <f t="shared" si="13"/>
        <v>-6</v>
      </c>
      <c r="K113" s="35">
        <f t="shared" si="9"/>
        <v>-60</v>
      </c>
      <c r="L113" s="35"/>
      <c r="M113" s="37">
        <f t="shared" si="10"/>
        <v>0</v>
      </c>
      <c r="N113" s="37">
        <f t="shared" si="11"/>
        <v>0</v>
      </c>
    </row>
    <row r="114" spans="1:14" x14ac:dyDescent="0.25">
      <c r="A114" s="56">
        <f t="shared" si="12"/>
        <v>0</v>
      </c>
      <c r="G114" s="13"/>
      <c r="H114" s="35">
        <v>109</v>
      </c>
      <c r="I114" s="36" t="str">
        <f t="shared" si="8"/>
        <v/>
      </c>
      <c r="J114" s="35">
        <f t="shared" si="13"/>
        <v>-6</v>
      </c>
      <c r="K114" s="35">
        <f t="shared" si="9"/>
        <v>-60</v>
      </c>
      <c r="L114" s="35"/>
      <c r="M114" s="37">
        <f t="shared" si="10"/>
        <v>0</v>
      </c>
      <c r="N114" s="37">
        <f t="shared" si="11"/>
        <v>0</v>
      </c>
    </row>
    <row r="115" spans="1:14" x14ac:dyDescent="0.25">
      <c r="A115" s="56">
        <f t="shared" si="12"/>
        <v>0</v>
      </c>
      <c r="G115" s="13"/>
      <c r="H115" s="35">
        <v>110</v>
      </c>
      <c r="I115" s="36" t="str">
        <f t="shared" si="8"/>
        <v/>
      </c>
      <c r="J115" s="35">
        <f t="shared" si="13"/>
        <v>-6</v>
      </c>
      <c r="K115" s="35">
        <f t="shared" si="9"/>
        <v>-60</v>
      </c>
      <c r="L115" s="35"/>
      <c r="M115" s="37">
        <f t="shared" si="10"/>
        <v>0</v>
      </c>
      <c r="N115" s="37">
        <f t="shared" si="11"/>
        <v>0</v>
      </c>
    </row>
    <row r="116" spans="1:14" x14ac:dyDescent="0.25">
      <c r="A116" s="56">
        <f t="shared" si="12"/>
        <v>0</v>
      </c>
      <c r="G116" s="13"/>
      <c r="H116" s="35">
        <v>111</v>
      </c>
      <c r="I116" s="36" t="str">
        <f t="shared" si="8"/>
        <v/>
      </c>
      <c r="J116" s="35">
        <f t="shared" si="13"/>
        <v>-6</v>
      </c>
      <c r="K116" s="35">
        <f t="shared" si="9"/>
        <v>-60</v>
      </c>
      <c r="L116" s="35"/>
      <c r="M116" s="37">
        <f t="shared" si="10"/>
        <v>0</v>
      </c>
      <c r="N116" s="37">
        <f t="shared" si="11"/>
        <v>0</v>
      </c>
    </row>
    <row r="117" spans="1:14" x14ac:dyDescent="0.25">
      <c r="A117" s="56">
        <f t="shared" si="12"/>
        <v>0</v>
      </c>
      <c r="G117" s="13"/>
      <c r="H117" s="35">
        <v>112</v>
      </c>
      <c r="I117" s="36" t="str">
        <f t="shared" si="8"/>
        <v/>
      </c>
      <c r="J117" s="35">
        <f t="shared" si="13"/>
        <v>-6</v>
      </c>
      <c r="K117" s="35">
        <f t="shared" si="9"/>
        <v>-60</v>
      </c>
      <c r="L117" s="35"/>
      <c r="M117" s="37">
        <f t="shared" si="10"/>
        <v>0</v>
      </c>
      <c r="N117" s="37">
        <f t="shared" si="11"/>
        <v>0</v>
      </c>
    </row>
    <row r="118" spans="1:14" x14ac:dyDescent="0.25">
      <c r="A118" s="56">
        <f t="shared" si="12"/>
        <v>0</v>
      </c>
      <c r="G118" s="13"/>
      <c r="H118" s="35">
        <v>113</v>
      </c>
      <c r="I118" s="36" t="str">
        <f t="shared" si="8"/>
        <v/>
      </c>
      <c r="J118" s="35">
        <f t="shared" si="13"/>
        <v>-6</v>
      </c>
      <c r="K118" s="35">
        <f t="shared" si="9"/>
        <v>-60</v>
      </c>
      <c r="L118" s="35"/>
      <c r="M118" s="37">
        <f t="shared" si="10"/>
        <v>0</v>
      </c>
      <c r="N118" s="37">
        <f t="shared" si="11"/>
        <v>0</v>
      </c>
    </row>
    <row r="119" spans="1:14" x14ac:dyDescent="0.25">
      <c r="A119" s="56">
        <f t="shared" si="12"/>
        <v>0</v>
      </c>
      <c r="G119" s="13"/>
      <c r="H119" s="35">
        <v>114</v>
      </c>
      <c r="I119" s="36" t="str">
        <f t="shared" si="8"/>
        <v/>
      </c>
      <c r="J119" s="35">
        <f t="shared" si="13"/>
        <v>-6</v>
      </c>
      <c r="K119" s="35">
        <f t="shared" si="9"/>
        <v>-60</v>
      </c>
      <c r="L119" s="35"/>
      <c r="M119" s="37">
        <f t="shared" si="10"/>
        <v>0</v>
      </c>
      <c r="N119" s="37">
        <f t="shared" si="11"/>
        <v>0</v>
      </c>
    </row>
    <row r="120" spans="1:14" x14ac:dyDescent="0.25">
      <c r="A120" s="56">
        <f t="shared" si="12"/>
        <v>0</v>
      </c>
      <c r="G120" s="13"/>
      <c r="H120" s="35">
        <v>115</v>
      </c>
      <c r="I120" s="36" t="str">
        <f t="shared" si="8"/>
        <v/>
      </c>
      <c r="J120" s="35">
        <f t="shared" si="13"/>
        <v>-6</v>
      </c>
      <c r="K120" s="35">
        <f t="shared" si="9"/>
        <v>-60</v>
      </c>
      <c r="L120" s="35"/>
      <c r="M120" s="37">
        <f t="shared" si="10"/>
        <v>0</v>
      </c>
      <c r="N120" s="37">
        <f t="shared" si="11"/>
        <v>0</v>
      </c>
    </row>
    <row r="121" spans="1:14" x14ac:dyDescent="0.25">
      <c r="A121" s="56">
        <f t="shared" si="12"/>
        <v>0</v>
      </c>
      <c r="G121" s="13"/>
      <c r="H121" s="35">
        <v>116</v>
      </c>
      <c r="I121" s="36" t="str">
        <f t="shared" si="8"/>
        <v/>
      </c>
      <c r="J121" s="35">
        <f t="shared" si="13"/>
        <v>-6</v>
      </c>
      <c r="K121" s="35">
        <f t="shared" si="9"/>
        <v>-60</v>
      </c>
      <c r="L121" s="35"/>
      <c r="M121" s="37">
        <f t="shared" si="10"/>
        <v>0</v>
      </c>
      <c r="N121" s="37">
        <f t="shared" si="11"/>
        <v>0</v>
      </c>
    </row>
    <row r="122" spans="1:14" x14ac:dyDescent="0.25">
      <c r="A122" s="56">
        <f t="shared" si="12"/>
        <v>0</v>
      </c>
      <c r="G122" s="13"/>
      <c r="H122" s="35">
        <v>117</v>
      </c>
      <c r="I122" s="36" t="str">
        <f t="shared" si="8"/>
        <v/>
      </c>
      <c r="J122" s="35">
        <f t="shared" si="13"/>
        <v>-6</v>
      </c>
      <c r="K122" s="35">
        <f t="shared" si="9"/>
        <v>-60</v>
      </c>
      <c r="L122" s="35"/>
      <c r="M122" s="37">
        <f t="shared" si="10"/>
        <v>0</v>
      </c>
      <c r="N122" s="37">
        <f t="shared" si="11"/>
        <v>0</v>
      </c>
    </row>
    <row r="123" spans="1:14" x14ac:dyDescent="0.25">
      <c r="A123" s="56">
        <f t="shared" si="12"/>
        <v>0</v>
      </c>
      <c r="G123" s="13"/>
      <c r="H123" s="35">
        <v>118</v>
      </c>
      <c r="I123" s="36" t="str">
        <f t="shared" si="8"/>
        <v/>
      </c>
      <c r="J123" s="35">
        <f t="shared" si="13"/>
        <v>-6</v>
      </c>
      <c r="K123" s="35">
        <f t="shared" si="9"/>
        <v>-60</v>
      </c>
      <c r="L123" s="35"/>
      <c r="M123" s="37">
        <f t="shared" si="10"/>
        <v>0</v>
      </c>
      <c r="N123" s="37">
        <f t="shared" si="11"/>
        <v>0</v>
      </c>
    </row>
    <row r="124" spans="1:14" x14ac:dyDescent="0.25">
      <c r="A124" s="56">
        <f t="shared" si="12"/>
        <v>0</v>
      </c>
      <c r="G124" s="13"/>
      <c r="H124" s="35">
        <v>119</v>
      </c>
      <c r="I124" s="36" t="str">
        <f t="shared" si="8"/>
        <v/>
      </c>
      <c r="J124" s="35">
        <f t="shared" si="13"/>
        <v>-6</v>
      </c>
      <c r="K124" s="35">
        <f t="shared" si="9"/>
        <v>-60</v>
      </c>
      <c r="L124" s="35"/>
      <c r="M124" s="37">
        <f t="shared" si="10"/>
        <v>0</v>
      </c>
      <c r="N124" s="37">
        <f t="shared" si="11"/>
        <v>0</v>
      </c>
    </row>
    <row r="125" spans="1:14" x14ac:dyDescent="0.25">
      <c r="A125" s="56">
        <f t="shared" si="12"/>
        <v>0</v>
      </c>
      <c r="G125" s="13"/>
      <c r="H125" s="35">
        <v>120</v>
      </c>
      <c r="I125" s="36" t="str">
        <f t="shared" si="8"/>
        <v/>
      </c>
      <c r="J125" s="35">
        <f t="shared" si="13"/>
        <v>-6</v>
      </c>
      <c r="K125" s="35">
        <f t="shared" si="9"/>
        <v>-60</v>
      </c>
      <c r="L125" s="35"/>
      <c r="M125" s="37">
        <f t="shared" si="10"/>
        <v>0</v>
      </c>
      <c r="N125" s="37">
        <f t="shared" si="11"/>
        <v>0</v>
      </c>
    </row>
    <row r="126" spans="1:14" x14ac:dyDescent="0.25">
      <c r="A126" s="56">
        <f t="shared" si="12"/>
        <v>0</v>
      </c>
      <c r="G126" s="13"/>
      <c r="H126" s="35">
        <v>121</v>
      </c>
      <c r="I126" s="36" t="str">
        <f t="shared" si="8"/>
        <v/>
      </c>
      <c r="J126" s="35">
        <f t="shared" si="13"/>
        <v>-6</v>
      </c>
      <c r="K126" s="35">
        <f t="shared" si="9"/>
        <v>-60</v>
      </c>
      <c r="L126" s="35"/>
      <c r="M126" s="37">
        <f t="shared" si="10"/>
        <v>0</v>
      </c>
      <c r="N126" s="37">
        <f t="shared" si="11"/>
        <v>0</v>
      </c>
    </row>
    <row r="127" spans="1:14" x14ac:dyDescent="0.25">
      <c r="A127" s="56">
        <f t="shared" si="12"/>
        <v>0</v>
      </c>
      <c r="G127" s="13"/>
      <c r="H127" s="35">
        <v>122</v>
      </c>
      <c r="I127" s="36" t="str">
        <f t="shared" si="8"/>
        <v/>
      </c>
      <c r="J127" s="35">
        <f t="shared" si="13"/>
        <v>-6</v>
      </c>
      <c r="K127" s="35">
        <f t="shared" si="9"/>
        <v>-60</v>
      </c>
      <c r="L127" s="35"/>
      <c r="M127" s="37">
        <f t="shared" si="10"/>
        <v>0</v>
      </c>
      <c r="N127" s="37">
        <f t="shared" si="11"/>
        <v>0</v>
      </c>
    </row>
    <row r="128" spans="1:14" x14ac:dyDescent="0.25">
      <c r="A128" s="56">
        <f t="shared" si="12"/>
        <v>0</v>
      </c>
      <c r="G128" s="13"/>
      <c r="H128" s="35">
        <v>123</v>
      </c>
      <c r="I128" s="36" t="str">
        <f t="shared" si="8"/>
        <v/>
      </c>
      <c r="J128" s="35">
        <f t="shared" si="13"/>
        <v>-6</v>
      </c>
      <c r="K128" s="35">
        <f t="shared" si="9"/>
        <v>-60</v>
      </c>
      <c r="L128" s="35"/>
      <c r="M128" s="37">
        <f t="shared" si="10"/>
        <v>0</v>
      </c>
      <c r="N128" s="37">
        <f t="shared" si="11"/>
        <v>0</v>
      </c>
    </row>
    <row r="129" spans="1:14" x14ac:dyDescent="0.25">
      <c r="A129" s="56">
        <f t="shared" si="12"/>
        <v>0</v>
      </c>
      <c r="G129" s="13"/>
      <c r="H129" s="35">
        <v>124</v>
      </c>
      <c r="I129" s="36" t="str">
        <f t="shared" si="8"/>
        <v/>
      </c>
      <c r="J129" s="35">
        <f t="shared" si="13"/>
        <v>-6</v>
      </c>
      <c r="K129" s="35">
        <f t="shared" si="9"/>
        <v>-60</v>
      </c>
      <c r="L129" s="35"/>
      <c r="M129" s="37">
        <f t="shared" si="10"/>
        <v>0</v>
      </c>
      <c r="N129" s="37">
        <f t="shared" si="11"/>
        <v>0</v>
      </c>
    </row>
    <row r="130" spans="1:14" x14ac:dyDescent="0.25">
      <c r="A130" s="56">
        <f t="shared" si="12"/>
        <v>0</v>
      </c>
      <c r="G130" s="13"/>
      <c r="H130" s="35">
        <v>125</v>
      </c>
      <c r="I130" s="36" t="str">
        <f t="shared" si="8"/>
        <v/>
      </c>
      <c r="J130" s="35">
        <f t="shared" si="13"/>
        <v>-6</v>
      </c>
      <c r="K130" s="35">
        <f t="shared" si="9"/>
        <v>-60</v>
      </c>
      <c r="L130" s="35"/>
      <c r="M130" s="37">
        <f t="shared" si="10"/>
        <v>0</v>
      </c>
      <c r="N130" s="37">
        <f t="shared" si="11"/>
        <v>0</v>
      </c>
    </row>
    <row r="131" spans="1:14" x14ac:dyDescent="0.25">
      <c r="A131" s="56">
        <f t="shared" si="12"/>
        <v>0</v>
      </c>
      <c r="G131" s="13"/>
      <c r="H131" s="35">
        <v>126</v>
      </c>
      <c r="I131" s="36" t="str">
        <f t="shared" si="8"/>
        <v/>
      </c>
      <c r="J131" s="35">
        <f t="shared" si="13"/>
        <v>-6</v>
      </c>
      <c r="K131" s="35">
        <f t="shared" si="9"/>
        <v>-60</v>
      </c>
      <c r="L131" s="35"/>
      <c r="M131" s="37">
        <f t="shared" si="10"/>
        <v>0</v>
      </c>
      <c r="N131" s="37">
        <f t="shared" si="11"/>
        <v>0</v>
      </c>
    </row>
    <row r="132" spans="1:14" x14ac:dyDescent="0.25">
      <c r="A132" s="56">
        <f t="shared" si="12"/>
        <v>0</v>
      </c>
      <c r="G132" s="13"/>
      <c r="H132" s="35">
        <v>127</v>
      </c>
      <c r="I132" s="36" t="str">
        <f t="shared" si="8"/>
        <v/>
      </c>
      <c r="J132" s="35">
        <f t="shared" si="13"/>
        <v>-6</v>
      </c>
      <c r="K132" s="35">
        <f t="shared" si="9"/>
        <v>-60</v>
      </c>
      <c r="L132" s="35"/>
      <c r="M132" s="37">
        <f t="shared" si="10"/>
        <v>0</v>
      </c>
      <c r="N132" s="37">
        <f t="shared" si="11"/>
        <v>0</v>
      </c>
    </row>
    <row r="133" spans="1:14" x14ac:dyDescent="0.25">
      <c r="A133" s="56">
        <f t="shared" si="12"/>
        <v>0</v>
      </c>
      <c r="G133" s="13"/>
      <c r="H133" s="35">
        <v>128</v>
      </c>
      <c r="I133" s="36" t="str">
        <f t="shared" si="8"/>
        <v/>
      </c>
      <c r="J133" s="35">
        <f t="shared" si="13"/>
        <v>-6</v>
      </c>
      <c r="K133" s="35">
        <f t="shared" si="9"/>
        <v>-60</v>
      </c>
      <c r="L133" s="35"/>
      <c r="M133" s="37">
        <f t="shared" si="10"/>
        <v>0</v>
      </c>
      <c r="N133" s="37">
        <f t="shared" si="11"/>
        <v>0</v>
      </c>
    </row>
    <row r="134" spans="1:14" x14ac:dyDescent="0.25">
      <c r="A134" s="56">
        <f t="shared" si="12"/>
        <v>0</v>
      </c>
      <c r="G134" s="13"/>
      <c r="H134" s="35">
        <v>129</v>
      </c>
      <c r="I134" s="36" t="str">
        <f t="shared" ref="I134:I197" si="14">IF(H134&lt;$H$2+1,($I$2-($I$2-1)*(LOG(H134)/LOG($H$2))),"")</f>
        <v/>
      </c>
      <c r="J134" s="35">
        <f t="shared" si="13"/>
        <v>-7</v>
      </c>
      <c r="K134" s="35">
        <f t="shared" ref="K134:K197" si="15">J134*$J$2</f>
        <v>-70</v>
      </c>
      <c r="L134" s="35"/>
      <c r="M134" s="37">
        <f t="shared" ref="M134:M197" si="16">IF(I134&lt;&gt;"",K134+I134+L134,0)</f>
        <v>0</v>
      </c>
      <c r="N134" s="37">
        <f t="shared" ref="N134:N197" si="17">IF(I134&lt;&gt;"",M134*L$2,0)</f>
        <v>0</v>
      </c>
    </row>
    <row r="135" spans="1:14" x14ac:dyDescent="0.25">
      <c r="A135" s="56">
        <f t="shared" ref="A135:A198" si="18">N135</f>
        <v>0</v>
      </c>
      <c r="G135" s="13"/>
      <c r="H135" s="35">
        <v>130</v>
      </c>
      <c r="I135" s="36" t="str">
        <f t="shared" si="14"/>
        <v/>
      </c>
      <c r="J135" s="35">
        <f t="shared" ref="J135:J198" si="19">INT(LOG($H$2,2))-ROUNDUP(LOG(H135,2),0)+IF(OR($H$2=1,$H$2=2,$H$2=4,$H$2=8,$H$2=16,$H$2=32,$H$2=64,$H$2=128,$H$2=256),0,1)</f>
        <v>-7</v>
      </c>
      <c r="K135" s="35">
        <f t="shared" si="15"/>
        <v>-70</v>
      </c>
      <c r="L135" s="35"/>
      <c r="M135" s="37">
        <f t="shared" si="16"/>
        <v>0</v>
      </c>
      <c r="N135" s="37">
        <f t="shared" si="17"/>
        <v>0</v>
      </c>
    </row>
    <row r="136" spans="1:14" x14ac:dyDescent="0.25">
      <c r="A136" s="56">
        <f t="shared" si="18"/>
        <v>0</v>
      </c>
      <c r="G136" s="13"/>
      <c r="H136" s="35">
        <v>131</v>
      </c>
      <c r="I136" s="36" t="str">
        <f t="shared" si="14"/>
        <v/>
      </c>
      <c r="J136" s="35">
        <f t="shared" si="19"/>
        <v>-7</v>
      </c>
      <c r="K136" s="35">
        <f t="shared" si="15"/>
        <v>-70</v>
      </c>
      <c r="L136" s="35"/>
      <c r="M136" s="37">
        <f t="shared" si="16"/>
        <v>0</v>
      </c>
      <c r="N136" s="37">
        <f t="shared" si="17"/>
        <v>0</v>
      </c>
    </row>
    <row r="137" spans="1:14" x14ac:dyDescent="0.25">
      <c r="A137" s="56">
        <f t="shared" si="18"/>
        <v>0</v>
      </c>
      <c r="G137" s="13"/>
      <c r="H137" s="35">
        <v>132</v>
      </c>
      <c r="I137" s="36" t="str">
        <f t="shared" si="14"/>
        <v/>
      </c>
      <c r="J137" s="35">
        <f t="shared" si="19"/>
        <v>-7</v>
      </c>
      <c r="K137" s="35">
        <f t="shared" si="15"/>
        <v>-70</v>
      </c>
      <c r="L137" s="35"/>
      <c r="M137" s="37">
        <f t="shared" si="16"/>
        <v>0</v>
      </c>
      <c r="N137" s="37">
        <f t="shared" si="17"/>
        <v>0</v>
      </c>
    </row>
    <row r="138" spans="1:14" x14ac:dyDescent="0.25">
      <c r="A138" s="56">
        <f t="shared" si="18"/>
        <v>0</v>
      </c>
      <c r="G138" s="13"/>
      <c r="H138" s="35">
        <v>133</v>
      </c>
      <c r="I138" s="36" t="str">
        <f t="shared" si="14"/>
        <v/>
      </c>
      <c r="J138" s="35">
        <f t="shared" si="19"/>
        <v>-7</v>
      </c>
      <c r="K138" s="35">
        <f t="shared" si="15"/>
        <v>-70</v>
      </c>
      <c r="L138" s="35"/>
      <c r="M138" s="37">
        <f t="shared" si="16"/>
        <v>0</v>
      </c>
      <c r="N138" s="37">
        <f t="shared" si="17"/>
        <v>0</v>
      </c>
    </row>
    <row r="139" spans="1:14" x14ac:dyDescent="0.25">
      <c r="A139" s="56">
        <f t="shared" si="18"/>
        <v>0</v>
      </c>
      <c r="G139" s="13"/>
      <c r="H139" s="35">
        <v>134</v>
      </c>
      <c r="I139" s="36" t="str">
        <f t="shared" si="14"/>
        <v/>
      </c>
      <c r="J139" s="35">
        <f t="shared" si="19"/>
        <v>-7</v>
      </c>
      <c r="K139" s="35">
        <f t="shared" si="15"/>
        <v>-70</v>
      </c>
      <c r="L139" s="35"/>
      <c r="M139" s="37">
        <f t="shared" si="16"/>
        <v>0</v>
      </c>
      <c r="N139" s="37">
        <f t="shared" si="17"/>
        <v>0</v>
      </c>
    </row>
    <row r="140" spans="1:14" x14ac:dyDescent="0.25">
      <c r="A140" s="56">
        <f t="shared" si="18"/>
        <v>0</v>
      </c>
      <c r="G140" s="13"/>
      <c r="H140" s="35">
        <v>135</v>
      </c>
      <c r="I140" s="36" t="str">
        <f t="shared" si="14"/>
        <v/>
      </c>
      <c r="J140" s="35">
        <f t="shared" si="19"/>
        <v>-7</v>
      </c>
      <c r="K140" s="35">
        <f t="shared" si="15"/>
        <v>-70</v>
      </c>
      <c r="L140" s="35"/>
      <c r="M140" s="37">
        <f t="shared" si="16"/>
        <v>0</v>
      </c>
      <c r="N140" s="37">
        <f t="shared" si="17"/>
        <v>0</v>
      </c>
    </row>
    <row r="141" spans="1:14" x14ac:dyDescent="0.25">
      <c r="A141" s="56">
        <f t="shared" si="18"/>
        <v>0</v>
      </c>
      <c r="G141" s="13"/>
      <c r="H141" s="35">
        <v>136</v>
      </c>
      <c r="I141" s="36" t="str">
        <f t="shared" si="14"/>
        <v/>
      </c>
      <c r="J141" s="35">
        <f t="shared" si="19"/>
        <v>-7</v>
      </c>
      <c r="K141" s="35">
        <f t="shared" si="15"/>
        <v>-70</v>
      </c>
      <c r="L141" s="35"/>
      <c r="M141" s="37">
        <f t="shared" si="16"/>
        <v>0</v>
      </c>
      <c r="N141" s="37">
        <f t="shared" si="17"/>
        <v>0</v>
      </c>
    </row>
    <row r="142" spans="1:14" x14ac:dyDescent="0.25">
      <c r="A142" s="56">
        <f t="shared" si="18"/>
        <v>0</v>
      </c>
      <c r="G142" s="13"/>
      <c r="H142" s="35">
        <v>137</v>
      </c>
      <c r="I142" s="36" t="str">
        <f t="shared" si="14"/>
        <v/>
      </c>
      <c r="J142" s="35">
        <f t="shared" si="19"/>
        <v>-7</v>
      </c>
      <c r="K142" s="35">
        <f t="shared" si="15"/>
        <v>-70</v>
      </c>
      <c r="L142" s="35"/>
      <c r="M142" s="37">
        <f t="shared" si="16"/>
        <v>0</v>
      </c>
      <c r="N142" s="37">
        <f t="shared" si="17"/>
        <v>0</v>
      </c>
    </row>
    <row r="143" spans="1:14" x14ac:dyDescent="0.25">
      <c r="A143" s="56">
        <f t="shared" si="18"/>
        <v>0</v>
      </c>
      <c r="G143" s="13"/>
      <c r="H143" s="35">
        <v>138</v>
      </c>
      <c r="I143" s="36" t="str">
        <f t="shared" si="14"/>
        <v/>
      </c>
      <c r="J143" s="35">
        <f t="shared" si="19"/>
        <v>-7</v>
      </c>
      <c r="K143" s="35">
        <f t="shared" si="15"/>
        <v>-70</v>
      </c>
      <c r="L143" s="35"/>
      <c r="M143" s="37">
        <f t="shared" si="16"/>
        <v>0</v>
      </c>
      <c r="N143" s="37">
        <f t="shared" si="17"/>
        <v>0</v>
      </c>
    </row>
    <row r="144" spans="1:14" x14ac:dyDescent="0.25">
      <c r="A144" s="56">
        <f t="shared" si="18"/>
        <v>0</v>
      </c>
      <c r="G144" s="13"/>
      <c r="H144" s="35">
        <v>139</v>
      </c>
      <c r="I144" s="36" t="str">
        <f t="shared" si="14"/>
        <v/>
      </c>
      <c r="J144" s="35">
        <f t="shared" si="19"/>
        <v>-7</v>
      </c>
      <c r="K144" s="35">
        <f t="shared" si="15"/>
        <v>-70</v>
      </c>
      <c r="L144" s="35"/>
      <c r="M144" s="37">
        <f t="shared" si="16"/>
        <v>0</v>
      </c>
      <c r="N144" s="37">
        <f t="shared" si="17"/>
        <v>0</v>
      </c>
    </row>
    <row r="145" spans="1:14" x14ac:dyDescent="0.25">
      <c r="A145" s="56">
        <f t="shared" si="18"/>
        <v>0</v>
      </c>
      <c r="G145" s="13"/>
      <c r="H145" s="35">
        <v>140</v>
      </c>
      <c r="I145" s="36" t="str">
        <f t="shared" si="14"/>
        <v/>
      </c>
      <c r="J145" s="35">
        <f t="shared" si="19"/>
        <v>-7</v>
      </c>
      <c r="K145" s="35">
        <f t="shared" si="15"/>
        <v>-70</v>
      </c>
      <c r="L145" s="35"/>
      <c r="M145" s="37">
        <f t="shared" si="16"/>
        <v>0</v>
      </c>
      <c r="N145" s="37">
        <f t="shared" si="17"/>
        <v>0</v>
      </c>
    </row>
    <row r="146" spans="1:14" x14ac:dyDescent="0.25">
      <c r="A146" s="56">
        <f t="shared" si="18"/>
        <v>0</v>
      </c>
      <c r="G146" s="13"/>
      <c r="H146" s="35">
        <v>141</v>
      </c>
      <c r="I146" s="36" t="str">
        <f t="shared" si="14"/>
        <v/>
      </c>
      <c r="J146" s="35">
        <f t="shared" si="19"/>
        <v>-7</v>
      </c>
      <c r="K146" s="35">
        <f t="shared" si="15"/>
        <v>-70</v>
      </c>
      <c r="L146" s="35"/>
      <c r="M146" s="37">
        <f t="shared" si="16"/>
        <v>0</v>
      </c>
      <c r="N146" s="37">
        <f t="shared" si="17"/>
        <v>0</v>
      </c>
    </row>
    <row r="147" spans="1:14" x14ac:dyDescent="0.25">
      <c r="A147" s="56">
        <f t="shared" si="18"/>
        <v>0</v>
      </c>
      <c r="G147" s="13"/>
      <c r="H147" s="35">
        <v>142</v>
      </c>
      <c r="I147" s="36" t="str">
        <f t="shared" si="14"/>
        <v/>
      </c>
      <c r="J147" s="35">
        <f t="shared" si="19"/>
        <v>-7</v>
      </c>
      <c r="K147" s="35">
        <f t="shared" si="15"/>
        <v>-70</v>
      </c>
      <c r="L147" s="35"/>
      <c r="M147" s="37">
        <f t="shared" si="16"/>
        <v>0</v>
      </c>
      <c r="N147" s="37">
        <f t="shared" si="17"/>
        <v>0</v>
      </c>
    </row>
    <row r="148" spans="1:14" x14ac:dyDescent="0.25">
      <c r="A148" s="56">
        <f t="shared" si="18"/>
        <v>0</v>
      </c>
      <c r="G148" s="13"/>
      <c r="H148" s="35">
        <v>143</v>
      </c>
      <c r="I148" s="36" t="str">
        <f t="shared" si="14"/>
        <v/>
      </c>
      <c r="J148" s="35">
        <f t="shared" si="19"/>
        <v>-7</v>
      </c>
      <c r="K148" s="35">
        <f t="shared" si="15"/>
        <v>-70</v>
      </c>
      <c r="L148" s="35"/>
      <c r="M148" s="37">
        <f t="shared" si="16"/>
        <v>0</v>
      </c>
      <c r="N148" s="37">
        <f t="shared" si="17"/>
        <v>0</v>
      </c>
    </row>
    <row r="149" spans="1:14" x14ac:dyDescent="0.25">
      <c r="A149" s="56">
        <f t="shared" si="18"/>
        <v>0</v>
      </c>
      <c r="G149" s="13"/>
      <c r="H149" s="35">
        <v>144</v>
      </c>
      <c r="I149" s="36" t="str">
        <f t="shared" si="14"/>
        <v/>
      </c>
      <c r="J149" s="35">
        <f t="shared" si="19"/>
        <v>-7</v>
      </c>
      <c r="K149" s="35">
        <f t="shared" si="15"/>
        <v>-70</v>
      </c>
      <c r="L149" s="35"/>
      <c r="M149" s="37">
        <f t="shared" si="16"/>
        <v>0</v>
      </c>
      <c r="N149" s="37">
        <f t="shared" si="17"/>
        <v>0</v>
      </c>
    </row>
    <row r="150" spans="1:14" x14ac:dyDescent="0.25">
      <c r="A150" s="56">
        <f t="shared" si="18"/>
        <v>0</v>
      </c>
      <c r="G150" s="13"/>
      <c r="H150" s="35">
        <v>145</v>
      </c>
      <c r="I150" s="36" t="str">
        <f t="shared" si="14"/>
        <v/>
      </c>
      <c r="J150" s="35">
        <f t="shared" si="19"/>
        <v>-7</v>
      </c>
      <c r="K150" s="35">
        <f t="shared" si="15"/>
        <v>-70</v>
      </c>
      <c r="L150" s="35"/>
      <c r="M150" s="37">
        <f t="shared" si="16"/>
        <v>0</v>
      </c>
      <c r="N150" s="37">
        <f t="shared" si="17"/>
        <v>0</v>
      </c>
    </row>
    <row r="151" spans="1:14" x14ac:dyDescent="0.25">
      <c r="A151" s="56">
        <f t="shared" si="18"/>
        <v>0</v>
      </c>
      <c r="G151" s="13"/>
      <c r="H151" s="35">
        <v>146</v>
      </c>
      <c r="I151" s="36" t="str">
        <f t="shared" si="14"/>
        <v/>
      </c>
      <c r="J151" s="35">
        <f t="shared" si="19"/>
        <v>-7</v>
      </c>
      <c r="K151" s="35">
        <f t="shared" si="15"/>
        <v>-70</v>
      </c>
      <c r="L151" s="35"/>
      <c r="M151" s="37">
        <f t="shared" si="16"/>
        <v>0</v>
      </c>
      <c r="N151" s="37">
        <f t="shared" si="17"/>
        <v>0</v>
      </c>
    </row>
    <row r="152" spans="1:14" x14ac:dyDescent="0.25">
      <c r="A152" s="56">
        <f t="shared" si="18"/>
        <v>0</v>
      </c>
      <c r="G152" s="13"/>
      <c r="H152" s="35">
        <v>147</v>
      </c>
      <c r="I152" s="36" t="str">
        <f t="shared" si="14"/>
        <v/>
      </c>
      <c r="J152" s="35">
        <f t="shared" si="19"/>
        <v>-7</v>
      </c>
      <c r="K152" s="35">
        <f t="shared" si="15"/>
        <v>-70</v>
      </c>
      <c r="L152" s="35"/>
      <c r="M152" s="37">
        <f t="shared" si="16"/>
        <v>0</v>
      </c>
      <c r="N152" s="37">
        <f t="shared" si="17"/>
        <v>0</v>
      </c>
    </row>
    <row r="153" spans="1:14" x14ac:dyDescent="0.25">
      <c r="A153" s="56">
        <f t="shared" si="18"/>
        <v>0</v>
      </c>
      <c r="G153" s="13"/>
      <c r="H153" s="35">
        <v>148</v>
      </c>
      <c r="I153" s="36" t="str">
        <f t="shared" si="14"/>
        <v/>
      </c>
      <c r="J153" s="35">
        <f t="shared" si="19"/>
        <v>-7</v>
      </c>
      <c r="K153" s="35">
        <f t="shared" si="15"/>
        <v>-70</v>
      </c>
      <c r="L153" s="35"/>
      <c r="M153" s="37">
        <f t="shared" si="16"/>
        <v>0</v>
      </c>
      <c r="N153" s="37">
        <f t="shared" si="17"/>
        <v>0</v>
      </c>
    </row>
    <row r="154" spans="1:14" x14ac:dyDescent="0.25">
      <c r="A154" s="56">
        <f t="shared" si="18"/>
        <v>0</v>
      </c>
      <c r="G154" s="13"/>
      <c r="H154" s="35">
        <v>149</v>
      </c>
      <c r="I154" s="36" t="str">
        <f t="shared" si="14"/>
        <v/>
      </c>
      <c r="J154" s="35">
        <f t="shared" si="19"/>
        <v>-7</v>
      </c>
      <c r="K154" s="35">
        <f t="shared" si="15"/>
        <v>-70</v>
      </c>
      <c r="L154" s="35"/>
      <c r="M154" s="37">
        <f t="shared" si="16"/>
        <v>0</v>
      </c>
      <c r="N154" s="37">
        <f t="shared" si="17"/>
        <v>0</v>
      </c>
    </row>
    <row r="155" spans="1:14" x14ac:dyDescent="0.25">
      <c r="A155" s="56">
        <f t="shared" si="18"/>
        <v>0</v>
      </c>
      <c r="G155" s="13"/>
      <c r="H155" s="35">
        <v>150</v>
      </c>
      <c r="I155" s="36" t="str">
        <f t="shared" si="14"/>
        <v/>
      </c>
      <c r="J155" s="35">
        <f t="shared" si="19"/>
        <v>-7</v>
      </c>
      <c r="K155" s="35">
        <f t="shared" si="15"/>
        <v>-70</v>
      </c>
      <c r="L155" s="35"/>
      <c r="M155" s="37">
        <f t="shared" si="16"/>
        <v>0</v>
      </c>
      <c r="N155" s="37">
        <f t="shared" si="17"/>
        <v>0</v>
      </c>
    </row>
    <row r="156" spans="1:14" x14ac:dyDescent="0.25">
      <c r="A156" s="56">
        <f t="shared" si="18"/>
        <v>0</v>
      </c>
      <c r="G156" s="13"/>
      <c r="H156" s="35">
        <v>151</v>
      </c>
      <c r="I156" s="36" t="str">
        <f t="shared" si="14"/>
        <v/>
      </c>
      <c r="J156" s="35">
        <f t="shared" si="19"/>
        <v>-7</v>
      </c>
      <c r="K156" s="35">
        <f t="shared" si="15"/>
        <v>-70</v>
      </c>
      <c r="L156" s="35"/>
      <c r="M156" s="37">
        <f t="shared" si="16"/>
        <v>0</v>
      </c>
      <c r="N156" s="37">
        <f t="shared" si="17"/>
        <v>0</v>
      </c>
    </row>
    <row r="157" spans="1:14" x14ac:dyDescent="0.25">
      <c r="A157" s="56">
        <f t="shared" si="18"/>
        <v>0</v>
      </c>
      <c r="G157" s="13"/>
      <c r="H157" s="35">
        <v>152</v>
      </c>
      <c r="I157" s="36" t="str">
        <f t="shared" si="14"/>
        <v/>
      </c>
      <c r="J157" s="35">
        <f t="shared" si="19"/>
        <v>-7</v>
      </c>
      <c r="K157" s="35">
        <f t="shared" si="15"/>
        <v>-70</v>
      </c>
      <c r="L157" s="35"/>
      <c r="M157" s="37">
        <f t="shared" si="16"/>
        <v>0</v>
      </c>
      <c r="N157" s="37">
        <f t="shared" si="17"/>
        <v>0</v>
      </c>
    </row>
    <row r="158" spans="1:14" x14ac:dyDescent="0.25">
      <c r="A158" s="56">
        <f t="shared" si="18"/>
        <v>0</v>
      </c>
      <c r="G158" s="13"/>
      <c r="H158" s="35">
        <v>153</v>
      </c>
      <c r="I158" s="36" t="str">
        <f t="shared" si="14"/>
        <v/>
      </c>
      <c r="J158" s="35">
        <f t="shared" si="19"/>
        <v>-7</v>
      </c>
      <c r="K158" s="35">
        <f t="shared" si="15"/>
        <v>-70</v>
      </c>
      <c r="L158" s="35"/>
      <c r="M158" s="37">
        <f t="shared" si="16"/>
        <v>0</v>
      </c>
      <c r="N158" s="37">
        <f t="shared" si="17"/>
        <v>0</v>
      </c>
    </row>
    <row r="159" spans="1:14" x14ac:dyDescent="0.25">
      <c r="A159" s="56">
        <f t="shared" si="18"/>
        <v>0</v>
      </c>
      <c r="G159" s="13"/>
      <c r="H159" s="35">
        <v>154</v>
      </c>
      <c r="I159" s="36" t="str">
        <f t="shared" si="14"/>
        <v/>
      </c>
      <c r="J159" s="35">
        <f t="shared" si="19"/>
        <v>-7</v>
      </c>
      <c r="K159" s="35">
        <f t="shared" si="15"/>
        <v>-70</v>
      </c>
      <c r="L159" s="35"/>
      <c r="M159" s="37">
        <f t="shared" si="16"/>
        <v>0</v>
      </c>
      <c r="N159" s="37">
        <f t="shared" si="17"/>
        <v>0</v>
      </c>
    </row>
    <row r="160" spans="1:14" x14ac:dyDescent="0.25">
      <c r="A160" s="56">
        <f t="shared" si="18"/>
        <v>0</v>
      </c>
      <c r="G160" s="13"/>
      <c r="H160" s="35">
        <v>155</v>
      </c>
      <c r="I160" s="36" t="str">
        <f t="shared" si="14"/>
        <v/>
      </c>
      <c r="J160" s="35">
        <f t="shared" si="19"/>
        <v>-7</v>
      </c>
      <c r="K160" s="35">
        <f t="shared" si="15"/>
        <v>-70</v>
      </c>
      <c r="L160" s="35"/>
      <c r="M160" s="37">
        <f t="shared" si="16"/>
        <v>0</v>
      </c>
      <c r="N160" s="37">
        <f t="shared" si="17"/>
        <v>0</v>
      </c>
    </row>
    <row r="161" spans="1:14" x14ac:dyDescent="0.25">
      <c r="A161" s="56">
        <f t="shared" si="18"/>
        <v>0</v>
      </c>
      <c r="G161" s="13"/>
      <c r="H161" s="35">
        <v>156</v>
      </c>
      <c r="I161" s="36" t="str">
        <f t="shared" si="14"/>
        <v/>
      </c>
      <c r="J161" s="35">
        <f t="shared" si="19"/>
        <v>-7</v>
      </c>
      <c r="K161" s="35">
        <f t="shared" si="15"/>
        <v>-70</v>
      </c>
      <c r="L161" s="35"/>
      <c r="M161" s="37">
        <f t="shared" si="16"/>
        <v>0</v>
      </c>
      <c r="N161" s="37">
        <f t="shared" si="17"/>
        <v>0</v>
      </c>
    </row>
    <row r="162" spans="1:14" x14ac:dyDescent="0.25">
      <c r="A162" s="56">
        <f t="shared" si="18"/>
        <v>0</v>
      </c>
      <c r="G162" s="13"/>
      <c r="H162" s="35">
        <v>157</v>
      </c>
      <c r="I162" s="36" t="str">
        <f t="shared" si="14"/>
        <v/>
      </c>
      <c r="J162" s="35">
        <f t="shared" si="19"/>
        <v>-7</v>
      </c>
      <c r="K162" s="35">
        <f t="shared" si="15"/>
        <v>-70</v>
      </c>
      <c r="L162" s="35"/>
      <c r="M162" s="37">
        <f t="shared" si="16"/>
        <v>0</v>
      </c>
      <c r="N162" s="37">
        <f t="shared" si="17"/>
        <v>0</v>
      </c>
    </row>
    <row r="163" spans="1:14" x14ac:dyDescent="0.25">
      <c r="A163" s="56">
        <f t="shared" si="18"/>
        <v>0</v>
      </c>
      <c r="G163" s="13"/>
      <c r="H163" s="35">
        <v>158</v>
      </c>
      <c r="I163" s="36" t="str">
        <f t="shared" si="14"/>
        <v/>
      </c>
      <c r="J163" s="35">
        <f t="shared" si="19"/>
        <v>-7</v>
      </c>
      <c r="K163" s="35">
        <f t="shared" si="15"/>
        <v>-70</v>
      </c>
      <c r="L163" s="35"/>
      <c r="M163" s="37">
        <f t="shared" si="16"/>
        <v>0</v>
      </c>
      <c r="N163" s="37">
        <f t="shared" si="17"/>
        <v>0</v>
      </c>
    </row>
    <row r="164" spans="1:14" x14ac:dyDescent="0.25">
      <c r="A164" s="56">
        <f t="shared" si="18"/>
        <v>0</v>
      </c>
      <c r="G164" s="13"/>
      <c r="H164" s="35">
        <v>159</v>
      </c>
      <c r="I164" s="36" t="str">
        <f t="shared" si="14"/>
        <v/>
      </c>
      <c r="J164" s="35">
        <f t="shared" si="19"/>
        <v>-7</v>
      </c>
      <c r="K164" s="35">
        <f t="shared" si="15"/>
        <v>-70</v>
      </c>
      <c r="L164" s="35"/>
      <c r="M164" s="37">
        <f t="shared" si="16"/>
        <v>0</v>
      </c>
      <c r="N164" s="37">
        <f t="shared" si="17"/>
        <v>0</v>
      </c>
    </row>
    <row r="165" spans="1:14" x14ac:dyDescent="0.25">
      <c r="A165" s="56">
        <f t="shared" si="18"/>
        <v>0</v>
      </c>
      <c r="G165" s="13"/>
      <c r="H165" s="35">
        <v>160</v>
      </c>
      <c r="I165" s="36" t="str">
        <f t="shared" si="14"/>
        <v/>
      </c>
      <c r="J165" s="35">
        <f t="shared" si="19"/>
        <v>-7</v>
      </c>
      <c r="K165" s="35">
        <f t="shared" si="15"/>
        <v>-70</v>
      </c>
      <c r="L165" s="35"/>
      <c r="M165" s="37">
        <f t="shared" si="16"/>
        <v>0</v>
      </c>
      <c r="N165" s="37">
        <f t="shared" si="17"/>
        <v>0</v>
      </c>
    </row>
    <row r="166" spans="1:14" x14ac:dyDescent="0.25">
      <c r="A166" s="56">
        <f t="shared" si="18"/>
        <v>0</v>
      </c>
      <c r="G166" s="13"/>
      <c r="H166" s="35">
        <v>161</v>
      </c>
      <c r="I166" s="36" t="str">
        <f t="shared" si="14"/>
        <v/>
      </c>
      <c r="J166" s="35">
        <f t="shared" si="19"/>
        <v>-7</v>
      </c>
      <c r="K166" s="35">
        <f t="shared" si="15"/>
        <v>-70</v>
      </c>
      <c r="L166" s="35"/>
      <c r="M166" s="37">
        <f t="shared" si="16"/>
        <v>0</v>
      </c>
      <c r="N166" s="37">
        <f t="shared" si="17"/>
        <v>0</v>
      </c>
    </row>
    <row r="167" spans="1:14" x14ac:dyDescent="0.25">
      <c r="A167" s="56">
        <f t="shared" si="18"/>
        <v>0</v>
      </c>
      <c r="G167" s="13"/>
      <c r="H167" s="35">
        <v>162</v>
      </c>
      <c r="I167" s="36" t="str">
        <f t="shared" si="14"/>
        <v/>
      </c>
      <c r="J167" s="35">
        <f t="shared" si="19"/>
        <v>-7</v>
      </c>
      <c r="K167" s="35">
        <f t="shared" si="15"/>
        <v>-70</v>
      </c>
      <c r="L167" s="35"/>
      <c r="M167" s="37">
        <f t="shared" si="16"/>
        <v>0</v>
      </c>
      <c r="N167" s="37">
        <f t="shared" si="17"/>
        <v>0</v>
      </c>
    </row>
    <row r="168" spans="1:14" x14ac:dyDescent="0.25">
      <c r="A168" s="56">
        <f t="shared" si="18"/>
        <v>0</v>
      </c>
      <c r="G168" s="13"/>
      <c r="H168" s="35">
        <v>163</v>
      </c>
      <c r="I168" s="36" t="str">
        <f t="shared" si="14"/>
        <v/>
      </c>
      <c r="J168" s="35">
        <f t="shared" si="19"/>
        <v>-7</v>
      </c>
      <c r="K168" s="35">
        <f t="shared" si="15"/>
        <v>-70</v>
      </c>
      <c r="L168" s="35"/>
      <c r="M168" s="37">
        <f t="shared" si="16"/>
        <v>0</v>
      </c>
      <c r="N168" s="37">
        <f t="shared" si="17"/>
        <v>0</v>
      </c>
    </row>
    <row r="169" spans="1:14" x14ac:dyDescent="0.25">
      <c r="A169" s="56">
        <f t="shared" si="18"/>
        <v>0</v>
      </c>
      <c r="G169" s="13"/>
      <c r="H169" s="35">
        <v>164</v>
      </c>
      <c r="I169" s="36" t="str">
        <f t="shared" si="14"/>
        <v/>
      </c>
      <c r="J169" s="35">
        <f t="shared" si="19"/>
        <v>-7</v>
      </c>
      <c r="K169" s="35">
        <f t="shared" si="15"/>
        <v>-70</v>
      </c>
      <c r="L169" s="35"/>
      <c r="M169" s="37">
        <f t="shared" si="16"/>
        <v>0</v>
      </c>
      <c r="N169" s="37">
        <f t="shared" si="17"/>
        <v>0</v>
      </c>
    </row>
    <row r="170" spans="1:14" x14ac:dyDescent="0.25">
      <c r="A170" s="56">
        <f t="shared" si="18"/>
        <v>0</v>
      </c>
      <c r="G170" s="13"/>
      <c r="H170" s="35">
        <v>165</v>
      </c>
      <c r="I170" s="36" t="str">
        <f t="shared" si="14"/>
        <v/>
      </c>
      <c r="J170" s="35">
        <f t="shared" si="19"/>
        <v>-7</v>
      </c>
      <c r="K170" s="35">
        <f t="shared" si="15"/>
        <v>-70</v>
      </c>
      <c r="L170" s="35"/>
      <c r="M170" s="37">
        <f t="shared" si="16"/>
        <v>0</v>
      </c>
      <c r="N170" s="37">
        <f t="shared" si="17"/>
        <v>0</v>
      </c>
    </row>
    <row r="171" spans="1:14" x14ac:dyDescent="0.25">
      <c r="A171" s="56">
        <f t="shared" si="18"/>
        <v>0</v>
      </c>
      <c r="G171" s="13"/>
      <c r="H171" s="35">
        <v>166</v>
      </c>
      <c r="I171" s="36" t="str">
        <f t="shared" si="14"/>
        <v/>
      </c>
      <c r="J171" s="35">
        <f t="shared" si="19"/>
        <v>-7</v>
      </c>
      <c r="K171" s="35">
        <f t="shared" si="15"/>
        <v>-70</v>
      </c>
      <c r="L171" s="35"/>
      <c r="M171" s="37">
        <f t="shared" si="16"/>
        <v>0</v>
      </c>
      <c r="N171" s="37">
        <f t="shared" si="17"/>
        <v>0</v>
      </c>
    </row>
    <row r="172" spans="1:14" x14ac:dyDescent="0.25">
      <c r="A172" s="56">
        <f t="shared" si="18"/>
        <v>0</v>
      </c>
      <c r="G172" s="13"/>
      <c r="H172" s="35">
        <v>167</v>
      </c>
      <c r="I172" s="36" t="str">
        <f t="shared" si="14"/>
        <v/>
      </c>
      <c r="J172" s="35">
        <f t="shared" si="19"/>
        <v>-7</v>
      </c>
      <c r="K172" s="35">
        <f t="shared" si="15"/>
        <v>-70</v>
      </c>
      <c r="L172" s="35"/>
      <c r="M172" s="37">
        <f t="shared" si="16"/>
        <v>0</v>
      </c>
      <c r="N172" s="37">
        <f t="shared" si="17"/>
        <v>0</v>
      </c>
    </row>
    <row r="173" spans="1:14" x14ac:dyDescent="0.25">
      <c r="A173" s="56">
        <f t="shared" si="18"/>
        <v>0</v>
      </c>
      <c r="G173" s="13"/>
      <c r="H173" s="35">
        <v>168</v>
      </c>
      <c r="I173" s="36" t="str">
        <f t="shared" si="14"/>
        <v/>
      </c>
      <c r="J173" s="35">
        <f t="shared" si="19"/>
        <v>-7</v>
      </c>
      <c r="K173" s="35">
        <f t="shared" si="15"/>
        <v>-70</v>
      </c>
      <c r="L173" s="35"/>
      <c r="M173" s="37">
        <f t="shared" si="16"/>
        <v>0</v>
      </c>
      <c r="N173" s="37">
        <f t="shared" si="17"/>
        <v>0</v>
      </c>
    </row>
    <row r="174" spans="1:14" x14ac:dyDescent="0.25">
      <c r="A174" s="56">
        <f t="shared" si="18"/>
        <v>0</v>
      </c>
      <c r="G174" s="13"/>
      <c r="H174" s="35">
        <v>169</v>
      </c>
      <c r="I174" s="36" t="str">
        <f t="shared" si="14"/>
        <v/>
      </c>
      <c r="J174" s="35">
        <f t="shared" si="19"/>
        <v>-7</v>
      </c>
      <c r="K174" s="35">
        <f t="shared" si="15"/>
        <v>-70</v>
      </c>
      <c r="L174" s="35"/>
      <c r="M174" s="37">
        <f t="shared" si="16"/>
        <v>0</v>
      </c>
      <c r="N174" s="37">
        <f t="shared" si="17"/>
        <v>0</v>
      </c>
    </row>
    <row r="175" spans="1:14" x14ac:dyDescent="0.25">
      <c r="A175" s="56">
        <f t="shared" si="18"/>
        <v>0</v>
      </c>
      <c r="G175" s="13"/>
      <c r="H175" s="35">
        <v>170</v>
      </c>
      <c r="I175" s="36" t="str">
        <f t="shared" si="14"/>
        <v/>
      </c>
      <c r="J175" s="35">
        <f t="shared" si="19"/>
        <v>-7</v>
      </c>
      <c r="K175" s="35">
        <f t="shared" si="15"/>
        <v>-70</v>
      </c>
      <c r="L175" s="35"/>
      <c r="M175" s="37">
        <f t="shared" si="16"/>
        <v>0</v>
      </c>
      <c r="N175" s="37">
        <f t="shared" si="17"/>
        <v>0</v>
      </c>
    </row>
    <row r="176" spans="1:14" x14ac:dyDescent="0.25">
      <c r="A176" s="56">
        <f t="shared" si="18"/>
        <v>0</v>
      </c>
      <c r="G176" s="13"/>
      <c r="H176" s="35">
        <v>171</v>
      </c>
      <c r="I176" s="36" t="str">
        <f t="shared" si="14"/>
        <v/>
      </c>
      <c r="J176" s="35">
        <f t="shared" si="19"/>
        <v>-7</v>
      </c>
      <c r="K176" s="35">
        <f t="shared" si="15"/>
        <v>-70</v>
      </c>
      <c r="L176" s="35"/>
      <c r="M176" s="37">
        <f t="shared" si="16"/>
        <v>0</v>
      </c>
      <c r="N176" s="37">
        <f t="shared" si="17"/>
        <v>0</v>
      </c>
    </row>
    <row r="177" spans="1:14" x14ac:dyDescent="0.25">
      <c r="A177" s="56">
        <f t="shared" si="18"/>
        <v>0</v>
      </c>
      <c r="G177" s="13"/>
      <c r="H177" s="35">
        <v>172</v>
      </c>
      <c r="I177" s="36" t="str">
        <f t="shared" si="14"/>
        <v/>
      </c>
      <c r="J177" s="35">
        <f t="shared" si="19"/>
        <v>-7</v>
      </c>
      <c r="K177" s="35">
        <f t="shared" si="15"/>
        <v>-70</v>
      </c>
      <c r="L177" s="35"/>
      <c r="M177" s="37">
        <f t="shared" si="16"/>
        <v>0</v>
      </c>
      <c r="N177" s="37">
        <f t="shared" si="17"/>
        <v>0</v>
      </c>
    </row>
    <row r="178" spans="1:14" x14ac:dyDescent="0.25">
      <c r="A178" s="56">
        <f t="shared" si="18"/>
        <v>0</v>
      </c>
      <c r="G178" s="13"/>
      <c r="H178" s="35">
        <v>173</v>
      </c>
      <c r="I178" s="36" t="str">
        <f t="shared" si="14"/>
        <v/>
      </c>
      <c r="J178" s="35">
        <f t="shared" si="19"/>
        <v>-7</v>
      </c>
      <c r="K178" s="35">
        <f t="shared" si="15"/>
        <v>-70</v>
      </c>
      <c r="L178" s="35"/>
      <c r="M178" s="37">
        <f t="shared" si="16"/>
        <v>0</v>
      </c>
      <c r="N178" s="37">
        <f t="shared" si="17"/>
        <v>0</v>
      </c>
    </row>
    <row r="179" spans="1:14" x14ac:dyDescent="0.25">
      <c r="A179" s="56">
        <f t="shared" si="18"/>
        <v>0</v>
      </c>
      <c r="G179" s="13"/>
      <c r="H179" s="35">
        <v>174</v>
      </c>
      <c r="I179" s="36" t="str">
        <f t="shared" si="14"/>
        <v/>
      </c>
      <c r="J179" s="35">
        <f t="shared" si="19"/>
        <v>-7</v>
      </c>
      <c r="K179" s="35">
        <f t="shared" si="15"/>
        <v>-70</v>
      </c>
      <c r="L179" s="35"/>
      <c r="M179" s="37">
        <f t="shared" si="16"/>
        <v>0</v>
      </c>
      <c r="N179" s="37">
        <f t="shared" si="17"/>
        <v>0</v>
      </c>
    </row>
    <row r="180" spans="1:14" x14ac:dyDescent="0.25">
      <c r="A180" s="56">
        <f t="shared" si="18"/>
        <v>0</v>
      </c>
      <c r="G180" s="13"/>
      <c r="H180" s="35">
        <v>175</v>
      </c>
      <c r="I180" s="36" t="str">
        <f t="shared" si="14"/>
        <v/>
      </c>
      <c r="J180" s="35">
        <f t="shared" si="19"/>
        <v>-7</v>
      </c>
      <c r="K180" s="35">
        <f t="shared" si="15"/>
        <v>-70</v>
      </c>
      <c r="L180" s="35"/>
      <c r="M180" s="37">
        <f t="shared" si="16"/>
        <v>0</v>
      </c>
      <c r="N180" s="37">
        <f t="shared" si="17"/>
        <v>0</v>
      </c>
    </row>
    <row r="181" spans="1:14" x14ac:dyDescent="0.25">
      <c r="A181" s="56">
        <f t="shared" si="18"/>
        <v>0</v>
      </c>
      <c r="G181" s="13"/>
      <c r="H181" s="35">
        <v>176</v>
      </c>
      <c r="I181" s="36" t="str">
        <f t="shared" si="14"/>
        <v/>
      </c>
      <c r="J181" s="35">
        <f t="shared" si="19"/>
        <v>-7</v>
      </c>
      <c r="K181" s="35">
        <f t="shared" si="15"/>
        <v>-70</v>
      </c>
      <c r="L181" s="35"/>
      <c r="M181" s="37">
        <f t="shared" si="16"/>
        <v>0</v>
      </c>
      <c r="N181" s="37">
        <f t="shared" si="17"/>
        <v>0</v>
      </c>
    </row>
    <row r="182" spans="1:14" x14ac:dyDescent="0.25">
      <c r="A182" s="56">
        <f t="shared" si="18"/>
        <v>0</v>
      </c>
      <c r="G182" s="13"/>
      <c r="H182" s="35">
        <v>177</v>
      </c>
      <c r="I182" s="36" t="str">
        <f t="shared" si="14"/>
        <v/>
      </c>
      <c r="J182" s="35">
        <f t="shared" si="19"/>
        <v>-7</v>
      </c>
      <c r="K182" s="35">
        <f t="shared" si="15"/>
        <v>-70</v>
      </c>
      <c r="L182" s="35"/>
      <c r="M182" s="37">
        <f t="shared" si="16"/>
        <v>0</v>
      </c>
      <c r="N182" s="37">
        <f t="shared" si="17"/>
        <v>0</v>
      </c>
    </row>
    <row r="183" spans="1:14" x14ac:dyDescent="0.25">
      <c r="A183" s="56">
        <f t="shared" si="18"/>
        <v>0</v>
      </c>
      <c r="G183" s="13"/>
      <c r="H183" s="35">
        <v>178</v>
      </c>
      <c r="I183" s="36" t="str">
        <f t="shared" si="14"/>
        <v/>
      </c>
      <c r="J183" s="35">
        <f t="shared" si="19"/>
        <v>-7</v>
      </c>
      <c r="K183" s="35">
        <f t="shared" si="15"/>
        <v>-70</v>
      </c>
      <c r="L183" s="35"/>
      <c r="M183" s="37">
        <f t="shared" si="16"/>
        <v>0</v>
      </c>
      <c r="N183" s="37">
        <f t="shared" si="17"/>
        <v>0</v>
      </c>
    </row>
    <row r="184" spans="1:14" x14ac:dyDescent="0.25">
      <c r="A184" s="56">
        <f t="shared" si="18"/>
        <v>0</v>
      </c>
      <c r="G184" s="13"/>
      <c r="H184" s="35">
        <v>179</v>
      </c>
      <c r="I184" s="36" t="str">
        <f t="shared" si="14"/>
        <v/>
      </c>
      <c r="J184" s="35">
        <f t="shared" si="19"/>
        <v>-7</v>
      </c>
      <c r="K184" s="35">
        <f t="shared" si="15"/>
        <v>-70</v>
      </c>
      <c r="L184" s="35"/>
      <c r="M184" s="37">
        <f t="shared" si="16"/>
        <v>0</v>
      </c>
      <c r="N184" s="37">
        <f t="shared" si="17"/>
        <v>0</v>
      </c>
    </row>
    <row r="185" spans="1:14" x14ac:dyDescent="0.25">
      <c r="A185" s="56">
        <f t="shared" si="18"/>
        <v>0</v>
      </c>
      <c r="G185" s="13"/>
      <c r="H185" s="35">
        <v>180</v>
      </c>
      <c r="I185" s="36" t="str">
        <f t="shared" si="14"/>
        <v/>
      </c>
      <c r="J185" s="35">
        <f t="shared" si="19"/>
        <v>-7</v>
      </c>
      <c r="K185" s="35">
        <f t="shared" si="15"/>
        <v>-70</v>
      </c>
      <c r="L185" s="35"/>
      <c r="M185" s="37">
        <f t="shared" si="16"/>
        <v>0</v>
      </c>
      <c r="N185" s="37">
        <f t="shared" si="17"/>
        <v>0</v>
      </c>
    </row>
    <row r="186" spans="1:14" x14ac:dyDescent="0.25">
      <c r="A186" s="56">
        <f t="shared" si="18"/>
        <v>0</v>
      </c>
      <c r="G186" s="13"/>
      <c r="H186" s="35">
        <v>181</v>
      </c>
      <c r="I186" s="36" t="str">
        <f t="shared" si="14"/>
        <v/>
      </c>
      <c r="J186" s="35">
        <f t="shared" si="19"/>
        <v>-7</v>
      </c>
      <c r="K186" s="35">
        <f t="shared" si="15"/>
        <v>-70</v>
      </c>
      <c r="L186" s="35"/>
      <c r="M186" s="37">
        <f t="shared" si="16"/>
        <v>0</v>
      </c>
      <c r="N186" s="37">
        <f t="shared" si="17"/>
        <v>0</v>
      </c>
    </row>
    <row r="187" spans="1:14" x14ac:dyDescent="0.25">
      <c r="A187" s="56">
        <f t="shared" si="18"/>
        <v>0</v>
      </c>
      <c r="G187" s="13"/>
      <c r="H187" s="35">
        <v>182</v>
      </c>
      <c r="I187" s="36" t="str">
        <f t="shared" si="14"/>
        <v/>
      </c>
      <c r="J187" s="35">
        <f t="shared" si="19"/>
        <v>-7</v>
      </c>
      <c r="K187" s="35">
        <f t="shared" si="15"/>
        <v>-70</v>
      </c>
      <c r="L187" s="35"/>
      <c r="M187" s="37">
        <f t="shared" si="16"/>
        <v>0</v>
      </c>
      <c r="N187" s="37">
        <f t="shared" si="17"/>
        <v>0</v>
      </c>
    </row>
    <row r="188" spans="1:14" x14ac:dyDescent="0.25">
      <c r="A188" s="56">
        <f t="shared" si="18"/>
        <v>0</v>
      </c>
      <c r="G188" s="13"/>
      <c r="H188" s="35">
        <v>183</v>
      </c>
      <c r="I188" s="36" t="str">
        <f t="shared" si="14"/>
        <v/>
      </c>
      <c r="J188" s="35">
        <f t="shared" si="19"/>
        <v>-7</v>
      </c>
      <c r="K188" s="35">
        <f t="shared" si="15"/>
        <v>-70</v>
      </c>
      <c r="L188" s="35"/>
      <c r="M188" s="37">
        <f t="shared" si="16"/>
        <v>0</v>
      </c>
      <c r="N188" s="37">
        <f t="shared" si="17"/>
        <v>0</v>
      </c>
    </row>
    <row r="189" spans="1:14" x14ac:dyDescent="0.25">
      <c r="A189" s="56">
        <f t="shared" si="18"/>
        <v>0</v>
      </c>
      <c r="G189" s="13"/>
      <c r="H189" s="35">
        <v>184</v>
      </c>
      <c r="I189" s="36" t="str">
        <f t="shared" si="14"/>
        <v/>
      </c>
      <c r="J189" s="35">
        <f t="shared" si="19"/>
        <v>-7</v>
      </c>
      <c r="K189" s="35">
        <f t="shared" si="15"/>
        <v>-70</v>
      </c>
      <c r="L189" s="35"/>
      <c r="M189" s="37">
        <f t="shared" si="16"/>
        <v>0</v>
      </c>
      <c r="N189" s="37">
        <f t="shared" si="17"/>
        <v>0</v>
      </c>
    </row>
    <row r="190" spans="1:14" x14ac:dyDescent="0.25">
      <c r="A190" s="56">
        <f t="shared" si="18"/>
        <v>0</v>
      </c>
      <c r="G190" s="13"/>
      <c r="H190" s="35">
        <v>185</v>
      </c>
      <c r="I190" s="36" t="str">
        <f t="shared" si="14"/>
        <v/>
      </c>
      <c r="J190" s="35">
        <f t="shared" si="19"/>
        <v>-7</v>
      </c>
      <c r="K190" s="35">
        <f t="shared" si="15"/>
        <v>-70</v>
      </c>
      <c r="L190" s="35"/>
      <c r="M190" s="37">
        <f t="shared" si="16"/>
        <v>0</v>
      </c>
      <c r="N190" s="37">
        <f t="shared" si="17"/>
        <v>0</v>
      </c>
    </row>
    <row r="191" spans="1:14" x14ac:dyDescent="0.25">
      <c r="A191" s="56">
        <f t="shared" si="18"/>
        <v>0</v>
      </c>
      <c r="G191" s="13"/>
      <c r="H191" s="35">
        <v>186</v>
      </c>
      <c r="I191" s="36" t="str">
        <f t="shared" si="14"/>
        <v/>
      </c>
      <c r="J191" s="35">
        <f t="shared" si="19"/>
        <v>-7</v>
      </c>
      <c r="K191" s="35">
        <f t="shared" si="15"/>
        <v>-70</v>
      </c>
      <c r="L191" s="35"/>
      <c r="M191" s="37">
        <f t="shared" si="16"/>
        <v>0</v>
      </c>
      <c r="N191" s="37">
        <f t="shared" si="17"/>
        <v>0</v>
      </c>
    </row>
    <row r="192" spans="1:14" x14ac:dyDescent="0.25">
      <c r="A192" s="56">
        <f t="shared" si="18"/>
        <v>0</v>
      </c>
      <c r="G192" s="13"/>
      <c r="H192" s="35">
        <v>187</v>
      </c>
      <c r="I192" s="36" t="str">
        <f t="shared" si="14"/>
        <v/>
      </c>
      <c r="J192" s="35">
        <f t="shared" si="19"/>
        <v>-7</v>
      </c>
      <c r="K192" s="35">
        <f t="shared" si="15"/>
        <v>-70</v>
      </c>
      <c r="L192" s="35"/>
      <c r="M192" s="37">
        <f t="shared" si="16"/>
        <v>0</v>
      </c>
      <c r="N192" s="37">
        <f t="shared" si="17"/>
        <v>0</v>
      </c>
    </row>
    <row r="193" spans="1:14" x14ac:dyDescent="0.25">
      <c r="A193" s="56">
        <f t="shared" si="18"/>
        <v>0</v>
      </c>
      <c r="G193" s="13"/>
      <c r="H193" s="35">
        <v>188</v>
      </c>
      <c r="I193" s="36" t="str">
        <f t="shared" si="14"/>
        <v/>
      </c>
      <c r="J193" s="35">
        <f t="shared" si="19"/>
        <v>-7</v>
      </c>
      <c r="K193" s="35">
        <f t="shared" si="15"/>
        <v>-70</v>
      </c>
      <c r="L193" s="35"/>
      <c r="M193" s="37">
        <f t="shared" si="16"/>
        <v>0</v>
      </c>
      <c r="N193" s="37">
        <f t="shared" si="17"/>
        <v>0</v>
      </c>
    </row>
    <row r="194" spans="1:14" x14ac:dyDescent="0.25">
      <c r="A194" s="56">
        <f t="shared" si="18"/>
        <v>0</v>
      </c>
      <c r="G194" s="13"/>
      <c r="H194" s="35">
        <v>189</v>
      </c>
      <c r="I194" s="36" t="str">
        <f t="shared" si="14"/>
        <v/>
      </c>
      <c r="J194" s="35">
        <f t="shared" si="19"/>
        <v>-7</v>
      </c>
      <c r="K194" s="35">
        <f t="shared" si="15"/>
        <v>-70</v>
      </c>
      <c r="L194" s="35"/>
      <c r="M194" s="37">
        <f t="shared" si="16"/>
        <v>0</v>
      </c>
      <c r="N194" s="37">
        <f t="shared" si="17"/>
        <v>0</v>
      </c>
    </row>
    <row r="195" spans="1:14" x14ac:dyDescent="0.25">
      <c r="A195" s="56">
        <f t="shared" si="18"/>
        <v>0</v>
      </c>
      <c r="G195" s="13"/>
      <c r="H195" s="35">
        <v>190</v>
      </c>
      <c r="I195" s="36" t="str">
        <f t="shared" si="14"/>
        <v/>
      </c>
      <c r="J195" s="35">
        <f t="shared" si="19"/>
        <v>-7</v>
      </c>
      <c r="K195" s="35">
        <f t="shared" si="15"/>
        <v>-70</v>
      </c>
      <c r="L195" s="35"/>
      <c r="M195" s="37">
        <f t="shared" si="16"/>
        <v>0</v>
      </c>
      <c r="N195" s="37">
        <f t="shared" si="17"/>
        <v>0</v>
      </c>
    </row>
    <row r="196" spans="1:14" x14ac:dyDescent="0.25">
      <c r="A196" s="56">
        <f t="shared" si="18"/>
        <v>0</v>
      </c>
      <c r="G196" s="13"/>
      <c r="H196" s="35">
        <v>191</v>
      </c>
      <c r="I196" s="36" t="str">
        <f t="shared" si="14"/>
        <v/>
      </c>
      <c r="J196" s="35">
        <f t="shared" si="19"/>
        <v>-7</v>
      </c>
      <c r="K196" s="35">
        <f t="shared" si="15"/>
        <v>-70</v>
      </c>
      <c r="L196" s="35"/>
      <c r="M196" s="37">
        <f t="shared" si="16"/>
        <v>0</v>
      </c>
      <c r="N196" s="37">
        <f t="shared" si="17"/>
        <v>0</v>
      </c>
    </row>
    <row r="197" spans="1:14" x14ac:dyDescent="0.25">
      <c r="A197" s="56">
        <f t="shared" si="18"/>
        <v>0</v>
      </c>
      <c r="G197" s="13"/>
      <c r="H197" s="35">
        <v>192</v>
      </c>
      <c r="I197" s="36" t="str">
        <f t="shared" si="14"/>
        <v/>
      </c>
      <c r="J197" s="35">
        <f t="shared" si="19"/>
        <v>-7</v>
      </c>
      <c r="K197" s="35">
        <f t="shared" si="15"/>
        <v>-70</v>
      </c>
      <c r="L197" s="35"/>
      <c r="M197" s="37">
        <f t="shared" si="16"/>
        <v>0</v>
      </c>
      <c r="N197" s="37">
        <f t="shared" si="17"/>
        <v>0</v>
      </c>
    </row>
    <row r="198" spans="1:14" x14ac:dyDescent="0.25">
      <c r="A198" s="56">
        <f t="shared" si="18"/>
        <v>0</v>
      </c>
      <c r="G198" s="13"/>
      <c r="H198" s="35">
        <v>193</v>
      </c>
      <c r="I198" s="36" t="str">
        <f t="shared" ref="I198:I261" si="20">IF(H198&lt;$H$2+1,($I$2-($I$2-1)*(LOG(H198)/LOG($H$2))),"")</f>
        <v/>
      </c>
      <c r="J198" s="35">
        <f t="shared" si="19"/>
        <v>-7</v>
      </c>
      <c r="K198" s="35">
        <f t="shared" ref="K198:K261" si="21">J198*$J$2</f>
        <v>-70</v>
      </c>
      <c r="L198" s="35"/>
      <c r="M198" s="37">
        <f t="shared" ref="M198:M261" si="22">IF(I198&lt;&gt;"",K198+I198+L198,0)</f>
        <v>0</v>
      </c>
      <c r="N198" s="37">
        <f t="shared" ref="N198:N261" si="23">IF(I198&lt;&gt;"",M198*L$2,0)</f>
        <v>0</v>
      </c>
    </row>
    <row r="199" spans="1:14" x14ac:dyDescent="0.25">
      <c r="A199" s="56">
        <f t="shared" ref="A199:A262" si="24">N199</f>
        <v>0</v>
      </c>
      <c r="G199" s="13"/>
      <c r="H199" s="35">
        <v>194</v>
      </c>
      <c r="I199" s="36" t="str">
        <f t="shared" si="20"/>
        <v/>
      </c>
      <c r="J199" s="35">
        <f t="shared" ref="J199:J262" si="25">INT(LOG($H$2,2))-ROUNDUP(LOG(H199,2),0)+IF(OR($H$2=1,$H$2=2,$H$2=4,$H$2=8,$H$2=16,$H$2=32,$H$2=64,$H$2=128,$H$2=256),0,1)</f>
        <v>-7</v>
      </c>
      <c r="K199" s="35">
        <f t="shared" si="21"/>
        <v>-70</v>
      </c>
      <c r="L199" s="35"/>
      <c r="M199" s="37">
        <f t="shared" si="22"/>
        <v>0</v>
      </c>
      <c r="N199" s="37">
        <f t="shared" si="23"/>
        <v>0</v>
      </c>
    </row>
    <row r="200" spans="1:14" x14ac:dyDescent="0.25">
      <c r="A200" s="56">
        <f t="shared" si="24"/>
        <v>0</v>
      </c>
      <c r="G200" s="13"/>
      <c r="H200" s="35">
        <v>195</v>
      </c>
      <c r="I200" s="36" t="str">
        <f t="shared" si="20"/>
        <v/>
      </c>
      <c r="J200" s="35">
        <f t="shared" si="25"/>
        <v>-7</v>
      </c>
      <c r="K200" s="35">
        <f t="shared" si="21"/>
        <v>-70</v>
      </c>
      <c r="L200" s="35"/>
      <c r="M200" s="37">
        <f t="shared" si="22"/>
        <v>0</v>
      </c>
      <c r="N200" s="37">
        <f t="shared" si="23"/>
        <v>0</v>
      </c>
    </row>
    <row r="201" spans="1:14" x14ac:dyDescent="0.25">
      <c r="A201" s="56">
        <f t="shared" si="24"/>
        <v>0</v>
      </c>
      <c r="G201" s="13"/>
      <c r="H201" s="35">
        <v>196</v>
      </c>
      <c r="I201" s="36" t="str">
        <f t="shared" si="20"/>
        <v/>
      </c>
      <c r="J201" s="35">
        <f t="shared" si="25"/>
        <v>-7</v>
      </c>
      <c r="K201" s="35">
        <f t="shared" si="21"/>
        <v>-70</v>
      </c>
      <c r="L201" s="35"/>
      <c r="M201" s="37">
        <f t="shared" si="22"/>
        <v>0</v>
      </c>
      <c r="N201" s="37">
        <f t="shared" si="23"/>
        <v>0</v>
      </c>
    </row>
    <row r="202" spans="1:14" x14ac:dyDescent="0.25">
      <c r="A202" s="56">
        <f t="shared" si="24"/>
        <v>0</v>
      </c>
      <c r="G202" s="13"/>
      <c r="H202" s="35">
        <v>197</v>
      </c>
      <c r="I202" s="36" t="str">
        <f t="shared" si="20"/>
        <v/>
      </c>
      <c r="J202" s="35">
        <f t="shared" si="25"/>
        <v>-7</v>
      </c>
      <c r="K202" s="35">
        <f t="shared" si="21"/>
        <v>-70</v>
      </c>
      <c r="L202" s="35"/>
      <c r="M202" s="37">
        <f t="shared" si="22"/>
        <v>0</v>
      </c>
      <c r="N202" s="37">
        <f t="shared" si="23"/>
        <v>0</v>
      </c>
    </row>
    <row r="203" spans="1:14" x14ac:dyDescent="0.25">
      <c r="A203" s="56">
        <f t="shared" si="24"/>
        <v>0</v>
      </c>
      <c r="G203" s="13"/>
      <c r="H203" s="35">
        <v>198</v>
      </c>
      <c r="I203" s="36" t="str">
        <f t="shared" si="20"/>
        <v/>
      </c>
      <c r="J203" s="35">
        <f t="shared" si="25"/>
        <v>-7</v>
      </c>
      <c r="K203" s="35">
        <f t="shared" si="21"/>
        <v>-70</v>
      </c>
      <c r="L203" s="35"/>
      <c r="M203" s="37">
        <f t="shared" si="22"/>
        <v>0</v>
      </c>
      <c r="N203" s="37">
        <f t="shared" si="23"/>
        <v>0</v>
      </c>
    </row>
    <row r="204" spans="1:14" x14ac:dyDescent="0.25">
      <c r="A204" s="56">
        <f t="shared" si="24"/>
        <v>0</v>
      </c>
      <c r="G204" s="13"/>
      <c r="H204" s="35">
        <v>199</v>
      </c>
      <c r="I204" s="36" t="str">
        <f t="shared" si="20"/>
        <v/>
      </c>
      <c r="J204" s="35">
        <f t="shared" si="25"/>
        <v>-7</v>
      </c>
      <c r="K204" s="35">
        <f t="shared" si="21"/>
        <v>-70</v>
      </c>
      <c r="L204" s="35"/>
      <c r="M204" s="37">
        <f t="shared" si="22"/>
        <v>0</v>
      </c>
      <c r="N204" s="37">
        <f t="shared" si="23"/>
        <v>0</v>
      </c>
    </row>
    <row r="205" spans="1:14" x14ac:dyDescent="0.25">
      <c r="A205" s="56">
        <f t="shared" si="24"/>
        <v>0</v>
      </c>
      <c r="G205" s="13"/>
      <c r="H205" s="35">
        <v>200</v>
      </c>
      <c r="I205" s="36" t="str">
        <f t="shared" si="20"/>
        <v/>
      </c>
      <c r="J205" s="35">
        <f t="shared" si="25"/>
        <v>-7</v>
      </c>
      <c r="K205" s="35">
        <f t="shared" si="21"/>
        <v>-70</v>
      </c>
      <c r="L205" s="35"/>
      <c r="M205" s="37">
        <f t="shared" si="22"/>
        <v>0</v>
      </c>
      <c r="N205" s="37">
        <f t="shared" si="23"/>
        <v>0</v>
      </c>
    </row>
    <row r="206" spans="1:14" x14ac:dyDescent="0.25">
      <c r="A206" s="56">
        <f t="shared" si="24"/>
        <v>0</v>
      </c>
      <c r="G206" s="13"/>
      <c r="H206" s="35">
        <v>201</v>
      </c>
      <c r="I206" s="36" t="str">
        <f t="shared" si="20"/>
        <v/>
      </c>
      <c r="J206" s="35">
        <f t="shared" si="25"/>
        <v>-7</v>
      </c>
      <c r="K206" s="35">
        <f t="shared" si="21"/>
        <v>-70</v>
      </c>
      <c r="L206" s="35"/>
      <c r="M206" s="37">
        <f t="shared" si="22"/>
        <v>0</v>
      </c>
      <c r="N206" s="37">
        <f t="shared" si="23"/>
        <v>0</v>
      </c>
    </row>
    <row r="207" spans="1:14" x14ac:dyDescent="0.25">
      <c r="A207" s="56">
        <f t="shared" si="24"/>
        <v>0</v>
      </c>
      <c r="G207" s="13"/>
      <c r="H207" s="35">
        <v>202</v>
      </c>
      <c r="I207" s="36" t="str">
        <f t="shared" si="20"/>
        <v/>
      </c>
      <c r="J207" s="35">
        <f t="shared" si="25"/>
        <v>-7</v>
      </c>
      <c r="K207" s="35">
        <f t="shared" si="21"/>
        <v>-70</v>
      </c>
      <c r="L207" s="35"/>
      <c r="M207" s="37">
        <f t="shared" si="22"/>
        <v>0</v>
      </c>
      <c r="N207" s="37">
        <f t="shared" si="23"/>
        <v>0</v>
      </c>
    </row>
    <row r="208" spans="1:14" x14ac:dyDescent="0.25">
      <c r="A208" s="56">
        <f t="shared" si="24"/>
        <v>0</v>
      </c>
      <c r="G208" s="13"/>
      <c r="H208" s="35">
        <v>203</v>
      </c>
      <c r="I208" s="36" t="str">
        <f t="shared" si="20"/>
        <v/>
      </c>
      <c r="J208" s="35">
        <f t="shared" si="25"/>
        <v>-7</v>
      </c>
      <c r="K208" s="35">
        <f t="shared" si="21"/>
        <v>-70</v>
      </c>
      <c r="L208" s="35"/>
      <c r="M208" s="37">
        <f t="shared" si="22"/>
        <v>0</v>
      </c>
      <c r="N208" s="37">
        <f t="shared" si="23"/>
        <v>0</v>
      </c>
    </row>
    <row r="209" spans="1:14" x14ac:dyDescent="0.25">
      <c r="A209" s="56">
        <f t="shared" si="24"/>
        <v>0</v>
      </c>
      <c r="G209" s="13"/>
      <c r="H209" s="35">
        <v>204</v>
      </c>
      <c r="I209" s="36" t="str">
        <f t="shared" si="20"/>
        <v/>
      </c>
      <c r="J209" s="35">
        <f t="shared" si="25"/>
        <v>-7</v>
      </c>
      <c r="K209" s="35">
        <f t="shared" si="21"/>
        <v>-70</v>
      </c>
      <c r="L209" s="35"/>
      <c r="M209" s="37">
        <f t="shared" si="22"/>
        <v>0</v>
      </c>
      <c r="N209" s="37">
        <f t="shared" si="23"/>
        <v>0</v>
      </c>
    </row>
    <row r="210" spans="1:14" x14ac:dyDescent="0.25">
      <c r="A210" s="56">
        <f t="shared" si="24"/>
        <v>0</v>
      </c>
      <c r="G210" s="13"/>
      <c r="H210" s="35">
        <v>205</v>
      </c>
      <c r="I210" s="36" t="str">
        <f t="shared" si="20"/>
        <v/>
      </c>
      <c r="J210" s="35">
        <f t="shared" si="25"/>
        <v>-7</v>
      </c>
      <c r="K210" s="35">
        <f t="shared" si="21"/>
        <v>-70</v>
      </c>
      <c r="L210" s="35"/>
      <c r="M210" s="37">
        <f t="shared" si="22"/>
        <v>0</v>
      </c>
      <c r="N210" s="37">
        <f t="shared" si="23"/>
        <v>0</v>
      </c>
    </row>
    <row r="211" spans="1:14" x14ac:dyDescent="0.25">
      <c r="A211" s="56">
        <f t="shared" si="24"/>
        <v>0</v>
      </c>
      <c r="G211" s="13"/>
      <c r="H211" s="35">
        <v>206</v>
      </c>
      <c r="I211" s="36" t="str">
        <f t="shared" si="20"/>
        <v/>
      </c>
      <c r="J211" s="35">
        <f t="shared" si="25"/>
        <v>-7</v>
      </c>
      <c r="K211" s="35">
        <f t="shared" si="21"/>
        <v>-70</v>
      </c>
      <c r="L211" s="35"/>
      <c r="M211" s="37">
        <f t="shared" si="22"/>
        <v>0</v>
      </c>
      <c r="N211" s="37">
        <f t="shared" si="23"/>
        <v>0</v>
      </c>
    </row>
    <row r="212" spans="1:14" x14ac:dyDescent="0.25">
      <c r="A212" s="56">
        <f t="shared" si="24"/>
        <v>0</v>
      </c>
      <c r="G212" s="13"/>
      <c r="H212" s="35">
        <v>207</v>
      </c>
      <c r="I212" s="36" t="str">
        <f t="shared" si="20"/>
        <v/>
      </c>
      <c r="J212" s="35">
        <f t="shared" si="25"/>
        <v>-7</v>
      </c>
      <c r="K212" s="35">
        <f t="shared" si="21"/>
        <v>-70</v>
      </c>
      <c r="L212" s="35"/>
      <c r="M212" s="37">
        <f t="shared" si="22"/>
        <v>0</v>
      </c>
      <c r="N212" s="37">
        <f t="shared" si="23"/>
        <v>0</v>
      </c>
    </row>
    <row r="213" spans="1:14" x14ac:dyDescent="0.25">
      <c r="A213" s="56">
        <f t="shared" si="24"/>
        <v>0</v>
      </c>
      <c r="G213" s="13"/>
      <c r="H213" s="35">
        <v>208</v>
      </c>
      <c r="I213" s="36" t="str">
        <f t="shared" si="20"/>
        <v/>
      </c>
      <c r="J213" s="35">
        <f t="shared" si="25"/>
        <v>-7</v>
      </c>
      <c r="K213" s="35">
        <f t="shared" si="21"/>
        <v>-70</v>
      </c>
      <c r="L213" s="35"/>
      <c r="M213" s="37">
        <f t="shared" si="22"/>
        <v>0</v>
      </c>
      <c r="N213" s="37">
        <f t="shared" si="23"/>
        <v>0</v>
      </c>
    </row>
    <row r="214" spans="1:14" x14ac:dyDescent="0.25">
      <c r="A214" s="56">
        <f t="shared" si="24"/>
        <v>0</v>
      </c>
      <c r="G214" s="13"/>
      <c r="H214" s="35">
        <v>209</v>
      </c>
      <c r="I214" s="36" t="str">
        <f t="shared" si="20"/>
        <v/>
      </c>
      <c r="J214" s="35">
        <f t="shared" si="25"/>
        <v>-7</v>
      </c>
      <c r="K214" s="35">
        <f t="shared" si="21"/>
        <v>-70</v>
      </c>
      <c r="L214" s="35"/>
      <c r="M214" s="37">
        <f t="shared" si="22"/>
        <v>0</v>
      </c>
      <c r="N214" s="37">
        <f t="shared" si="23"/>
        <v>0</v>
      </c>
    </row>
    <row r="215" spans="1:14" x14ac:dyDescent="0.25">
      <c r="A215" s="56">
        <f t="shared" si="24"/>
        <v>0</v>
      </c>
      <c r="G215" s="13"/>
      <c r="H215" s="35">
        <v>210</v>
      </c>
      <c r="I215" s="36" t="str">
        <f t="shared" si="20"/>
        <v/>
      </c>
      <c r="J215" s="35">
        <f t="shared" si="25"/>
        <v>-7</v>
      </c>
      <c r="K215" s="35">
        <f t="shared" si="21"/>
        <v>-70</v>
      </c>
      <c r="L215" s="35"/>
      <c r="M215" s="37">
        <f t="shared" si="22"/>
        <v>0</v>
      </c>
      <c r="N215" s="37">
        <f t="shared" si="23"/>
        <v>0</v>
      </c>
    </row>
    <row r="216" spans="1:14" x14ac:dyDescent="0.25">
      <c r="A216" s="56">
        <f t="shared" si="24"/>
        <v>0</v>
      </c>
      <c r="G216" s="13"/>
      <c r="H216" s="35">
        <v>211</v>
      </c>
      <c r="I216" s="36" t="str">
        <f t="shared" si="20"/>
        <v/>
      </c>
      <c r="J216" s="35">
        <f t="shared" si="25"/>
        <v>-7</v>
      </c>
      <c r="K216" s="35">
        <f t="shared" si="21"/>
        <v>-70</v>
      </c>
      <c r="L216" s="35"/>
      <c r="M216" s="37">
        <f t="shared" si="22"/>
        <v>0</v>
      </c>
      <c r="N216" s="37">
        <f t="shared" si="23"/>
        <v>0</v>
      </c>
    </row>
    <row r="217" spans="1:14" x14ac:dyDescent="0.25">
      <c r="A217" s="56">
        <f t="shared" si="24"/>
        <v>0</v>
      </c>
      <c r="G217" s="13"/>
      <c r="H217" s="35">
        <v>212</v>
      </c>
      <c r="I217" s="36" t="str">
        <f t="shared" si="20"/>
        <v/>
      </c>
      <c r="J217" s="35">
        <f t="shared" si="25"/>
        <v>-7</v>
      </c>
      <c r="K217" s="35">
        <f t="shared" si="21"/>
        <v>-70</v>
      </c>
      <c r="L217" s="35"/>
      <c r="M217" s="37">
        <f t="shared" si="22"/>
        <v>0</v>
      </c>
      <c r="N217" s="37">
        <f t="shared" si="23"/>
        <v>0</v>
      </c>
    </row>
    <row r="218" spans="1:14" x14ac:dyDescent="0.25">
      <c r="A218" s="56">
        <f t="shared" si="24"/>
        <v>0</v>
      </c>
      <c r="G218" s="13"/>
      <c r="H218" s="35">
        <v>213</v>
      </c>
      <c r="I218" s="36" t="str">
        <f t="shared" si="20"/>
        <v/>
      </c>
      <c r="J218" s="35">
        <f t="shared" si="25"/>
        <v>-7</v>
      </c>
      <c r="K218" s="35">
        <f t="shared" si="21"/>
        <v>-70</v>
      </c>
      <c r="L218" s="35"/>
      <c r="M218" s="37">
        <f t="shared" si="22"/>
        <v>0</v>
      </c>
      <c r="N218" s="37">
        <f t="shared" si="23"/>
        <v>0</v>
      </c>
    </row>
    <row r="219" spans="1:14" x14ac:dyDescent="0.25">
      <c r="A219" s="56">
        <f t="shared" si="24"/>
        <v>0</v>
      </c>
      <c r="G219" s="13"/>
      <c r="H219" s="35">
        <v>214</v>
      </c>
      <c r="I219" s="36" t="str">
        <f t="shared" si="20"/>
        <v/>
      </c>
      <c r="J219" s="35">
        <f t="shared" si="25"/>
        <v>-7</v>
      </c>
      <c r="K219" s="35">
        <f t="shared" si="21"/>
        <v>-70</v>
      </c>
      <c r="L219" s="35"/>
      <c r="M219" s="37">
        <f t="shared" si="22"/>
        <v>0</v>
      </c>
      <c r="N219" s="37">
        <f t="shared" si="23"/>
        <v>0</v>
      </c>
    </row>
    <row r="220" spans="1:14" x14ac:dyDescent="0.25">
      <c r="A220" s="56">
        <f t="shared" si="24"/>
        <v>0</v>
      </c>
      <c r="G220" s="13"/>
      <c r="H220" s="35">
        <v>215</v>
      </c>
      <c r="I220" s="36" t="str">
        <f t="shared" si="20"/>
        <v/>
      </c>
      <c r="J220" s="35">
        <f t="shared" si="25"/>
        <v>-7</v>
      </c>
      <c r="K220" s="35">
        <f t="shared" si="21"/>
        <v>-70</v>
      </c>
      <c r="L220" s="35"/>
      <c r="M220" s="37">
        <f t="shared" si="22"/>
        <v>0</v>
      </c>
      <c r="N220" s="37">
        <f t="shared" si="23"/>
        <v>0</v>
      </c>
    </row>
    <row r="221" spans="1:14" x14ac:dyDescent="0.25">
      <c r="A221" s="56">
        <f t="shared" si="24"/>
        <v>0</v>
      </c>
      <c r="G221" s="13"/>
      <c r="H221" s="35">
        <v>216</v>
      </c>
      <c r="I221" s="36" t="str">
        <f t="shared" si="20"/>
        <v/>
      </c>
      <c r="J221" s="35">
        <f t="shared" si="25"/>
        <v>-7</v>
      </c>
      <c r="K221" s="35">
        <f t="shared" si="21"/>
        <v>-70</v>
      </c>
      <c r="L221" s="35"/>
      <c r="M221" s="37">
        <f t="shared" si="22"/>
        <v>0</v>
      </c>
      <c r="N221" s="37">
        <f t="shared" si="23"/>
        <v>0</v>
      </c>
    </row>
    <row r="222" spans="1:14" x14ac:dyDescent="0.25">
      <c r="A222" s="56">
        <f t="shared" si="24"/>
        <v>0</v>
      </c>
      <c r="G222" s="13"/>
      <c r="H222" s="35">
        <v>217</v>
      </c>
      <c r="I222" s="36" t="str">
        <f t="shared" si="20"/>
        <v/>
      </c>
      <c r="J222" s="35">
        <f t="shared" si="25"/>
        <v>-7</v>
      </c>
      <c r="K222" s="35">
        <f t="shared" si="21"/>
        <v>-70</v>
      </c>
      <c r="L222" s="35"/>
      <c r="M222" s="37">
        <f t="shared" si="22"/>
        <v>0</v>
      </c>
      <c r="N222" s="37">
        <f t="shared" si="23"/>
        <v>0</v>
      </c>
    </row>
    <row r="223" spans="1:14" x14ac:dyDescent="0.25">
      <c r="A223" s="56">
        <f t="shared" si="24"/>
        <v>0</v>
      </c>
      <c r="G223" s="13"/>
      <c r="H223" s="35">
        <v>218</v>
      </c>
      <c r="I223" s="36" t="str">
        <f t="shared" si="20"/>
        <v/>
      </c>
      <c r="J223" s="35">
        <f t="shared" si="25"/>
        <v>-7</v>
      </c>
      <c r="K223" s="35">
        <f t="shared" si="21"/>
        <v>-70</v>
      </c>
      <c r="L223" s="35"/>
      <c r="M223" s="37">
        <f t="shared" si="22"/>
        <v>0</v>
      </c>
      <c r="N223" s="37">
        <f t="shared" si="23"/>
        <v>0</v>
      </c>
    </row>
    <row r="224" spans="1:14" x14ac:dyDescent="0.25">
      <c r="A224" s="56">
        <f t="shared" si="24"/>
        <v>0</v>
      </c>
      <c r="G224" s="13"/>
      <c r="H224" s="35">
        <v>219</v>
      </c>
      <c r="I224" s="36" t="str">
        <f t="shared" si="20"/>
        <v/>
      </c>
      <c r="J224" s="35">
        <f t="shared" si="25"/>
        <v>-7</v>
      </c>
      <c r="K224" s="35">
        <f t="shared" si="21"/>
        <v>-70</v>
      </c>
      <c r="L224" s="35"/>
      <c r="M224" s="37">
        <f t="shared" si="22"/>
        <v>0</v>
      </c>
      <c r="N224" s="37">
        <f t="shared" si="23"/>
        <v>0</v>
      </c>
    </row>
    <row r="225" spans="1:14" x14ac:dyDescent="0.25">
      <c r="A225" s="56">
        <f t="shared" si="24"/>
        <v>0</v>
      </c>
      <c r="G225" s="13"/>
      <c r="H225" s="35">
        <v>220</v>
      </c>
      <c r="I225" s="36" t="str">
        <f t="shared" si="20"/>
        <v/>
      </c>
      <c r="J225" s="35">
        <f t="shared" si="25"/>
        <v>-7</v>
      </c>
      <c r="K225" s="35">
        <f t="shared" si="21"/>
        <v>-70</v>
      </c>
      <c r="L225" s="35"/>
      <c r="M225" s="37">
        <f t="shared" si="22"/>
        <v>0</v>
      </c>
      <c r="N225" s="37">
        <f t="shared" si="23"/>
        <v>0</v>
      </c>
    </row>
    <row r="226" spans="1:14" x14ac:dyDescent="0.25">
      <c r="A226" s="56">
        <f t="shared" si="24"/>
        <v>0</v>
      </c>
      <c r="G226" s="13"/>
      <c r="H226" s="35">
        <v>221</v>
      </c>
      <c r="I226" s="36" t="str">
        <f t="shared" si="20"/>
        <v/>
      </c>
      <c r="J226" s="35">
        <f t="shared" si="25"/>
        <v>-7</v>
      </c>
      <c r="K226" s="35">
        <f t="shared" si="21"/>
        <v>-70</v>
      </c>
      <c r="L226" s="35"/>
      <c r="M226" s="37">
        <f t="shared" si="22"/>
        <v>0</v>
      </c>
      <c r="N226" s="37">
        <f t="shared" si="23"/>
        <v>0</v>
      </c>
    </row>
    <row r="227" spans="1:14" x14ac:dyDescent="0.25">
      <c r="A227" s="56">
        <f t="shared" si="24"/>
        <v>0</v>
      </c>
      <c r="G227" s="13"/>
      <c r="H227" s="35">
        <v>222</v>
      </c>
      <c r="I227" s="36" t="str">
        <f t="shared" si="20"/>
        <v/>
      </c>
      <c r="J227" s="35">
        <f t="shared" si="25"/>
        <v>-7</v>
      </c>
      <c r="K227" s="35">
        <f t="shared" si="21"/>
        <v>-70</v>
      </c>
      <c r="L227" s="35"/>
      <c r="M227" s="37">
        <f t="shared" si="22"/>
        <v>0</v>
      </c>
      <c r="N227" s="37">
        <f t="shared" si="23"/>
        <v>0</v>
      </c>
    </row>
    <row r="228" spans="1:14" x14ac:dyDescent="0.25">
      <c r="A228" s="56">
        <f t="shared" si="24"/>
        <v>0</v>
      </c>
      <c r="G228" s="13"/>
      <c r="H228" s="35">
        <v>223</v>
      </c>
      <c r="I228" s="36" t="str">
        <f t="shared" si="20"/>
        <v/>
      </c>
      <c r="J228" s="35">
        <f t="shared" si="25"/>
        <v>-7</v>
      </c>
      <c r="K228" s="35">
        <f t="shared" si="21"/>
        <v>-70</v>
      </c>
      <c r="L228" s="35"/>
      <c r="M228" s="37">
        <f t="shared" si="22"/>
        <v>0</v>
      </c>
      <c r="N228" s="37">
        <f t="shared" si="23"/>
        <v>0</v>
      </c>
    </row>
    <row r="229" spans="1:14" x14ac:dyDescent="0.25">
      <c r="A229" s="56">
        <f t="shared" si="24"/>
        <v>0</v>
      </c>
      <c r="G229" s="13"/>
      <c r="H229" s="35">
        <v>224</v>
      </c>
      <c r="I229" s="36" t="str">
        <f t="shared" si="20"/>
        <v/>
      </c>
      <c r="J229" s="35">
        <f t="shared" si="25"/>
        <v>-7</v>
      </c>
      <c r="K229" s="35">
        <f t="shared" si="21"/>
        <v>-70</v>
      </c>
      <c r="L229" s="35"/>
      <c r="M229" s="37">
        <f t="shared" si="22"/>
        <v>0</v>
      </c>
      <c r="N229" s="37">
        <f t="shared" si="23"/>
        <v>0</v>
      </c>
    </row>
    <row r="230" spans="1:14" x14ac:dyDescent="0.25">
      <c r="A230" s="56">
        <f t="shared" si="24"/>
        <v>0</v>
      </c>
      <c r="G230" s="13"/>
      <c r="H230" s="35">
        <v>225</v>
      </c>
      <c r="I230" s="36" t="str">
        <f t="shared" si="20"/>
        <v/>
      </c>
      <c r="J230" s="35">
        <f t="shared" si="25"/>
        <v>-7</v>
      </c>
      <c r="K230" s="35">
        <f t="shared" si="21"/>
        <v>-70</v>
      </c>
      <c r="L230" s="35"/>
      <c r="M230" s="37">
        <f t="shared" si="22"/>
        <v>0</v>
      </c>
      <c r="N230" s="37">
        <f t="shared" si="23"/>
        <v>0</v>
      </c>
    </row>
    <row r="231" spans="1:14" x14ac:dyDescent="0.25">
      <c r="A231" s="56">
        <f t="shared" si="24"/>
        <v>0</v>
      </c>
      <c r="G231" s="13"/>
      <c r="H231" s="35">
        <v>226</v>
      </c>
      <c r="I231" s="36" t="str">
        <f t="shared" si="20"/>
        <v/>
      </c>
      <c r="J231" s="35">
        <f t="shared" si="25"/>
        <v>-7</v>
      </c>
      <c r="K231" s="35">
        <f t="shared" si="21"/>
        <v>-70</v>
      </c>
      <c r="L231" s="35"/>
      <c r="M231" s="37">
        <f t="shared" si="22"/>
        <v>0</v>
      </c>
      <c r="N231" s="37">
        <f t="shared" si="23"/>
        <v>0</v>
      </c>
    </row>
    <row r="232" spans="1:14" x14ac:dyDescent="0.25">
      <c r="A232" s="56">
        <f t="shared" si="24"/>
        <v>0</v>
      </c>
      <c r="G232" s="13"/>
      <c r="H232" s="35">
        <v>227</v>
      </c>
      <c r="I232" s="36" t="str">
        <f t="shared" si="20"/>
        <v/>
      </c>
      <c r="J232" s="35">
        <f t="shared" si="25"/>
        <v>-7</v>
      </c>
      <c r="K232" s="35">
        <f t="shared" si="21"/>
        <v>-70</v>
      </c>
      <c r="L232" s="35"/>
      <c r="M232" s="37">
        <f t="shared" si="22"/>
        <v>0</v>
      </c>
      <c r="N232" s="37">
        <f t="shared" si="23"/>
        <v>0</v>
      </c>
    </row>
    <row r="233" spans="1:14" x14ac:dyDescent="0.25">
      <c r="A233" s="56">
        <f t="shared" si="24"/>
        <v>0</v>
      </c>
      <c r="G233" s="13"/>
      <c r="H233" s="35">
        <v>228</v>
      </c>
      <c r="I233" s="36" t="str">
        <f t="shared" si="20"/>
        <v/>
      </c>
      <c r="J233" s="35">
        <f t="shared" si="25"/>
        <v>-7</v>
      </c>
      <c r="K233" s="35">
        <f t="shared" si="21"/>
        <v>-70</v>
      </c>
      <c r="L233" s="35"/>
      <c r="M233" s="37">
        <f t="shared" si="22"/>
        <v>0</v>
      </c>
      <c r="N233" s="37">
        <f t="shared" si="23"/>
        <v>0</v>
      </c>
    </row>
    <row r="234" spans="1:14" x14ac:dyDescent="0.25">
      <c r="A234" s="56">
        <f t="shared" si="24"/>
        <v>0</v>
      </c>
      <c r="G234" s="13"/>
      <c r="H234" s="35">
        <v>229</v>
      </c>
      <c r="I234" s="36" t="str">
        <f t="shared" si="20"/>
        <v/>
      </c>
      <c r="J234" s="35">
        <f t="shared" si="25"/>
        <v>-7</v>
      </c>
      <c r="K234" s="35">
        <f t="shared" si="21"/>
        <v>-70</v>
      </c>
      <c r="L234" s="35"/>
      <c r="M234" s="37">
        <f t="shared" si="22"/>
        <v>0</v>
      </c>
      <c r="N234" s="37">
        <f t="shared" si="23"/>
        <v>0</v>
      </c>
    </row>
    <row r="235" spans="1:14" x14ac:dyDescent="0.25">
      <c r="A235" s="56">
        <f t="shared" si="24"/>
        <v>0</v>
      </c>
      <c r="G235" s="13"/>
      <c r="H235" s="35">
        <v>230</v>
      </c>
      <c r="I235" s="36" t="str">
        <f t="shared" si="20"/>
        <v/>
      </c>
      <c r="J235" s="35">
        <f t="shared" si="25"/>
        <v>-7</v>
      </c>
      <c r="K235" s="35">
        <f t="shared" si="21"/>
        <v>-70</v>
      </c>
      <c r="L235" s="35"/>
      <c r="M235" s="37">
        <f t="shared" si="22"/>
        <v>0</v>
      </c>
      <c r="N235" s="37">
        <f t="shared" si="23"/>
        <v>0</v>
      </c>
    </row>
    <row r="236" spans="1:14" x14ac:dyDescent="0.25">
      <c r="A236" s="56">
        <f t="shared" si="24"/>
        <v>0</v>
      </c>
      <c r="G236" s="13"/>
      <c r="H236" s="35">
        <v>231</v>
      </c>
      <c r="I236" s="36" t="str">
        <f t="shared" si="20"/>
        <v/>
      </c>
      <c r="J236" s="35">
        <f t="shared" si="25"/>
        <v>-7</v>
      </c>
      <c r="K236" s="35">
        <f t="shared" si="21"/>
        <v>-70</v>
      </c>
      <c r="L236" s="35"/>
      <c r="M236" s="37">
        <f t="shared" si="22"/>
        <v>0</v>
      </c>
      <c r="N236" s="37">
        <f t="shared" si="23"/>
        <v>0</v>
      </c>
    </row>
    <row r="237" spans="1:14" x14ac:dyDescent="0.25">
      <c r="A237" s="56">
        <f t="shared" si="24"/>
        <v>0</v>
      </c>
      <c r="G237" s="13"/>
      <c r="H237" s="35">
        <v>232</v>
      </c>
      <c r="I237" s="36" t="str">
        <f t="shared" si="20"/>
        <v/>
      </c>
      <c r="J237" s="35">
        <f t="shared" si="25"/>
        <v>-7</v>
      </c>
      <c r="K237" s="35">
        <f t="shared" si="21"/>
        <v>-70</v>
      </c>
      <c r="L237" s="35"/>
      <c r="M237" s="37">
        <f t="shared" si="22"/>
        <v>0</v>
      </c>
      <c r="N237" s="37">
        <f t="shared" si="23"/>
        <v>0</v>
      </c>
    </row>
    <row r="238" spans="1:14" x14ac:dyDescent="0.25">
      <c r="A238" s="56">
        <f t="shared" si="24"/>
        <v>0</v>
      </c>
      <c r="G238" s="13"/>
      <c r="H238" s="35">
        <v>233</v>
      </c>
      <c r="I238" s="36" t="str">
        <f t="shared" si="20"/>
        <v/>
      </c>
      <c r="J238" s="35">
        <f t="shared" si="25"/>
        <v>-7</v>
      </c>
      <c r="K238" s="35">
        <f t="shared" si="21"/>
        <v>-70</v>
      </c>
      <c r="L238" s="35"/>
      <c r="M238" s="37">
        <f t="shared" si="22"/>
        <v>0</v>
      </c>
      <c r="N238" s="37">
        <f t="shared" si="23"/>
        <v>0</v>
      </c>
    </row>
    <row r="239" spans="1:14" x14ac:dyDescent="0.25">
      <c r="A239" s="56">
        <f t="shared" si="24"/>
        <v>0</v>
      </c>
      <c r="G239" s="13"/>
      <c r="H239" s="35">
        <v>234</v>
      </c>
      <c r="I239" s="36" t="str">
        <f t="shared" si="20"/>
        <v/>
      </c>
      <c r="J239" s="35">
        <f t="shared" si="25"/>
        <v>-7</v>
      </c>
      <c r="K239" s="35">
        <f t="shared" si="21"/>
        <v>-70</v>
      </c>
      <c r="L239" s="35"/>
      <c r="M239" s="37">
        <f t="shared" si="22"/>
        <v>0</v>
      </c>
      <c r="N239" s="37">
        <f t="shared" si="23"/>
        <v>0</v>
      </c>
    </row>
    <row r="240" spans="1:14" x14ac:dyDescent="0.25">
      <c r="A240" s="56">
        <f t="shared" si="24"/>
        <v>0</v>
      </c>
      <c r="G240" s="13"/>
      <c r="H240" s="35">
        <v>235</v>
      </c>
      <c r="I240" s="36" t="str">
        <f t="shared" si="20"/>
        <v/>
      </c>
      <c r="J240" s="35">
        <f t="shared" si="25"/>
        <v>-7</v>
      </c>
      <c r="K240" s="35">
        <f t="shared" si="21"/>
        <v>-70</v>
      </c>
      <c r="L240" s="35"/>
      <c r="M240" s="37">
        <f t="shared" si="22"/>
        <v>0</v>
      </c>
      <c r="N240" s="37">
        <f t="shared" si="23"/>
        <v>0</v>
      </c>
    </row>
    <row r="241" spans="1:14" x14ac:dyDescent="0.25">
      <c r="A241" s="56">
        <f t="shared" si="24"/>
        <v>0</v>
      </c>
      <c r="G241" s="13"/>
      <c r="H241" s="35">
        <v>236</v>
      </c>
      <c r="I241" s="36" t="str">
        <f t="shared" si="20"/>
        <v/>
      </c>
      <c r="J241" s="35">
        <f t="shared" si="25"/>
        <v>-7</v>
      </c>
      <c r="K241" s="35">
        <f t="shared" si="21"/>
        <v>-70</v>
      </c>
      <c r="L241" s="35"/>
      <c r="M241" s="37">
        <f t="shared" si="22"/>
        <v>0</v>
      </c>
      <c r="N241" s="37">
        <f t="shared" si="23"/>
        <v>0</v>
      </c>
    </row>
    <row r="242" spans="1:14" x14ac:dyDescent="0.25">
      <c r="A242" s="56">
        <f t="shared" si="24"/>
        <v>0</v>
      </c>
      <c r="G242" s="13"/>
      <c r="H242" s="35">
        <v>237</v>
      </c>
      <c r="I242" s="36" t="str">
        <f t="shared" si="20"/>
        <v/>
      </c>
      <c r="J242" s="35">
        <f t="shared" si="25"/>
        <v>-7</v>
      </c>
      <c r="K242" s="35">
        <f t="shared" si="21"/>
        <v>-70</v>
      </c>
      <c r="L242" s="35"/>
      <c r="M242" s="37">
        <f t="shared" si="22"/>
        <v>0</v>
      </c>
      <c r="N242" s="37">
        <f t="shared" si="23"/>
        <v>0</v>
      </c>
    </row>
    <row r="243" spans="1:14" x14ac:dyDescent="0.25">
      <c r="A243" s="56">
        <f t="shared" si="24"/>
        <v>0</v>
      </c>
      <c r="G243" s="13"/>
      <c r="H243" s="35">
        <v>238</v>
      </c>
      <c r="I243" s="36" t="str">
        <f t="shared" si="20"/>
        <v/>
      </c>
      <c r="J243" s="35">
        <f t="shared" si="25"/>
        <v>-7</v>
      </c>
      <c r="K243" s="35">
        <f t="shared" si="21"/>
        <v>-70</v>
      </c>
      <c r="L243" s="35"/>
      <c r="M243" s="37">
        <f t="shared" si="22"/>
        <v>0</v>
      </c>
      <c r="N243" s="37">
        <f t="shared" si="23"/>
        <v>0</v>
      </c>
    </row>
    <row r="244" spans="1:14" x14ac:dyDescent="0.25">
      <c r="A244" s="56">
        <f t="shared" si="24"/>
        <v>0</v>
      </c>
      <c r="G244" s="13"/>
      <c r="H244" s="35">
        <v>239</v>
      </c>
      <c r="I244" s="36" t="str">
        <f t="shared" si="20"/>
        <v/>
      </c>
      <c r="J244" s="35">
        <f t="shared" si="25"/>
        <v>-7</v>
      </c>
      <c r="K244" s="35">
        <f t="shared" si="21"/>
        <v>-70</v>
      </c>
      <c r="L244" s="35"/>
      <c r="M244" s="37">
        <f t="shared" si="22"/>
        <v>0</v>
      </c>
      <c r="N244" s="37">
        <f t="shared" si="23"/>
        <v>0</v>
      </c>
    </row>
    <row r="245" spans="1:14" x14ac:dyDescent="0.25">
      <c r="A245" s="56">
        <f t="shared" si="24"/>
        <v>0</v>
      </c>
      <c r="G245" s="13"/>
      <c r="H245" s="35">
        <v>240</v>
      </c>
      <c r="I245" s="36" t="str">
        <f t="shared" si="20"/>
        <v/>
      </c>
      <c r="J245" s="35">
        <f t="shared" si="25"/>
        <v>-7</v>
      </c>
      <c r="K245" s="35">
        <f t="shared" si="21"/>
        <v>-70</v>
      </c>
      <c r="L245" s="35"/>
      <c r="M245" s="37">
        <f t="shared" si="22"/>
        <v>0</v>
      </c>
      <c r="N245" s="37">
        <f t="shared" si="23"/>
        <v>0</v>
      </c>
    </row>
    <row r="246" spans="1:14" x14ac:dyDescent="0.25">
      <c r="A246" s="56">
        <f t="shared" si="24"/>
        <v>0</v>
      </c>
      <c r="G246" s="13"/>
      <c r="H246" s="35">
        <v>241</v>
      </c>
      <c r="I246" s="36" t="str">
        <f t="shared" si="20"/>
        <v/>
      </c>
      <c r="J246" s="35">
        <f t="shared" si="25"/>
        <v>-7</v>
      </c>
      <c r="K246" s="35">
        <f t="shared" si="21"/>
        <v>-70</v>
      </c>
      <c r="L246" s="35"/>
      <c r="M246" s="37">
        <f t="shared" si="22"/>
        <v>0</v>
      </c>
      <c r="N246" s="37">
        <f t="shared" si="23"/>
        <v>0</v>
      </c>
    </row>
    <row r="247" spans="1:14" x14ac:dyDescent="0.25">
      <c r="A247" s="56">
        <f t="shared" si="24"/>
        <v>0</v>
      </c>
      <c r="G247" s="13"/>
      <c r="H247" s="35">
        <v>242</v>
      </c>
      <c r="I247" s="36" t="str">
        <f t="shared" si="20"/>
        <v/>
      </c>
      <c r="J247" s="35">
        <f t="shared" si="25"/>
        <v>-7</v>
      </c>
      <c r="K247" s="35">
        <f t="shared" si="21"/>
        <v>-70</v>
      </c>
      <c r="L247" s="35"/>
      <c r="M247" s="37">
        <f t="shared" si="22"/>
        <v>0</v>
      </c>
      <c r="N247" s="37">
        <f t="shared" si="23"/>
        <v>0</v>
      </c>
    </row>
    <row r="248" spans="1:14" x14ac:dyDescent="0.25">
      <c r="A248" s="56">
        <f t="shared" si="24"/>
        <v>0</v>
      </c>
      <c r="G248" s="13"/>
      <c r="H248" s="35">
        <v>243</v>
      </c>
      <c r="I248" s="36" t="str">
        <f t="shared" si="20"/>
        <v/>
      </c>
      <c r="J248" s="35">
        <f t="shared" si="25"/>
        <v>-7</v>
      </c>
      <c r="K248" s="35">
        <f t="shared" si="21"/>
        <v>-70</v>
      </c>
      <c r="L248" s="35"/>
      <c r="M248" s="37">
        <f t="shared" si="22"/>
        <v>0</v>
      </c>
      <c r="N248" s="37">
        <f t="shared" si="23"/>
        <v>0</v>
      </c>
    </row>
    <row r="249" spans="1:14" x14ac:dyDescent="0.25">
      <c r="A249" s="56">
        <f t="shared" si="24"/>
        <v>0</v>
      </c>
      <c r="G249" s="13"/>
      <c r="H249" s="35">
        <v>244</v>
      </c>
      <c r="I249" s="36" t="str">
        <f t="shared" si="20"/>
        <v/>
      </c>
      <c r="J249" s="35">
        <f t="shared" si="25"/>
        <v>-7</v>
      </c>
      <c r="K249" s="35">
        <f t="shared" si="21"/>
        <v>-70</v>
      </c>
      <c r="L249" s="35"/>
      <c r="M249" s="37">
        <f t="shared" si="22"/>
        <v>0</v>
      </c>
      <c r="N249" s="37">
        <f t="shared" si="23"/>
        <v>0</v>
      </c>
    </row>
    <row r="250" spans="1:14" x14ac:dyDescent="0.25">
      <c r="A250" s="56">
        <f t="shared" si="24"/>
        <v>0</v>
      </c>
      <c r="G250" s="13"/>
      <c r="H250" s="35">
        <v>245</v>
      </c>
      <c r="I250" s="36" t="str">
        <f t="shared" si="20"/>
        <v/>
      </c>
      <c r="J250" s="35">
        <f t="shared" si="25"/>
        <v>-7</v>
      </c>
      <c r="K250" s="35">
        <f t="shared" si="21"/>
        <v>-70</v>
      </c>
      <c r="L250" s="35"/>
      <c r="M250" s="37">
        <f t="shared" si="22"/>
        <v>0</v>
      </c>
      <c r="N250" s="37">
        <f t="shared" si="23"/>
        <v>0</v>
      </c>
    </row>
    <row r="251" spans="1:14" x14ac:dyDescent="0.25">
      <c r="A251" s="56">
        <f t="shared" si="24"/>
        <v>0</v>
      </c>
      <c r="G251" s="13"/>
      <c r="H251" s="35">
        <v>246</v>
      </c>
      <c r="I251" s="36" t="str">
        <f t="shared" si="20"/>
        <v/>
      </c>
      <c r="J251" s="35">
        <f t="shared" si="25"/>
        <v>-7</v>
      </c>
      <c r="K251" s="35">
        <f t="shared" si="21"/>
        <v>-70</v>
      </c>
      <c r="L251" s="35"/>
      <c r="M251" s="37">
        <f t="shared" si="22"/>
        <v>0</v>
      </c>
      <c r="N251" s="37">
        <f t="shared" si="23"/>
        <v>0</v>
      </c>
    </row>
    <row r="252" spans="1:14" x14ac:dyDescent="0.25">
      <c r="A252" s="56">
        <f t="shared" si="24"/>
        <v>0</v>
      </c>
      <c r="G252" s="13"/>
      <c r="H252" s="35">
        <v>247</v>
      </c>
      <c r="I252" s="36" t="str">
        <f t="shared" si="20"/>
        <v/>
      </c>
      <c r="J252" s="35">
        <f t="shared" si="25"/>
        <v>-7</v>
      </c>
      <c r="K252" s="35">
        <f t="shared" si="21"/>
        <v>-70</v>
      </c>
      <c r="L252" s="35"/>
      <c r="M252" s="37">
        <f t="shared" si="22"/>
        <v>0</v>
      </c>
      <c r="N252" s="37">
        <f t="shared" si="23"/>
        <v>0</v>
      </c>
    </row>
    <row r="253" spans="1:14" x14ac:dyDescent="0.25">
      <c r="A253" s="56">
        <f t="shared" si="24"/>
        <v>0</v>
      </c>
      <c r="G253" s="13"/>
      <c r="H253" s="35">
        <v>248</v>
      </c>
      <c r="I253" s="36" t="str">
        <f t="shared" si="20"/>
        <v/>
      </c>
      <c r="J253" s="35">
        <f t="shared" si="25"/>
        <v>-7</v>
      </c>
      <c r="K253" s="35">
        <f t="shared" si="21"/>
        <v>-70</v>
      </c>
      <c r="L253" s="35"/>
      <c r="M253" s="37">
        <f t="shared" si="22"/>
        <v>0</v>
      </c>
      <c r="N253" s="37">
        <f t="shared" si="23"/>
        <v>0</v>
      </c>
    </row>
    <row r="254" spans="1:14" x14ac:dyDescent="0.25">
      <c r="A254" s="56">
        <f t="shared" si="24"/>
        <v>0</v>
      </c>
      <c r="G254" s="13"/>
      <c r="H254" s="35">
        <v>249</v>
      </c>
      <c r="I254" s="36" t="str">
        <f t="shared" si="20"/>
        <v/>
      </c>
      <c r="J254" s="35">
        <f t="shared" si="25"/>
        <v>-7</v>
      </c>
      <c r="K254" s="35">
        <f t="shared" si="21"/>
        <v>-70</v>
      </c>
      <c r="L254" s="35"/>
      <c r="M254" s="37">
        <f t="shared" si="22"/>
        <v>0</v>
      </c>
      <c r="N254" s="37">
        <f t="shared" si="23"/>
        <v>0</v>
      </c>
    </row>
    <row r="255" spans="1:14" x14ac:dyDescent="0.25">
      <c r="A255" s="56">
        <f t="shared" si="24"/>
        <v>0</v>
      </c>
      <c r="G255" s="13"/>
      <c r="H255" s="35">
        <v>250</v>
      </c>
      <c r="I255" s="36" t="str">
        <f t="shared" si="20"/>
        <v/>
      </c>
      <c r="J255" s="35">
        <f t="shared" si="25"/>
        <v>-7</v>
      </c>
      <c r="K255" s="35">
        <f t="shared" si="21"/>
        <v>-70</v>
      </c>
      <c r="L255" s="35"/>
      <c r="M255" s="37">
        <f t="shared" si="22"/>
        <v>0</v>
      </c>
      <c r="N255" s="37">
        <f t="shared" si="23"/>
        <v>0</v>
      </c>
    </row>
    <row r="256" spans="1:14" x14ac:dyDescent="0.25">
      <c r="A256" s="56">
        <f t="shared" si="24"/>
        <v>0</v>
      </c>
      <c r="G256" s="13"/>
      <c r="H256" s="35">
        <v>251</v>
      </c>
      <c r="I256" s="36" t="str">
        <f t="shared" si="20"/>
        <v/>
      </c>
      <c r="J256" s="35">
        <f t="shared" si="25"/>
        <v>-7</v>
      </c>
      <c r="K256" s="35">
        <f t="shared" si="21"/>
        <v>-70</v>
      </c>
      <c r="L256" s="35"/>
      <c r="M256" s="37">
        <f t="shared" si="22"/>
        <v>0</v>
      </c>
      <c r="N256" s="37">
        <f t="shared" si="23"/>
        <v>0</v>
      </c>
    </row>
    <row r="257" spans="1:14" x14ac:dyDescent="0.25">
      <c r="A257" s="56">
        <f t="shared" si="24"/>
        <v>0</v>
      </c>
      <c r="G257" s="13"/>
      <c r="H257" s="35">
        <v>252</v>
      </c>
      <c r="I257" s="36" t="str">
        <f t="shared" si="20"/>
        <v/>
      </c>
      <c r="J257" s="35">
        <f t="shared" si="25"/>
        <v>-7</v>
      </c>
      <c r="K257" s="35">
        <f t="shared" si="21"/>
        <v>-70</v>
      </c>
      <c r="L257" s="35"/>
      <c r="M257" s="37">
        <f t="shared" si="22"/>
        <v>0</v>
      </c>
      <c r="N257" s="37">
        <f t="shared" si="23"/>
        <v>0</v>
      </c>
    </row>
    <row r="258" spans="1:14" x14ac:dyDescent="0.25">
      <c r="A258" s="56">
        <f t="shared" si="24"/>
        <v>0</v>
      </c>
      <c r="G258" s="13"/>
      <c r="H258" s="35">
        <v>253</v>
      </c>
      <c r="I258" s="36" t="str">
        <f t="shared" si="20"/>
        <v/>
      </c>
      <c r="J258" s="35">
        <f t="shared" si="25"/>
        <v>-7</v>
      </c>
      <c r="K258" s="35">
        <f t="shared" si="21"/>
        <v>-70</v>
      </c>
      <c r="L258" s="35"/>
      <c r="M258" s="37">
        <f t="shared" si="22"/>
        <v>0</v>
      </c>
      <c r="N258" s="37">
        <f t="shared" si="23"/>
        <v>0</v>
      </c>
    </row>
    <row r="259" spans="1:14" x14ac:dyDescent="0.25">
      <c r="A259" s="56">
        <f t="shared" si="24"/>
        <v>0</v>
      </c>
      <c r="G259" s="13"/>
      <c r="H259" s="35">
        <v>254</v>
      </c>
      <c r="I259" s="36" t="str">
        <f t="shared" si="20"/>
        <v/>
      </c>
      <c r="J259" s="35">
        <f t="shared" si="25"/>
        <v>-7</v>
      </c>
      <c r="K259" s="35">
        <f t="shared" si="21"/>
        <v>-70</v>
      </c>
      <c r="L259" s="35"/>
      <c r="M259" s="37">
        <f t="shared" si="22"/>
        <v>0</v>
      </c>
      <c r="N259" s="37">
        <f t="shared" si="23"/>
        <v>0</v>
      </c>
    </row>
    <row r="260" spans="1:14" x14ac:dyDescent="0.25">
      <c r="A260" s="56">
        <f t="shared" si="24"/>
        <v>0</v>
      </c>
      <c r="G260" s="13"/>
      <c r="H260" s="35">
        <v>255</v>
      </c>
      <c r="I260" s="36" t="str">
        <f t="shared" si="20"/>
        <v/>
      </c>
      <c r="J260" s="35">
        <f t="shared" si="25"/>
        <v>-7</v>
      </c>
      <c r="K260" s="35">
        <f t="shared" si="21"/>
        <v>-70</v>
      </c>
      <c r="L260" s="35"/>
      <c r="M260" s="37">
        <f t="shared" si="22"/>
        <v>0</v>
      </c>
      <c r="N260" s="37">
        <f t="shared" si="23"/>
        <v>0</v>
      </c>
    </row>
    <row r="261" spans="1:14" x14ac:dyDescent="0.25">
      <c r="A261" s="56">
        <f t="shared" si="24"/>
        <v>0</v>
      </c>
      <c r="G261" s="13"/>
      <c r="H261" s="35">
        <v>256</v>
      </c>
      <c r="I261" s="36" t="str">
        <f t="shared" si="20"/>
        <v/>
      </c>
      <c r="J261" s="35">
        <f t="shared" si="25"/>
        <v>-7</v>
      </c>
      <c r="K261" s="35">
        <f t="shared" si="21"/>
        <v>-70</v>
      </c>
      <c r="L261" s="35"/>
      <c r="M261" s="37">
        <f t="shared" si="22"/>
        <v>0</v>
      </c>
      <c r="N261" s="37">
        <f t="shared" si="23"/>
        <v>0</v>
      </c>
    </row>
    <row r="262" spans="1:14" x14ac:dyDescent="0.25">
      <c r="A262" s="56">
        <f t="shared" si="24"/>
        <v>0</v>
      </c>
      <c r="G262" s="13"/>
      <c r="H262" s="35">
        <v>257</v>
      </c>
      <c r="I262" s="36" t="str">
        <f t="shared" ref="I262:I305" si="26">IF(H262&lt;$H$2+1,($I$2-($I$2-1)*(LOG(H262)/LOG($H$2))),"")</f>
        <v/>
      </c>
      <c r="J262" s="35">
        <f t="shared" si="25"/>
        <v>-8</v>
      </c>
      <c r="K262" s="35">
        <f t="shared" ref="K262:K305" si="27">J262*$J$2</f>
        <v>-80</v>
      </c>
      <c r="L262" s="35"/>
      <c r="M262" s="37">
        <f t="shared" ref="M262:M305" si="28">IF(I262&lt;&gt;"",K262+I262+L262,0)</f>
        <v>0</v>
      </c>
      <c r="N262" s="37">
        <f t="shared" ref="N262:N305" si="29">IF(I262&lt;&gt;"",M262*L$2,0)</f>
        <v>0</v>
      </c>
    </row>
    <row r="263" spans="1:14" x14ac:dyDescent="0.25">
      <c r="A263" s="56">
        <f t="shared" ref="A263:A305" si="30">N263</f>
        <v>0</v>
      </c>
      <c r="G263" s="13"/>
      <c r="H263" s="35">
        <v>258</v>
      </c>
      <c r="I263" s="36" t="str">
        <f t="shared" si="26"/>
        <v/>
      </c>
      <c r="J263" s="35">
        <f t="shared" ref="J263:J305" si="31">INT(LOG($H$2,2))-ROUNDUP(LOG(H263,2),0)+IF(OR($H$2=1,$H$2=2,$H$2=4,$H$2=8,$H$2=16,$H$2=32,$H$2=64,$H$2=128,$H$2=256),0,1)</f>
        <v>-8</v>
      </c>
      <c r="K263" s="35">
        <f t="shared" si="27"/>
        <v>-80</v>
      </c>
      <c r="L263" s="35"/>
      <c r="M263" s="37">
        <f t="shared" si="28"/>
        <v>0</v>
      </c>
      <c r="N263" s="37">
        <f t="shared" si="29"/>
        <v>0</v>
      </c>
    </row>
    <row r="264" spans="1:14" x14ac:dyDescent="0.25">
      <c r="A264" s="56">
        <f t="shared" si="30"/>
        <v>0</v>
      </c>
      <c r="G264" s="13"/>
      <c r="H264" s="35">
        <v>259</v>
      </c>
      <c r="I264" s="36" t="str">
        <f t="shared" si="26"/>
        <v/>
      </c>
      <c r="J264" s="35">
        <f t="shared" si="31"/>
        <v>-8</v>
      </c>
      <c r="K264" s="35">
        <f t="shared" si="27"/>
        <v>-80</v>
      </c>
      <c r="L264" s="35"/>
      <c r="M264" s="37">
        <f t="shared" si="28"/>
        <v>0</v>
      </c>
      <c r="N264" s="37">
        <f t="shared" si="29"/>
        <v>0</v>
      </c>
    </row>
    <row r="265" spans="1:14" x14ac:dyDescent="0.25">
      <c r="A265" s="56">
        <f t="shared" si="30"/>
        <v>0</v>
      </c>
      <c r="G265" s="13"/>
      <c r="H265" s="35">
        <v>260</v>
      </c>
      <c r="I265" s="36" t="str">
        <f t="shared" si="26"/>
        <v/>
      </c>
      <c r="J265" s="35">
        <f t="shared" si="31"/>
        <v>-8</v>
      </c>
      <c r="K265" s="35">
        <f t="shared" si="27"/>
        <v>-80</v>
      </c>
      <c r="L265" s="35"/>
      <c r="M265" s="37">
        <f t="shared" si="28"/>
        <v>0</v>
      </c>
      <c r="N265" s="37">
        <f t="shared" si="29"/>
        <v>0</v>
      </c>
    </row>
    <row r="266" spans="1:14" x14ac:dyDescent="0.25">
      <c r="A266" s="56">
        <f t="shared" si="30"/>
        <v>0</v>
      </c>
      <c r="G266" s="13"/>
      <c r="H266" s="35">
        <v>261</v>
      </c>
      <c r="I266" s="36" t="str">
        <f t="shared" si="26"/>
        <v/>
      </c>
      <c r="J266" s="35">
        <f t="shared" si="31"/>
        <v>-8</v>
      </c>
      <c r="K266" s="35">
        <f t="shared" si="27"/>
        <v>-80</v>
      </c>
      <c r="L266" s="35"/>
      <c r="M266" s="37">
        <f t="shared" si="28"/>
        <v>0</v>
      </c>
      <c r="N266" s="37">
        <f t="shared" si="29"/>
        <v>0</v>
      </c>
    </row>
    <row r="267" spans="1:14" x14ac:dyDescent="0.25">
      <c r="A267" s="56">
        <f t="shared" si="30"/>
        <v>0</v>
      </c>
      <c r="G267" s="13"/>
      <c r="H267" s="35">
        <v>262</v>
      </c>
      <c r="I267" s="36" t="str">
        <f t="shared" si="26"/>
        <v/>
      </c>
      <c r="J267" s="35">
        <f t="shared" si="31"/>
        <v>-8</v>
      </c>
      <c r="K267" s="35">
        <f t="shared" si="27"/>
        <v>-80</v>
      </c>
      <c r="L267" s="35"/>
      <c r="M267" s="37">
        <f t="shared" si="28"/>
        <v>0</v>
      </c>
      <c r="N267" s="37">
        <f t="shared" si="29"/>
        <v>0</v>
      </c>
    </row>
    <row r="268" spans="1:14" x14ac:dyDescent="0.25">
      <c r="A268" s="56">
        <f t="shared" si="30"/>
        <v>0</v>
      </c>
      <c r="G268" s="13"/>
      <c r="H268" s="35">
        <v>263</v>
      </c>
      <c r="I268" s="36" t="str">
        <f t="shared" si="26"/>
        <v/>
      </c>
      <c r="J268" s="35">
        <f t="shared" si="31"/>
        <v>-8</v>
      </c>
      <c r="K268" s="35">
        <f t="shared" si="27"/>
        <v>-80</v>
      </c>
      <c r="L268" s="35"/>
      <c r="M268" s="37">
        <f t="shared" si="28"/>
        <v>0</v>
      </c>
      <c r="N268" s="37">
        <f t="shared" si="29"/>
        <v>0</v>
      </c>
    </row>
    <row r="269" spans="1:14" x14ac:dyDescent="0.25">
      <c r="A269" s="56">
        <f t="shared" si="30"/>
        <v>0</v>
      </c>
      <c r="G269" s="13"/>
      <c r="H269" s="35">
        <v>264</v>
      </c>
      <c r="I269" s="36" t="str">
        <f t="shared" si="26"/>
        <v/>
      </c>
      <c r="J269" s="35">
        <f t="shared" si="31"/>
        <v>-8</v>
      </c>
      <c r="K269" s="35">
        <f t="shared" si="27"/>
        <v>-80</v>
      </c>
      <c r="L269" s="35"/>
      <c r="M269" s="37">
        <f t="shared" si="28"/>
        <v>0</v>
      </c>
      <c r="N269" s="37">
        <f t="shared" si="29"/>
        <v>0</v>
      </c>
    </row>
    <row r="270" spans="1:14" x14ac:dyDescent="0.25">
      <c r="A270" s="56">
        <f t="shared" si="30"/>
        <v>0</v>
      </c>
      <c r="G270" s="13"/>
      <c r="H270" s="35">
        <v>265</v>
      </c>
      <c r="I270" s="36" t="str">
        <f t="shared" si="26"/>
        <v/>
      </c>
      <c r="J270" s="35">
        <f t="shared" si="31"/>
        <v>-8</v>
      </c>
      <c r="K270" s="35">
        <f t="shared" si="27"/>
        <v>-80</v>
      </c>
      <c r="L270" s="35"/>
      <c r="M270" s="37">
        <f t="shared" si="28"/>
        <v>0</v>
      </c>
      <c r="N270" s="37">
        <f t="shared" si="29"/>
        <v>0</v>
      </c>
    </row>
    <row r="271" spans="1:14" x14ac:dyDescent="0.25">
      <c r="A271" s="56">
        <f t="shared" si="30"/>
        <v>0</v>
      </c>
      <c r="G271" s="13"/>
      <c r="H271" s="35">
        <v>266</v>
      </c>
      <c r="I271" s="36" t="str">
        <f t="shared" si="26"/>
        <v/>
      </c>
      <c r="J271" s="35">
        <f t="shared" si="31"/>
        <v>-8</v>
      </c>
      <c r="K271" s="35">
        <f t="shared" si="27"/>
        <v>-80</v>
      </c>
      <c r="L271" s="35"/>
      <c r="M271" s="37">
        <f t="shared" si="28"/>
        <v>0</v>
      </c>
      <c r="N271" s="37">
        <f t="shared" si="29"/>
        <v>0</v>
      </c>
    </row>
    <row r="272" spans="1:14" x14ac:dyDescent="0.25">
      <c r="A272" s="56">
        <f t="shared" si="30"/>
        <v>0</v>
      </c>
      <c r="G272" s="13"/>
      <c r="H272" s="35">
        <v>267</v>
      </c>
      <c r="I272" s="36" t="str">
        <f t="shared" si="26"/>
        <v/>
      </c>
      <c r="J272" s="35">
        <f t="shared" si="31"/>
        <v>-8</v>
      </c>
      <c r="K272" s="35">
        <f t="shared" si="27"/>
        <v>-80</v>
      </c>
      <c r="L272" s="35"/>
      <c r="M272" s="37">
        <f t="shared" si="28"/>
        <v>0</v>
      </c>
      <c r="N272" s="37">
        <f t="shared" si="29"/>
        <v>0</v>
      </c>
    </row>
    <row r="273" spans="1:14" x14ac:dyDescent="0.25">
      <c r="A273" s="56">
        <f t="shared" si="30"/>
        <v>0</v>
      </c>
      <c r="G273" s="13"/>
      <c r="H273" s="35">
        <v>268</v>
      </c>
      <c r="I273" s="36" t="str">
        <f t="shared" si="26"/>
        <v/>
      </c>
      <c r="J273" s="35">
        <f t="shared" si="31"/>
        <v>-8</v>
      </c>
      <c r="K273" s="35">
        <f t="shared" si="27"/>
        <v>-80</v>
      </c>
      <c r="L273" s="35"/>
      <c r="M273" s="37">
        <f t="shared" si="28"/>
        <v>0</v>
      </c>
      <c r="N273" s="37">
        <f t="shared" si="29"/>
        <v>0</v>
      </c>
    </row>
    <row r="274" spans="1:14" x14ac:dyDescent="0.25">
      <c r="A274" s="56">
        <f t="shared" si="30"/>
        <v>0</v>
      </c>
      <c r="G274" s="13"/>
      <c r="H274" s="35">
        <v>269</v>
      </c>
      <c r="I274" s="36" t="str">
        <f t="shared" si="26"/>
        <v/>
      </c>
      <c r="J274" s="35">
        <f t="shared" si="31"/>
        <v>-8</v>
      </c>
      <c r="K274" s="35">
        <f t="shared" si="27"/>
        <v>-80</v>
      </c>
      <c r="L274" s="35"/>
      <c r="M274" s="37">
        <f t="shared" si="28"/>
        <v>0</v>
      </c>
      <c r="N274" s="37">
        <f t="shared" si="29"/>
        <v>0</v>
      </c>
    </row>
    <row r="275" spans="1:14" x14ac:dyDescent="0.25">
      <c r="A275" s="56">
        <f t="shared" si="30"/>
        <v>0</v>
      </c>
      <c r="G275" s="13"/>
      <c r="H275" s="35">
        <v>270</v>
      </c>
      <c r="I275" s="36" t="str">
        <f t="shared" si="26"/>
        <v/>
      </c>
      <c r="J275" s="35">
        <f t="shared" si="31"/>
        <v>-8</v>
      </c>
      <c r="K275" s="35">
        <f t="shared" si="27"/>
        <v>-80</v>
      </c>
      <c r="L275" s="35"/>
      <c r="M275" s="37">
        <f t="shared" si="28"/>
        <v>0</v>
      </c>
      <c r="N275" s="37">
        <f t="shared" si="29"/>
        <v>0</v>
      </c>
    </row>
    <row r="276" spans="1:14" x14ac:dyDescent="0.25">
      <c r="A276" s="56">
        <f t="shared" si="30"/>
        <v>0</v>
      </c>
      <c r="G276" s="13"/>
      <c r="H276" s="35">
        <v>271</v>
      </c>
      <c r="I276" s="36" t="str">
        <f t="shared" si="26"/>
        <v/>
      </c>
      <c r="J276" s="35">
        <f t="shared" si="31"/>
        <v>-8</v>
      </c>
      <c r="K276" s="35">
        <f t="shared" si="27"/>
        <v>-80</v>
      </c>
      <c r="L276" s="35"/>
      <c r="M276" s="37">
        <f t="shared" si="28"/>
        <v>0</v>
      </c>
      <c r="N276" s="37">
        <f t="shared" si="29"/>
        <v>0</v>
      </c>
    </row>
    <row r="277" spans="1:14" x14ac:dyDescent="0.25">
      <c r="A277" s="56">
        <f t="shared" si="30"/>
        <v>0</v>
      </c>
      <c r="G277" s="13"/>
      <c r="H277" s="35">
        <v>272</v>
      </c>
      <c r="I277" s="36" t="str">
        <f t="shared" si="26"/>
        <v/>
      </c>
      <c r="J277" s="35">
        <f t="shared" si="31"/>
        <v>-8</v>
      </c>
      <c r="K277" s="35">
        <f t="shared" si="27"/>
        <v>-80</v>
      </c>
      <c r="L277" s="35"/>
      <c r="M277" s="37">
        <f t="shared" si="28"/>
        <v>0</v>
      </c>
      <c r="N277" s="37">
        <f t="shared" si="29"/>
        <v>0</v>
      </c>
    </row>
    <row r="278" spans="1:14" x14ac:dyDescent="0.25">
      <c r="A278" s="56">
        <f t="shared" si="30"/>
        <v>0</v>
      </c>
      <c r="G278" s="13"/>
      <c r="H278" s="35">
        <v>273</v>
      </c>
      <c r="I278" s="36" t="str">
        <f t="shared" si="26"/>
        <v/>
      </c>
      <c r="J278" s="35">
        <f t="shared" si="31"/>
        <v>-8</v>
      </c>
      <c r="K278" s="35">
        <f t="shared" si="27"/>
        <v>-80</v>
      </c>
      <c r="L278" s="35"/>
      <c r="M278" s="37">
        <f t="shared" si="28"/>
        <v>0</v>
      </c>
      <c r="N278" s="37">
        <f t="shared" si="29"/>
        <v>0</v>
      </c>
    </row>
    <row r="279" spans="1:14" x14ac:dyDescent="0.25">
      <c r="A279" s="56">
        <f t="shared" si="30"/>
        <v>0</v>
      </c>
      <c r="G279" s="13"/>
      <c r="H279" s="35">
        <v>274</v>
      </c>
      <c r="I279" s="36" t="str">
        <f t="shared" si="26"/>
        <v/>
      </c>
      <c r="J279" s="35">
        <f t="shared" si="31"/>
        <v>-8</v>
      </c>
      <c r="K279" s="35">
        <f t="shared" si="27"/>
        <v>-80</v>
      </c>
      <c r="L279" s="35"/>
      <c r="M279" s="37">
        <f t="shared" si="28"/>
        <v>0</v>
      </c>
      <c r="N279" s="37">
        <f t="shared" si="29"/>
        <v>0</v>
      </c>
    </row>
    <row r="280" spans="1:14" x14ac:dyDescent="0.25">
      <c r="A280" s="56">
        <f t="shared" si="30"/>
        <v>0</v>
      </c>
      <c r="G280" s="13"/>
      <c r="H280" s="35">
        <v>275</v>
      </c>
      <c r="I280" s="36" t="str">
        <f t="shared" si="26"/>
        <v/>
      </c>
      <c r="J280" s="35">
        <f t="shared" si="31"/>
        <v>-8</v>
      </c>
      <c r="K280" s="35">
        <f t="shared" si="27"/>
        <v>-80</v>
      </c>
      <c r="L280" s="35"/>
      <c r="M280" s="37">
        <f t="shared" si="28"/>
        <v>0</v>
      </c>
      <c r="N280" s="37">
        <f t="shared" si="29"/>
        <v>0</v>
      </c>
    </row>
    <row r="281" spans="1:14" x14ac:dyDescent="0.25">
      <c r="A281" s="56">
        <f t="shared" si="30"/>
        <v>0</v>
      </c>
      <c r="G281" s="13"/>
      <c r="H281" s="35">
        <v>276</v>
      </c>
      <c r="I281" s="36" t="str">
        <f t="shared" si="26"/>
        <v/>
      </c>
      <c r="J281" s="35">
        <f t="shared" si="31"/>
        <v>-8</v>
      </c>
      <c r="K281" s="35">
        <f t="shared" si="27"/>
        <v>-80</v>
      </c>
      <c r="L281" s="35"/>
      <c r="M281" s="37">
        <f t="shared" si="28"/>
        <v>0</v>
      </c>
      <c r="N281" s="37">
        <f t="shared" si="29"/>
        <v>0</v>
      </c>
    </row>
    <row r="282" spans="1:14" x14ac:dyDescent="0.25">
      <c r="A282" s="56">
        <f t="shared" si="30"/>
        <v>0</v>
      </c>
      <c r="G282" s="13"/>
      <c r="H282" s="35">
        <v>277</v>
      </c>
      <c r="I282" s="36" t="str">
        <f t="shared" si="26"/>
        <v/>
      </c>
      <c r="J282" s="35">
        <f t="shared" si="31"/>
        <v>-8</v>
      </c>
      <c r="K282" s="35">
        <f t="shared" si="27"/>
        <v>-80</v>
      </c>
      <c r="L282" s="35"/>
      <c r="M282" s="37">
        <f t="shared" si="28"/>
        <v>0</v>
      </c>
      <c r="N282" s="37">
        <f t="shared" si="29"/>
        <v>0</v>
      </c>
    </row>
    <row r="283" spans="1:14" x14ac:dyDescent="0.25">
      <c r="A283" s="56">
        <f t="shared" si="30"/>
        <v>0</v>
      </c>
      <c r="G283" s="13"/>
      <c r="H283" s="35">
        <v>278</v>
      </c>
      <c r="I283" s="36" t="str">
        <f t="shared" si="26"/>
        <v/>
      </c>
      <c r="J283" s="35">
        <f t="shared" si="31"/>
        <v>-8</v>
      </c>
      <c r="K283" s="35">
        <f t="shared" si="27"/>
        <v>-80</v>
      </c>
      <c r="L283" s="35"/>
      <c r="M283" s="37">
        <f t="shared" si="28"/>
        <v>0</v>
      </c>
      <c r="N283" s="37">
        <f t="shared" si="29"/>
        <v>0</v>
      </c>
    </row>
    <row r="284" spans="1:14" x14ac:dyDescent="0.25">
      <c r="A284" s="56">
        <f t="shared" si="30"/>
        <v>0</v>
      </c>
      <c r="G284" s="13"/>
      <c r="H284" s="35">
        <v>279</v>
      </c>
      <c r="I284" s="36" t="str">
        <f t="shared" si="26"/>
        <v/>
      </c>
      <c r="J284" s="35">
        <f t="shared" si="31"/>
        <v>-8</v>
      </c>
      <c r="K284" s="35">
        <f t="shared" si="27"/>
        <v>-80</v>
      </c>
      <c r="L284" s="35"/>
      <c r="M284" s="37">
        <f t="shared" si="28"/>
        <v>0</v>
      </c>
      <c r="N284" s="37">
        <f t="shared" si="29"/>
        <v>0</v>
      </c>
    </row>
    <row r="285" spans="1:14" x14ac:dyDescent="0.25">
      <c r="A285" s="56">
        <f t="shared" si="30"/>
        <v>0</v>
      </c>
      <c r="G285" s="13"/>
      <c r="H285" s="35">
        <v>280</v>
      </c>
      <c r="I285" s="36" t="str">
        <f t="shared" si="26"/>
        <v/>
      </c>
      <c r="J285" s="35">
        <f t="shared" si="31"/>
        <v>-8</v>
      </c>
      <c r="K285" s="35">
        <f t="shared" si="27"/>
        <v>-80</v>
      </c>
      <c r="L285" s="35"/>
      <c r="M285" s="37">
        <f t="shared" si="28"/>
        <v>0</v>
      </c>
      <c r="N285" s="37">
        <f t="shared" si="29"/>
        <v>0</v>
      </c>
    </row>
    <row r="286" spans="1:14" x14ac:dyDescent="0.25">
      <c r="A286" s="56">
        <f t="shared" si="30"/>
        <v>0</v>
      </c>
      <c r="G286" s="13"/>
      <c r="H286" s="35">
        <v>281</v>
      </c>
      <c r="I286" s="36" t="str">
        <f t="shared" si="26"/>
        <v/>
      </c>
      <c r="J286" s="35">
        <f t="shared" si="31"/>
        <v>-8</v>
      </c>
      <c r="K286" s="35">
        <f t="shared" si="27"/>
        <v>-80</v>
      </c>
      <c r="L286" s="35"/>
      <c r="M286" s="37">
        <f t="shared" si="28"/>
        <v>0</v>
      </c>
      <c r="N286" s="37">
        <f t="shared" si="29"/>
        <v>0</v>
      </c>
    </row>
    <row r="287" spans="1:14" x14ac:dyDescent="0.25">
      <c r="A287" s="56">
        <f t="shared" si="30"/>
        <v>0</v>
      </c>
      <c r="G287" s="13"/>
      <c r="H287" s="35">
        <v>282</v>
      </c>
      <c r="I287" s="36" t="str">
        <f t="shared" si="26"/>
        <v/>
      </c>
      <c r="J287" s="35">
        <f t="shared" si="31"/>
        <v>-8</v>
      </c>
      <c r="K287" s="35">
        <f t="shared" si="27"/>
        <v>-80</v>
      </c>
      <c r="L287" s="35"/>
      <c r="M287" s="37">
        <f t="shared" si="28"/>
        <v>0</v>
      </c>
      <c r="N287" s="37">
        <f t="shared" si="29"/>
        <v>0</v>
      </c>
    </row>
    <row r="288" spans="1:14" x14ac:dyDescent="0.25">
      <c r="A288" s="56">
        <f t="shared" si="30"/>
        <v>0</v>
      </c>
      <c r="G288" s="13"/>
      <c r="H288" s="35">
        <v>283</v>
      </c>
      <c r="I288" s="36" t="str">
        <f t="shared" si="26"/>
        <v/>
      </c>
      <c r="J288" s="35">
        <f t="shared" si="31"/>
        <v>-8</v>
      </c>
      <c r="K288" s="35">
        <f t="shared" si="27"/>
        <v>-80</v>
      </c>
      <c r="L288" s="35"/>
      <c r="M288" s="37">
        <f t="shared" si="28"/>
        <v>0</v>
      </c>
      <c r="N288" s="37">
        <f t="shared" si="29"/>
        <v>0</v>
      </c>
    </row>
    <row r="289" spans="1:14" x14ac:dyDescent="0.25">
      <c r="A289" s="56">
        <f t="shared" si="30"/>
        <v>0</v>
      </c>
      <c r="G289" s="13"/>
      <c r="H289" s="35">
        <v>284</v>
      </c>
      <c r="I289" s="36" t="str">
        <f t="shared" si="26"/>
        <v/>
      </c>
      <c r="J289" s="35">
        <f t="shared" si="31"/>
        <v>-8</v>
      </c>
      <c r="K289" s="35">
        <f t="shared" si="27"/>
        <v>-80</v>
      </c>
      <c r="L289" s="35"/>
      <c r="M289" s="37">
        <f t="shared" si="28"/>
        <v>0</v>
      </c>
      <c r="N289" s="37">
        <f t="shared" si="29"/>
        <v>0</v>
      </c>
    </row>
    <row r="290" spans="1:14" x14ac:dyDescent="0.25">
      <c r="A290" s="56">
        <f t="shared" si="30"/>
        <v>0</v>
      </c>
      <c r="G290" s="13"/>
      <c r="H290" s="35">
        <v>285</v>
      </c>
      <c r="I290" s="36" t="str">
        <f t="shared" si="26"/>
        <v/>
      </c>
      <c r="J290" s="35">
        <f t="shared" si="31"/>
        <v>-8</v>
      </c>
      <c r="K290" s="35">
        <f t="shared" si="27"/>
        <v>-80</v>
      </c>
      <c r="L290" s="35"/>
      <c r="M290" s="37">
        <f t="shared" si="28"/>
        <v>0</v>
      </c>
      <c r="N290" s="37">
        <f t="shared" si="29"/>
        <v>0</v>
      </c>
    </row>
    <row r="291" spans="1:14" x14ac:dyDescent="0.25">
      <c r="A291" s="56">
        <f t="shared" si="30"/>
        <v>0</v>
      </c>
      <c r="G291" s="13"/>
      <c r="H291" s="35">
        <v>286</v>
      </c>
      <c r="I291" s="36" t="str">
        <f t="shared" si="26"/>
        <v/>
      </c>
      <c r="J291" s="35">
        <f t="shared" si="31"/>
        <v>-8</v>
      </c>
      <c r="K291" s="35">
        <f t="shared" si="27"/>
        <v>-80</v>
      </c>
      <c r="L291" s="35"/>
      <c r="M291" s="37">
        <f t="shared" si="28"/>
        <v>0</v>
      </c>
      <c r="N291" s="37">
        <f t="shared" si="29"/>
        <v>0</v>
      </c>
    </row>
    <row r="292" spans="1:14" x14ac:dyDescent="0.25">
      <c r="A292" s="56">
        <f t="shared" si="30"/>
        <v>0</v>
      </c>
      <c r="G292" s="13"/>
      <c r="H292" s="35">
        <v>287</v>
      </c>
      <c r="I292" s="36" t="str">
        <f t="shared" si="26"/>
        <v/>
      </c>
      <c r="J292" s="35">
        <f t="shared" si="31"/>
        <v>-8</v>
      </c>
      <c r="K292" s="35">
        <f t="shared" si="27"/>
        <v>-80</v>
      </c>
      <c r="L292" s="35"/>
      <c r="M292" s="37">
        <f t="shared" si="28"/>
        <v>0</v>
      </c>
      <c r="N292" s="37">
        <f t="shared" si="29"/>
        <v>0</v>
      </c>
    </row>
    <row r="293" spans="1:14" x14ac:dyDescent="0.25">
      <c r="A293" s="56">
        <f t="shared" si="30"/>
        <v>0</v>
      </c>
      <c r="G293" s="13"/>
      <c r="H293" s="35">
        <v>288</v>
      </c>
      <c r="I293" s="36" t="str">
        <f t="shared" si="26"/>
        <v/>
      </c>
      <c r="J293" s="35">
        <f t="shared" si="31"/>
        <v>-8</v>
      </c>
      <c r="K293" s="35">
        <f t="shared" si="27"/>
        <v>-80</v>
      </c>
      <c r="L293" s="35"/>
      <c r="M293" s="37">
        <f t="shared" si="28"/>
        <v>0</v>
      </c>
      <c r="N293" s="37">
        <f t="shared" si="29"/>
        <v>0</v>
      </c>
    </row>
    <row r="294" spans="1:14" x14ac:dyDescent="0.25">
      <c r="A294" s="56">
        <f t="shared" si="30"/>
        <v>0</v>
      </c>
      <c r="G294" s="13"/>
      <c r="H294" s="35">
        <v>289</v>
      </c>
      <c r="I294" s="36" t="str">
        <f t="shared" si="26"/>
        <v/>
      </c>
      <c r="J294" s="35">
        <f t="shared" si="31"/>
        <v>-8</v>
      </c>
      <c r="K294" s="35">
        <f t="shared" si="27"/>
        <v>-80</v>
      </c>
      <c r="L294" s="35"/>
      <c r="M294" s="37">
        <f t="shared" si="28"/>
        <v>0</v>
      </c>
      <c r="N294" s="37">
        <f t="shared" si="29"/>
        <v>0</v>
      </c>
    </row>
    <row r="295" spans="1:14" x14ac:dyDescent="0.25">
      <c r="A295" s="56">
        <f t="shared" si="30"/>
        <v>0</v>
      </c>
      <c r="G295" s="13"/>
      <c r="H295" s="35">
        <v>290</v>
      </c>
      <c r="I295" s="36" t="str">
        <f t="shared" si="26"/>
        <v/>
      </c>
      <c r="J295" s="35">
        <f t="shared" si="31"/>
        <v>-8</v>
      </c>
      <c r="K295" s="35">
        <f t="shared" si="27"/>
        <v>-80</v>
      </c>
      <c r="L295" s="35"/>
      <c r="M295" s="37">
        <f t="shared" si="28"/>
        <v>0</v>
      </c>
      <c r="N295" s="37">
        <f t="shared" si="29"/>
        <v>0</v>
      </c>
    </row>
    <row r="296" spans="1:14" x14ac:dyDescent="0.25">
      <c r="A296" s="56">
        <f t="shared" si="30"/>
        <v>0</v>
      </c>
      <c r="G296" s="13"/>
      <c r="H296" s="35">
        <v>291</v>
      </c>
      <c r="I296" s="36" t="str">
        <f t="shared" si="26"/>
        <v/>
      </c>
      <c r="J296" s="35">
        <f t="shared" si="31"/>
        <v>-8</v>
      </c>
      <c r="K296" s="35">
        <f t="shared" si="27"/>
        <v>-80</v>
      </c>
      <c r="L296" s="35"/>
      <c r="M296" s="37">
        <f t="shared" si="28"/>
        <v>0</v>
      </c>
      <c r="N296" s="37">
        <f t="shared" si="29"/>
        <v>0</v>
      </c>
    </row>
    <row r="297" spans="1:14" x14ac:dyDescent="0.25">
      <c r="A297" s="56">
        <f t="shared" si="30"/>
        <v>0</v>
      </c>
      <c r="G297" s="13"/>
      <c r="H297" s="35">
        <v>292</v>
      </c>
      <c r="I297" s="36" t="str">
        <f t="shared" si="26"/>
        <v/>
      </c>
      <c r="J297" s="35">
        <f t="shared" si="31"/>
        <v>-8</v>
      </c>
      <c r="K297" s="35">
        <f t="shared" si="27"/>
        <v>-80</v>
      </c>
      <c r="L297" s="35"/>
      <c r="M297" s="37">
        <f t="shared" si="28"/>
        <v>0</v>
      </c>
      <c r="N297" s="37">
        <f t="shared" si="29"/>
        <v>0</v>
      </c>
    </row>
    <row r="298" spans="1:14" x14ac:dyDescent="0.25">
      <c r="A298" s="56">
        <f t="shared" si="30"/>
        <v>0</v>
      </c>
      <c r="G298" s="13"/>
      <c r="H298" s="35">
        <v>293</v>
      </c>
      <c r="I298" s="36" t="str">
        <f t="shared" si="26"/>
        <v/>
      </c>
      <c r="J298" s="35">
        <f t="shared" si="31"/>
        <v>-8</v>
      </c>
      <c r="K298" s="35">
        <f t="shared" si="27"/>
        <v>-80</v>
      </c>
      <c r="L298" s="35"/>
      <c r="M298" s="37">
        <f t="shared" si="28"/>
        <v>0</v>
      </c>
      <c r="N298" s="37">
        <f t="shared" si="29"/>
        <v>0</v>
      </c>
    </row>
    <row r="299" spans="1:14" x14ac:dyDescent="0.25">
      <c r="A299" s="56">
        <f t="shared" si="30"/>
        <v>0</v>
      </c>
      <c r="G299" s="13"/>
      <c r="H299" s="35">
        <v>294</v>
      </c>
      <c r="I299" s="36" t="str">
        <f t="shared" si="26"/>
        <v/>
      </c>
      <c r="J299" s="35">
        <f t="shared" si="31"/>
        <v>-8</v>
      </c>
      <c r="K299" s="35">
        <f t="shared" si="27"/>
        <v>-80</v>
      </c>
      <c r="L299" s="35"/>
      <c r="M299" s="37">
        <f t="shared" si="28"/>
        <v>0</v>
      </c>
      <c r="N299" s="37">
        <f t="shared" si="29"/>
        <v>0</v>
      </c>
    </row>
    <row r="300" spans="1:14" x14ac:dyDescent="0.25">
      <c r="A300" s="56">
        <f t="shared" si="30"/>
        <v>0</v>
      </c>
      <c r="G300" s="13"/>
      <c r="H300" s="35">
        <v>295</v>
      </c>
      <c r="I300" s="36" t="str">
        <f t="shared" si="26"/>
        <v/>
      </c>
      <c r="J300" s="35">
        <f t="shared" si="31"/>
        <v>-8</v>
      </c>
      <c r="K300" s="35">
        <f t="shared" si="27"/>
        <v>-80</v>
      </c>
      <c r="L300" s="35"/>
      <c r="M300" s="37">
        <f t="shared" si="28"/>
        <v>0</v>
      </c>
      <c r="N300" s="37">
        <f t="shared" si="29"/>
        <v>0</v>
      </c>
    </row>
    <row r="301" spans="1:14" x14ac:dyDescent="0.25">
      <c r="A301" s="56">
        <f t="shared" si="30"/>
        <v>0</v>
      </c>
      <c r="G301" s="13"/>
      <c r="H301" s="35">
        <v>296</v>
      </c>
      <c r="I301" s="36" t="str">
        <f t="shared" si="26"/>
        <v/>
      </c>
      <c r="J301" s="35">
        <f t="shared" si="31"/>
        <v>-8</v>
      </c>
      <c r="K301" s="35">
        <f t="shared" si="27"/>
        <v>-80</v>
      </c>
      <c r="L301" s="35"/>
      <c r="M301" s="37">
        <f t="shared" si="28"/>
        <v>0</v>
      </c>
      <c r="N301" s="37">
        <f t="shared" si="29"/>
        <v>0</v>
      </c>
    </row>
    <row r="302" spans="1:14" x14ac:dyDescent="0.25">
      <c r="A302" s="56">
        <f t="shared" si="30"/>
        <v>0</v>
      </c>
      <c r="G302" s="13"/>
      <c r="H302" s="35">
        <v>297</v>
      </c>
      <c r="I302" s="36" t="str">
        <f t="shared" si="26"/>
        <v/>
      </c>
      <c r="J302" s="35">
        <f t="shared" si="31"/>
        <v>-8</v>
      </c>
      <c r="K302" s="35">
        <f t="shared" si="27"/>
        <v>-80</v>
      </c>
      <c r="L302" s="35"/>
      <c r="M302" s="37">
        <f t="shared" si="28"/>
        <v>0</v>
      </c>
      <c r="N302" s="37">
        <f t="shared" si="29"/>
        <v>0</v>
      </c>
    </row>
    <row r="303" spans="1:14" x14ac:dyDescent="0.25">
      <c r="A303" s="56">
        <f t="shared" si="30"/>
        <v>0</v>
      </c>
      <c r="G303" s="13"/>
      <c r="H303" s="35">
        <v>298</v>
      </c>
      <c r="I303" s="36" t="str">
        <f t="shared" si="26"/>
        <v/>
      </c>
      <c r="J303" s="35">
        <f t="shared" si="31"/>
        <v>-8</v>
      </c>
      <c r="K303" s="35">
        <f t="shared" si="27"/>
        <v>-80</v>
      </c>
      <c r="L303" s="35"/>
      <c r="M303" s="37">
        <f t="shared" si="28"/>
        <v>0</v>
      </c>
      <c r="N303" s="37">
        <f t="shared" si="29"/>
        <v>0</v>
      </c>
    </row>
    <row r="304" spans="1:14" x14ac:dyDescent="0.25">
      <c r="A304" s="56">
        <f t="shared" si="30"/>
        <v>0</v>
      </c>
      <c r="G304" s="13"/>
      <c r="H304" s="35">
        <v>299</v>
      </c>
      <c r="I304" s="36" t="str">
        <f t="shared" si="26"/>
        <v/>
      </c>
      <c r="J304" s="35">
        <f t="shared" si="31"/>
        <v>-8</v>
      </c>
      <c r="K304" s="35">
        <f t="shared" si="27"/>
        <v>-80</v>
      </c>
      <c r="L304" s="35"/>
      <c r="M304" s="37">
        <f t="shared" si="28"/>
        <v>0</v>
      </c>
      <c r="N304" s="37">
        <f t="shared" si="29"/>
        <v>0</v>
      </c>
    </row>
    <row r="305" spans="1:17" x14ac:dyDescent="0.25">
      <c r="A305" s="56">
        <f t="shared" si="30"/>
        <v>0</v>
      </c>
      <c r="G305" s="13"/>
      <c r="H305" s="35">
        <v>300</v>
      </c>
      <c r="I305" s="36" t="str">
        <f t="shared" si="26"/>
        <v/>
      </c>
      <c r="J305" s="35">
        <f t="shared" si="31"/>
        <v>-8</v>
      </c>
      <c r="K305" s="35">
        <f t="shared" si="27"/>
        <v>-80</v>
      </c>
      <c r="L305" s="35"/>
      <c r="M305" s="37">
        <f t="shared" si="28"/>
        <v>0</v>
      </c>
      <c r="N305" s="37">
        <f t="shared" si="29"/>
        <v>0</v>
      </c>
    </row>
    <row r="306" spans="1:17" x14ac:dyDescent="0.25">
      <c r="A306" s="58"/>
    </row>
    <row r="314" spans="1:17" x14ac:dyDescent="0.25">
      <c r="L314" s="61"/>
      <c r="M314" s="61"/>
      <c r="Q314" s="51"/>
    </row>
    <row r="315" spans="1:17" x14ac:dyDescent="0.25">
      <c r="L315" s="61"/>
      <c r="M315" s="61"/>
      <c r="Q315" s="51"/>
    </row>
    <row r="316" spans="1:17" x14ac:dyDescent="0.25">
      <c r="L316" s="61"/>
      <c r="M316" s="61"/>
      <c r="Q316" s="51"/>
    </row>
    <row r="317" spans="1:17" x14ac:dyDescent="0.25">
      <c r="L317" s="61"/>
      <c r="M317" s="61"/>
      <c r="Q317" s="51"/>
    </row>
  </sheetData>
  <mergeCells count="2">
    <mergeCell ref="C2:D2"/>
    <mergeCell ref="C3:D3"/>
  </mergeCells>
  <conditionalFormatting sqref="J6:N305">
    <cfRule type="cellIs" dxfId="25" priority="1" operator="lessThanOrEqual">
      <formula>0</formula>
    </cfRule>
  </conditionalFormatting>
  <dataValidations count="1">
    <dataValidation type="list" allowBlank="1" showInputMessage="1" showErrorMessage="1" sqref="C38:C69" xr:uid="{EB300AE2-E78B-42D6-B8A8-6AA31F6B8CEE}">
      <formula1>#REF!</formula1>
    </dataValidation>
  </dataValidations>
  <hyperlinks>
    <hyperlink ref="C2:D2" r:id="rId1" display="WARSZAWA" xr:uid="{CD8C02B2-1D48-4C09-A3EB-567BB734E8B4}"/>
  </hyperlinks>
  <pageMargins left="0.7" right="0.7" top="0.75" bottom="0.75" header="0.3" footer="0.3"/>
  <pageSetup paperSize="9" orientation="portrait"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5C6A3-711F-4ABD-8357-3720E908A38E}">
  <dimension ref="A1:BG169"/>
  <sheetViews>
    <sheetView workbookViewId="0">
      <selection activeCell="D17" sqref="D17"/>
    </sheetView>
  </sheetViews>
  <sheetFormatPr defaultColWidth="11.625" defaultRowHeight="12.9" x14ac:dyDescent="0.2"/>
  <cols>
    <col min="1" max="1" width="6" customWidth="1"/>
    <col min="2" max="2" width="29.25" customWidth="1"/>
    <col min="3" max="3" width="13.875" customWidth="1"/>
    <col min="4" max="4" width="9.125" bestFit="1" customWidth="1"/>
    <col min="5" max="7" width="5.125" customWidth="1"/>
    <col min="8" max="8" width="6.375" bestFit="1" customWidth="1"/>
    <col min="9" max="9" width="5.125" customWidth="1"/>
    <col min="10" max="10" width="6.375" bestFit="1" customWidth="1"/>
    <col min="11" max="11" width="5.125" customWidth="1"/>
    <col min="12" max="12" width="6.375" bestFit="1" customWidth="1"/>
    <col min="13" max="21" width="5.125" customWidth="1"/>
    <col min="22" max="22" width="6.375" bestFit="1" customWidth="1"/>
    <col min="23" max="23" width="2" customWidth="1"/>
    <col min="24" max="28" width="5.125" customWidth="1"/>
    <col min="29" max="29" width="6.375" bestFit="1" customWidth="1"/>
    <col min="30" max="30" width="5.125" customWidth="1"/>
    <col min="31" max="31" width="6.375" bestFit="1" customWidth="1"/>
    <col min="32" max="34" width="5.125" customWidth="1"/>
    <col min="35" max="35" width="6.375" bestFit="1" customWidth="1"/>
    <col min="36" max="38" width="5.125" customWidth="1"/>
    <col min="39" max="39" width="6.375" bestFit="1" customWidth="1"/>
    <col min="40" max="49" width="6.375" customWidth="1"/>
    <col min="50" max="50" width="5.125" customWidth="1"/>
    <col min="51" max="51" width="6.375" bestFit="1" customWidth="1"/>
    <col min="53" max="59" width="3.125" customWidth="1"/>
  </cols>
  <sheetData>
    <row r="1" spans="1:59" ht="13.75" customHeight="1" thickTop="1" x14ac:dyDescent="0.2">
      <c r="A1" s="3"/>
      <c r="B1" s="3"/>
      <c r="C1" s="3"/>
      <c r="D1" s="280" t="s">
        <v>67</v>
      </c>
      <c r="E1" s="280"/>
      <c r="F1" s="280"/>
      <c r="G1" s="280"/>
      <c r="H1" s="280"/>
      <c r="I1" s="280"/>
      <c r="J1" s="280"/>
      <c r="K1" s="280"/>
      <c r="L1" s="280"/>
      <c r="M1" s="280"/>
      <c r="N1" s="280"/>
      <c r="O1" s="280"/>
      <c r="P1" s="280"/>
      <c r="Q1" s="280"/>
      <c r="R1" s="280"/>
      <c r="S1" s="280"/>
      <c r="T1" s="280"/>
      <c r="U1" s="280"/>
      <c r="V1" s="280"/>
      <c r="X1" s="281" t="s">
        <v>68</v>
      </c>
      <c r="Y1" s="282"/>
      <c r="Z1" s="282"/>
      <c r="AA1" s="282"/>
      <c r="AB1" s="282"/>
      <c r="AC1" s="282"/>
      <c r="AD1" s="282"/>
      <c r="AE1" s="282"/>
      <c r="AF1" s="282"/>
      <c r="AG1" s="282"/>
      <c r="AH1" s="282"/>
      <c r="AI1" s="282"/>
      <c r="AJ1" s="282"/>
      <c r="AK1" s="282"/>
      <c r="AL1" s="282"/>
      <c r="AM1" s="282"/>
      <c r="AN1" s="282"/>
      <c r="AO1" s="282"/>
      <c r="AP1" s="282"/>
      <c r="AQ1" s="282"/>
      <c r="AR1" s="282"/>
      <c r="AS1" s="282"/>
      <c r="AT1" s="282"/>
      <c r="AU1" s="282"/>
      <c r="AV1" s="282"/>
      <c r="AW1" s="282"/>
      <c r="AX1" s="282"/>
      <c r="AY1" s="283"/>
    </row>
    <row r="2" spans="1:59" ht="13.75" customHeight="1" x14ac:dyDescent="0.2">
      <c r="A2" s="3"/>
      <c r="B2" s="4" t="s">
        <v>0</v>
      </c>
      <c r="C2" s="3"/>
      <c r="D2" s="280"/>
      <c r="E2" s="280"/>
      <c r="F2" s="280"/>
      <c r="G2" s="280"/>
      <c r="H2" s="280"/>
      <c r="I2" s="280"/>
      <c r="J2" s="280"/>
      <c r="K2" s="280"/>
      <c r="L2" s="280"/>
      <c r="M2" s="280"/>
      <c r="N2" s="280"/>
      <c r="O2" s="280"/>
      <c r="P2" s="280"/>
      <c r="Q2" s="280"/>
      <c r="R2" s="280"/>
      <c r="S2" s="280"/>
      <c r="T2" s="280"/>
      <c r="U2" s="280"/>
      <c r="V2" s="280"/>
      <c r="X2" s="284"/>
      <c r="Y2" s="285"/>
      <c r="Z2" s="285"/>
      <c r="AA2" s="285"/>
      <c r="AB2" s="285"/>
      <c r="AC2" s="285"/>
      <c r="AD2" s="285"/>
      <c r="AE2" s="285"/>
      <c r="AF2" s="285"/>
      <c r="AG2" s="285"/>
      <c r="AH2" s="285"/>
      <c r="AI2" s="285"/>
      <c r="AJ2" s="285"/>
      <c r="AK2" s="285"/>
      <c r="AL2" s="285"/>
      <c r="AM2" s="285"/>
      <c r="AN2" s="285"/>
      <c r="AO2" s="285"/>
      <c r="AP2" s="285"/>
      <c r="AQ2" s="285"/>
      <c r="AR2" s="285"/>
      <c r="AS2" s="285"/>
      <c r="AT2" s="285"/>
      <c r="AU2" s="285"/>
      <c r="AV2" s="285"/>
      <c r="AW2" s="285"/>
      <c r="AX2" s="285"/>
      <c r="AY2" s="286"/>
    </row>
    <row r="3" spans="1:59" ht="13.75" customHeight="1" thickBot="1" x14ac:dyDescent="0.3">
      <c r="A3" s="3"/>
      <c r="B3" s="3"/>
      <c r="C3" s="3"/>
      <c r="D3" s="70" t="s">
        <v>69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X3" s="287"/>
      <c r="Y3" s="288"/>
      <c r="Z3" s="288"/>
      <c r="AA3" s="288"/>
      <c r="AB3" s="288"/>
      <c r="AC3" s="288"/>
      <c r="AD3" s="288"/>
      <c r="AE3" s="288"/>
      <c r="AF3" s="288"/>
      <c r="AG3" s="288"/>
      <c r="AH3" s="288"/>
      <c r="AI3" s="288"/>
      <c r="AJ3" s="288"/>
      <c r="AK3" s="288"/>
      <c r="AL3" s="288"/>
      <c r="AM3" s="288"/>
      <c r="AN3" s="288"/>
      <c r="AO3" s="288"/>
      <c r="AP3" s="288"/>
      <c r="AQ3" s="288"/>
      <c r="AR3" s="288"/>
      <c r="AS3" s="288"/>
      <c r="AT3" s="288"/>
      <c r="AU3" s="288"/>
      <c r="AV3" s="288"/>
      <c r="AW3" s="288"/>
      <c r="AX3" s="288"/>
      <c r="AY3" s="289"/>
    </row>
    <row r="4" spans="1:59" ht="24.8" customHeight="1" thickTop="1" x14ac:dyDescent="0.2">
      <c r="A4" s="294" t="s">
        <v>4</v>
      </c>
      <c r="B4" s="296" t="s">
        <v>5</v>
      </c>
      <c r="C4" s="296" t="s">
        <v>6</v>
      </c>
      <c r="D4" s="296" t="s">
        <v>7</v>
      </c>
      <c r="E4" s="290" t="s">
        <v>8</v>
      </c>
      <c r="F4" s="291"/>
      <c r="G4" s="290" t="s">
        <v>9</v>
      </c>
      <c r="H4" s="291"/>
      <c r="I4" s="290" t="s">
        <v>10</v>
      </c>
      <c r="J4" s="291"/>
      <c r="K4" s="290" t="s">
        <v>11</v>
      </c>
      <c r="L4" s="291"/>
      <c r="M4" s="290" t="s">
        <v>12</v>
      </c>
      <c r="N4" s="291"/>
      <c r="O4" s="261" t="s">
        <v>13</v>
      </c>
      <c r="P4" s="262"/>
      <c r="Q4" s="261" t="s">
        <v>14</v>
      </c>
      <c r="R4" s="262"/>
      <c r="S4" s="261" t="s">
        <v>15</v>
      </c>
      <c r="T4" s="262"/>
      <c r="U4" s="290" t="s">
        <v>16</v>
      </c>
      <c r="V4" s="291"/>
      <c r="X4" s="292" t="s">
        <v>70</v>
      </c>
      <c r="Y4" s="293"/>
      <c r="Z4" s="292" t="s">
        <v>71</v>
      </c>
      <c r="AA4" s="293"/>
      <c r="AB4" s="292" t="s">
        <v>72</v>
      </c>
      <c r="AC4" s="293"/>
      <c r="AD4" s="292" t="s">
        <v>73</v>
      </c>
      <c r="AE4" s="293"/>
      <c r="AF4" s="292" t="s">
        <v>74</v>
      </c>
      <c r="AG4" s="293"/>
      <c r="AH4" s="292" t="s">
        <v>75</v>
      </c>
      <c r="AI4" s="293"/>
      <c r="AJ4" s="292" t="s">
        <v>76</v>
      </c>
      <c r="AK4" s="293"/>
      <c r="AL4" s="292" t="s">
        <v>77</v>
      </c>
      <c r="AM4" s="293"/>
      <c r="AN4" s="292" t="s">
        <v>78</v>
      </c>
      <c r="AO4" s="293"/>
      <c r="AP4" s="292" t="s">
        <v>79</v>
      </c>
      <c r="AQ4" s="293"/>
      <c r="AR4" s="292" t="s">
        <v>80</v>
      </c>
      <c r="AS4" s="293"/>
      <c r="AT4" s="292" t="s">
        <v>81</v>
      </c>
      <c r="AU4" s="293"/>
      <c r="AV4" s="292" t="s">
        <v>82</v>
      </c>
      <c r="AW4" s="293"/>
      <c r="AX4" s="292" t="s">
        <v>83</v>
      </c>
      <c r="AY4" s="293"/>
    </row>
    <row r="5" spans="1:59" ht="18" customHeight="1" x14ac:dyDescent="0.2">
      <c r="A5" s="295"/>
      <c r="B5" s="297"/>
      <c r="C5" s="297"/>
      <c r="D5" s="298"/>
      <c r="E5" s="71" t="s">
        <v>17</v>
      </c>
      <c r="F5" s="71" t="s">
        <v>18</v>
      </c>
      <c r="G5" s="71" t="s">
        <v>17</v>
      </c>
      <c r="H5" s="71" t="s">
        <v>18</v>
      </c>
      <c r="I5" s="71" t="s">
        <v>17</v>
      </c>
      <c r="J5" s="71" t="s">
        <v>18</v>
      </c>
      <c r="K5" s="71" t="s">
        <v>17</v>
      </c>
      <c r="L5" s="71" t="s">
        <v>18</v>
      </c>
      <c r="M5" s="71" t="s">
        <v>17</v>
      </c>
      <c r="N5" s="72" t="s">
        <v>18</v>
      </c>
      <c r="O5" s="2" t="s">
        <v>17</v>
      </c>
      <c r="P5" s="7" t="s">
        <v>18</v>
      </c>
      <c r="Q5" s="2" t="s">
        <v>17</v>
      </c>
      <c r="R5" s="7" t="s">
        <v>18</v>
      </c>
      <c r="S5" s="2" t="s">
        <v>17</v>
      </c>
      <c r="T5" s="7" t="s">
        <v>18</v>
      </c>
      <c r="U5" s="71" t="s">
        <v>17</v>
      </c>
      <c r="V5" s="72" t="s">
        <v>18</v>
      </c>
      <c r="X5" s="73" t="s">
        <v>17</v>
      </c>
      <c r="Y5" s="73" t="s">
        <v>18</v>
      </c>
      <c r="Z5" s="73" t="s">
        <v>17</v>
      </c>
      <c r="AA5" s="73" t="s">
        <v>18</v>
      </c>
      <c r="AB5" s="73" t="s">
        <v>17</v>
      </c>
      <c r="AC5" s="73" t="s">
        <v>18</v>
      </c>
      <c r="AD5" s="73" t="s">
        <v>17</v>
      </c>
      <c r="AE5" s="73" t="s">
        <v>18</v>
      </c>
      <c r="AF5" s="73" t="s">
        <v>17</v>
      </c>
      <c r="AG5" s="73" t="s">
        <v>18</v>
      </c>
      <c r="AH5" s="73" t="s">
        <v>17</v>
      </c>
      <c r="AI5" s="74" t="s">
        <v>18</v>
      </c>
      <c r="AJ5" s="73" t="s">
        <v>17</v>
      </c>
      <c r="AK5" s="74" t="s">
        <v>18</v>
      </c>
      <c r="AL5" s="73" t="s">
        <v>17</v>
      </c>
      <c r="AM5" s="74" t="s">
        <v>18</v>
      </c>
      <c r="AN5" s="73" t="s">
        <v>17</v>
      </c>
      <c r="AO5" s="74" t="s">
        <v>18</v>
      </c>
      <c r="AP5" s="73" t="s">
        <v>17</v>
      </c>
      <c r="AQ5" s="74" t="s">
        <v>18</v>
      </c>
      <c r="AR5" s="73" t="s">
        <v>17</v>
      </c>
      <c r="AS5" s="74" t="s">
        <v>18</v>
      </c>
      <c r="AT5" s="73" t="s">
        <v>17</v>
      </c>
      <c r="AU5" s="74" t="s">
        <v>18</v>
      </c>
      <c r="AV5" s="73" t="s">
        <v>17</v>
      </c>
      <c r="AW5" s="74" t="s">
        <v>18</v>
      </c>
      <c r="AX5" s="73" t="s">
        <v>17</v>
      </c>
      <c r="AY5" s="74" t="s">
        <v>18</v>
      </c>
    </row>
    <row r="6" spans="1:59" ht="14.8" customHeight="1" x14ac:dyDescent="0.25">
      <c r="A6" s="8">
        <f t="shared" ref="A6:A29" si="0">ROW()-5</f>
        <v>1</v>
      </c>
      <c r="B6" s="260" t="s">
        <v>200</v>
      </c>
      <c r="C6" s="258"/>
      <c r="D6" s="75">
        <f>SUM(F6,H6,J6,L6,N6,P6,R6,T6,V6)-SUM(SMALL((F6,H6,J6,L6,N6,P6,R6,T6),1),SMALL((F6,H6,J6,L6,N6,P6,R6,T6),2))+SUM(LARGE((Y6,AA6,AC6,AE6,AG6,AI6,AK6,AM6,AO6,AQ6,AS6,AU6,AW6),1),LARGE((Y6,AA6,AC6,AE6,AG6,AI6,AK6,AM6,AO6,AQ6,AS6,AU6,AW6),2),LARGE((Y6,AA6,AC6,AE6,AG6,AI6,AK6,AM6,AO6,AQ6,AS6,AU6,AW6),3),AY6)</f>
        <v>71</v>
      </c>
      <c r="E6" s="9" t="str">
        <f>_xlfn.XLOOKUP($B6,'GP1'!$C$6:$C$101,'GP1'!$B$6:$B$101,"")</f>
        <v/>
      </c>
      <c r="F6" s="76">
        <f>_xlfn.XLOOKUP(E6,'GP1'!$B$6:$B$55,'GP1'!$A$6:$A$55,0)</f>
        <v>0</v>
      </c>
      <c r="G6" s="9" t="str">
        <f>_xlfn.XLOOKUP($B6,'GP2'!$C$6:$C$101,'GP2'!$B$6:$B$101,"")</f>
        <v/>
      </c>
      <c r="H6" s="76">
        <f>_xlfn.XLOOKUP(G6,'GP2'!$B$6:$B$55,'GP2'!$A$6:$A$55,0)</f>
        <v>0</v>
      </c>
      <c r="I6" s="9" t="str">
        <f>_xlfn.XLOOKUP($B6,'GP3'!$C$6:$C$101,'GP3'!$B$6:$B$101,"")</f>
        <v/>
      </c>
      <c r="J6" s="76">
        <f>_xlfn.XLOOKUP(I6,'GP3'!$B$6:$B$55,'GP3'!$A$6:$A$55,0)</f>
        <v>0</v>
      </c>
      <c r="K6" s="9" t="str">
        <f>_xlfn.XLOOKUP($B6,'GP4'!$C$6:$C$101,'GP4'!$B$6:$B$101,"")</f>
        <v/>
      </c>
      <c r="L6" s="76">
        <f>_xlfn.XLOOKUP(K6,'GP4'!$B$6:$B$55,'GP4'!$A$6:$A$55,0)</f>
        <v>0</v>
      </c>
      <c r="M6" s="9" t="str">
        <f>_xlfn.XLOOKUP($B6,'GP5'!$C$6:$C$101,'GP5'!$B$6:$B$101,"")</f>
        <v/>
      </c>
      <c r="N6" s="126">
        <f>_xlfn.XLOOKUP(M6,'GP5'!$B$6:$B$55,'GP5'!$A$6:$A$55,0)</f>
        <v>0</v>
      </c>
      <c r="O6" s="9" t="str">
        <f>_xlfn.XLOOKUP($B6,'GP6'!$C$6:$C$101,'GP6'!$B$6:$B$101,"")</f>
        <v/>
      </c>
      <c r="P6" s="126">
        <f>_xlfn.XLOOKUP(O6,'GP6'!$B$6:$B$55,'GP6'!$A$6:$A$55,0)</f>
        <v>0</v>
      </c>
      <c r="Q6" s="9" t="str">
        <f>_xlfn.XLOOKUP($B6,'GP7'!$C$6:$C$101,'GP7'!$B$6:$B$101,"")</f>
        <v/>
      </c>
      <c r="R6" s="126">
        <f>_xlfn.XLOOKUP(Q6,'GP7'!$B$6:$B$55,'GP7'!$A$6:$A$55,0)</f>
        <v>0</v>
      </c>
      <c r="S6" s="9" t="str">
        <f>_xlfn.XLOOKUP($B6,'GP8'!$C$6:$C$101,'GP8'!$B$6:$B$101,"")</f>
        <v/>
      </c>
      <c r="T6" s="126">
        <f>_xlfn.XLOOKUP(S6,'GP8'!$B$6:$B$55,'GP8'!$A$6:$A$55,0)</f>
        <v>0</v>
      </c>
      <c r="U6" s="9">
        <f>_xlfn.XLOOKUP($B6,MPW!$C$6:$C$101,MPW!$B$6:$B$101,"")</f>
        <v>1</v>
      </c>
      <c r="V6" s="126">
        <f>_xlfn.XLOOKUP(U6,MPW!$B$6:$B$55,MPW!$A$6:$A$55,0)</f>
        <v>71</v>
      </c>
      <c r="X6" s="9" t="str">
        <f>_xlfn.XLOOKUP($B6,'PEW1'!$C$6:$C$201,'PEW1'!$B$6:$B$201,"")</f>
        <v/>
      </c>
      <c r="Y6" s="77">
        <f>_xlfn.XLOOKUP(X6,'PEW1'!$B$6:$B$201,'PEW1'!$A$6:$A$201,0)</f>
        <v>0</v>
      </c>
      <c r="Z6" s="9" t="str">
        <f>_xlfn.XLOOKUP($B6,'PEW2'!$C$6:$C$201,'PEW2'!$B$6:$B$201,"")</f>
        <v/>
      </c>
      <c r="AA6" s="77">
        <f>_xlfn.XLOOKUP(Z6,'PEW2'!$B$6:$B$201,'PEW2'!$A$6:$A$201,0)</f>
        <v>0</v>
      </c>
      <c r="AB6" s="9" t="str">
        <f>_xlfn.XLOOKUP($B6,'PEW3'!$C$6:$C$201,'PEW3'!$B$6:$B$201,"")</f>
        <v/>
      </c>
      <c r="AC6" s="77">
        <f>_xlfn.XLOOKUP(AB6,'PEW3'!$B$6:$B$201,'PEW3'!$A$6:$A$201,0)</f>
        <v>0</v>
      </c>
      <c r="AD6" s="9" t="str">
        <f>_xlfn.XLOOKUP($B6,VFC!$C$6:$C$201,VFC!$B$6:$B$201,"")</f>
        <v/>
      </c>
      <c r="AE6" s="77">
        <f>_xlfn.XLOOKUP(AD6,VFC!$B$6:$B$201,VFC!$A$6:$A$201,0)</f>
        <v>0</v>
      </c>
      <c r="AF6" s="9" t="str">
        <f>_xlfn.XLOOKUP($B6,'PEW4'!$C$6:$C$201,'PEW4'!$B$6:$B$201,"")</f>
        <v/>
      </c>
      <c r="AG6" s="77">
        <f>_xlfn.XLOOKUP(AF6,'PEW4'!$B$6:$B$201,'PEW4'!$A$6:$A$201,0)</f>
        <v>0</v>
      </c>
      <c r="AH6" s="9" t="str">
        <f>_xlfn.XLOOKUP($B6,'PEW5'!$C$6:$C$201,'PEW5'!$B$6:$B$201,"")</f>
        <v/>
      </c>
      <c r="AI6" s="77">
        <f>_xlfn.XLOOKUP(AH6,'PEW5'!$B$6:$B$201,'PEW5'!$A$6:$A$201,0)</f>
        <v>0</v>
      </c>
      <c r="AJ6" s="9" t="str">
        <f>_xlfn.XLOOKUP($B6,'PEW6'!$C$6:$C$201,'PEW6'!$B$6:$B$201,"")</f>
        <v/>
      </c>
      <c r="AK6" s="77">
        <f>_xlfn.XLOOKUP(AJ6,'PEW6'!$B$6:$B$201,'PEW6'!$A$6:$A$201,0)</f>
        <v>0</v>
      </c>
      <c r="AL6" s="9" t="str">
        <f>_xlfn.XLOOKUP($B6,'PEW7'!$C$6:$C$201,'PEW7'!$B$6:$B$201,"")</f>
        <v/>
      </c>
      <c r="AM6" s="77">
        <f>_xlfn.XLOOKUP(AL6,'PEW7'!$B$6:$B$201,'PEW7'!$A$6:$A$201,0)</f>
        <v>0</v>
      </c>
      <c r="AN6" s="9" t="str">
        <f>_xlfn.XLOOKUP($B6,'PEW8'!$C$6:$C$201,'PEW8'!$B$6:$B$201,"")</f>
        <v/>
      </c>
      <c r="AO6" s="77">
        <f>_xlfn.XLOOKUP(AN6,'PEW8'!$B$6:$B$201,'PEW8'!$A$6:$A$201,0)</f>
        <v>0</v>
      </c>
      <c r="AP6" s="9" t="str">
        <f>_xlfn.XLOOKUP($B6,'PEW9'!$C$6:$C$201,'PEW9'!$B$6:$B$201,"")</f>
        <v/>
      </c>
      <c r="AQ6" s="77">
        <f>_xlfn.XLOOKUP(AP6,'PEW9'!$B$6:$B$201,'PEW9'!$A$6:$A$201,0)</f>
        <v>0</v>
      </c>
      <c r="AR6" s="9" t="str">
        <f>_xlfn.XLOOKUP($B6,'PEW10'!$C$6:$C$201,'PEW10'!$B$6:$B$201,"")</f>
        <v/>
      </c>
      <c r="AS6" s="77">
        <f>_xlfn.XLOOKUP(AR6,'PEW10'!$B$6:$B$201,'PEW10'!$A$6:$A$201,0)</f>
        <v>0</v>
      </c>
      <c r="AT6" s="9" t="str">
        <f>_xlfn.XLOOKUP($B6,'PEW11'!$C$6:$C$201,'PEW11'!$B$6:$B$201,"")</f>
        <v/>
      </c>
      <c r="AU6" s="77">
        <f>_xlfn.XLOOKUP(AT6,'PEW11'!$B$6:$B$201,'PEW11'!$A$6:$A$201,0)</f>
        <v>0</v>
      </c>
      <c r="AV6" s="9" t="str">
        <f>_xlfn.XLOOKUP($B6,'PEW12'!$C$6:$C$201,'PEW12'!$B$6:$B$201,"")</f>
        <v/>
      </c>
      <c r="AW6" s="77">
        <f>_xlfn.XLOOKUP(AV6,'PEW12'!$B$6:$B$201,'PEW12'!$A$6:$A$201,0)</f>
        <v>0</v>
      </c>
      <c r="AX6" s="9" t="str" cm="1">
        <f t="array" ref="AX6">_xlfn.XLOOKUP($B6,IMEW!C$6:C$201,IMEW!$B$6:B$201,"")</f>
        <v/>
      </c>
      <c r="AY6" s="78">
        <f>_xlfn.XLOOKUP(AX6,IMEW!$B$6:$B$201,IMEW!$A$6:$A$201,0)</f>
        <v>0</v>
      </c>
      <c r="BA6" s="79">
        <f t="shared" ref="BA6:BA29" si="1">Y6</f>
        <v>0</v>
      </c>
      <c r="BB6" s="79">
        <f t="shared" ref="BB6:BB29" si="2">AA6</f>
        <v>0</v>
      </c>
      <c r="BC6" s="79">
        <f t="shared" ref="BC6:BC29" si="3">AC6</f>
        <v>0</v>
      </c>
      <c r="BD6" s="79">
        <f t="shared" ref="BD6:BD29" si="4">AG6</f>
        <v>0</v>
      </c>
      <c r="BE6" s="79">
        <f t="shared" ref="BE6:BE29" si="5">AI6</f>
        <v>0</v>
      </c>
      <c r="BF6" s="79">
        <f t="shared" ref="BF6:BF29" si="6">AK6</f>
        <v>0</v>
      </c>
      <c r="BG6" s="79">
        <f t="shared" ref="BG6:BG29" si="7">AM6</f>
        <v>0</v>
      </c>
    </row>
    <row r="7" spans="1:59" ht="14.8" customHeight="1" x14ac:dyDescent="0.25">
      <c r="A7" s="8">
        <f t="shared" si="0"/>
        <v>2</v>
      </c>
      <c r="B7" s="257" t="s">
        <v>19</v>
      </c>
      <c r="C7" s="259"/>
      <c r="D7" s="75">
        <f>SUM(F7,H7,J7,L7,N7,P7,R7,T7,V7)-SUM(SMALL((F7,H7,J7,L7,N7,P7,R7,T7),1),SMALL((F7,H7,J7,L7,N7,P7,R7,T7),2))+SUM(LARGE((Y7,AA7,AC7,AE7,AG7,AI7,AK7,AM7,AO7,AQ7,AS7,AU7,AW7),1),LARGE((Y7,AA7,AC7,AE7,AG7,AI7,AK7,AM7,AO7,AQ7,AS7,AU7,AW7),2),LARGE((Y7,AA7,AC7,AE7,AG7,AI7,AK7,AM7,AO7,AQ7,AS7,AU7,AW7),3),AY7)</f>
        <v>69.271431559243084</v>
      </c>
      <c r="E7" s="9" t="str">
        <f>_xlfn.XLOOKUP($B7,'GP1'!$C$6:$C$101,'GP1'!$B$6:$B$101,"")</f>
        <v/>
      </c>
      <c r="F7" s="76">
        <f>_xlfn.XLOOKUP(E7,'GP1'!$B$6:$B$55,'GP1'!$A$6:$A$55,0)</f>
        <v>0</v>
      </c>
      <c r="G7" s="9">
        <f>_xlfn.XLOOKUP($B7,'GP2'!$C$6:$C$101,'GP2'!$B$6:$B$101,"")</f>
        <v>1</v>
      </c>
      <c r="H7" s="76">
        <f>_xlfn.XLOOKUP(G7,'GP2'!$B$6:$B$55,'GP2'!$A$6:$A$55,0)</f>
        <v>59</v>
      </c>
      <c r="I7" s="9" t="str">
        <f>_xlfn.XLOOKUP($B7,'GP3'!$C$6:$C$101,'GP3'!$B$6:$B$101,"")</f>
        <v/>
      </c>
      <c r="J7" s="76">
        <f>_xlfn.XLOOKUP(I7,'GP3'!$B$6:$B$55,'GP3'!$A$6:$A$55,0)</f>
        <v>0</v>
      </c>
      <c r="K7" s="9" t="str">
        <f>_xlfn.XLOOKUP($B7,'GP4'!$C$6:$C$101,'GP4'!$B$6:$B$101,"")</f>
        <v/>
      </c>
      <c r="L7" s="76">
        <f>_xlfn.XLOOKUP(K7,'GP4'!$B$6:$B$55,'GP4'!$A$6:$A$55,0)</f>
        <v>0</v>
      </c>
      <c r="M7" s="9" t="str">
        <f>_xlfn.XLOOKUP($B7,'GP5'!$C$6:$C$101,'GP5'!$B$6:$B$101,"")</f>
        <v/>
      </c>
      <c r="N7" s="126">
        <f>_xlfn.XLOOKUP(M7,'GP5'!$B$6:$B$55,'GP5'!$A$6:$A$55,0)</f>
        <v>0</v>
      </c>
      <c r="O7" s="9" t="str">
        <f>_xlfn.XLOOKUP($B7,'GP6'!$C$6:$C$101,'GP6'!$B$6:$B$101,"")</f>
        <v/>
      </c>
      <c r="P7" s="126">
        <f>_xlfn.XLOOKUP(O7,'GP6'!$B$6:$B$55,'GP6'!$A$6:$A$55,0)</f>
        <v>0</v>
      </c>
      <c r="Q7" s="9" t="str">
        <f>_xlfn.XLOOKUP($B7,'GP7'!$C$6:$C$101,'GP7'!$B$6:$B$101,"")</f>
        <v/>
      </c>
      <c r="R7" s="126">
        <f>_xlfn.XLOOKUP(Q7,'GP7'!$B$6:$B$55,'GP7'!$A$6:$A$55,0)</f>
        <v>0</v>
      </c>
      <c r="S7" s="9" t="str">
        <f>_xlfn.XLOOKUP($B7,'GP8'!$C$6:$C$101,'GP8'!$B$6:$B$101,"")</f>
        <v/>
      </c>
      <c r="T7" s="126">
        <f>_xlfn.XLOOKUP(S7,'GP8'!$B$6:$B$55,'GP8'!$A$6:$A$55,0)</f>
        <v>0</v>
      </c>
      <c r="U7" s="9">
        <f>_xlfn.XLOOKUP($B7,MPW!$C$6:$C$101,MPW!$B$6:$B$101,"")</f>
        <v>2</v>
      </c>
      <c r="V7" s="126">
        <f>_xlfn.XLOOKUP(U7,MPW!$B$6:$B$55,MPW!$A$6:$A$55,0)</f>
        <v>10.271431559243085</v>
      </c>
      <c r="X7" s="9" t="str">
        <f>_xlfn.XLOOKUP($B7,'PEW1'!$C$6:$C$201,'PEW1'!$B$6:$B$201,"")</f>
        <v/>
      </c>
      <c r="Y7" s="77">
        <f>_xlfn.XLOOKUP(X7,'PEW1'!$B$6:$B$201,'PEW1'!$A$6:$A$201,0)</f>
        <v>0</v>
      </c>
      <c r="Z7" s="9" t="str">
        <f>_xlfn.XLOOKUP($B7,'PEW2'!$C$6:$C$201,'PEW2'!$B$6:$B$201,"")</f>
        <v/>
      </c>
      <c r="AA7" s="77">
        <f>_xlfn.XLOOKUP(Z7,'PEW2'!$B$6:$B$201,'PEW2'!$A$6:$A$201,0)</f>
        <v>0</v>
      </c>
      <c r="AB7" s="9" t="str">
        <f>_xlfn.XLOOKUP($B7,'PEW3'!$C$6:$C$201,'PEW3'!$B$6:$B$201,"")</f>
        <v/>
      </c>
      <c r="AC7" s="77">
        <f>_xlfn.XLOOKUP(AB7,'PEW3'!$B$6:$B$201,'PEW3'!$A$6:$A$201,0)</f>
        <v>0</v>
      </c>
      <c r="AD7" s="9" t="str">
        <f>_xlfn.XLOOKUP($B7,VFC!$C$6:$C$201,VFC!$B$6:$B$201,"")</f>
        <v/>
      </c>
      <c r="AE7" s="77">
        <f>_xlfn.XLOOKUP(AD7,VFC!$B$6:$B$201,VFC!$A$6:$A$201,0)</f>
        <v>0</v>
      </c>
      <c r="AF7" s="9" t="str">
        <f>_xlfn.XLOOKUP($B7,'PEW4'!$C$6:$C$201,'PEW4'!$B$6:$B$201,"")</f>
        <v/>
      </c>
      <c r="AG7" s="77">
        <f>_xlfn.XLOOKUP(AF7,'PEW4'!$B$6:$B$201,'PEW4'!$A$6:$A$201,0)</f>
        <v>0</v>
      </c>
      <c r="AH7" s="9" t="str">
        <f>_xlfn.XLOOKUP($B7,'PEW5'!$C$6:$C$201,'PEW5'!$B$6:$B$201,"")</f>
        <v/>
      </c>
      <c r="AI7" s="77">
        <f>_xlfn.XLOOKUP(AH7,'PEW5'!$B$6:$B$201,'PEW5'!$A$6:$A$201,0)</f>
        <v>0</v>
      </c>
      <c r="AJ7" s="9" t="str">
        <f>_xlfn.XLOOKUP($B7,'PEW6'!$C$6:$C$201,'PEW6'!$B$6:$B$201,"")</f>
        <v/>
      </c>
      <c r="AK7" s="77">
        <f>_xlfn.XLOOKUP(AJ7,'PEW6'!$B$6:$B$201,'PEW6'!$A$6:$A$201,0)</f>
        <v>0</v>
      </c>
      <c r="AL7" s="9" t="str">
        <f>_xlfn.XLOOKUP($B7,'PEW7'!$C$6:$C$201,'PEW7'!$B$6:$B$201,"")</f>
        <v/>
      </c>
      <c r="AM7" s="77">
        <f>_xlfn.XLOOKUP(AL7,'PEW7'!$B$6:$B$201,'PEW7'!$A$6:$A$201,0)</f>
        <v>0</v>
      </c>
      <c r="AN7" s="9" t="str">
        <f>_xlfn.XLOOKUP($B7,'PEW8'!$C$6:$C$201,'PEW8'!$B$6:$B$201,"")</f>
        <v/>
      </c>
      <c r="AO7" s="77">
        <f>_xlfn.XLOOKUP(AN7,'PEW8'!$B$6:$B$201,'PEW8'!$A$6:$A$201,0)</f>
        <v>0</v>
      </c>
      <c r="AP7" s="9" t="str">
        <f>_xlfn.XLOOKUP($B7,'PEW9'!$C$6:$C$201,'PEW9'!$B$6:$B$201,"")</f>
        <v/>
      </c>
      <c r="AQ7" s="77">
        <f>_xlfn.XLOOKUP(AP7,'PEW9'!$B$6:$B$201,'PEW9'!$A$6:$A$201,0)</f>
        <v>0</v>
      </c>
      <c r="AR7" s="9" t="str">
        <f>_xlfn.XLOOKUP($B7,'PEW10'!$C$6:$C$201,'PEW10'!$B$6:$B$201,"")</f>
        <v/>
      </c>
      <c r="AS7" s="77">
        <f>_xlfn.XLOOKUP(AR7,'PEW10'!$B$6:$B$201,'PEW10'!$A$6:$A$201,0)</f>
        <v>0</v>
      </c>
      <c r="AT7" s="9" t="str">
        <f>_xlfn.XLOOKUP($B7,'PEW11'!$C$6:$C$201,'PEW11'!$B$6:$B$201,"")</f>
        <v/>
      </c>
      <c r="AU7" s="77">
        <f>_xlfn.XLOOKUP(AT7,'PEW11'!$B$6:$B$201,'PEW11'!$A$6:$A$201,0)</f>
        <v>0</v>
      </c>
      <c r="AV7" s="9" t="str">
        <f>_xlfn.XLOOKUP($B7,'PEW12'!$C$6:$C$201,'PEW12'!$B$6:$B$201,"")</f>
        <v/>
      </c>
      <c r="AW7" s="77">
        <f>_xlfn.XLOOKUP(AV7,'PEW12'!$B$6:$B$201,'PEW12'!$A$6:$A$201,0)</f>
        <v>0</v>
      </c>
      <c r="AX7" s="9" t="str" cm="1">
        <f t="array" ref="AX7">_xlfn.XLOOKUP($B7,IMEW!C$6:C$201,IMEW!$B$6:B$201,"")</f>
        <v/>
      </c>
      <c r="AY7" s="78">
        <f>_xlfn.XLOOKUP(AX7,IMEW!$B$6:$B$201,IMEW!$A$6:$A$201,0)</f>
        <v>0</v>
      </c>
      <c r="BA7" s="79">
        <f t="shared" si="1"/>
        <v>0</v>
      </c>
      <c r="BB7" s="79">
        <f t="shared" si="2"/>
        <v>0</v>
      </c>
      <c r="BC7" s="79">
        <f t="shared" si="3"/>
        <v>0</v>
      </c>
      <c r="BD7" s="79">
        <f t="shared" si="4"/>
        <v>0</v>
      </c>
      <c r="BE7" s="79">
        <f t="shared" si="5"/>
        <v>0</v>
      </c>
      <c r="BF7" s="79">
        <f t="shared" si="6"/>
        <v>0</v>
      </c>
      <c r="BG7" s="79">
        <f t="shared" si="7"/>
        <v>0</v>
      </c>
    </row>
    <row r="8" spans="1:59" ht="15.8" customHeight="1" x14ac:dyDescent="0.25">
      <c r="A8" s="8">
        <f t="shared" si="0"/>
        <v>3</v>
      </c>
      <c r="B8" s="10"/>
      <c r="C8" s="11"/>
      <c r="D8" s="75">
        <f>SUM(F8,H8,J8,L8,N8,P8,R8,T8,V8)-SUM(SMALL((F8,H8,J8,L8,N8,P8,R8,T8),1),SMALL((F8,H8,J8,L8,N8,P8,R8,T8),2))+SUM(LARGE((Y8,AA8,AC8,AE8,AG8,AI8,AK8,AM8,AO8,AQ8,AS8,AU8,AW8),1),LARGE((Y8,AA8,AC8,AE8,AG8,AI8,AK8,AM8,AO8,AQ8,AS8,AU8,AW8),2),LARGE((Y8,AA8,AC8,AE8,AG8,AI8,AK8,AM8,AO8,AQ8,AS8,AU8,AW8),3),AY8)</f>
        <v>0</v>
      </c>
      <c r="E8" s="9" t="str">
        <f>_xlfn.XLOOKUP($B8,'GP1'!$C$6:$C$101,'GP1'!$B$6:$B$101,"")</f>
        <v/>
      </c>
      <c r="F8" s="76">
        <f>_xlfn.XLOOKUP(E8,'GP1'!$B$6:$B$55,'GP1'!$A$6:$A$55,0)</f>
        <v>0</v>
      </c>
      <c r="G8" s="9" t="str">
        <f>_xlfn.XLOOKUP($B8,'GP2'!$C$6:$C$101,'GP2'!$B$6:$B$101,"")</f>
        <v/>
      </c>
      <c r="H8" s="76">
        <f>_xlfn.XLOOKUP(G8,'GP2'!$B$6:$B$55,'GP2'!$A$6:$A$55,0)</f>
        <v>0</v>
      </c>
      <c r="I8" s="9" t="str">
        <f>_xlfn.XLOOKUP($B8,'GP3'!$C$6:$C$101,'GP3'!$B$6:$B$101,"")</f>
        <v/>
      </c>
      <c r="J8" s="76">
        <f>_xlfn.XLOOKUP(I8,'GP3'!$B$6:$B$55,'GP3'!$A$6:$A$55,0)</f>
        <v>0</v>
      </c>
      <c r="K8" s="9" t="str">
        <f>_xlfn.XLOOKUP($B8,'GP4'!$C$6:$C$101,'GP4'!$B$6:$B$101,"")</f>
        <v/>
      </c>
      <c r="L8" s="76">
        <f>_xlfn.XLOOKUP(K8,'GP4'!$B$6:$B$55,'GP4'!$A$6:$A$55,0)</f>
        <v>0</v>
      </c>
      <c r="M8" s="9" t="str">
        <f>_xlfn.XLOOKUP($B8,'GP5'!$C$6:$C$101,'GP5'!$B$6:$B$101,"")</f>
        <v/>
      </c>
      <c r="N8" s="126">
        <f>_xlfn.XLOOKUP(M8,'GP5'!$B$6:$B$55,'GP5'!$A$6:$A$55,0)</f>
        <v>0</v>
      </c>
      <c r="O8" s="9" t="str">
        <f>_xlfn.XLOOKUP($B8,'GP6'!$C$6:$C$101,'GP6'!$B$6:$B$101,"")</f>
        <v/>
      </c>
      <c r="P8" s="126">
        <f>_xlfn.XLOOKUP(O8,'GP6'!$B$6:$B$55,'GP6'!$A$6:$A$55,0)</f>
        <v>0</v>
      </c>
      <c r="Q8" s="9" t="str">
        <f>_xlfn.XLOOKUP($B8,'GP7'!$C$6:$C$101,'GP7'!$B$6:$B$101,"")</f>
        <v/>
      </c>
      <c r="R8" s="126">
        <f>_xlfn.XLOOKUP(Q8,'GP7'!$B$6:$B$55,'GP7'!$A$6:$A$55,0)</f>
        <v>0</v>
      </c>
      <c r="S8" s="9" t="str">
        <f>_xlfn.XLOOKUP($B8,'GP8'!$C$6:$C$101,'GP8'!$B$6:$B$101,"")</f>
        <v/>
      </c>
      <c r="T8" s="126">
        <f>_xlfn.XLOOKUP(S8,'GP8'!$B$6:$B$55,'GP8'!$A$6:$A$55,0)</f>
        <v>0</v>
      </c>
      <c r="U8" s="9" t="str">
        <f>_xlfn.XLOOKUP($B8,MPW!$C$6:$C$101,MPW!$B$6:$B$101,"")</f>
        <v/>
      </c>
      <c r="V8" s="126">
        <f>_xlfn.XLOOKUP(U8,MPW!$B$6:$B$55,MPW!$A$6:$A$55,0)</f>
        <v>0</v>
      </c>
      <c r="X8" s="9" t="str">
        <f>_xlfn.XLOOKUP($B8,'PEW1'!$C$6:$C$201,'PEW1'!$B$6:$B$201,"")</f>
        <v/>
      </c>
      <c r="Y8" s="77">
        <f>_xlfn.XLOOKUP(X8,'PEW1'!$B$6:$B$201,'PEW1'!$A$6:$A$201,0)</f>
        <v>0</v>
      </c>
      <c r="Z8" s="9" t="str">
        <f>_xlfn.XLOOKUP($B8,'PEW2'!$C$6:$C$201,'PEW2'!$B$6:$B$201,"")</f>
        <v/>
      </c>
      <c r="AA8" s="77">
        <f>_xlfn.XLOOKUP(Z8,'PEW2'!$B$6:$B$201,'PEW2'!$A$6:$A$201,0)</f>
        <v>0</v>
      </c>
      <c r="AB8" s="9" t="str">
        <f>_xlfn.XLOOKUP($B8,'PEW3'!$C$6:$C$201,'PEW3'!$B$6:$B$201,"")</f>
        <v/>
      </c>
      <c r="AC8" s="77">
        <f>_xlfn.XLOOKUP(AB8,'PEW3'!$B$6:$B$201,'PEW3'!$A$6:$A$201,0)</f>
        <v>0</v>
      </c>
      <c r="AD8" s="9" t="str">
        <f>_xlfn.XLOOKUP($B8,VFC!$C$6:$C$201,VFC!$B$6:$B$201,"")</f>
        <v/>
      </c>
      <c r="AE8" s="77">
        <f>_xlfn.XLOOKUP(AD8,VFC!$B$6:$B$201,VFC!$A$6:$A$201,0)</f>
        <v>0</v>
      </c>
      <c r="AF8" s="9" t="str">
        <f>_xlfn.XLOOKUP($B8,'PEW4'!$C$6:$C$201,'PEW4'!$B$6:$B$201,"")</f>
        <v/>
      </c>
      <c r="AG8" s="77">
        <f>_xlfn.XLOOKUP(AF8,'PEW4'!$B$6:$B$201,'PEW4'!$A$6:$A$201,0)</f>
        <v>0</v>
      </c>
      <c r="AH8" s="9" t="str">
        <f>_xlfn.XLOOKUP($B8,'PEW5'!$C$6:$C$201,'PEW5'!$B$6:$B$201,"")</f>
        <v/>
      </c>
      <c r="AI8" s="77">
        <f>_xlfn.XLOOKUP(AH8,'PEW5'!$B$6:$B$201,'PEW5'!$A$6:$A$201,0)</f>
        <v>0</v>
      </c>
      <c r="AJ8" s="9" t="str">
        <f>_xlfn.XLOOKUP($B8,'PEW6'!$C$6:$C$201,'PEW6'!$B$6:$B$201,"")</f>
        <v/>
      </c>
      <c r="AK8" s="77">
        <f>_xlfn.XLOOKUP(AJ8,'PEW6'!$B$6:$B$201,'PEW6'!$A$6:$A$201,0)</f>
        <v>0</v>
      </c>
      <c r="AL8" s="9" t="str">
        <f>_xlfn.XLOOKUP($B8,'PEW7'!$C$6:$C$201,'PEW7'!$B$6:$B$201,"")</f>
        <v/>
      </c>
      <c r="AM8" s="77">
        <f>_xlfn.XLOOKUP(AL8,'PEW7'!$B$6:$B$201,'PEW7'!$A$6:$A$201,0)</f>
        <v>0</v>
      </c>
      <c r="AN8" s="9" t="str">
        <f>_xlfn.XLOOKUP($B8,'PEW8'!$C$6:$C$201,'PEW8'!$B$6:$B$201,"")</f>
        <v/>
      </c>
      <c r="AO8" s="77">
        <f>_xlfn.XLOOKUP(AN8,'PEW8'!$B$6:$B$201,'PEW8'!$A$6:$A$201,0)</f>
        <v>0</v>
      </c>
      <c r="AP8" s="9" t="str">
        <f>_xlfn.XLOOKUP($B8,'PEW9'!$C$6:$C$201,'PEW9'!$B$6:$B$201,"")</f>
        <v/>
      </c>
      <c r="AQ8" s="77">
        <f>_xlfn.XLOOKUP(AP8,'PEW9'!$B$6:$B$201,'PEW9'!$A$6:$A$201,0)</f>
        <v>0</v>
      </c>
      <c r="AR8" s="9" t="str">
        <f>_xlfn.XLOOKUP($B8,'PEW10'!$C$6:$C$201,'PEW10'!$B$6:$B$201,"")</f>
        <v/>
      </c>
      <c r="AS8" s="77">
        <f>_xlfn.XLOOKUP(AR8,'PEW10'!$B$6:$B$201,'PEW10'!$A$6:$A$201,0)</f>
        <v>0</v>
      </c>
      <c r="AT8" s="9" t="str">
        <f>_xlfn.XLOOKUP($B8,'PEW11'!$C$6:$C$201,'PEW11'!$B$6:$B$201,"")</f>
        <v/>
      </c>
      <c r="AU8" s="77">
        <f>_xlfn.XLOOKUP(AT8,'PEW11'!$B$6:$B$201,'PEW11'!$A$6:$A$201,0)</f>
        <v>0</v>
      </c>
      <c r="AV8" s="9" t="str">
        <f>_xlfn.XLOOKUP($B8,'PEW12'!$C$6:$C$201,'PEW12'!$B$6:$B$201,"")</f>
        <v/>
      </c>
      <c r="AW8" s="77">
        <f>_xlfn.XLOOKUP(AV8,'PEW12'!$B$6:$B$201,'PEW12'!$A$6:$A$201,0)</f>
        <v>0</v>
      </c>
      <c r="AX8" s="9" t="str" cm="1">
        <f t="array" ref="AX8">_xlfn.XLOOKUP($B8,IMEW!C$6:C$201,IMEW!$B$6:B$201,"")</f>
        <v/>
      </c>
      <c r="AY8" s="78">
        <f>_xlfn.XLOOKUP(AX8,IMEW!$B$6:$B$201,IMEW!$A$6:$A$201,0)</f>
        <v>0</v>
      </c>
      <c r="BA8" s="79">
        <f t="shared" si="1"/>
        <v>0</v>
      </c>
      <c r="BB8" s="79">
        <f t="shared" si="2"/>
        <v>0</v>
      </c>
      <c r="BC8" s="79">
        <f t="shared" si="3"/>
        <v>0</v>
      </c>
      <c r="BD8" s="79">
        <f t="shared" si="4"/>
        <v>0</v>
      </c>
      <c r="BE8" s="79">
        <f t="shared" si="5"/>
        <v>0</v>
      </c>
      <c r="BF8" s="79">
        <f t="shared" si="6"/>
        <v>0</v>
      </c>
      <c r="BG8" s="79">
        <f t="shared" si="7"/>
        <v>0</v>
      </c>
    </row>
    <row r="9" spans="1:59" ht="14.8" customHeight="1" x14ac:dyDescent="0.25">
      <c r="A9" s="8">
        <f t="shared" si="0"/>
        <v>4</v>
      </c>
      <c r="B9" s="10"/>
      <c r="C9" s="11"/>
      <c r="D9" s="75">
        <f>SUM(F9,H9,J9,L9,N9,P9,R9,T9,V9)-SUM(SMALL((F9,H9,J9,L9,N9,P9,R9,T9),1),SMALL((F9,H9,J9,L9,N9,P9,R9,T9),2))+SUM(LARGE((Y9,AA9,AC9,AE9,AG9,AI9,AK9,AM9,AO9,AQ9,AS9,AU9,AW9),1),LARGE((Y9,AA9,AC9,AE9,AG9,AI9,AK9,AM9,AO9,AQ9,AS9,AU9,AW9),2),LARGE((Y9,AA9,AC9,AE9,AG9,AI9,AK9,AM9,AO9,AQ9,AS9,AU9,AW9),3),AY9)</f>
        <v>0</v>
      </c>
      <c r="E9" s="9" t="str">
        <f>_xlfn.XLOOKUP($B9,'GP1'!$C$6:$C$101,'GP1'!$B$6:$B$101,"")</f>
        <v/>
      </c>
      <c r="F9" s="76">
        <f>_xlfn.XLOOKUP(E9,'GP1'!$B$6:$B$55,'GP1'!$A$6:$A$55,0)</f>
        <v>0</v>
      </c>
      <c r="G9" s="9" t="str">
        <f>_xlfn.XLOOKUP($B9,'GP2'!$C$6:$C$101,'GP2'!$B$6:$B$101,"")</f>
        <v/>
      </c>
      <c r="H9" s="76">
        <f>_xlfn.XLOOKUP(G9,'GP2'!$B$6:$B$55,'GP2'!$A$6:$A$55,0)</f>
        <v>0</v>
      </c>
      <c r="I9" s="9" t="str">
        <f>_xlfn.XLOOKUP($B9,'GP3'!$C$6:$C$101,'GP3'!$B$6:$B$101,"")</f>
        <v/>
      </c>
      <c r="J9" s="76">
        <f>_xlfn.XLOOKUP(I9,'GP3'!$B$6:$B$55,'GP3'!$A$6:$A$55,0)</f>
        <v>0</v>
      </c>
      <c r="K9" s="9" t="str">
        <f>_xlfn.XLOOKUP($B9,'GP4'!$C$6:$C$101,'GP4'!$B$6:$B$101,"")</f>
        <v/>
      </c>
      <c r="L9" s="76">
        <f>_xlfn.XLOOKUP(K9,'GP4'!$B$6:$B$55,'GP4'!$A$6:$A$55,0)</f>
        <v>0</v>
      </c>
      <c r="M9" s="9" t="str">
        <f>_xlfn.XLOOKUP($B9,'GP5'!$C$6:$C$101,'GP5'!$B$6:$B$101,"")</f>
        <v/>
      </c>
      <c r="N9" s="126">
        <f>_xlfn.XLOOKUP(M9,'GP5'!$B$6:$B$55,'GP5'!$A$6:$A$55,0)</f>
        <v>0</v>
      </c>
      <c r="O9" s="9" t="str">
        <f>_xlfn.XLOOKUP($B9,'GP6'!$C$6:$C$101,'GP6'!$B$6:$B$101,"")</f>
        <v/>
      </c>
      <c r="P9" s="126">
        <f>_xlfn.XLOOKUP(O9,'GP6'!$B$6:$B$55,'GP6'!$A$6:$A$55,0)</f>
        <v>0</v>
      </c>
      <c r="Q9" s="9" t="str">
        <f>_xlfn.XLOOKUP($B9,'GP7'!$C$6:$C$101,'GP7'!$B$6:$B$101,"")</f>
        <v/>
      </c>
      <c r="R9" s="126">
        <f>_xlfn.XLOOKUP(Q9,'GP7'!$B$6:$B$55,'GP7'!$A$6:$A$55,0)</f>
        <v>0</v>
      </c>
      <c r="S9" s="9" t="str">
        <f>_xlfn.XLOOKUP($B9,'GP8'!$C$6:$C$101,'GP8'!$B$6:$B$101,"")</f>
        <v/>
      </c>
      <c r="T9" s="126">
        <f>_xlfn.XLOOKUP(S9,'GP8'!$B$6:$B$55,'GP8'!$A$6:$A$55,0)</f>
        <v>0</v>
      </c>
      <c r="U9" s="9" t="str">
        <f>_xlfn.XLOOKUP($B9,MPW!$C$6:$C$101,MPW!$B$6:$B$101,"")</f>
        <v/>
      </c>
      <c r="V9" s="126">
        <f>_xlfn.XLOOKUP(U9,MPW!$B$6:$B$55,MPW!$A$6:$A$55,0)</f>
        <v>0</v>
      </c>
      <c r="X9" s="9" t="str">
        <f>_xlfn.XLOOKUP($B9,'PEW1'!$C$6:$C$201,'PEW1'!$B$6:$B$201,"")</f>
        <v/>
      </c>
      <c r="Y9" s="77">
        <f>_xlfn.XLOOKUP(X9,'PEW1'!$B$6:$B$201,'PEW1'!$A$6:$A$201,0)</f>
        <v>0</v>
      </c>
      <c r="Z9" s="9" t="str">
        <f>_xlfn.XLOOKUP($B9,'PEW2'!$C$6:$C$201,'PEW2'!$B$6:$B$201,"")</f>
        <v/>
      </c>
      <c r="AA9" s="77">
        <f>_xlfn.XLOOKUP(Z9,'PEW2'!$B$6:$B$201,'PEW2'!$A$6:$A$201,0)</f>
        <v>0</v>
      </c>
      <c r="AB9" s="9" t="str">
        <f>_xlfn.XLOOKUP($B9,'PEW3'!$C$6:$C$201,'PEW3'!$B$6:$B$201,"")</f>
        <v/>
      </c>
      <c r="AC9" s="77">
        <f>_xlfn.XLOOKUP(AB9,'PEW3'!$B$6:$B$201,'PEW3'!$A$6:$A$201,0)</f>
        <v>0</v>
      </c>
      <c r="AD9" s="9" t="str">
        <f>_xlfn.XLOOKUP($B9,VFC!$C$6:$C$201,VFC!$B$6:$B$201,"")</f>
        <v/>
      </c>
      <c r="AE9" s="77">
        <f>_xlfn.XLOOKUP(AD9,VFC!$B$6:$B$201,VFC!$A$6:$A$201,0)</f>
        <v>0</v>
      </c>
      <c r="AF9" s="9" t="str">
        <f>_xlfn.XLOOKUP($B9,'PEW4'!$C$6:$C$201,'PEW4'!$B$6:$B$201,"")</f>
        <v/>
      </c>
      <c r="AG9" s="77">
        <f>_xlfn.XLOOKUP(AF9,'PEW4'!$B$6:$B$201,'PEW4'!$A$6:$A$201,0)</f>
        <v>0</v>
      </c>
      <c r="AH9" s="9" t="str">
        <f>_xlfn.XLOOKUP($B9,'PEW5'!$C$6:$C$201,'PEW5'!$B$6:$B$201,"")</f>
        <v/>
      </c>
      <c r="AI9" s="77">
        <f>_xlfn.XLOOKUP(AH9,'PEW5'!$B$6:$B$201,'PEW5'!$A$6:$A$201,0)</f>
        <v>0</v>
      </c>
      <c r="AJ9" s="9" t="str">
        <f>_xlfn.XLOOKUP($B9,'PEW6'!$C$6:$C$201,'PEW6'!$B$6:$B$201,"")</f>
        <v/>
      </c>
      <c r="AK9" s="77">
        <f>_xlfn.XLOOKUP(AJ9,'PEW6'!$B$6:$B$201,'PEW6'!$A$6:$A$201,0)</f>
        <v>0</v>
      </c>
      <c r="AL9" s="9" t="str">
        <f>_xlfn.XLOOKUP($B9,'PEW7'!$C$6:$C$201,'PEW7'!$B$6:$B$201,"")</f>
        <v/>
      </c>
      <c r="AM9" s="77">
        <f>_xlfn.XLOOKUP(AL9,'PEW7'!$B$6:$B$201,'PEW7'!$A$6:$A$201,0)</f>
        <v>0</v>
      </c>
      <c r="AN9" s="9" t="str">
        <f>_xlfn.XLOOKUP($B9,'PEW8'!$C$6:$C$201,'PEW8'!$B$6:$B$201,"")</f>
        <v/>
      </c>
      <c r="AO9" s="77">
        <f>_xlfn.XLOOKUP(AN9,'PEW8'!$B$6:$B$201,'PEW8'!$A$6:$A$201,0)</f>
        <v>0</v>
      </c>
      <c r="AP9" s="9" t="str">
        <f>_xlfn.XLOOKUP($B9,'PEW9'!$C$6:$C$201,'PEW9'!$B$6:$B$201,"")</f>
        <v/>
      </c>
      <c r="AQ9" s="77">
        <f>_xlfn.XLOOKUP(AP9,'PEW9'!$B$6:$B$201,'PEW9'!$A$6:$A$201,0)</f>
        <v>0</v>
      </c>
      <c r="AR9" s="9" t="str">
        <f>_xlfn.XLOOKUP($B9,'PEW10'!$C$6:$C$201,'PEW10'!$B$6:$B$201,"")</f>
        <v/>
      </c>
      <c r="AS9" s="77">
        <f>_xlfn.XLOOKUP(AR9,'PEW10'!$B$6:$B$201,'PEW10'!$A$6:$A$201,0)</f>
        <v>0</v>
      </c>
      <c r="AT9" s="9" t="str">
        <f>_xlfn.XLOOKUP($B9,'PEW11'!$C$6:$C$201,'PEW11'!$B$6:$B$201,"")</f>
        <v/>
      </c>
      <c r="AU9" s="77">
        <f>_xlfn.XLOOKUP(AT9,'PEW11'!$B$6:$B$201,'PEW11'!$A$6:$A$201,0)</f>
        <v>0</v>
      </c>
      <c r="AV9" s="9" t="str">
        <f>_xlfn.XLOOKUP($B9,'PEW12'!$C$6:$C$201,'PEW12'!$B$6:$B$201,"")</f>
        <v/>
      </c>
      <c r="AW9" s="77">
        <f>_xlfn.XLOOKUP(AV9,'PEW12'!$B$6:$B$201,'PEW12'!$A$6:$A$201,0)</f>
        <v>0</v>
      </c>
      <c r="AX9" s="9" t="str" cm="1">
        <f t="array" ref="AX9">_xlfn.XLOOKUP($B9,IMEW!C$6:C$201,IMEW!$B$6:B$201,"")</f>
        <v/>
      </c>
      <c r="AY9" s="78">
        <f>_xlfn.XLOOKUP(AX9,IMEW!$B$6:$B$201,IMEW!$A$6:$A$201,0)</f>
        <v>0</v>
      </c>
      <c r="BA9" s="79">
        <f t="shared" si="1"/>
        <v>0</v>
      </c>
      <c r="BB9" s="79">
        <f t="shared" si="2"/>
        <v>0</v>
      </c>
      <c r="BC9" s="79">
        <f t="shared" si="3"/>
        <v>0</v>
      </c>
      <c r="BD9" s="79">
        <f t="shared" si="4"/>
        <v>0</v>
      </c>
      <c r="BE9" s="79">
        <f t="shared" si="5"/>
        <v>0</v>
      </c>
      <c r="BF9" s="79">
        <f t="shared" si="6"/>
        <v>0</v>
      </c>
      <c r="BG9" s="79">
        <f t="shared" si="7"/>
        <v>0</v>
      </c>
    </row>
    <row r="10" spans="1:59" ht="14.8" customHeight="1" x14ac:dyDescent="0.25">
      <c r="A10" s="8">
        <f t="shared" si="0"/>
        <v>5</v>
      </c>
      <c r="B10" s="10"/>
      <c r="C10" s="11"/>
      <c r="D10" s="75">
        <f>SUM(F10,H10,J10,L10,N10,P10,R10,T10,V10)-SUM(SMALL((F10,H10,J10,L10,N10,P10,R10,T10),1),SMALL((F10,H10,J10,L10,N10,P10,R10,T10),2))+SUM(LARGE((Y10,AA10,AC10,AE10,AG10,AI10,AK10,AM10,AO10,AQ10,AS10,AU10,AW10),1),LARGE((Y10,AA10,AC10,AE10,AG10,AI10,AK10,AM10,AO10,AQ10,AS10,AU10,AW10),2),LARGE((Y10,AA10,AC10,AE10,AG10,AI10,AK10,AM10,AO10,AQ10,AS10,AU10,AW10),3),AY10)</f>
        <v>0</v>
      </c>
      <c r="E10" s="9" t="str">
        <f>_xlfn.XLOOKUP($B10,'GP1'!$C$6:$C$101,'GP1'!$B$6:$B$101,"")</f>
        <v/>
      </c>
      <c r="F10" s="76">
        <f>_xlfn.XLOOKUP(E10,'GP1'!$B$6:$B$55,'GP1'!$A$6:$A$55,0)</f>
        <v>0</v>
      </c>
      <c r="G10" s="9" t="str">
        <f>_xlfn.XLOOKUP($B10,'GP2'!$C$6:$C$101,'GP2'!$B$6:$B$101,"")</f>
        <v/>
      </c>
      <c r="H10" s="76">
        <f>_xlfn.XLOOKUP(G10,'GP2'!$B$6:$B$55,'GP2'!$A$6:$A$55,0)</f>
        <v>0</v>
      </c>
      <c r="I10" s="9" t="str">
        <f>_xlfn.XLOOKUP($B10,'GP3'!$C$6:$C$101,'GP3'!$B$6:$B$101,"")</f>
        <v/>
      </c>
      <c r="J10" s="76">
        <f>_xlfn.XLOOKUP(I10,'GP3'!$B$6:$B$55,'GP3'!$A$6:$A$55,0)</f>
        <v>0</v>
      </c>
      <c r="K10" s="9" t="str">
        <f>_xlfn.XLOOKUP($B10,'GP4'!$C$6:$C$101,'GP4'!$B$6:$B$101,"")</f>
        <v/>
      </c>
      <c r="L10" s="76">
        <f>_xlfn.XLOOKUP(K10,'GP4'!$B$6:$B$55,'GP4'!$A$6:$A$55,0)</f>
        <v>0</v>
      </c>
      <c r="M10" s="9" t="str">
        <f>_xlfn.XLOOKUP($B10,'GP5'!$C$6:$C$101,'GP5'!$B$6:$B$101,"")</f>
        <v/>
      </c>
      <c r="N10" s="126">
        <f>_xlfn.XLOOKUP(M10,'GP5'!$B$6:$B$55,'GP5'!$A$6:$A$55,0)</f>
        <v>0</v>
      </c>
      <c r="O10" s="9" t="str">
        <f>_xlfn.XLOOKUP($B10,'GP6'!$C$6:$C$101,'GP6'!$B$6:$B$101,"")</f>
        <v/>
      </c>
      <c r="P10" s="126">
        <f>_xlfn.XLOOKUP(O10,'GP6'!$B$6:$B$55,'GP6'!$A$6:$A$55,0)</f>
        <v>0</v>
      </c>
      <c r="Q10" s="9" t="str">
        <f>_xlfn.XLOOKUP($B10,'GP7'!$C$6:$C$101,'GP7'!$B$6:$B$101,"")</f>
        <v/>
      </c>
      <c r="R10" s="126">
        <f>_xlfn.XLOOKUP(Q10,'GP7'!$B$6:$B$55,'GP7'!$A$6:$A$55,0)</f>
        <v>0</v>
      </c>
      <c r="S10" s="9" t="str">
        <f>_xlfn.XLOOKUP($B10,'GP8'!$C$6:$C$101,'GP8'!$B$6:$B$101,"")</f>
        <v/>
      </c>
      <c r="T10" s="126">
        <f>_xlfn.XLOOKUP(S10,'GP8'!$B$6:$B$55,'GP8'!$A$6:$A$55,0)</f>
        <v>0</v>
      </c>
      <c r="U10" s="9" t="str">
        <f>_xlfn.XLOOKUP($B10,MPW!$C$6:$C$101,MPW!$B$6:$B$101,"")</f>
        <v/>
      </c>
      <c r="V10" s="126">
        <f>_xlfn.XLOOKUP(U10,MPW!$B$6:$B$55,MPW!$A$6:$A$55,0)</f>
        <v>0</v>
      </c>
      <c r="X10" s="9" t="str">
        <f>_xlfn.XLOOKUP($B10,'PEW1'!$C$6:$C$201,'PEW1'!$B$6:$B$201,"")</f>
        <v/>
      </c>
      <c r="Y10" s="77">
        <f>_xlfn.XLOOKUP(X10,'PEW1'!$B$6:$B$201,'PEW1'!$A$6:$A$201,0)</f>
        <v>0</v>
      </c>
      <c r="Z10" s="9" t="str">
        <f>_xlfn.XLOOKUP($B10,'PEW2'!$C$6:$C$201,'PEW2'!$B$6:$B$201,"")</f>
        <v/>
      </c>
      <c r="AA10" s="77">
        <f>_xlfn.XLOOKUP(Z10,'PEW2'!$B$6:$B$201,'PEW2'!$A$6:$A$201,0)</f>
        <v>0</v>
      </c>
      <c r="AB10" s="9" t="str">
        <f>_xlfn.XLOOKUP($B10,'PEW3'!$C$6:$C$201,'PEW3'!$B$6:$B$201,"")</f>
        <v/>
      </c>
      <c r="AC10" s="77">
        <f>_xlfn.XLOOKUP(AB10,'PEW3'!$B$6:$B$201,'PEW3'!$A$6:$A$201,0)</f>
        <v>0</v>
      </c>
      <c r="AD10" s="9" t="str">
        <f>_xlfn.XLOOKUP($B10,VFC!$C$6:$C$201,VFC!$B$6:$B$201,"")</f>
        <v/>
      </c>
      <c r="AE10" s="77">
        <f>_xlfn.XLOOKUP(AD10,VFC!$B$6:$B$201,VFC!$A$6:$A$201,0)</f>
        <v>0</v>
      </c>
      <c r="AF10" s="9" t="str">
        <f>_xlfn.XLOOKUP($B10,'PEW4'!$C$6:$C$201,'PEW4'!$B$6:$B$201,"")</f>
        <v/>
      </c>
      <c r="AG10" s="77">
        <f>_xlfn.XLOOKUP(AF10,'PEW4'!$B$6:$B$201,'PEW4'!$A$6:$A$201,0)</f>
        <v>0</v>
      </c>
      <c r="AH10" s="9" t="str">
        <f>_xlfn.XLOOKUP($B10,'PEW5'!$C$6:$C$201,'PEW5'!$B$6:$B$201,"")</f>
        <v/>
      </c>
      <c r="AI10" s="77">
        <f>_xlfn.XLOOKUP(AH10,'PEW5'!$B$6:$B$201,'PEW5'!$A$6:$A$201,0)</f>
        <v>0</v>
      </c>
      <c r="AJ10" s="9" t="str">
        <f>_xlfn.XLOOKUP($B10,'PEW6'!$C$6:$C$201,'PEW6'!$B$6:$B$201,"")</f>
        <v/>
      </c>
      <c r="AK10" s="77">
        <f>_xlfn.XLOOKUP(AJ10,'PEW6'!$B$6:$B$201,'PEW6'!$A$6:$A$201,0)</f>
        <v>0</v>
      </c>
      <c r="AL10" s="9" t="str">
        <f>_xlfn.XLOOKUP($B10,'PEW7'!$C$6:$C$201,'PEW7'!$B$6:$B$201,"")</f>
        <v/>
      </c>
      <c r="AM10" s="77">
        <f>_xlfn.XLOOKUP(AL10,'PEW7'!$B$6:$B$201,'PEW7'!$A$6:$A$201,0)</f>
        <v>0</v>
      </c>
      <c r="AN10" s="9" t="str">
        <f>_xlfn.XLOOKUP($B10,'PEW8'!$C$6:$C$201,'PEW8'!$B$6:$B$201,"")</f>
        <v/>
      </c>
      <c r="AO10" s="77">
        <f>_xlfn.XLOOKUP(AN10,'PEW8'!$B$6:$B$201,'PEW8'!$A$6:$A$201,0)</f>
        <v>0</v>
      </c>
      <c r="AP10" s="9" t="str">
        <f>_xlfn.XLOOKUP($B10,'PEW9'!$C$6:$C$201,'PEW9'!$B$6:$B$201,"")</f>
        <v/>
      </c>
      <c r="AQ10" s="77">
        <f>_xlfn.XLOOKUP(AP10,'PEW9'!$B$6:$B$201,'PEW9'!$A$6:$A$201,0)</f>
        <v>0</v>
      </c>
      <c r="AR10" s="9" t="str">
        <f>_xlfn.XLOOKUP($B10,'PEW10'!$C$6:$C$201,'PEW10'!$B$6:$B$201,"")</f>
        <v/>
      </c>
      <c r="AS10" s="77">
        <f>_xlfn.XLOOKUP(AR10,'PEW10'!$B$6:$B$201,'PEW10'!$A$6:$A$201,0)</f>
        <v>0</v>
      </c>
      <c r="AT10" s="9" t="str">
        <f>_xlfn.XLOOKUP($B10,'PEW11'!$C$6:$C$201,'PEW11'!$B$6:$B$201,"")</f>
        <v/>
      </c>
      <c r="AU10" s="77">
        <f>_xlfn.XLOOKUP(AT10,'PEW11'!$B$6:$B$201,'PEW11'!$A$6:$A$201,0)</f>
        <v>0</v>
      </c>
      <c r="AV10" s="9" t="str">
        <f>_xlfn.XLOOKUP($B10,'PEW12'!$C$6:$C$201,'PEW12'!$B$6:$B$201,"")</f>
        <v/>
      </c>
      <c r="AW10" s="77">
        <f>_xlfn.XLOOKUP(AV10,'PEW12'!$B$6:$B$201,'PEW12'!$A$6:$A$201,0)</f>
        <v>0</v>
      </c>
      <c r="AX10" s="9" t="str" cm="1">
        <f t="array" ref="AX10">_xlfn.XLOOKUP($B10,IMEW!C$6:C$201,IMEW!$B$6:B$201,"")</f>
        <v/>
      </c>
      <c r="AY10" s="78">
        <f>_xlfn.XLOOKUP(AX10,IMEW!$B$6:$B$201,IMEW!$A$6:$A$201,0)</f>
        <v>0</v>
      </c>
      <c r="BA10" s="79">
        <f t="shared" si="1"/>
        <v>0</v>
      </c>
      <c r="BB10" s="79">
        <f t="shared" si="2"/>
        <v>0</v>
      </c>
      <c r="BC10" s="79">
        <f t="shared" si="3"/>
        <v>0</v>
      </c>
      <c r="BD10" s="79">
        <f t="shared" si="4"/>
        <v>0</v>
      </c>
      <c r="BE10" s="79">
        <f t="shared" si="5"/>
        <v>0</v>
      </c>
      <c r="BF10" s="79">
        <f t="shared" si="6"/>
        <v>0</v>
      </c>
      <c r="BG10" s="79">
        <f t="shared" si="7"/>
        <v>0</v>
      </c>
    </row>
    <row r="11" spans="1:59" ht="14.8" customHeight="1" x14ac:dyDescent="0.25">
      <c r="A11" s="8">
        <f t="shared" si="0"/>
        <v>6</v>
      </c>
      <c r="B11" s="10"/>
      <c r="C11" s="11"/>
      <c r="D11" s="75">
        <f>SUM(F11,H11,J11,L11,N11,P11,R11,T11,V11)-SUM(SMALL((F11,H11,J11,L11,N11,P11,R11,T11),1),SMALL((F11,H11,J11,L11,N11,P11,R11,T11),2))+SUM(LARGE((Y11,AA11,AC11,AE11,AG11,AI11,AK11,AM11,AO11,AQ11,AS11,AU11,AW11),1),LARGE((Y11,AA11,AC11,AE11,AG11,AI11,AK11,AM11,AO11,AQ11,AS11,AU11,AW11),2),LARGE((Y11,AA11,AC11,AE11,AG11,AI11,AK11,AM11,AO11,AQ11,AS11,AU11,AW11),3),AY11)</f>
        <v>0</v>
      </c>
      <c r="E11" s="9" t="str">
        <f>_xlfn.XLOOKUP($B11,'GP1'!$C$6:$C$101,'GP1'!$B$6:$B$101,"")</f>
        <v/>
      </c>
      <c r="F11" s="76">
        <f>_xlfn.XLOOKUP(E11,'GP1'!$B$6:$B$55,'GP1'!$A$6:$A$55,0)</f>
        <v>0</v>
      </c>
      <c r="G11" s="9" t="str">
        <f>_xlfn.XLOOKUP($B11,'GP2'!$C$6:$C$101,'GP2'!$B$6:$B$101,"")</f>
        <v/>
      </c>
      <c r="H11" s="76">
        <f>_xlfn.XLOOKUP(G11,'GP2'!$B$6:$B$55,'GP2'!$A$6:$A$55,0)</f>
        <v>0</v>
      </c>
      <c r="I11" s="9" t="str">
        <f>_xlfn.XLOOKUP($B11,'GP3'!$C$6:$C$101,'GP3'!$B$6:$B$101,"")</f>
        <v/>
      </c>
      <c r="J11" s="76">
        <f>_xlfn.XLOOKUP(I11,'GP3'!$B$6:$B$55,'GP3'!$A$6:$A$55,0)</f>
        <v>0</v>
      </c>
      <c r="K11" s="9" t="str">
        <f>_xlfn.XLOOKUP($B11,'GP4'!$C$6:$C$101,'GP4'!$B$6:$B$101,"")</f>
        <v/>
      </c>
      <c r="L11" s="76">
        <f>_xlfn.XLOOKUP(K11,'GP4'!$B$6:$B$55,'GP4'!$A$6:$A$55,0)</f>
        <v>0</v>
      </c>
      <c r="M11" s="9" t="str">
        <f>_xlfn.XLOOKUP($B11,'GP5'!$C$6:$C$101,'GP5'!$B$6:$B$101,"")</f>
        <v/>
      </c>
      <c r="N11" s="126">
        <f>_xlfn.XLOOKUP(M11,'GP5'!$B$6:$B$55,'GP5'!$A$6:$A$55,0)</f>
        <v>0</v>
      </c>
      <c r="O11" s="9" t="str">
        <f>_xlfn.XLOOKUP($B11,'GP6'!$C$6:$C$101,'GP6'!$B$6:$B$101,"")</f>
        <v/>
      </c>
      <c r="P11" s="126">
        <f>_xlfn.XLOOKUP(O11,'GP6'!$B$6:$B$55,'GP6'!$A$6:$A$55,0)</f>
        <v>0</v>
      </c>
      <c r="Q11" s="9" t="str">
        <f>_xlfn.XLOOKUP($B11,'GP7'!$C$6:$C$101,'GP7'!$B$6:$B$101,"")</f>
        <v/>
      </c>
      <c r="R11" s="126">
        <f>_xlfn.XLOOKUP(Q11,'GP7'!$B$6:$B$55,'GP7'!$A$6:$A$55,0)</f>
        <v>0</v>
      </c>
      <c r="S11" s="9" t="str">
        <f>_xlfn.XLOOKUP($B11,'GP8'!$C$6:$C$101,'GP8'!$B$6:$B$101,"")</f>
        <v/>
      </c>
      <c r="T11" s="126">
        <f>_xlfn.XLOOKUP(S11,'GP8'!$B$6:$B$55,'GP8'!$A$6:$A$55,0)</f>
        <v>0</v>
      </c>
      <c r="U11" s="9" t="str">
        <f>_xlfn.XLOOKUP($B11,MPW!$C$6:$C$101,MPW!$B$6:$B$101,"")</f>
        <v/>
      </c>
      <c r="V11" s="126">
        <f>_xlfn.XLOOKUP(U11,MPW!$B$6:$B$55,MPW!$A$6:$A$55,0)</f>
        <v>0</v>
      </c>
      <c r="X11" s="9" t="str">
        <f>_xlfn.XLOOKUP($B11,'PEW1'!$C$6:$C$201,'PEW1'!$B$6:$B$201,"")</f>
        <v/>
      </c>
      <c r="Y11" s="77">
        <f>_xlfn.XLOOKUP(X11,'PEW1'!$B$6:$B$201,'PEW1'!$A$6:$A$201,0)</f>
        <v>0</v>
      </c>
      <c r="Z11" s="9" t="str">
        <f>_xlfn.XLOOKUP($B11,'PEW2'!$C$6:$C$201,'PEW2'!$B$6:$B$201,"")</f>
        <v/>
      </c>
      <c r="AA11" s="77">
        <f>_xlfn.XLOOKUP(Z11,'PEW2'!$B$6:$B$201,'PEW2'!$A$6:$A$201,0)</f>
        <v>0</v>
      </c>
      <c r="AB11" s="9" t="str">
        <f>_xlfn.XLOOKUP($B11,'PEW3'!$C$6:$C$201,'PEW3'!$B$6:$B$201,"")</f>
        <v/>
      </c>
      <c r="AC11" s="77">
        <f>_xlfn.XLOOKUP(AB11,'PEW3'!$B$6:$B$201,'PEW3'!$A$6:$A$201,0)</f>
        <v>0</v>
      </c>
      <c r="AD11" s="9" t="str">
        <f>_xlfn.XLOOKUP($B11,VFC!$C$6:$C$201,VFC!$B$6:$B$201,"")</f>
        <v/>
      </c>
      <c r="AE11" s="77">
        <f>_xlfn.XLOOKUP(AD11,VFC!$B$6:$B$201,VFC!$A$6:$A$201,0)</f>
        <v>0</v>
      </c>
      <c r="AF11" s="9" t="str">
        <f>_xlfn.XLOOKUP($B11,'PEW4'!$C$6:$C$201,'PEW4'!$B$6:$B$201,"")</f>
        <v/>
      </c>
      <c r="AG11" s="77">
        <f>_xlfn.XLOOKUP(AF11,'PEW4'!$B$6:$B$201,'PEW4'!$A$6:$A$201,0)</f>
        <v>0</v>
      </c>
      <c r="AH11" s="9" t="str">
        <f>_xlfn.XLOOKUP($B11,'PEW5'!$C$6:$C$201,'PEW5'!$B$6:$B$201,"")</f>
        <v/>
      </c>
      <c r="AI11" s="77">
        <f>_xlfn.XLOOKUP(AH11,'PEW5'!$B$6:$B$201,'PEW5'!$A$6:$A$201,0)</f>
        <v>0</v>
      </c>
      <c r="AJ11" s="9" t="str">
        <f>_xlfn.XLOOKUP($B11,'PEW6'!$C$6:$C$201,'PEW6'!$B$6:$B$201,"")</f>
        <v/>
      </c>
      <c r="AK11" s="77">
        <f>_xlfn.XLOOKUP(AJ11,'PEW6'!$B$6:$B$201,'PEW6'!$A$6:$A$201,0)</f>
        <v>0</v>
      </c>
      <c r="AL11" s="9" t="str">
        <f>_xlfn.XLOOKUP($B11,'PEW7'!$C$6:$C$201,'PEW7'!$B$6:$B$201,"")</f>
        <v/>
      </c>
      <c r="AM11" s="77">
        <f>_xlfn.XLOOKUP(AL11,'PEW7'!$B$6:$B$201,'PEW7'!$A$6:$A$201,0)</f>
        <v>0</v>
      </c>
      <c r="AN11" s="9" t="str">
        <f>_xlfn.XLOOKUP($B11,'PEW8'!$C$6:$C$201,'PEW8'!$B$6:$B$201,"")</f>
        <v/>
      </c>
      <c r="AO11" s="77">
        <f>_xlfn.XLOOKUP(AN11,'PEW8'!$B$6:$B$201,'PEW8'!$A$6:$A$201,0)</f>
        <v>0</v>
      </c>
      <c r="AP11" s="9" t="str">
        <f>_xlfn.XLOOKUP($B11,'PEW9'!$C$6:$C$201,'PEW9'!$B$6:$B$201,"")</f>
        <v/>
      </c>
      <c r="AQ11" s="77">
        <f>_xlfn.XLOOKUP(AP11,'PEW9'!$B$6:$B$201,'PEW9'!$A$6:$A$201,0)</f>
        <v>0</v>
      </c>
      <c r="AR11" s="9" t="str">
        <f>_xlfn.XLOOKUP($B11,'PEW10'!$C$6:$C$201,'PEW10'!$B$6:$B$201,"")</f>
        <v/>
      </c>
      <c r="AS11" s="77">
        <f>_xlfn.XLOOKUP(AR11,'PEW10'!$B$6:$B$201,'PEW10'!$A$6:$A$201,0)</f>
        <v>0</v>
      </c>
      <c r="AT11" s="9" t="str">
        <f>_xlfn.XLOOKUP($B11,'PEW11'!$C$6:$C$201,'PEW11'!$B$6:$B$201,"")</f>
        <v/>
      </c>
      <c r="AU11" s="77">
        <f>_xlfn.XLOOKUP(AT11,'PEW11'!$B$6:$B$201,'PEW11'!$A$6:$A$201,0)</f>
        <v>0</v>
      </c>
      <c r="AV11" s="9" t="str">
        <f>_xlfn.XLOOKUP($B11,'PEW12'!$C$6:$C$201,'PEW12'!$B$6:$B$201,"")</f>
        <v/>
      </c>
      <c r="AW11" s="77">
        <f>_xlfn.XLOOKUP(AV11,'PEW12'!$B$6:$B$201,'PEW12'!$A$6:$A$201,0)</f>
        <v>0</v>
      </c>
      <c r="AX11" s="9" t="str" cm="1">
        <f t="array" ref="AX11">_xlfn.XLOOKUP($B11,IMEW!C$6:C$201,IMEW!$B$6:B$201,"")</f>
        <v/>
      </c>
      <c r="AY11" s="78">
        <f>_xlfn.XLOOKUP(AX11,IMEW!$B$6:$B$201,IMEW!$A$6:$A$201,0)</f>
        <v>0</v>
      </c>
      <c r="BA11" s="79">
        <f t="shared" si="1"/>
        <v>0</v>
      </c>
      <c r="BB11" s="79">
        <f t="shared" si="2"/>
        <v>0</v>
      </c>
      <c r="BC11" s="79">
        <f t="shared" si="3"/>
        <v>0</v>
      </c>
      <c r="BD11" s="79">
        <f t="shared" si="4"/>
        <v>0</v>
      </c>
      <c r="BE11" s="79">
        <f t="shared" si="5"/>
        <v>0</v>
      </c>
      <c r="BF11" s="79">
        <f t="shared" si="6"/>
        <v>0</v>
      </c>
      <c r="BG11" s="79">
        <f t="shared" si="7"/>
        <v>0</v>
      </c>
    </row>
    <row r="12" spans="1:59" ht="14.8" customHeight="1" x14ac:dyDescent="0.25">
      <c r="A12" s="8">
        <f t="shared" si="0"/>
        <v>7</v>
      </c>
      <c r="B12" s="10"/>
      <c r="C12" s="11"/>
      <c r="D12" s="75">
        <f>SUM(F12,H12,J12,L12,N12,P12,R12,T12,V12)-SUM(SMALL((F12,H12,J12,L12,N12,P12,R12,T12),1),SMALL((F12,H12,J12,L12,N12,P12,R12,T12),2))+SUM(LARGE((Y12,AA12,AC12,AE12,AG12,AI12,AK12,AM12,AO12,AQ12,AS12,AU12,AW12),1),LARGE((Y12,AA12,AC12,AE12,AG12,AI12,AK12,AM12,AO12,AQ12,AS12,AU12,AW12),2),LARGE((Y12,AA12,AC12,AE12,AG12,AI12,AK12,AM12,AO12,AQ12,AS12,AU12,AW12),3),AY12)</f>
        <v>0</v>
      </c>
      <c r="E12" s="9" t="str">
        <f>_xlfn.XLOOKUP($B12,'GP1'!$C$6:$C$101,'GP1'!$B$6:$B$101,"")</f>
        <v/>
      </c>
      <c r="F12" s="76">
        <f>_xlfn.XLOOKUP(E12,'GP1'!$B$6:$B$55,'GP1'!$A$6:$A$55,0)</f>
        <v>0</v>
      </c>
      <c r="G12" s="9" t="str">
        <f>_xlfn.XLOOKUP($B12,'GP2'!$C$6:$C$101,'GP2'!$B$6:$B$101,"")</f>
        <v/>
      </c>
      <c r="H12" s="76">
        <f>_xlfn.XLOOKUP(G12,'GP2'!$B$6:$B$55,'GP2'!$A$6:$A$55,0)</f>
        <v>0</v>
      </c>
      <c r="I12" s="9" t="str">
        <f>_xlfn.XLOOKUP($B12,'GP3'!$C$6:$C$101,'GP3'!$B$6:$B$101,"")</f>
        <v/>
      </c>
      <c r="J12" s="76">
        <f>_xlfn.XLOOKUP(I12,'GP3'!$B$6:$B$55,'GP3'!$A$6:$A$55,0)</f>
        <v>0</v>
      </c>
      <c r="K12" s="9" t="str">
        <f>_xlfn.XLOOKUP($B12,'GP4'!$C$6:$C$101,'GP4'!$B$6:$B$101,"")</f>
        <v/>
      </c>
      <c r="L12" s="76">
        <f>_xlfn.XLOOKUP(K12,'GP4'!$B$6:$B$55,'GP4'!$A$6:$A$55,0)</f>
        <v>0</v>
      </c>
      <c r="M12" s="9" t="str">
        <f>_xlfn.XLOOKUP($B12,'GP5'!$C$6:$C$101,'GP5'!$B$6:$B$101,"")</f>
        <v/>
      </c>
      <c r="N12" s="126">
        <f>_xlfn.XLOOKUP(M12,'GP5'!$B$6:$B$55,'GP5'!$A$6:$A$55,0)</f>
        <v>0</v>
      </c>
      <c r="O12" s="9" t="str">
        <f>_xlfn.XLOOKUP($B12,'GP6'!$C$6:$C$101,'GP6'!$B$6:$B$101,"")</f>
        <v/>
      </c>
      <c r="P12" s="126">
        <f>_xlfn.XLOOKUP(O12,'GP6'!$B$6:$B$55,'GP6'!$A$6:$A$55,0)</f>
        <v>0</v>
      </c>
      <c r="Q12" s="9" t="str">
        <f>_xlfn.XLOOKUP($B12,'GP7'!$C$6:$C$101,'GP7'!$B$6:$B$101,"")</f>
        <v/>
      </c>
      <c r="R12" s="126">
        <f>_xlfn.XLOOKUP(Q12,'GP7'!$B$6:$B$55,'GP7'!$A$6:$A$55,0)</f>
        <v>0</v>
      </c>
      <c r="S12" s="9" t="str">
        <f>_xlfn.XLOOKUP($B12,'GP8'!$C$6:$C$101,'GP8'!$B$6:$B$101,"")</f>
        <v/>
      </c>
      <c r="T12" s="126">
        <f>_xlfn.XLOOKUP(S12,'GP8'!$B$6:$B$55,'GP8'!$A$6:$A$55,0)</f>
        <v>0</v>
      </c>
      <c r="U12" s="9" t="str">
        <f>_xlfn.XLOOKUP($B12,MPW!$C$6:$C$101,MPW!$B$6:$B$101,"")</f>
        <v/>
      </c>
      <c r="V12" s="126">
        <f>_xlfn.XLOOKUP(U12,MPW!$B$6:$B$55,MPW!$A$6:$A$55,0)</f>
        <v>0</v>
      </c>
      <c r="X12" s="9" t="str">
        <f>_xlfn.XLOOKUP($B12,'PEW1'!$C$6:$C$201,'PEW1'!$B$6:$B$201,"")</f>
        <v/>
      </c>
      <c r="Y12" s="77">
        <f>_xlfn.XLOOKUP(X12,'PEW1'!$B$6:$B$201,'PEW1'!$A$6:$A$201,0)</f>
        <v>0</v>
      </c>
      <c r="Z12" s="9" t="str">
        <f>_xlfn.XLOOKUP($B12,'PEW2'!$C$6:$C$201,'PEW2'!$B$6:$B$201,"")</f>
        <v/>
      </c>
      <c r="AA12" s="77">
        <f>_xlfn.XLOOKUP(Z12,'PEW2'!$B$6:$B$201,'PEW2'!$A$6:$A$201,0)</f>
        <v>0</v>
      </c>
      <c r="AB12" s="9" t="str">
        <f>_xlfn.XLOOKUP($B12,'PEW3'!$C$6:$C$201,'PEW3'!$B$6:$B$201,"")</f>
        <v/>
      </c>
      <c r="AC12" s="77">
        <f>_xlfn.XLOOKUP(AB12,'PEW3'!$B$6:$B$201,'PEW3'!$A$6:$A$201,0)</f>
        <v>0</v>
      </c>
      <c r="AD12" s="9" t="str">
        <f>_xlfn.XLOOKUP($B12,VFC!$C$6:$C$201,VFC!$B$6:$B$201,"")</f>
        <v/>
      </c>
      <c r="AE12" s="77">
        <f>_xlfn.XLOOKUP(AD12,VFC!$B$6:$B$201,VFC!$A$6:$A$201,0)</f>
        <v>0</v>
      </c>
      <c r="AF12" s="9" t="str">
        <f>_xlfn.XLOOKUP($B12,'PEW4'!$C$6:$C$201,'PEW4'!$B$6:$B$201,"")</f>
        <v/>
      </c>
      <c r="AG12" s="77">
        <f>_xlfn.XLOOKUP(AF12,'PEW4'!$B$6:$B$201,'PEW4'!$A$6:$A$201,0)</f>
        <v>0</v>
      </c>
      <c r="AH12" s="9" t="str">
        <f>_xlfn.XLOOKUP($B12,'PEW5'!$C$6:$C$201,'PEW5'!$B$6:$B$201,"")</f>
        <v/>
      </c>
      <c r="AI12" s="77">
        <f>_xlfn.XLOOKUP(AH12,'PEW5'!$B$6:$B$201,'PEW5'!$A$6:$A$201,0)</f>
        <v>0</v>
      </c>
      <c r="AJ12" s="9" t="str">
        <f>_xlfn.XLOOKUP($B12,'PEW6'!$C$6:$C$201,'PEW6'!$B$6:$B$201,"")</f>
        <v/>
      </c>
      <c r="AK12" s="77">
        <f>_xlfn.XLOOKUP(AJ12,'PEW6'!$B$6:$B$201,'PEW6'!$A$6:$A$201,0)</f>
        <v>0</v>
      </c>
      <c r="AL12" s="9" t="str">
        <f>_xlfn.XLOOKUP($B12,'PEW7'!$C$6:$C$201,'PEW7'!$B$6:$B$201,"")</f>
        <v/>
      </c>
      <c r="AM12" s="77">
        <f>_xlfn.XLOOKUP(AL12,'PEW7'!$B$6:$B$201,'PEW7'!$A$6:$A$201,0)</f>
        <v>0</v>
      </c>
      <c r="AN12" s="9" t="str">
        <f>_xlfn.XLOOKUP($B12,'PEW8'!$C$6:$C$201,'PEW8'!$B$6:$B$201,"")</f>
        <v/>
      </c>
      <c r="AO12" s="77">
        <f>_xlfn.XLOOKUP(AN12,'PEW8'!$B$6:$B$201,'PEW8'!$A$6:$A$201,0)</f>
        <v>0</v>
      </c>
      <c r="AP12" s="9" t="str">
        <f>_xlfn.XLOOKUP($B12,'PEW9'!$C$6:$C$201,'PEW9'!$B$6:$B$201,"")</f>
        <v/>
      </c>
      <c r="AQ12" s="77">
        <f>_xlfn.XLOOKUP(AP12,'PEW9'!$B$6:$B$201,'PEW9'!$A$6:$A$201,0)</f>
        <v>0</v>
      </c>
      <c r="AR12" s="9" t="str">
        <f>_xlfn.XLOOKUP($B12,'PEW10'!$C$6:$C$201,'PEW10'!$B$6:$B$201,"")</f>
        <v/>
      </c>
      <c r="AS12" s="77">
        <f>_xlfn.XLOOKUP(AR12,'PEW10'!$B$6:$B$201,'PEW10'!$A$6:$A$201,0)</f>
        <v>0</v>
      </c>
      <c r="AT12" s="9" t="str">
        <f>_xlfn.XLOOKUP($B12,'PEW11'!$C$6:$C$201,'PEW11'!$B$6:$B$201,"")</f>
        <v/>
      </c>
      <c r="AU12" s="77">
        <f>_xlfn.XLOOKUP(AT12,'PEW11'!$B$6:$B$201,'PEW11'!$A$6:$A$201,0)</f>
        <v>0</v>
      </c>
      <c r="AV12" s="9" t="str">
        <f>_xlfn.XLOOKUP($B12,'PEW12'!$C$6:$C$201,'PEW12'!$B$6:$B$201,"")</f>
        <v/>
      </c>
      <c r="AW12" s="77">
        <f>_xlfn.XLOOKUP(AV12,'PEW12'!$B$6:$B$201,'PEW12'!$A$6:$A$201,0)</f>
        <v>0</v>
      </c>
      <c r="AX12" s="9" t="str" cm="1">
        <f t="array" ref="AX12">_xlfn.XLOOKUP($B12,IMEW!C$6:C$201,IMEW!$B$6:B$201,"")</f>
        <v/>
      </c>
      <c r="AY12" s="78">
        <f>_xlfn.XLOOKUP(AX12,IMEW!$B$6:$B$201,IMEW!$A$6:$A$201,0)</f>
        <v>0</v>
      </c>
      <c r="BA12" s="79">
        <f t="shared" si="1"/>
        <v>0</v>
      </c>
      <c r="BB12" s="79">
        <f t="shared" si="2"/>
        <v>0</v>
      </c>
      <c r="BC12" s="79">
        <f t="shared" si="3"/>
        <v>0</v>
      </c>
      <c r="BD12" s="79">
        <f t="shared" si="4"/>
        <v>0</v>
      </c>
      <c r="BE12" s="79">
        <f t="shared" si="5"/>
        <v>0</v>
      </c>
      <c r="BF12" s="79">
        <f t="shared" si="6"/>
        <v>0</v>
      </c>
      <c r="BG12" s="79">
        <f t="shared" si="7"/>
        <v>0</v>
      </c>
    </row>
    <row r="13" spans="1:59" ht="14.8" customHeight="1" x14ac:dyDescent="0.25">
      <c r="A13" s="8">
        <f t="shared" si="0"/>
        <v>8</v>
      </c>
      <c r="B13" s="10"/>
      <c r="C13" s="11"/>
      <c r="D13" s="75">
        <f>SUM(F13,H13,J13,L13,N13,P13,R13,T13,V13)-SUM(SMALL((F13,H13,J13,L13,N13,P13,R13,T13),1),SMALL((F13,H13,J13,L13,N13,P13,R13,T13),2))+SUM(LARGE((Y13,AA13,AC13,AE13,AG13,AI13,AK13,AM13,AO13,AQ13,AS13,AU13,AW13),1),LARGE((Y13,AA13,AC13,AE13,AG13,AI13,AK13,AM13,AO13,AQ13,AS13,AU13,AW13),2),LARGE((Y13,AA13,AC13,AE13,AG13,AI13,AK13,AM13,AO13,AQ13,AS13,AU13,AW13),3),AY13)</f>
        <v>0</v>
      </c>
      <c r="E13" s="9" t="str">
        <f>_xlfn.XLOOKUP($B13,'GP1'!$C$6:$C$101,'GP1'!$B$6:$B$101,"")</f>
        <v/>
      </c>
      <c r="F13" s="76">
        <f>_xlfn.XLOOKUP(E13,'GP1'!$B$6:$B$55,'GP1'!$A$6:$A$55,0)</f>
        <v>0</v>
      </c>
      <c r="G13" s="9" t="str">
        <f>_xlfn.XLOOKUP($B13,'GP2'!$C$6:$C$101,'GP2'!$B$6:$B$101,"")</f>
        <v/>
      </c>
      <c r="H13" s="76">
        <f>_xlfn.XLOOKUP(G13,'GP2'!$B$6:$B$55,'GP2'!$A$6:$A$55,0)</f>
        <v>0</v>
      </c>
      <c r="I13" s="9" t="str">
        <f>_xlfn.XLOOKUP($B13,'GP3'!$C$6:$C$101,'GP3'!$B$6:$B$101,"")</f>
        <v/>
      </c>
      <c r="J13" s="76">
        <f>_xlfn.XLOOKUP(I13,'GP3'!$B$6:$B$55,'GP3'!$A$6:$A$55,0)</f>
        <v>0</v>
      </c>
      <c r="K13" s="9" t="str">
        <f>_xlfn.XLOOKUP($B13,'GP4'!$C$6:$C$101,'GP4'!$B$6:$B$101,"")</f>
        <v/>
      </c>
      <c r="L13" s="76">
        <f>_xlfn.XLOOKUP(K13,'GP4'!$B$6:$B$55,'GP4'!$A$6:$A$55,0)</f>
        <v>0</v>
      </c>
      <c r="M13" s="9" t="str">
        <f>_xlfn.XLOOKUP($B13,'GP5'!$C$6:$C$101,'GP5'!$B$6:$B$101,"")</f>
        <v/>
      </c>
      <c r="N13" s="126">
        <f>_xlfn.XLOOKUP(M13,'GP5'!$B$6:$B$55,'GP5'!$A$6:$A$55,0)</f>
        <v>0</v>
      </c>
      <c r="O13" s="9" t="str">
        <f>_xlfn.XLOOKUP($B13,'GP6'!$C$6:$C$101,'GP6'!$B$6:$B$101,"")</f>
        <v/>
      </c>
      <c r="P13" s="126">
        <f>_xlfn.XLOOKUP(O13,'GP6'!$B$6:$B$55,'GP6'!$A$6:$A$55,0)</f>
        <v>0</v>
      </c>
      <c r="Q13" s="9" t="str">
        <f>_xlfn.XLOOKUP($B13,'GP7'!$C$6:$C$101,'GP7'!$B$6:$B$101,"")</f>
        <v/>
      </c>
      <c r="R13" s="126">
        <f>_xlfn.XLOOKUP(Q13,'GP7'!$B$6:$B$55,'GP7'!$A$6:$A$55,0)</f>
        <v>0</v>
      </c>
      <c r="S13" s="9" t="str">
        <f>_xlfn.XLOOKUP($B13,'GP8'!$C$6:$C$101,'GP8'!$B$6:$B$101,"")</f>
        <v/>
      </c>
      <c r="T13" s="126">
        <f>_xlfn.XLOOKUP(S13,'GP8'!$B$6:$B$55,'GP8'!$A$6:$A$55,0)</f>
        <v>0</v>
      </c>
      <c r="U13" s="9" t="str">
        <f>_xlfn.XLOOKUP($B13,MPW!$C$6:$C$101,MPW!$B$6:$B$101,"")</f>
        <v/>
      </c>
      <c r="V13" s="126">
        <f>_xlfn.XLOOKUP(U13,MPW!$B$6:$B$55,MPW!$A$6:$A$55,0)</f>
        <v>0</v>
      </c>
      <c r="X13" s="9" t="str">
        <f>_xlfn.XLOOKUP($B13,'PEW1'!$C$6:$C$201,'PEW1'!$B$6:$B$201,"")</f>
        <v/>
      </c>
      <c r="Y13" s="77">
        <f>_xlfn.XLOOKUP(X13,'PEW1'!$B$6:$B$201,'PEW1'!$A$6:$A$201,0)</f>
        <v>0</v>
      </c>
      <c r="Z13" s="9" t="str">
        <f>_xlfn.XLOOKUP($B13,'PEW2'!$C$6:$C$201,'PEW2'!$B$6:$B$201,"")</f>
        <v/>
      </c>
      <c r="AA13" s="77">
        <f>_xlfn.XLOOKUP(Z13,'PEW2'!$B$6:$B$201,'PEW2'!$A$6:$A$201,0)</f>
        <v>0</v>
      </c>
      <c r="AB13" s="9" t="str">
        <f>_xlfn.XLOOKUP($B13,'PEW3'!$C$6:$C$201,'PEW3'!$B$6:$B$201,"")</f>
        <v/>
      </c>
      <c r="AC13" s="77">
        <f>_xlfn.XLOOKUP(AB13,'PEW3'!$B$6:$B$201,'PEW3'!$A$6:$A$201,0)</f>
        <v>0</v>
      </c>
      <c r="AD13" s="9" t="str">
        <f>_xlfn.XLOOKUP($B13,VFC!$C$6:$C$201,VFC!$B$6:$B$201,"")</f>
        <v/>
      </c>
      <c r="AE13" s="77">
        <f>_xlfn.XLOOKUP(AD13,VFC!$B$6:$B$201,VFC!$A$6:$A$201,0)</f>
        <v>0</v>
      </c>
      <c r="AF13" s="9" t="str">
        <f>_xlfn.XLOOKUP($B13,'PEW4'!$C$6:$C$201,'PEW4'!$B$6:$B$201,"")</f>
        <v/>
      </c>
      <c r="AG13" s="77">
        <f>_xlfn.XLOOKUP(AF13,'PEW4'!$B$6:$B$201,'PEW4'!$A$6:$A$201,0)</f>
        <v>0</v>
      </c>
      <c r="AH13" s="9" t="str">
        <f>_xlfn.XLOOKUP($B13,'PEW5'!$C$6:$C$201,'PEW5'!$B$6:$B$201,"")</f>
        <v/>
      </c>
      <c r="AI13" s="77">
        <f>_xlfn.XLOOKUP(AH13,'PEW5'!$B$6:$B$201,'PEW5'!$A$6:$A$201,0)</f>
        <v>0</v>
      </c>
      <c r="AJ13" s="9" t="str">
        <f>_xlfn.XLOOKUP($B13,'PEW6'!$C$6:$C$201,'PEW6'!$B$6:$B$201,"")</f>
        <v/>
      </c>
      <c r="AK13" s="77">
        <f>_xlfn.XLOOKUP(AJ13,'PEW6'!$B$6:$B$201,'PEW6'!$A$6:$A$201,0)</f>
        <v>0</v>
      </c>
      <c r="AL13" s="9" t="str">
        <f>_xlfn.XLOOKUP($B13,'PEW7'!$C$6:$C$201,'PEW7'!$B$6:$B$201,"")</f>
        <v/>
      </c>
      <c r="AM13" s="77">
        <f>_xlfn.XLOOKUP(AL13,'PEW7'!$B$6:$B$201,'PEW7'!$A$6:$A$201,0)</f>
        <v>0</v>
      </c>
      <c r="AN13" s="9" t="str">
        <f>_xlfn.XLOOKUP($B13,'PEW8'!$C$6:$C$201,'PEW8'!$B$6:$B$201,"")</f>
        <v/>
      </c>
      <c r="AO13" s="77">
        <f>_xlfn.XLOOKUP(AN13,'PEW8'!$B$6:$B$201,'PEW8'!$A$6:$A$201,0)</f>
        <v>0</v>
      </c>
      <c r="AP13" s="9" t="str">
        <f>_xlfn.XLOOKUP($B13,'PEW9'!$C$6:$C$201,'PEW9'!$B$6:$B$201,"")</f>
        <v/>
      </c>
      <c r="AQ13" s="77">
        <f>_xlfn.XLOOKUP(AP13,'PEW9'!$B$6:$B$201,'PEW9'!$A$6:$A$201,0)</f>
        <v>0</v>
      </c>
      <c r="AR13" s="9" t="str">
        <f>_xlfn.XLOOKUP($B13,'PEW10'!$C$6:$C$201,'PEW10'!$B$6:$B$201,"")</f>
        <v/>
      </c>
      <c r="AS13" s="77">
        <f>_xlfn.XLOOKUP(AR13,'PEW10'!$B$6:$B$201,'PEW10'!$A$6:$A$201,0)</f>
        <v>0</v>
      </c>
      <c r="AT13" s="9" t="str">
        <f>_xlfn.XLOOKUP($B13,'PEW11'!$C$6:$C$201,'PEW11'!$B$6:$B$201,"")</f>
        <v/>
      </c>
      <c r="AU13" s="77">
        <f>_xlfn.XLOOKUP(AT13,'PEW11'!$B$6:$B$201,'PEW11'!$A$6:$A$201,0)</f>
        <v>0</v>
      </c>
      <c r="AV13" s="9" t="str">
        <f>_xlfn.XLOOKUP($B13,'PEW12'!$C$6:$C$201,'PEW12'!$B$6:$B$201,"")</f>
        <v/>
      </c>
      <c r="AW13" s="77">
        <f>_xlfn.XLOOKUP(AV13,'PEW12'!$B$6:$B$201,'PEW12'!$A$6:$A$201,0)</f>
        <v>0</v>
      </c>
      <c r="AX13" s="9" t="str" cm="1">
        <f t="array" ref="AX13">_xlfn.XLOOKUP($B13,IMEW!C$6:C$201,IMEW!$B$6:B$201,"")</f>
        <v/>
      </c>
      <c r="AY13" s="78">
        <f>_xlfn.XLOOKUP(AX13,IMEW!$B$6:$B$201,IMEW!$A$6:$A$201,0)</f>
        <v>0</v>
      </c>
      <c r="BA13" s="79">
        <f t="shared" si="1"/>
        <v>0</v>
      </c>
      <c r="BB13" s="79">
        <f t="shared" si="2"/>
        <v>0</v>
      </c>
      <c r="BC13" s="79">
        <f t="shared" si="3"/>
        <v>0</v>
      </c>
      <c r="BD13" s="79">
        <f t="shared" si="4"/>
        <v>0</v>
      </c>
      <c r="BE13" s="79">
        <f t="shared" si="5"/>
        <v>0</v>
      </c>
      <c r="BF13" s="79">
        <f t="shared" si="6"/>
        <v>0</v>
      </c>
      <c r="BG13" s="79">
        <f t="shared" si="7"/>
        <v>0</v>
      </c>
    </row>
    <row r="14" spans="1:59" ht="14.8" customHeight="1" x14ac:dyDescent="0.25">
      <c r="A14" s="8">
        <f t="shared" si="0"/>
        <v>9</v>
      </c>
      <c r="B14" s="10"/>
      <c r="C14" s="11"/>
      <c r="D14" s="75">
        <f>SUM(F14,H14,J14,L14,N14,P14,R14,T14,V14)-SUM(SMALL((F14,H14,J14,L14,N14,P14,R14,T14),1),SMALL((F14,H14,J14,L14,N14,P14,R14,T14),2))+SUM(LARGE((Y14,AA14,AC14,AE14,AG14,AI14,AK14,AM14,AO14,AQ14,AS14,AU14,AW14),1),LARGE((Y14,AA14,AC14,AE14,AG14,AI14,AK14,AM14,AO14,AQ14,AS14,AU14,AW14),2),LARGE((Y14,AA14,AC14,AE14,AG14,AI14,AK14,AM14,AO14,AQ14,AS14,AU14,AW14),3),AY14)</f>
        <v>0</v>
      </c>
      <c r="E14" s="9" t="str">
        <f>_xlfn.XLOOKUP($B14,'GP1'!$C$6:$C$101,'GP1'!$B$6:$B$101,"")</f>
        <v/>
      </c>
      <c r="F14" s="76">
        <f>_xlfn.XLOOKUP(E14,'GP1'!$B$6:$B$55,'GP1'!$A$6:$A$55,0)</f>
        <v>0</v>
      </c>
      <c r="G14" s="9" t="str">
        <f>_xlfn.XLOOKUP($B14,'GP2'!$C$6:$C$101,'GP2'!$B$6:$B$101,"")</f>
        <v/>
      </c>
      <c r="H14" s="76">
        <f>_xlfn.XLOOKUP(G14,'GP2'!$B$6:$B$55,'GP2'!$A$6:$A$55,0)</f>
        <v>0</v>
      </c>
      <c r="I14" s="9" t="str">
        <f>_xlfn.XLOOKUP($B14,'GP3'!$C$6:$C$101,'GP3'!$B$6:$B$101,"")</f>
        <v/>
      </c>
      <c r="J14" s="76">
        <f>_xlfn.XLOOKUP(I14,'GP3'!$B$6:$B$55,'GP3'!$A$6:$A$55,0)</f>
        <v>0</v>
      </c>
      <c r="K14" s="9" t="str">
        <f>_xlfn.XLOOKUP($B14,'GP4'!$C$6:$C$101,'GP4'!$B$6:$B$101,"")</f>
        <v/>
      </c>
      <c r="L14" s="76">
        <f>_xlfn.XLOOKUP(K14,'GP4'!$B$6:$B$55,'GP4'!$A$6:$A$55,0)</f>
        <v>0</v>
      </c>
      <c r="M14" s="9" t="str">
        <f>_xlfn.XLOOKUP($B14,'GP5'!$C$6:$C$101,'GP5'!$B$6:$B$101,"")</f>
        <v/>
      </c>
      <c r="N14" s="126">
        <f>_xlfn.XLOOKUP(M14,'GP5'!$B$6:$B$55,'GP5'!$A$6:$A$55,0)</f>
        <v>0</v>
      </c>
      <c r="O14" s="9" t="str">
        <f>_xlfn.XLOOKUP($B14,'GP6'!$C$6:$C$101,'GP6'!$B$6:$B$101,"")</f>
        <v/>
      </c>
      <c r="P14" s="126">
        <f>_xlfn.XLOOKUP(O14,'GP6'!$B$6:$B$55,'GP6'!$A$6:$A$55,0)</f>
        <v>0</v>
      </c>
      <c r="Q14" s="9" t="str">
        <f>_xlfn.XLOOKUP($B14,'GP7'!$C$6:$C$101,'GP7'!$B$6:$B$101,"")</f>
        <v/>
      </c>
      <c r="R14" s="126">
        <f>_xlfn.XLOOKUP(Q14,'GP7'!$B$6:$B$55,'GP7'!$A$6:$A$55,0)</f>
        <v>0</v>
      </c>
      <c r="S14" s="9" t="str">
        <f>_xlfn.XLOOKUP($B14,'GP8'!$C$6:$C$101,'GP8'!$B$6:$B$101,"")</f>
        <v/>
      </c>
      <c r="T14" s="126">
        <f>_xlfn.XLOOKUP(S14,'GP8'!$B$6:$B$55,'GP8'!$A$6:$A$55,0)</f>
        <v>0</v>
      </c>
      <c r="U14" s="9" t="str">
        <f>_xlfn.XLOOKUP($B14,MPW!$C$6:$C$101,MPW!$B$6:$B$101,"")</f>
        <v/>
      </c>
      <c r="V14" s="126">
        <f>_xlfn.XLOOKUP(U14,MPW!$B$6:$B$55,MPW!$A$6:$A$55,0)</f>
        <v>0</v>
      </c>
      <c r="X14" s="9" t="str">
        <f>_xlfn.XLOOKUP($B14,'PEW1'!$C$6:$C$201,'PEW1'!$B$6:$B$201,"")</f>
        <v/>
      </c>
      <c r="Y14" s="77">
        <f>_xlfn.XLOOKUP(X14,'PEW1'!$B$6:$B$201,'PEW1'!$A$6:$A$201,0)</f>
        <v>0</v>
      </c>
      <c r="Z14" s="9" t="str">
        <f>_xlfn.XLOOKUP($B14,'PEW2'!$C$6:$C$201,'PEW2'!$B$6:$B$201,"")</f>
        <v/>
      </c>
      <c r="AA14" s="77">
        <f>_xlfn.XLOOKUP(Z14,'PEW2'!$B$6:$B$201,'PEW2'!$A$6:$A$201,0)</f>
        <v>0</v>
      </c>
      <c r="AB14" s="9" t="str">
        <f>_xlfn.XLOOKUP($B14,'PEW3'!$C$6:$C$201,'PEW3'!$B$6:$B$201,"")</f>
        <v/>
      </c>
      <c r="AC14" s="77">
        <f>_xlfn.XLOOKUP(AB14,'PEW3'!$B$6:$B$201,'PEW3'!$A$6:$A$201,0)</f>
        <v>0</v>
      </c>
      <c r="AD14" s="9" t="str">
        <f>_xlfn.XLOOKUP($B14,VFC!$C$6:$C$201,VFC!$B$6:$B$201,"")</f>
        <v/>
      </c>
      <c r="AE14" s="77">
        <f>_xlfn.XLOOKUP(AD14,VFC!$B$6:$B$201,VFC!$A$6:$A$201,0)</f>
        <v>0</v>
      </c>
      <c r="AF14" s="9" t="str">
        <f>_xlfn.XLOOKUP($B14,'PEW4'!$C$6:$C$201,'PEW4'!$B$6:$B$201,"")</f>
        <v/>
      </c>
      <c r="AG14" s="77">
        <f>_xlfn.XLOOKUP(AF14,'PEW4'!$B$6:$B$201,'PEW4'!$A$6:$A$201,0)</f>
        <v>0</v>
      </c>
      <c r="AH14" s="9" t="str">
        <f>_xlfn.XLOOKUP($B14,'PEW5'!$C$6:$C$201,'PEW5'!$B$6:$B$201,"")</f>
        <v/>
      </c>
      <c r="AI14" s="77">
        <f>_xlfn.XLOOKUP(AH14,'PEW5'!$B$6:$B$201,'PEW5'!$A$6:$A$201,0)</f>
        <v>0</v>
      </c>
      <c r="AJ14" s="9" t="str">
        <f>_xlfn.XLOOKUP($B14,'PEW6'!$C$6:$C$201,'PEW6'!$B$6:$B$201,"")</f>
        <v/>
      </c>
      <c r="AK14" s="77">
        <f>_xlfn.XLOOKUP(AJ14,'PEW6'!$B$6:$B$201,'PEW6'!$A$6:$A$201,0)</f>
        <v>0</v>
      </c>
      <c r="AL14" s="9" t="str">
        <f>_xlfn.XLOOKUP($B14,'PEW7'!$C$6:$C$201,'PEW7'!$B$6:$B$201,"")</f>
        <v/>
      </c>
      <c r="AM14" s="77">
        <f>_xlfn.XLOOKUP(AL14,'PEW7'!$B$6:$B$201,'PEW7'!$A$6:$A$201,0)</f>
        <v>0</v>
      </c>
      <c r="AN14" s="9" t="str">
        <f>_xlfn.XLOOKUP($B14,'PEW8'!$C$6:$C$201,'PEW8'!$B$6:$B$201,"")</f>
        <v/>
      </c>
      <c r="AO14" s="77">
        <f>_xlfn.XLOOKUP(AN14,'PEW8'!$B$6:$B$201,'PEW8'!$A$6:$A$201,0)</f>
        <v>0</v>
      </c>
      <c r="AP14" s="9" t="str">
        <f>_xlfn.XLOOKUP($B14,'PEW9'!$C$6:$C$201,'PEW9'!$B$6:$B$201,"")</f>
        <v/>
      </c>
      <c r="AQ14" s="77">
        <f>_xlfn.XLOOKUP(AP14,'PEW9'!$B$6:$B$201,'PEW9'!$A$6:$A$201,0)</f>
        <v>0</v>
      </c>
      <c r="AR14" s="9" t="str">
        <f>_xlfn.XLOOKUP($B14,'PEW10'!$C$6:$C$201,'PEW10'!$B$6:$B$201,"")</f>
        <v/>
      </c>
      <c r="AS14" s="77">
        <f>_xlfn.XLOOKUP(AR14,'PEW10'!$B$6:$B$201,'PEW10'!$A$6:$A$201,0)</f>
        <v>0</v>
      </c>
      <c r="AT14" s="9" t="str">
        <f>_xlfn.XLOOKUP($B14,'PEW11'!$C$6:$C$201,'PEW11'!$B$6:$B$201,"")</f>
        <v/>
      </c>
      <c r="AU14" s="77">
        <f>_xlfn.XLOOKUP(AT14,'PEW11'!$B$6:$B$201,'PEW11'!$A$6:$A$201,0)</f>
        <v>0</v>
      </c>
      <c r="AV14" s="9" t="str">
        <f>_xlfn.XLOOKUP($B14,'PEW12'!$C$6:$C$201,'PEW12'!$B$6:$B$201,"")</f>
        <v/>
      </c>
      <c r="AW14" s="77">
        <f>_xlfn.XLOOKUP(AV14,'PEW12'!$B$6:$B$201,'PEW12'!$A$6:$A$201,0)</f>
        <v>0</v>
      </c>
      <c r="AX14" s="9" t="str" cm="1">
        <f t="array" ref="AX14">_xlfn.XLOOKUP($B14,IMEW!C$6:C$201,IMEW!$B$6:B$201,"")</f>
        <v/>
      </c>
      <c r="AY14" s="78">
        <f>_xlfn.XLOOKUP(AX14,IMEW!$B$6:$B$201,IMEW!$A$6:$A$201,0)</f>
        <v>0</v>
      </c>
      <c r="BA14" s="79">
        <f t="shared" si="1"/>
        <v>0</v>
      </c>
      <c r="BB14" s="79">
        <f t="shared" si="2"/>
        <v>0</v>
      </c>
      <c r="BC14" s="79">
        <f t="shared" si="3"/>
        <v>0</v>
      </c>
      <c r="BD14" s="79">
        <f t="shared" si="4"/>
        <v>0</v>
      </c>
      <c r="BE14" s="79">
        <f t="shared" si="5"/>
        <v>0</v>
      </c>
      <c r="BF14" s="79">
        <f t="shared" si="6"/>
        <v>0</v>
      </c>
      <c r="BG14" s="79">
        <f t="shared" si="7"/>
        <v>0</v>
      </c>
    </row>
    <row r="15" spans="1:59" ht="14.8" customHeight="1" x14ac:dyDescent="0.25">
      <c r="A15" s="8">
        <f t="shared" si="0"/>
        <v>10</v>
      </c>
      <c r="B15" s="10"/>
      <c r="C15" s="11"/>
      <c r="D15" s="75">
        <f>SUM(F15,H15,J15,L15,N15,P15,R15,T15,V15)-SUM(SMALL((F15,H15,J15,L15,N15,P15,R15,T15),1),SMALL((F15,H15,J15,L15,N15,P15,R15,T15),2))+SUM(LARGE((Y15,AA15,AC15,AE15,AG15,AI15,AK15,AM15,AO15,AQ15,AS15,AU15,AW15),1),LARGE((Y15,AA15,AC15,AE15,AG15,AI15,AK15,AM15,AO15,AQ15,AS15,AU15,AW15),2),LARGE((Y15,AA15,AC15,AE15,AG15,AI15,AK15,AM15,AO15,AQ15,AS15,AU15,AW15),3),AY15)</f>
        <v>0</v>
      </c>
      <c r="E15" s="9" t="str">
        <f>_xlfn.XLOOKUP($B15,'GP1'!$C$6:$C$101,'GP1'!$B$6:$B$101,"")</f>
        <v/>
      </c>
      <c r="F15" s="76">
        <f>_xlfn.XLOOKUP(E15,'GP1'!$B$6:$B$55,'GP1'!$A$6:$A$55,0)</f>
        <v>0</v>
      </c>
      <c r="G15" s="9" t="str">
        <f>_xlfn.XLOOKUP($B15,'GP2'!$C$6:$C$101,'GP2'!$B$6:$B$101,"")</f>
        <v/>
      </c>
      <c r="H15" s="76">
        <f>_xlfn.XLOOKUP(G15,'GP2'!$B$6:$B$55,'GP2'!$A$6:$A$55,0)</f>
        <v>0</v>
      </c>
      <c r="I15" s="9" t="str">
        <f>_xlfn.XLOOKUP($B15,'GP3'!$C$6:$C$101,'GP3'!$B$6:$B$101,"")</f>
        <v/>
      </c>
      <c r="J15" s="76">
        <f>_xlfn.XLOOKUP(I15,'GP3'!$B$6:$B$55,'GP3'!$A$6:$A$55,0)</f>
        <v>0</v>
      </c>
      <c r="K15" s="9" t="str">
        <f>_xlfn.XLOOKUP($B15,'GP4'!$C$6:$C$101,'GP4'!$B$6:$B$101,"")</f>
        <v/>
      </c>
      <c r="L15" s="76">
        <f>_xlfn.XLOOKUP(K15,'GP4'!$B$6:$B$55,'GP4'!$A$6:$A$55,0)</f>
        <v>0</v>
      </c>
      <c r="M15" s="9" t="str">
        <f>_xlfn.XLOOKUP($B15,'GP5'!$C$6:$C$101,'GP5'!$B$6:$B$101,"")</f>
        <v/>
      </c>
      <c r="N15" s="126">
        <f>_xlfn.XLOOKUP(M15,'GP5'!$B$6:$B$55,'GP5'!$A$6:$A$55,0)</f>
        <v>0</v>
      </c>
      <c r="O15" s="9" t="str">
        <f>_xlfn.XLOOKUP($B15,'GP6'!$C$6:$C$101,'GP6'!$B$6:$B$101,"")</f>
        <v/>
      </c>
      <c r="P15" s="126">
        <f>_xlfn.XLOOKUP(O15,'GP6'!$B$6:$B$55,'GP6'!$A$6:$A$55,0)</f>
        <v>0</v>
      </c>
      <c r="Q15" s="9" t="str">
        <f>_xlfn.XLOOKUP($B15,'GP7'!$C$6:$C$101,'GP7'!$B$6:$B$101,"")</f>
        <v/>
      </c>
      <c r="R15" s="126">
        <f>_xlfn.XLOOKUP(Q15,'GP7'!$B$6:$B$55,'GP7'!$A$6:$A$55,0)</f>
        <v>0</v>
      </c>
      <c r="S15" s="9" t="str">
        <f>_xlfn.XLOOKUP($B15,'GP8'!$C$6:$C$101,'GP8'!$B$6:$B$101,"")</f>
        <v/>
      </c>
      <c r="T15" s="126">
        <f>_xlfn.XLOOKUP(S15,'GP8'!$B$6:$B$55,'GP8'!$A$6:$A$55,0)</f>
        <v>0</v>
      </c>
      <c r="U15" s="9" t="str">
        <f>_xlfn.XLOOKUP($B15,MPW!$C$6:$C$101,MPW!$B$6:$B$101,"")</f>
        <v/>
      </c>
      <c r="V15" s="126">
        <f>_xlfn.XLOOKUP(U15,MPW!$B$6:$B$55,MPW!$A$6:$A$55,0)</f>
        <v>0</v>
      </c>
      <c r="X15" s="9" t="str">
        <f>_xlfn.XLOOKUP($B15,'PEW1'!$C$6:$C$201,'PEW1'!$B$6:$B$201,"")</f>
        <v/>
      </c>
      <c r="Y15" s="77">
        <f>_xlfn.XLOOKUP(X15,'PEW1'!$B$6:$B$201,'PEW1'!$A$6:$A$201,0)</f>
        <v>0</v>
      </c>
      <c r="Z15" s="9" t="str">
        <f>_xlfn.XLOOKUP($B15,'PEW2'!$C$6:$C$201,'PEW2'!$B$6:$B$201,"")</f>
        <v/>
      </c>
      <c r="AA15" s="77">
        <f>_xlfn.XLOOKUP(Z15,'PEW2'!$B$6:$B$201,'PEW2'!$A$6:$A$201,0)</f>
        <v>0</v>
      </c>
      <c r="AB15" s="9" t="str">
        <f>_xlfn.XLOOKUP($B15,'PEW3'!$C$6:$C$201,'PEW3'!$B$6:$B$201,"")</f>
        <v/>
      </c>
      <c r="AC15" s="77">
        <f>_xlfn.XLOOKUP(AB15,'PEW3'!$B$6:$B$201,'PEW3'!$A$6:$A$201,0)</f>
        <v>0</v>
      </c>
      <c r="AD15" s="9" t="str">
        <f>_xlfn.XLOOKUP($B15,VFC!$C$6:$C$201,VFC!$B$6:$B$201,"")</f>
        <v/>
      </c>
      <c r="AE15" s="77">
        <f>_xlfn.XLOOKUP(AD15,VFC!$B$6:$B$201,VFC!$A$6:$A$201,0)</f>
        <v>0</v>
      </c>
      <c r="AF15" s="9" t="str">
        <f>_xlfn.XLOOKUP($B15,'PEW4'!$C$6:$C$201,'PEW4'!$B$6:$B$201,"")</f>
        <v/>
      </c>
      <c r="AG15" s="77">
        <f>_xlfn.XLOOKUP(AF15,'PEW4'!$B$6:$B$201,'PEW4'!$A$6:$A$201,0)</f>
        <v>0</v>
      </c>
      <c r="AH15" s="9" t="str">
        <f>_xlfn.XLOOKUP($B15,'PEW5'!$C$6:$C$201,'PEW5'!$B$6:$B$201,"")</f>
        <v/>
      </c>
      <c r="AI15" s="77">
        <f>_xlfn.XLOOKUP(AH15,'PEW5'!$B$6:$B$201,'PEW5'!$A$6:$A$201,0)</f>
        <v>0</v>
      </c>
      <c r="AJ15" s="9" t="str">
        <f>_xlfn.XLOOKUP($B15,'PEW6'!$C$6:$C$201,'PEW6'!$B$6:$B$201,"")</f>
        <v/>
      </c>
      <c r="AK15" s="77">
        <f>_xlfn.XLOOKUP(AJ15,'PEW6'!$B$6:$B$201,'PEW6'!$A$6:$A$201,0)</f>
        <v>0</v>
      </c>
      <c r="AL15" s="9" t="str">
        <f>_xlfn.XLOOKUP($B15,'PEW7'!$C$6:$C$201,'PEW7'!$B$6:$B$201,"")</f>
        <v/>
      </c>
      <c r="AM15" s="77">
        <f>_xlfn.XLOOKUP(AL15,'PEW7'!$B$6:$B$201,'PEW7'!$A$6:$A$201,0)</f>
        <v>0</v>
      </c>
      <c r="AN15" s="9" t="str">
        <f>_xlfn.XLOOKUP($B15,'PEW8'!$C$6:$C$201,'PEW8'!$B$6:$B$201,"")</f>
        <v/>
      </c>
      <c r="AO15" s="77">
        <f>_xlfn.XLOOKUP(AN15,'PEW8'!$B$6:$B$201,'PEW8'!$A$6:$A$201,0)</f>
        <v>0</v>
      </c>
      <c r="AP15" s="9" t="str">
        <f>_xlfn.XLOOKUP($B15,'PEW9'!$C$6:$C$201,'PEW9'!$B$6:$B$201,"")</f>
        <v/>
      </c>
      <c r="AQ15" s="77">
        <f>_xlfn.XLOOKUP(AP15,'PEW9'!$B$6:$B$201,'PEW9'!$A$6:$A$201,0)</f>
        <v>0</v>
      </c>
      <c r="AR15" s="9" t="str">
        <f>_xlfn.XLOOKUP($B15,'PEW10'!$C$6:$C$201,'PEW10'!$B$6:$B$201,"")</f>
        <v/>
      </c>
      <c r="AS15" s="77">
        <f>_xlfn.XLOOKUP(AR15,'PEW10'!$B$6:$B$201,'PEW10'!$A$6:$A$201,0)</f>
        <v>0</v>
      </c>
      <c r="AT15" s="9" t="str">
        <f>_xlfn.XLOOKUP($B15,'PEW11'!$C$6:$C$201,'PEW11'!$B$6:$B$201,"")</f>
        <v/>
      </c>
      <c r="AU15" s="77">
        <f>_xlfn.XLOOKUP(AT15,'PEW11'!$B$6:$B$201,'PEW11'!$A$6:$A$201,0)</f>
        <v>0</v>
      </c>
      <c r="AV15" s="9" t="str">
        <f>_xlfn.XLOOKUP($B15,'PEW12'!$C$6:$C$201,'PEW12'!$B$6:$B$201,"")</f>
        <v/>
      </c>
      <c r="AW15" s="77">
        <f>_xlfn.XLOOKUP(AV15,'PEW12'!$B$6:$B$201,'PEW12'!$A$6:$A$201,0)</f>
        <v>0</v>
      </c>
      <c r="AX15" s="9" t="str" cm="1">
        <f t="array" ref="AX15">_xlfn.XLOOKUP($B15,IMEW!C$6:C$201,IMEW!$B$6:B$201,"")</f>
        <v/>
      </c>
      <c r="AY15" s="78">
        <f>_xlfn.XLOOKUP(AX15,IMEW!$B$6:$B$201,IMEW!$A$6:$A$201,0)</f>
        <v>0</v>
      </c>
      <c r="BA15" s="79">
        <f t="shared" si="1"/>
        <v>0</v>
      </c>
      <c r="BB15" s="79">
        <f t="shared" si="2"/>
        <v>0</v>
      </c>
      <c r="BC15" s="79">
        <f t="shared" si="3"/>
        <v>0</v>
      </c>
      <c r="BD15" s="79">
        <f t="shared" si="4"/>
        <v>0</v>
      </c>
      <c r="BE15" s="79">
        <f t="shared" si="5"/>
        <v>0</v>
      </c>
      <c r="BF15" s="79">
        <f t="shared" si="6"/>
        <v>0</v>
      </c>
      <c r="BG15" s="79">
        <f t="shared" si="7"/>
        <v>0</v>
      </c>
    </row>
    <row r="16" spans="1:59" ht="14.8" customHeight="1" x14ac:dyDescent="0.25">
      <c r="A16" s="8">
        <f t="shared" si="0"/>
        <v>11</v>
      </c>
      <c r="B16" s="10"/>
      <c r="C16" s="11"/>
      <c r="D16" s="75">
        <f>SUM(F16,H16,J16,L16,N16,P16,R16,T16,V16)-SUM(SMALL((F16,H16,J16,L16,N16,P16,R16,T16),1),SMALL((F16,H16,J16,L16,N16,P16,R16,T16),2))+SUM(LARGE((Y16,AA16,AC16,AE16,AG16,AI16,AK16,AM16,AO16,AQ16,AS16,AU16,AW16),1),LARGE((Y16,AA16,AC16,AE16,AG16,AI16,AK16,AM16,AO16,AQ16,AS16,AU16,AW16),2),LARGE((Y16,AA16,AC16,AE16,AG16,AI16,AK16,AM16,AO16,AQ16,AS16,AU16,AW16),3),AY16)</f>
        <v>0</v>
      </c>
      <c r="E16" s="9" t="str">
        <f>_xlfn.XLOOKUP($B16,'GP1'!$C$6:$C$101,'GP1'!$B$6:$B$101,"")</f>
        <v/>
      </c>
      <c r="F16" s="76">
        <f>_xlfn.XLOOKUP(E16,'GP1'!$B$6:$B$55,'GP1'!$A$6:$A$55,0)</f>
        <v>0</v>
      </c>
      <c r="G16" s="9" t="str">
        <f>_xlfn.XLOOKUP($B16,'GP2'!$C$6:$C$101,'GP2'!$B$6:$B$101,"")</f>
        <v/>
      </c>
      <c r="H16" s="76">
        <f>_xlfn.XLOOKUP(G16,'GP2'!$B$6:$B$55,'GP2'!$A$6:$A$55,0)</f>
        <v>0</v>
      </c>
      <c r="I16" s="9" t="str">
        <f>_xlfn.XLOOKUP($B16,'GP3'!$C$6:$C$101,'GP3'!$B$6:$B$101,"")</f>
        <v/>
      </c>
      <c r="J16" s="76">
        <f>_xlfn.XLOOKUP(I16,'GP3'!$B$6:$B$55,'GP3'!$A$6:$A$55,0)</f>
        <v>0</v>
      </c>
      <c r="K16" s="9" t="str">
        <f>_xlfn.XLOOKUP($B16,'GP4'!$C$6:$C$101,'GP4'!$B$6:$B$101,"")</f>
        <v/>
      </c>
      <c r="L16" s="76">
        <f>_xlfn.XLOOKUP(K16,'GP4'!$B$6:$B$55,'GP4'!$A$6:$A$55,0)</f>
        <v>0</v>
      </c>
      <c r="M16" s="9" t="str">
        <f>_xlfn.XLOOKUP($B16,'GP5'!$C$6:$C$101,'GP5'!$B$6:$B$101,"")</f>
        <v/>
      </c>
      <c r="N16" s="126">
        <f>_xlfn.XLOOKUP(M16,'GP5'!$B$6:$B$55,'GP5'!$A$6:$A$55,0)</f>
        <v>0</v>
      </c>
      <c r="O16" s="9" t="str">
        <f>_xlfn.XLOOKUP($B16,'GP6'!$C$6:$C$101,'GP6'!$B$6:$B$101,"")</f>
        <v/>
      </c>
      <c r="P16" s="126">
        <f>_xlfn.XLOOKUP(O16,'GP6'!$B$6:$B$55,'GP6'!$A$6:$A$55,0)</f>
        <v>0</v>
      </c>
      <c r="Q16" s="9" t="str">
        <f>_xlfn.XLOOKUP($B16,'GP7'!$C$6:$C$101,'GP7'!$B$6:$B$101,"")</f>
        <v/>
      </c>
      <c r="R16" s="126">
        <f>_xlfn.XLOOKUP(Q16,'GP7'!$B$6:$B$55,'GP7'!$A$6:$A$55,0)</f>
        <v>0</v>
      </c>
      <c r="S16" s="9" t="str">
        <f>_xlfn.XLOOKUP($B16,'GP8'!$C$6:$C$101,'GP8'!$B$6:$B$101,"")</f>
        <v/>
      </c>
      <c r="T16" s="126">
        <f>_xlfn.XLOOKUP(S16,'GP8'!$B$6:$B$55,'GP8'!$A$6:$A$55,0)</f>
        <v>0</v>
      </c>
      <c r="U16" s="9" t="str">
        <f>_xlfn.XLOOKUP($B16,MPW!$C$6:$C$101,MPW!$B$6:$B$101,"")</f>
        <v/>
      </c>
      <c r="V16" s="126">
        <f>_xlfn.XLOOKUP(U16,MPW!$B$6:$B$55,MPW!$A$6:$A$55,0)</f>
        <v>0</v>
      </c>
      <c r="X16" s="9" t="str">
        <f>_xlfn.XLOOKUP($B16,'PEW1'!$C$6:$C$201,'PEW1'!$B$6:$B$201,"")</f>
        <v/>
      </c>
      <c r="Y16" s="77">
        <f>_xlfn.XLOOKUP(X16,'PEW1'!$B$6:$B$201,'PEW1'!$A$6:$A$201,0)</f>
        <v>0</v>
      </c>
      <c r="Z16" s="9" t="str">
        <f>_xlfn.XLOOKUP($B16,'PEW2'!$C$6:$C$201,'PEW2'!$B$6:$B$201,"")</f>
        <v/>
      </c>
      <c r="AA16" s="77">
        <f>_xlfn.XLOOKUP(Z16,'PEW2'!$B$6:$B$201,'PEW2'!$A$6:$A$201,0)</f>
        <v>0</v>
      </c>
      <c r="AB16" s="9" t="str">
        <f>_xlfn.XLOOKUP($B16,'PEW3'!$C$6:$C$201,'PEW3'!$B$6:$B$201,"")</f>
        <v/>
      </c>
      <c r="AC16" s="77">
        <f>_xlfn.XLOOKUP(AB16,'PEW3'!$B$6:$B$201,'PEW3'!$A$6:$A$201,0)</f>
        <v>0</v>
      </c>
      <c r="AD16" s="9" t="str">
        <f>_xlfn.XLOOKUP($B16,VFC!$C$6:$C$201,VFC!$B$6:$B$201,"")</f>
        <v/>
      </c>
      <c r="AE16" s="77">
        <f>_xlfn.XLOOKUP(AD16,VFC!$B$6:$B$201,VFC!$A$6:$A$201,0)</f>
        <v>0</v>
      </c>
      <c r="AF16" s="9" t="str">
        <f>_xlfn.XLOOKUP($B16,'PEW4'!$C$6:$C$201,'PEW4'!$B$6:$B$201,"")</f>
        <v/>
      </c>
      <c r="AG16" s="77">
        <f>_xlfn.XLOOKUP(AF16,'PEW4'!$B$6:$B$201,'PEW4'!$A$6:$A$201,0)</f>
        <v>0</v>
      </c>
      <c r="AH16" s="9" t="str">
        <f>_xlfn.XLOOKUP($B16,'PEW5'!$C$6:$C$201,'PEW5'!$B$6:$B$201,"")</f>
        <v/>
      </c>
      <c r="AI16" s="77">
        <f>_xlfn.XLOOKUP(AH16,'PEW5'!$B$6:$B$201,'PEW5'!$A$6:$A$201,0)</f>
        <v>0</v>
      </c>
      <c r="AJ16" s="9" t="str">
        <f>_xlfn.XLOOKUP($B16,'PEW6'!$C$6:$C$201,'PEW6'!$B$6:$B$201,"")</f>
        <v/>
      </c>
      <c r="AK16" s="77">
        <f>_xlfn.XLOOKUP(AJ16,'PEW6'!$B$6:$B$201,'PEW6'!$A$6:$A$201,0)</f>
        <v>0</v>
      </c>
      <c r="AL16" s="9" t="str">
        <f>_xlfn.XLOOKUP($B16,'PEW7'!$C$6:$C$201,'PEW7'!$B$6:$B$201,"")</f>
        <v/>
      </c>
      <c r="AM16" s="77">
        <f>_xlfn.XLOOKUP(AL16,'PEW7'!$B$6:$B$201,'PEW7'!$A$6:$A$201,0)</f>
        <v>0</v>
      </c>
      <c r="AN16" s="9" t="str">
        <f>_xlfn.XLOOKUP($B16,'PEW8'!$C$6:$C$201,'PEW8'!$B$6:$B$201,"")</f>
        <v/>
      </c>
      <c r="AO16" s="77">
        <f>_xlfn.XLOOKUP(AN16,'PEW8'!$B$6:$B$201,'PEW8'!$A$6:$A$201,0)</f>
        <v>0</v>
      </c>
      <c r="AP16" s="9" t="str">
        <f>_xlfn.XLOOKUP($B16,'PEW9'!$C$6:$C$201,'PEW9'!$B$6:$B$201,"")</f>
        <v/>
      </c>
      <c r="AQ16" s="77">
        <f>_xlfn.XLOOKUP(AP16,'PEW9'!$B$6:$B$201,'PEW9'!$A$6:$A$201,0)</f>
        <v>0</v>
      </c>
      <c r="AR16" s="9" t="str">
        <f>_xlfn.XLOOKUP($B16,'PEW10'!$C$6:$C$201,'PEW10'!$B$6:$B$201,"")</f>
        <v/>
      </c>
      <c r="AS16" s="77">
        <f>_xlfn.XLOOKUP(AR16,'PEW10'!$B$6:$B$201,'PEW10'!$A$6:$A$201,0)</f>
        <v>0</v>
      </c>
      <c r="AT16" s="9" t="str">
        <f>_xlfn.XLOOKUP($B16,'PEW11'!$C$6:$C$201,'PEW11'!$B$6:$B$201,"")</f>
        <v/>
      </c>
      <c r="AU16" s="77">
        <f>_xlfn.XLOOKUP(AT16,'PEW11'!$B$6:$B$201,'PEW11'!$A$6:$A$201,0)</f>
        <v>0</v>
      </c>
      <c r="AV16" s="9" t="str">
        <f>_xlfn.XLOOKUP($B16,'PEW12'!$C$6:$C$201,'PEW12'!$B$6:$B$201,"")</f>
        <v/>
      </c>
      <c r="AW16" s="77">
        <f>_xlfn.XLOOKUP(AV16,'PEW12'!$B$6:$B$201,'PEW12'!$A$6:$A$201,0)</f>
        <v>0</v>
      </c>
      <c r="AX16" s="9" t="str" cm="1">
        <f t="array" ref="AX16">_xlfn.XLOOKUP($B16,IMEW!C$6:C$201,IMEW!$B$6:B$201,"")</f>
        <v/>
      </c>
      <c r="AY16" s="78">
        <f>_xlfn.XLOOKUP(AX16,IMEW!$B$6:$B$201,IMEW!$A$6:$A$201,0)</f>
        <v>0</v>
      </c>
      <c r="BA16" s="79">
        <f t="shared" si="1"/>
        <v>0</v>
      </c>
      <c r="BB16" s="79">
        <f t="shared" si="2"/>
        <v>0</v>
      </c>
      <c r="BC16" s="79">
        <f t="shared" si="3"/>
        <v>0</v>
      </c>
      <c r="BD16" s="79">
        <f t="shared" si="4"/>
        <v>0</v>
      </c>
      <c r="BE16" s="79">
        <f t="shared" si="5"/>
        <v>0</v>
      </c>
      <c r="BF16" s="79">
        <f t="shared" si="6"/>
        <v>0</v>
      </c>
      <c r="BG16" s="79">
        <f t="shared" si="7"/>
        <v>0</v>
      </c>
    </row>
    <row r="17" spans="1:59" ht="14.8" customHeight="1" x14ac:dyDescent="0.25">
      <c r="A17" s="8">
        <f t="shared" si="0"/>
        <v>12</v>
      </c>
      <c r="B17" s="10"/>
      <c r="C17" s="11"/>
      <c r="D17" s="75">
        <f>SUM(F17,H17,J17,L17,N17,P17,R17,T17,V17)-SUM(SMALL((F17,H17,J17,L17,N17,P17,R17,T17),1),SMALL((F17,H17,J17,L17,N17,P17,R17,T17),2))+SUM(LARGE((Y17,AA17,AC17,AE17,AG17,AI17,AK17,AM17,AO17,AQ17,AS17,AU17,AW17),1),LARGE((Y17,AA17,AC17,AE17,AG17,AI17,AK17,AM17,AO17,AQ17,AS17,AU17,AW17),2),LARGE((Y17,AA17,AC17,AE17,AG17,AI17,AK17,AM17,AO17,AQ17,AS17,AU17,AW17),3),AY17)</f>
        <v>0</v>
      </c>
      <c r="E17" s="9" t="str">
        <f>_xlfn.XLOOKUP($B17,'GP1'!$C$6:$C$101,'GP1'!$B$6:$B$101,"")</f>
        <v/>
      </c>
      <c r="F17" s="76">
        <f>_xlfn.XLOOKUP(E17,'GP1'!$B$6:$B$55,'GP1'!$A$6:$A$55,0)</f>
        <v>0</v>
      </c>
      <c r="G17" s="9" t="str">
        <f>_xlfn.XLOOKUP($B17,'GP2'!$C$6:$C$101,'GP2'!$B$6:$B$101,"")</f>
        <v/>
      </c>
      <c r="H17" s="76">
        <f>_xlfn.XLOOKUP(G17,'GP2'!$B$6:$B$55,'GP2'!$A$6:$A$55,0)</f>
        <v>0</v>
      </c>
      <c r="I17" s="9" t="str">
        <f>_xlfn.XLOOKUP($B17,'GP3'!$C$6:$C$101,'GP3'!$B$6:$B$101,"")</f>
        <v/>
      </c>
      <c r="J17" s="76">
        <f>_xlfn.XLOOKUP(I17,'GP3'!$B$6:$B$55,'GP3'!$A$6:$A$55,0)</f>
        <v>0</v>
      </c>
      <c r="K17" s="9" t="str">
        <f>_xlfn.XLOOKUP($B17,'GP4'!$C$6:$C$101,'GP4'!$B$6:$B$101,"")</f>
        <v/>
      </c>
      <c r="L17" s="76">
        <f>_xlfn.XLOOKUP(K17,'GP4'!$B$6:$B$55,'GP4'!$A$6:$A$55,0)</f>
        <v>0</v>
      </c>
      <c r="M17" s="9" t="str">
        <f>_xlfn.XLOOKUP($B17,'GP5'!$C$6:$C$101,'GP5'!$B$6:$B$101,"")</f>
        <v/>
      </c>
      <c r="N17" s="126">
        <f>_xlfn.XLOOKUP(M17,'GP5'!$B$6:$B$55,'GP5'!$A$6:$A$55,0)</f>
        <v>0</v>
      </c>
      <c r="O17" s="9" t="str">
        <f>_xlfn.XLOOKUP($B17,'GP6'!$C$6:$C$101,'GP6'!$B$6:$B$101,"")</f>
        <v/>
      </c>
      <c r="P17" s="126">
        <f>_xlfn.XLOOKUP(O17,'GP6'!$B$6:$B$55,'GP6'!$A$6:$A$55,0)</f>
        <v>0</v>
      </c>
      <c r="Q17" s="9" t="str">
        <f>_xlfn.XLOOKUP($B17,'GP7'!$C$6:$C$101,'GP7'!$B$6:$B$101,"")</f>
        <v/>
      </c>
      <c r="R17" s="126">
        <f>_xlfn.XLOOKUP(Q17,'GP7'!$B$6:$B$55,'GP7'!$A$6:$A$55,0)</f>
        <v>0</v>
      </c>
      <c r="S17" s="9" t="str">
        <f>_xlfn.XLOOKUP($B17,'GP8'!$C$6:$C$101,'GP8'!$B$6:$B$101,"")</f>
        <v/>
      </c>
      <c r="T17" s="126">
        <f>_xlfn.XLOOKUP(S17,'GP8'!$B$6:$B$55,'GP8'!$A$6:$A$55,0)</f>
        <v>0</v>
      </c>
      <c r="U17" s="9" t="str">
        <f>_xlfn.XLOOKUP($B17,MPW!$C$6:$C$101,MPW!$B$6:$B$101,"")</f>
        <v/>
      </c>
      <c r="V17" s="126">
        <f>_xlfn.XLOOKUP(U17,MPW!$B$6:$B$55,MPW!$A$6:$A$55,0)</f>
        <v>0</v>
      </c>
      <c r="X17" s="9" t="str">
        <f>_xlfn.XLOOKUP($B17,'PEW1'!$C$6:$C$201,'PEW1'!$B$6:$B$201,"")</f>
        <v/>
      </c>
      <c r="Y17" s="77">
        <f>_xlfn.XLOOKUP(X17,'PEW1'!$B$6:$B$201,'PEW1'!$A$6:$A$201,0)</f>
        <v>0</v>
      </c>
      <c r="Z17" s="9" t="str">
        <f>_xlfn.XLOOKUP($B17,'PEW2'!$C$6:$C$201,'PEW2'!$B$6:$B$201,"")</f>
        <v/>
      </c>
      <c r="AA17" s="77">
        <f>_xlfn.XLOOKUP(Z17,'PEW2'!$B$6:$B$201,'PEW2'!$A$6:$A$201,0)</f>
        <v>0</v>
      </c>
      <c r="AB17" s="9" t="str">
        <f>_xlfn.XLOOKUP($B17,'PEW3'!$C$6:$C$201,'PEW3'!$B$6:$B$201,"")</f>
        <v/>
      </c>
      <c r="AC17" s="77">
        <f>_xlfn.XLOOKUP(AB17,'PEW3'!$B$6:$B$201,'PEW3'!$A$6:$A$201,0)</f>
        <v>0</v>
      </c>
      <c r="AD17" s="9" t="str">
        <f>_xlfn.XLOOKUP($B17,VFC!$C$6:$C$201,VFC!$B$6:$B$201,"")</f>
        <v/>
      </c>
      <c r="AE17" s="77">
        <f>_xlfn.XLOOKUP(AD17,VFC!$B$6:$B$201,VFC!$A$6:$A$201,0)</f>
        <v>0</v>
      </c>
      <c r="AF17" s="9" t="str">
        <f>_xlfn.XLOOKUP($B17,'PEW4'!$C$6:$C$201,'PEW4'!$B$6:$B$201,"")</f>
        <v/>
      </c>
      <c r="AG17" s="77">
        <f>_xlfn.XLOOKUP(AF17,'PEW4'!$B$6:$B$201,'PEW4'!$A$6:$A$201,0)</f>
        <v>0</v>
      </c>
      <c r="AH17" s="9" t="str">
        <f>_xlfn.XLOOKUP($B17,'PEW5'!$C$6:$C$201,'PEW5'!$B$6:$B$201,"")</f>
        <v/>
      </c>
      <c r="AI17" s="77">
        <f>_xlfn.XLOOKUP(AH17,'PEW5'!$B$6:$B$201,'PEW5'!$A$6:$A$201,0)</f>
        <v>0</v>
      </c>
      <c r="AJ17" s="9" t="str">
        <f>_xlfn.XLOOKUP($B17,'PEW6'!$C$6:$C$201,'PEW6'!$B$6:$B$201,"")</f>
        <v/>
      </c>
      <c r="AK17" s="77">
        <f>_xlfn.XLOOKUP(AJ17,'PEW6'!$B$6:$B$201,'PEW6'!$A$6:$A$201,0)</f>
        <v>0</v>
      </c>
      <c r="AL17" s="9" t="str">
        <f>_xlfn.XLOOKUP($B17,'PEW7'!$C$6:$C$201,'PEW7'!$B$6:$B$201,"")</f>
        <v/>
      </c>
      <c r="AM17" s="77">
        <f>_xlfn.XLOOKUP(AL17,'PEW7'!$B$6:$B$201,'PEW7'!$A$6:$A$201,0)</f>
        <v>0</v>
      </c>
      <c r="AN17" s="9" t="str">
        <f>_xlfn.XLOOKUP($B17,'PEW8'!$C$6:$C$201,'PEW8'!$B$6:$B$201,"")</f>
        <v/>
      </c>
      <c r="AO17" s="77">
        <f>_xlfn.XLOOKUP(AN17,'PEW8'!$B$6:$B$201,'PEW8'!$A$6:$A$201,0)</f>
        <v>0</v>
      </c>
      <c r="AP17" s="9" t="str">
        <f>_xlfn.XLOOKUP($B17,'PEW9'!$C$6:$C$201,'PEW9'!$B$6:$B$201,"")</f>
        <v/>
      </c>
      <c r="AQ17" s="77">
        <f>_xlfn.XLOOKUP(AP17,'PEW9'!$B$6:$B$201,'PEW9'!$A$6:$A$201,0)</f>
        <v>0</v>
      </c>
      <c r="AR17" s="9" t="str">
        <f>_xlfn.XLOOKUP($B17,'PEW10'!$C$6:$C$201,'PEW10'!$B$6:$B$201,"")</f>
        <v/>
      </c>
      <c r="AS17" s="77">
        <f>_xlfn.XLOOKUP(AR17,'PEW10'!$B$6:$B$201,'PEW10'!$A$6:$A$201,0)</f>
        <v>0</v>
      </c>
      <c r="AT17" s="9" t="str">
        <f>_xlfn.XLOOKUP($B17,'PEW11'!$C$6:$C$201,'PEW11'!$B$6:$B$201,"")</f>
        <v/>
      </c>
      <c r="AU17" s="77">
        <f>_xlfn.XLOOKUP(AT17,'PEW11'!$B$6:$B$201,'PEW11'!$A$6:$A$201,0)</f>
        <v>0</v>
      </c>
      <c r="AV17" s="9" t="str">
        <f>_xlfn.XLOOKUP($B17,'PEW12'!$C$6:$C$201,'PEW12'!$B$6:$B$201,"")</f>
        <v/>
      </c>
      <c r="AW17" s="77">
        <f>_xlfn.XLOOKUP(AV17,'PEW12'!$B$6:$B$201,'PEW12'!$A$6:$A$201,0)</f>
        <v>0</v>
      </c>
      <c r="AX17" s="9" t="str" cm="1">
        <f t="array" ref="AX17">_xlfn.XLOOKUP($B17,IMEW!C$6:C$201,IMEW!$B$6:B$201,"")</f>
        <v/>
      </c>
      <c r="AY17" s="78">
        <f>_xlfn.XLOOKUP(AX17,IMEW!$B$6:$B$201,IMEW!$A$6:$A$201,0)</f>
        <v>0</v>
      </c>
      <c r="BA17" s="79">
        <f t="shared" si="1"/>
        <v>0</v>
      </c>
      <c r="BB17" s="79">
        <f t="shared" si="2"/>
        <v>0</v>
      </c>
      <c r="BC17" s="79">
        <f t="shared" si="3"/>
        <v>0</v>
      </c>
      <c r="BD17" s="79">
        <f t="shared" si="4"/>
        <v>0</v>
      </c>
      <c r="BE17" s="79">
        <f t="shared" si="5"/>
        <v>0</v>
      </c>
      <c r="BF17" s="79">
        <f t="shared" si="6"/>
        <v>0</v>
      </c>
      <c r="BG17" s="79">
        <f t="shared" si="7"/>
        <v>0</v>
      </c>
    </row>
    <row r="18" spans="1:59" ht="14.8" customHeight="1" x14ac:dyDescent="0.25">
      <c r="A18" s="8">
        <f t="shared" si="0"/>
        <v>13</v>
      </c>
      <c r="B18" s="10"/>
      <c r="C18" s="11"/>
      <c r="D18" s="75">
        <f>SUM(F18,H18,J18,L18,N18,P18,R18,T18,V18)-SUM(SMALL((F18,H18,J18,L18,N18,P18,R18,T18),1),SMALL((F18,H18,J18,L18,N18,P18,R18,T18),2))+SUM(LARGE((Y18,AA18,AC18,AE18,AG18,AI18,AK18,AM18,AO18,AQ18,AS18,AU18,AW18),1),LARGE((Y18,AA18,AC18,AE18,AG18,AI18,AK18,AM18,AO18,AQ18,AS18,AU18,AW18),2),LARGE((Y18,AA18,AC18,AE18,AG18,AI18,AK18,AM18,AO18,AQ18,AS18,AU18,AW18),3),AY18)</f>
        <v>0</v>
      </c>
      <c r="E18" s="9" t="str">
        <f>_xlfn.XLOOKUP($B18,'GP1'!$C$6:$C$101,'GP1'!$B$6:$B$101,"")</f>
        <v/>
      </c>
      <c r="F18" s="76">
        <f>_xlfn.XLOOKUP(E18,'GP1'!$B$6:$B$55,'GP1'!$A$6:$A$55,0)</f>
        <v>0</v>
      </c>
      <c r="G18" s="9" t="str">
        <f>_xlfn.XLOOKUP($B18,'GP2'!$C$6:$C$101,'GP2'!$B$6:$B$101,"")</f>
        <v/>
      </c>
      <c r="H18" s="76">
        <f>_xlfn.XLOOKUP(G18,'GP2'!$B$6:$B$55,'GP2'!$A$6:$A$55,0)</f>
        <v>0</v>
      </c>
      <c r="I18" s="9" t="str">
        <f>_xlfn.XLOOKUP($B18,'GP3'!$C$6:$C$101,'GP3'!$B$6:$B$101,"")</f>
        <v/>
      </c>
      <c r="J18" s="76">
        <f>_xlfn.XLOOKUP(I18,'GP3'!$B$6:$B$55,'GP3'!$A$6:$A$55,0)</f>
        <v>0</v>
      </c>
      <c r="K18" s="9" t="str">
        <f>_xlfn.XLOOKUP($B18,'GP4'!$C$6:$C$101,'GP4'!$B$6:$B$101,"")</f>
        <v/>
      </c>
      <c r="L18" s="76">
        <f>_xlfn.XLOOKUP(K18,'GP4'!$B$6:$B$55,'GP4'!$A$6:$A$55,0)</f>
        <v>0</v>
      </c>
      <c r="M18" s="9" t="str">
        <f>_xlfn.XLOOKUP($B18,'GP5'!$C$6:$C$101,'GP5'!$B$6:$B$101,"")</f>
        <v/>
      </c>
      <c r="N18" s="126">
        <f>_xlfn.XLOOKUP(M18,'GP5'!$B$6:$B$55,'GP5'!$A$6:$A$55,0)</f>
        <v>0</v>
      </c>
      <c r="O18" s="9" t="str">
        <f>_xlfn.XLOOKUP($B18,'GP6'!$C$6:$C$101,'GP6'!$B$6:$B$101,"")</f>
        <v/>
      </c>
      <c r="P18" s="126">
        <f>_xlfn.XLOOKUP(O18,'GP6'!$B$6:$B$55,'GP6'!$A$6:$A$55,0)</f>
        <v>0</v>
      </c>
      <c r="Q18" s="9" t="str">
        <f>_xlfn.XLOOKUP($B18,'GP7'!$C$6:$C$101,'GP7'!$B$6:$B$101,"")</f>
        <v/>
      </c>
      <c r="R18" s="126">
        <f>_xlfn.XLOOKUP(Q18,'GP7'!$B$6:$B$55,'GP7'!$A$6:$A$55,0)</f>
        <v>0</v>
      </c>
      <c r="S18" s="9" t="str">
        <f>_xlfn.XLOOKUP($B18,'GP8'!$C$6:$C$101,'GP8'!$B$6:$B$101,"")</f>
        <v/>
      </c>
      <c r="T18" s="126">
        <f>_xlfn.XLOOKUP(S18,'GP8'!$B$6:$B$55,'GP8'!$A$6:$A$55,0)</f>
        <v>0</v>
      </c>
      <c r="U18" s="9" t="str">
        <f>_xlfn.XLOOKUP($B18,MPW!$C$6:$C$101,MPW!$B$6:$B$101,"")</f>
        <v/>
      </c>
      <c r="V18" s="126">
        <f>_xlfn.XLOOKUP(U18,MPW!$B$6:$B$55,MPW!$A$6:$A$55,0)</f>
        <v>0</v>
      </c>
      <c r="X18" s="9" t="str">
        <f>_xlfn.XLOOKUP($B18,'PEW1'!$C$6:$C$201,'PEW1'!$B$6:$B$201,"")</f>
        <v/>
      </c>
      <c r="Y18" s="77">
        <f>_xlfn.XLOOKUP(X18,'PEW1'!$B$6:$B$201,'PEW1'!$A$6:$A$201,0)</f>
        <v>0</v>
      </c>
      <c r="Z18" s="9" t="str">
        <f>_xlfn.XLOOKUP($B18,'PEW2'!$C$6:$C$201,'PEW2'!$B$6:$B$201,"")</f>
        <v/>
      </c>
      <c r="AA18" s="77">
        <f>_xlfn.XLOOKUP(Z18,'PEW2'!$B$6:$B$201,'PEW2'!$A$6:$A$201,0)</f>
        <v>0</v>
      </c>
      <c r="AB18" s="9" t="str">
        <f>_xlfn.XLOOKUP($B18,'PEW3'!$C$6:$C$201,'PEW3'!$B$6:$B$201,"")</f>
        <v/>
      </c>
      <c r="AC18" s="77">
        <f>_xlfn.XLOOKUP(AB18,'PEW3'!$B$6:$B$201,'PEW3'!$A$6:$A$201,0)</f>
        <v>0</v>
      </c>
      <c r="AD18" s="9" t="str">
        <f>_xlfn.XLOOKUP($B18,VFC!$C$6:$C$201,VFC!$B$6:$B$201,"")</f>
        <v/>
      </c>
      <c r="AE18" s="77">
        <f>_xlfn.XLOOKUP(AD18,VFC!$B$6:$B$201,VFC!$A$6:$A$201,0)</f>
        <v>0</v>
      </c>
      <c r="AF18" s="9" t="str">
        <f>_xlfn.XLOOKUP($B18,'PEW4'!$C$6:$C$201,'PEW4'!$B$6:$B$201,"")</f>
        <v/>
      </c>
      <c r="AG18" s="77">
        <f>_xlfn.XLOOKUP(AF18,'PEW4'!$B$6:$B$201,'PEW4'!$A$6:$A$201,0)</f>
        <v>0</v>
      </c>
      <c r="AH18" s="9" t="str">
        <f>_xlfn.XLOOKUP($B18,'PEW5'!$C$6:$C$201,'PEW5'!$B$6:$B$201,"")</f>
        <v/>
      </c>
      <c r="AI18" s="77">
        <f>_xlfn.XLOOKUP(AH18,'PEW5'!$B$6:$B$201,'PEW5'!$A$6:$A$201,0)</f>
        <v>0</v>
      </c>
      <c r="AJ18" s="9" t="str">
        <f>_xlfn.XLOOKUP($B18,'PEW6'!$C$6:$C$201,'PEW6'!$B$6:$B$201,"")</f>
        <v/>
      </c>
      <c r="AK18" s="77">
        <f>_xlfn.XLOOKUP(AJ18,'PEW6'!$B$6:$B$201,'PEW6'!$A$6:$A$201,0)</f>
        <v>0</v>
      </c>
      <c r="AL18" s="9" t="str">
        <f>_xlfn.XLOOKUP($B18,'PEW7'!$C$6:$C$201,'PEW7'!$B$6:$B$201,"")</f>
        <v/>
      </c>
      <c r="AM18" s="77">
        <f>_xlfn.XLOOKUP(AL18,'PEW7'!$B$6:$B$201,'PEW7'!$A$6:$A$201,0)</f>
        <v>0</v>
      </c>
      <c r="AN18" s="9" t="str">
        <f>_xlfn.XLOOKUP($B18,'PEW8'!$C$6:$C$201,'PEW8'!$B$6:$B$201,"")</f>
        <v/>
      </c>
      <c r="AO18" s="77">
        <f>_xlfn.XLOOKUP(AN18,'PEW8'!$B$6:$B$201,'PEW8'!$A$6:$A$201,0)</f>
        <v>0</v>
      </c>
      <c r="AP18" s="9" t="str">
        <f>_xlfn.XLOOKUP($B18,'PEW9'!$C$6:$C$201,'PEW9'!$B$6:$B$201,"")</f>
        <v/>
      </c>
      <c r="AQ18" s="77">
        <f>_xlfn.XLOOKUP(AP18,'PEW9'!$B$6:$B$201,'PEW9'!$A$6:$A$201,0)</f>
        <v>0</v>
      </c>
      <c r="AR18" s="9" t="str">
        <f>_xlfn.XLOOKUP($B18,'PEW10'!$C$6:$C$201,'PEW10'!$B$6:$B$201,"")</f>
        <v/>
      </c>
      <c r="AS18" s="77">
        <f>_xlfn.XLOOKUP(AR18,'PEW10'!$B$6:$B$201,'PEW10'!$A$6:$A$201,0)</f>
        <v>0</v>
      </c>
      <c r="AT18" s="9" t="str">
        <f>_xlfn.XLOOKUP($B18,'PEW11'!$C$6:$C$201,'PEW11'!$B$6:$B$201,"")</f>
        <v/>
      </c>
      <c r="AU18" s="77">
        <f>_xlfn.XLOOKUP(AT18,'PEW11'!$B$6:$B$201,'PEW11'!$A$6:$A$201,0)</f>
        <v>0</v>
      </c>
      <c r="AV18" s="9" t="str">
        <f>_xlfn.XLOOKUP($B18,'PEW12'!$C$6:$C$201,'PEW12'!$B$6:$B$201,"")</f>
        <v/>
      </c>
      <c r="AW18" s="77">
        <f>_xlfn.XLOOKUP(AV18,'PEW12'!$B$6:$B$201,'PEW12'!$A$6:$A$201,0)</f>
        <v>0</v>
      </c>
      <c r="AX18" s="9" t="str" cm="1">
        <f t="array" ref="AX18">_xlfn.XLOOKUP($B18,IMEW!C$6:C$201,IMEW!$B$6:B$201,"")</f>
        <v/>
      </c>
      <c r="AY18" s="78">
        <f>_xlfn.XLOOKUP(AX18,IMEW!$B$6:$B$201,IMEW!$A$6:$A$201,0)</f>
        <v>0</v>
      </c>
      <c r="BA18" s="79">
        <f t="shared" si="1"/>
        <v>0</v>
      </c>
      <c r="BB18" s="79">
        <f t="shared" si="2"/>
        <v>0</v>
      </c>
      <c r="BC18" s="79">
        <f t="shared" si="3"/>
        <v>0</v>
      </c>
      <c r="BD18" s="79">
        <f t="shared" si="4"/>
        <v>0</v>
      </c>
      <c r="BE18" s="79">
        <f t="shared" si="5"/>
        <v>0</v>
      </c>
      <c r="BF18" s="79">
        <f t="shared" si="6"/>
        <v>0</v>
      </c>
      <c r="BG18" s="79">
        <f t="shared" si="7"/>
        <v>0</v>
      </c>
    </row>
    <row r="19" spans="1:59" ht="14.8" customHeight="1" x14ac:dyDescent="0.25">
      <c r="A19" s="8">
        <f t="shared" si="0"/>
        <v>14</v>
      </c>
      <c r="B19" s="10"/>
      <c r="C19" s="11"/>
      <c r="D19" s="75">
        <f>SUM(F19,H19,J19,L19,N19,P19,R19,T19,V19)-SUM(SMALL((F19,H19,J19,L19,N19,P19,R19,T19),1),SMALL((F19,H19,J19,L19,N19,P19,R19,T19),2))+SUM(LARGE((Y19,AA19,AC19,AE19,AG19,AI19,AK19,AM19,AO19,AQ19,AS19,AU19,AW19),1),LARGE((Y19,AA19,AC19,AE19,AG19,AI19,AK19,AM19,AO19,AQ19,AS19,AU19,AW19),2),LARGE((Y19,AA19,AC19,AE19,AG19,AI19,AK19,AM19,AO19,AQ19,AS19,AU19,AW19),3),AY19)</f>
        <v>0</v>
      </c>
      <c r="E19" s="9" t="str">
        <f>_xlfn.XLOOKUP($B19,'GP1'!$C$6:$C$101,'GP1'!$B$6:$B$101,"")</f>
        <v/>
      </c>
      <c r="F19" s="76">
        <f>_xlfn.XLOOKUP(E19,'GP1'!$B$6:$B$55,'GP1'!$A$6:$A$55,0)</f>
        <v>0</v>
      </c>
      <c r="G19" s="9" t="str">
        <f>_xlfn.XLOOKUP($B19,'GP2'!$C$6:$C$101,'GP2'!$B$6:$B$101,"")</f>
        <v/>
      </c>
      <c r="H19" s="76">
        <f>_xlfn.XLOOKUP(G19,'GP2'!$B$6:$B$55,'GP2'!$A$6:$A$55,0)</f>
        <v>0</v>
      </c>
      <c r="I19" s="9" t="str">
        <f>_xlfn.XLOOKUP($B19,'GP3'!$C$6:$C$101,'GP3'!$B$6:$B$101,"")</f>
        <v/>
      </c>
      <c r="J19" s="76">
        <f>_xlfn.XLOOKUP(I19,'GP3'!$B$6:$B$55,'GP3'!$A$6:$A$55,0)</f>
        <v>0</v>
      </c>
      <c r="K19" s="9" t="str">
        <f>_xlfn.XLOOKUP($B19,'GP4'!$C$6:$C$101,'GP4'!$B$6:$B$101,"")</f>
        <v/>
      </c>
      <c r="L19" s="76">
        <f>_xlfn.XLOOKUP(K19,'GP4'!$B$6:$B$55,'GP4'!$A$6:$A$55,0)</f>
        <v>0</v>
      </c>
      <c r="M19" s="9" t="str">
        <f>_xlfn.XLOOKUP($B19,'GP5'!$C$6:$C$101,'GP5'!$B$6:$B$101,"")</f>
        <v/>
      </c>
      <c r="N19" s="126">
        <f>_xlfn.XLOOKUP(M19,'GP5'!$B$6:$B$55,'GP5'!$A$6:$A$55,0)</f>
        <v>0</v>
      </c>
      <c r="O19" s="9" t="str">
        <f>_xlfn.XLOOKUP($B19,'GP6'!$C$6:$C$101,'GP6'!$B$6:$B$101,"")</f>
        <v/>
      </c>
      <c r="P19" s="126">
        <f>_xlfn.XLOOKUP(O19,'GP6'!$B$6:$B$55,'GP6'!$A$6:$A$55,0)</f>
        <v>0</v>
      </c>
      <c r="Q19" s="9" t="str">
        <f>_xlfn.XLOOKUP($B19,'GP7'!$C$6:$C$101,'GP7'!$B$6:$B$101,"")</f>
        <v/>
      </c>
      <c r="R19" s="126">
        <f>_xlfn.XLOOKUP(Q19,'GP7'!$B$6:$B$55,'GP7'!$A$6:$A$55,0)</f>
        <v>0</v>
      </c>
      <c r="S19" s="9" t="str">
        <f>_xlfn.XLOOKUP($B19,'GP8'!$C$6:$C$101,'GP8'!$B$6:$B$101,"")</f>
        <v/>
      </c>
      <c r="T19" s="126">
        <f>_xlfn.XLOOKUP(S19,'GP8'!$B$6:$B$55,'GP8'!$A$6:$A$55,0)</f>
        <v>0</v>
      </c>
      <c r="U19" s="9" t="str">
        <f>_xlfn.XLOOKUP($B19,MPW!$C$6:$C$101,MPW!$B$6:$B$101,"")</f>
        <v/>
      </c>
      <c r="V19" s="126">
        <f>_xlfn.XLOOKUP(U19,MPW!$B$6:$B$55,MPW!$A$6:$A$55,0)</f>
        <v>0</v>
      </c>
      <c r="X19" s="9" t="str">
        <f>_xlfn.XLOOKUP($B19,'PEW1'!$C$6:$C$201,'PEW1'!$B$6:$B$201,"")</f>
        <v/>
      </c>
      <c r="Y19" s="77">
        <f>_xlfn.XLOOKUP(X19,'PEW1'!$B$6:$B$201,'PEW1'!$A$6:$A$201,0)</f>
        <v>0</v>
      </c>
      <c r="Z19" s="9" t="str">
        <f>_xlfn.XLOOKUP($B19,'PEW2'!$C$6:$C$201,'PEW2'!$B$6:$B$201,"")</f>
        <v/>
      </c>
      <c r="AA19" s="77">
        <f>_xlfn.XLOOKUP(Z19,'PEW2'!$B$6:$B$201,'PEW2'!$A$6:$A$201,0)</f>
        <v>0</v>
      </c>
      <c r="AB19" s="9" t="str">
        <f>_xlfn.XLOOKUP($B19,'PEW3'!$C$6:$C$201,'PEW3'!$B$6:$B$201,"")</f>
        <v/>
      </c>
      <c r="AC19" s="77">
        <f>_xlfn.XLOOKUP(AB19,'PEW3'!$B$6:$B$201,'PEW3'!$A$6:$A$201,0)</f>
        <v>0</v>
      </c>
      <c r="AD19" s="9" t="str">
        <f>_xlfn.XLOOKUP($B19,VFC!$C$6:$C$201,VFC!$B$6:$B$201,"")</f>
        <v/>
      </c>
      <c r="AE19" s="77">
        <f>_xlfn.XLOOKUP(AD19,VFC!$B$6:$B$201,VFC!$A$6:$A$201,0)</f>
        <v>0</v>
      </c>
      <c r="AF19" s="9" t="str">
        <f>_xlfn.XLOOKUP($B19,'PEW4'!$C$6:$C$201,'PEW4'!$B$6:$B$201,"")</f>
        <v/>
      </c>
      <c r="AG19" s="77">
        <f>_xlfn.XLOOKUP(AF19,'PEW4'!$B$6:$B$201,'PEW4'!$A$6:$A$201,0)</f>
        <v>0</v>
      </c>
      <c r="AH19" s="9" t="str">
        <f>_xlfn.XLOOKUP($B19,'PEW5'!$C$6:$C$201,'PEW5'!$B$6:$B$201,"")</f>
        <v/>
      </c>
      <c r="AI19" s="77">
        <f>_xlfn.XLOOKUP(AH19,'PEW5'!$B$6:$B$201,'PEW5'!$A$6:$A$201,0)</f>
        <v>0</v>
      </c>
      <c r="AJ19" s="9" t="str">
        <f>_xlfn.XLOOKUP($B19,'PEW6'!$C$6:$C$201,'PEW6'!$B$6:$B$201,"")</f>
        <v/>
      </c>
      <c r="AK19" s="77">
        <f>_xlfn.XLOOKUP(AJ19,'PEW6'!$B$6:$B$201,'PEW6'!$A$6:$A$201,0)</f>
        <v>0</v>
      </c>
      <c r="AL19" s="9" t="str">
        <f>_xlfn.XLOOKUP($B19,'PEW7'!$C$6:$C$201,'PEW7'!$B$6:$B$201,"")</f>
        <v/>
      </c>
      <c r="AM19" s="77">
        <f>_xlfn.XLOOKUP(AL19,'PEW7'!$B$6:$B$201,'PEW7'!$A$6:$A$201,0)</f>
        <v>0</v>
      </c>
      <c r="AN19" s="9" t="str">
        <f>_xlfn.XLOOKUP($B19,'PEW8'!$C$6:$C$201,'PEW8'!$B$6:$B$201,"")</f>
        <v/>
      </c>
      <c r="AO19" s="77">
        <f>_xlfn.XLOOKUP(AN19,'PEW8'!$B$6:$B$201,'PEW8'!$A$6:$A$201,0)</f>
        <v>0</v>
      </c>
      <c r="AP19" s="9" t="str">
        <f>_xlfn.XLOOKUP($B19,'PEW9'!$C$6:$C$201,'PEW9'!$B$6:$B$201,"")</f>
        <v/>
      </c>
      <c r="AQ19" s="77">
        <f>_xlfn.XLOOKUP(AP19,'PEW9'!$B$6:$B$201,'PEW9'!$A$6:$A$201,0)</f>
        <v>0</v>
      </c>
      <c r="AR19" s="9" t="str">
        <f>_xlfn.XLOOKUP($B19,'PEW10'!$C$6:$C$201,'PEW10'!$B$6:$B$201,"")</f>
        <v/>
      </c>
      <c r="AS19" s="77">
        <f>_xlfn.XLOOKUP(AR19,'PEW10'!$B$6:$B$201,'PEW10'!$A$6:$A$201,0)</f>
        <v>0</v>
      </c>
      <c r="AT19" s="9" t="str">
        <f>_xlfn.XLOOKUP($B19,'PEW11'!$C$6:$C$201,'PEW11'!$B$6:$B$201,"")</f>
        <v/>
      </c>
      <c r="AU19" s="77">
        <f>_xlfn.XLOOKUP(AT19,'PEW11'!$B$6:$B$201,'PEW11'!$A$6:$A$201,0)</f>
        <v>0</v>
      </c>
      <c r="AV19" s="9" t="str">
        <f>_xlfn.XLOOKUP($B19,'PEW12'!$C$6:$C$201,'PEW12'!$B$6:$B$201,"")</f>
        <v/>
      </c>
      <c r="AW19" s="77">
        <f>_xlfn.XLOOKUP(AV19,'PEW12'!$B$6:$B$201,'PEW12'!$A$6:$A$201,0)</f>
        <v>0</v>
      </c>
      <c r="AX19" s="9" t="str" cm="1">
        <f t="array" ref="AX19">_xlfn.XLOOKUP($B19,IMEW!C$6:C$201,IMEW!$B$6:B$201,"")</f>
        <v/>
      </c>
      <c r="AY19" s="78">
        <f>_xlfn.XLOOKUP(AX19,IMEW!$B$6:$B$201,IMEW!$A$6:$A$201,0)</f>
        <v>0</v>
      </c>
      <c r="BA19" s="79">
        <f t="shared" si="1"/>
        <v>0</v>
      </c>
      <c r="BB19" s="79">
        <f t="shared" si="2"/>
        <v>0</v>
      </c>
      <c r="BC19" s="79">
        <f t="shared" si="3"/>
        <v>0</v>
      </c>
      <c r="BD19" s="79">
        <f t="shared" si="4"/>
        <v>0</v>
      </c>
      <c r="BE19" s="79">
        <f t="shared" si="5"/>
        <v>0</v>
      </c>
      <c r="BF19" s="79">
        <f t="shared" si="6"/>
        <v>0</v>
      </c>
      <c r="BG19" s="79">
        <f t="shared" si="7"/>
        <v>0</v>
      </c>
    </row>
    <row r="20" spans="1:59" ht="14.8" customHeight="1" x14ac:dyDescent="0.25">
      <c r="A20" s="8">
        <f t="shared" si="0"/>
        <v>15</v>
      </c>
      <c r="B20" s="10"/>
      <c r="C20" s="11"/>
      <c r="D20" s="75">
        <f>SUM(F20,H20,J20,L20,N20,P20,R20,T20,V20)-SUM(SMALL((F20,H20,J20,L20,N20,P20,R20,T20),1),SMALL((F20,H20,J20,L20,N20,P20,R20,T20),2))+SUM(LARGE((Y20,AA20,AC20,AE20,AG20,AI20,AK20,AM20,AO20,AQ20,AS20,AU20,AW20),1),LARGE((Y20,AA20,AC20,AE20,AG20,AI20,AK20,AM20,AO20,AQ20,AS20,AU20,AW20),2),LARGE((Y20,AA20,AC20,AE20,AG20,AI20,AK20,AM20,AO20,AQ20,AS20,AU20,AW20),3),AY20)</f>
        <v>0</v>
      </c>
      <c r="E20" s="9" t="str">
        <f>_xlfn.XLOOKUP($B20,'GP1'!$C$6:$C$101,'GP1'!$B$6:$B$101,"")</f>
        <v/>
      </c>
      <c r="F20" s="76">
        <f>_xlfn.XLOOKUP(E20,'GP1'!$B$6:$B$55,'GP1'!$A$6:$A$55,0)</f>
        <v>0</v>
      </c>
      <c r="G20" s="9" t="str">
        <f>_xlfn.XLOOKUP($B20,'GP2'!$C$6:$C$101,'GP2'!$B$6:$B$101,"")</f>
        <v/>
      </c>
      <c r="H20" s="76">
        <f>_xlfn.XLOOKUP(G20,'GP2'!$B$6:$B$55,'GP2'!$A$6:$A$55,0)</f>
        <v>0</v>
      </c>
      <c r="I20" s="9" t="str">
        <f>_xlfn.XLOOKUP($B20,'GP3'!$C$6:$C$101,'GP3'!$B$6:$B$101,"")</f>
        <v/>
      </c>
      <c r="J20" s="76">
        <f>_xlfn.XLOOKUP(I20,'GP3'!$B$6:$B$55,'GP3'!$A$6:$A$55,0)</f>
        <v>0</v>
      </c>
      <c r="K20" s="9" t="str">
        <f>_xlfn.XLOOKUP($B20,'GP4'!$C$6:$C$101,'GP4'!$B$6:$B$101,"")</f>
        <v/>
      </c>
      <c r="L20" s="76">
        <f>_xlfn.XLOOKUP(K20,'GP4'!$B$6:$B$55,'GP4'!$A$6:$A$55,0)</f>
        <v>0</v>
      </c>
      <c r="M20" s="9" t="str">
        <f>_xlfn.XLOOKUP($B20,'GP5'!$C$6:$C$101,'GP5'!$B$6:$B$101,"")</f>
        <v/>
      </c>
      <c r="N20" s="126">
        <f>_xlfn.XLOOKUP(M20,'GP5'!$B$6:$B$55,'GP5'!$A$6:$A$55,0)</f>
        <v>0</v>
      </c>
      <c r="O20" s="9" t="str">
        <f>_xlfn.XLOOKUP($B20,'GP6'!$C$6:$C$101,'GP6'!$B$6:$B$101,"")</f>
        <v/>
      </c>
      <c r="P20" s="126">
        <f>_xlfn.XLOOKUP(O20,'GP6'!$B$6:$B$55,'GP6'!$A$6:$A$55,0)</f>
        <v>0</v>
      </c>
      <c r="Q20" s="9" t="str">
        <f>_xlfn.XLOOKUP($B20,'GP7'!$C$6:$C$101,'GP7'!$B$6:$B$101,"")</f>
        <v/>
      </c>
      <c r="R20" s="126">
        <f>_xlfn.XLOOKUP(Q20,'GP7'!$B$6:$B$55,'GP7'!$A$6:$A$55,0)</f>
        <v>0</v>
      </c>
      <c r="S20" s="9" t="str">
        <f>_xlfn.XLOOKUP($B20,'GP8'!$C$6:$C$101,'GP8'!$B$6:$B$101,"")</f>
        <v/>
      </c>
      <c r="T20" s="126">
        <f>_xlfn.XLOOKUP(S20,'GP8'!$B$6:$B$55,'GP8'!$A$6:$A$55,0)</f>
        <v>0</v>
      </c>
      <c r="U20" s="9" t="str">
        <f>_xlfn.XLOOKUP($B20,MPW!$C$6:$C$101,MPW!$B$6:$B$101,"")</f>
        <v/>
      </c>
      <c r="V20" s="126">
        <f>_xlfn.XLOOKUP(U20,MPW!$B$6:$B$55,MPW!$A$6:$A$55,0)</f>
        <v>0</v>
      </c>
      <c r="X20" s="9" t="str">
        <f>_xlfn.XLOOKUP($B20,'PEW1'!$C$6:$C$201,'PEW1'!$B$6:$B$201,"")</f>
        <v/>
      </c>
      <c r="Y20" s="77">
        <f>_xlfn.XLOOKUP(X20,'PEW1'!$B$6:$B$201,'PEW1'!$A$6:$A$201,0)</f>
        <v>0</v>
      </c>
      <c r="Z20" s="9" t="str">
        <f>_xlfn.XLOOKUP($B20,'PEW2'!$C$6:$C$201,'PEW2'!$B$6:$B$201,"")</f>
        <v/>
      </c>
      <c r="AA20" s="77">
        <f>_xlfn.XLOOKUP(Z20,'PEW2'!$B$6:$B$201,'PEW2'!$A$6:$A$201,0)</f>
        <v>0</v>
      </c>
      <c r="AB20" s="9" t="str">
        <f>_xlfn.XLOOKUP($B20,'PEW3'!$C$6:$C$201,'PEW3'!$B$6:$B$201,"")</f>
        <v/>
      </c>
      <c r="AC20" s="77">
        <f>_xlfn.XLOOKUP(AB20,'PEW3'!$B$6:$B$201,'PEW3'!$A$6:$A$201,0)</f>
        <v>0</v>
      </c>
      <c r="AD20" s="9" t="str">
        <f>_xlfn.XLOOKUP($B20,VFC!$C$6:$C$201,VFC!$B$6:$B$201,"")</f>
        <v/>
      </c>
      <c r="AE20" s="77">
        <f>_xlfn.XLOOKUP(AD20,VFC!$B$6:$B$201,VFC!$A$6:$A$201,0)</f>
        <v>0</v>
      </c>
      <c r="AF20" s="9" t="str">
        <f>_xlfn.XLOOKUP($B20,'PEW4'!$C$6:$C$201,'PEW4'!$B$6:$B$201,"")</f>
        <v/>
      </c>
      <c r="AG20" s="77">
        <f>_xlfn.XLOOKUP(AF20,'PEW4'!$B$6:$B$201,'PEW4'!$A$6:$A$201,0)</f>
        <v>0</v>
      </c>
      <c r="AH20" s="9" t="str">
        <f>_xlfn.XLOOKUP($B20,'PEW5'!$C$6:$C$201,'PEW5'!$B$6:$B$201,"")</f>
        <v/>
      </c>
      <c r="AI20" s="77">
        <f>_xlfn.XLOOKUP(AH20,'PEW5'!$B$6:$B$201,'PEW5'!$A$6:$A$201,0)</f>
        <v>0</v>
      </c>
      <c r="AJ20" s="9" t="str">
        <f>_xlfn.XLOOKUP($B20,'PEW6'!$C$6:$C$201,'PEW6'!$B$6:$B$201,"")</f>
        <v/>
      </c>
      <c r="AK20" s="77">
        <f>_xlfn.XLOOKUP(AJ20,'PEW6'!$B$6:$B$201,'PEW6'!$A$6:$A$201,0)</f>
        <v>0</v>
      </c>
      <c r="AL20" s="9" t="str">
        <f>_xlfn.XLOOKUP($B20,'PEW7'!$C$6:$C$201,'PEW7'!$B$6:$B$201,"")</f>
        <v/>
      </c>
      <c r="AM20" s="77">
        <f>_xlfn.XLOOKUP(AL20,'PEW7'!$B$6:$B$201,'PEW7'!$A$6:$A$201,0)</f>
        <v>0</v>
      </c>
      <c r="AN20" s="9" t="str">
        <f>_xlfn.XLOOKUP($B20,'PEW8'!$C$6:$C$201,'PEW8'!$B$6:$B$201,"")</f>
        <v/>
      </c>
      <c r="AO20" s="77">
        <f>_xlfn.XLOOKUP(AN20,'PEW8'!$B$6:$B$201,'PEW8'!$A$6:$A$201,0)</f>
        <v>0</v>
      </c>
      <c r="AP20" s="9" t="str">
        <f>_xlfn.XLOOKUP($B20,'PEW9'!$C$6:$C$201,'PEW9'!$B$6:$B$201,"")</f>
        <v/>
      </c>
      <c r="AQ20" s="77">
        <f>_xlfn.XLOOKUP(AP20,'PEW9'!$B$6:$B$201,'PEW9'!$A$6:$A$201,0)</f>
        <v>0</v>
      </c>
      <c r="AR20" s="9" t="str">
        <f>_xlfn.XLOOKUP($B20,'PEW10'!$C$6:$C$201,'PEW10'!$B$6:$B$201,"")</f>
        <v/>
      </c>
      <c r="AS20" s="77">
        <f>_xlfn.XLOOKUP(AR20,'PEW10'!$B$6:$B$201,'PEW10'!$A$6:$A$201,0)</f>
        <v>0</v>
      </c>
      <c r="AT20" s="9" t="str">
        <f>_xlfn.XLOOKUP($B20,'PEW11'!$C$6:$C$201,'PEW11'!$B$6:$B$201,"")</f>
        <v/>
      </c>
      <c r="AU20" s="77">
        <f>_xlfn.XLOOKUP(AT20,'PEW11'!$B$6:$B$201,'PEW11'!$A$6:$A$201,0)</f>
        <v>0</v>
      </c>
      <c r="AV20" s="9" t="str">
        <f>_xlfn.XLOOKUP($B20,'PEW12'!$C$6:$C$201,'PEW12'!$B$6:$B$201,"")</f>
        <v/>
      </c>
      <c r="AW20" s="77">
        <f>_xlfn.XLOOKUP(AV20,'PEW12'!$B$6:$B$201,'PEW12'!$A$6:$A$201,0)</f>
        <v>0</v>
      </c>
      <c r="AX20" s="9" t="str" cm="1">
        <f t="array" ref="AX20">_xlfn.XLOOKUP($B20,IMEW!C$6:C$201,IMEW!$B$6:B$201,"")</f>
        <v/>
      </c>
      <c r="AY20" s="78">
        <f>_xlfn.XLOOKUP(AX20,IMEW!$B$6:$B$201,IMEW!$A$6:$A$201,0)</f>
        <v>0</v>
      </c>
      <c r="BA20" s="79">
        <f t="shared" si="1"/>
        <v>0</v>
      </c>
      <c r="BB20" s="79">
        <f t="shared" si="2"/>
        <v>0</v>
      </c>
      <c r="BC20" s="79">
        <f t="shared" si="3"/>
        <v>0</v>
      </c>
      <c r="BD20" s="79">
        <f t="shared" si="4"/>
        <v>0</v>
      </c>
      <c r="BE20" s="79">
        <f t="shared" si="5"/>
        <v>0</v>
      </c>
      <c r="BF20" s="79">
        <f t="shared" si="6"/>
        <v>0</v>
      </c>
      <c r="BG20" s="79">
        <f t="shared" si="7"/>
        <v>0</v>
      </c>
    </row>
    <row r="21" spans="1:59" ht="14.8" customHeight="1" x14ac:dyDescent="0.25">
      <c r="A21" s="8">
        <f t="shared" si="0"/>
        <v>16</v>
      </c>
      <c r="B21" s="10"/>
      <c r="C21" s="11"/>
      <c r="D21" s="75">
        <f>SUM(F21,H21,J21,L21,N21,P21,R21,T21,V21)-SUM(SMALL((F21,H21,J21,L21,N21,P21,R21,T21),1),SMALL((F21,H21,J21,L21,N21,P21,R21,T21),2))+SUM(LARGE((Y21,AA21,AC21,AE21,AG21,AI21,AK21,AM21,AO21,AQ21,AS21,AU21,AW21),1),LARGE((Y21,AA21,AC21,AE21,AG21,AI21,AK21,AM21,AO21,AQ21,AS21,AU21,AW21),2),LARGE((Y21,AA21,AC21,AE21,AG21,AI21,AK21,AM21,AO21,AQ21,AS21,AU21,AW21),3),AY21)</f>
        <v>0</v>
      </c>
      <c r="E21" s="9" t="str">
        <f>_xlfn.XLOOKUP($B21,'GP1'!$C$6:$C$101,'GP1'!$B$6:$B$101,"")</f>
        <v/>
      </c>
      <c r="F21" s="76">
        <f>_xlfn.XLOOKUP(E21,'GP1'!$B$6:$B$55,'GP1'!$A$6:$A$55,0)</f>
        <v>0</v>
      </c>
      <c r="G21" s="9" t="str">
        <f>_xlfn.XLOOKUP($B21,'GP2'!$C$6:$C$101,'GP2'!$B$6:$B$101,"")</f>
        <v/>
      </c>
      <c r="H21" s="76">
        <f>_xlfn.XLOOKUP(G21,'GP2'!$B$6:$B$55,'GP2'!$A$6:$A$55,0)</f>
        <v>0</v>
      </c>
      <c r="I21" s="9" t="str">
        <f>_xlfn.XLOOKUP($B21,'GP3'!$C$6:$C$101,'GP3'!$B$6:$B$101,"")</f>
        <v/>
      </c>
      <c r="J21" s="76">
        <f>_xlfn.XLOOKUP(I21,'GP3'!$B$6:$B$55,'GP3'!$A$6:$A$55,0)</f>
        <v>0</v>
      </c>
      <c r="K21" s="9" t="str">
        <f>_xlfn.XLOOKUP($B21,'GP4'!$C$6:$C$101,'GP4'!$B$6:$B$101,"")</f>
        <v/>
      </c>
      <c r="L21" s="76">
        <f>_xlfn.XLOOKUP(K21,'GP4'!$B$6:$B$55,'GP4'!$A$6:$A$55,0)</f>
        <v>0</v>
      </c>
      <c r="M21" s="9" t="str">
        <f>_xlfn.XLOOKUP($B21,'GP5'!$C$6:$C$101,'GP5'!$B$6:$B$101,"")</f>
        <v/>
      </c>
      <c r="N21" s="126">
        <f>_xlfn.XLOOKUP(M21,'GP5'!$B$6:$B$55,'GP5'!$A$6:$A$55,0)</f>
        <v>0</v>
      </c>
      <c r="O21" s="9" t="str">
        <f>_xlfn.XLOOKUP($B21,'GP6'!$C$6:$C$101,'GP6'!$B$6:$B$101,"")</f>
        <v/>
      </c>
      <c r="P21" s="126">
        <f>_xlfn.XLOOKUP(O21,'GP6'!$B$6:$B$55,'GP6'!$A$6:$A$55,0)</f>
        <v>0</v>
      </c>
      <c r="Q21" s="9" t="str">
        <f>_xlfn.XLOOKUP($B21,'GP7'!$C$6:$C$101,'GP7'!$B$6:$B$101,"")</f>
        <v/>
      </c>
      <c r="R21" s="126">
        <f>_xlfn.XLOOKUP(Q21,'GP7'!$B$6:$B$55,'GP7'!$A$6:$A$55,0)</f>
        <v>0</v>
      </c>
      <c r="S21" s="9" t="str">
        <f>_xlfn.XLOOKUP($B21,'GP8'!$C$6:$C$101,'GP8'!$B$6:$B$101,"")</f>
        <v/>
      </c>
      <c r="T21" s="126">
        <f>_xlfn.XLOOKUP(S21,'GP8'!$B$6:$B$55,'GP8'!$A$6:$A$55,0)</f>
        <v>0</v>
      </c>
      <c r="U21" s="9" t="str">
        <f>_xlfn.XLOOKUP($B21,MPW!$C$6:$C$101,MPW!$B$6:$B$101,"")</f>
        <v/>
      </c>
      <c r="V21" s="126">
        <f>_xlfn.XLOOKUP(U21,MPW!$B$6:$B$55,MPW!$A$6:$A$55,0)</f>
        <v>0</v>
      </c>
      <c r="X21" s="9" t="str">
        <f>_xlfn.XLOOKUP($B21,'PEW1'!$C$6:$C$201,'PEW1'!$B$6:$B$201,"")</f>
        <v/>
      </c>
      <c r="Y21" s="77">
        <f>_xlfn.XLOOKUP(X21,'PEW1'!$B$6:$B$201,'PEW1'!$A$6:$A$201,0)</f>
        <v>0</v>
      </c>
      <c r="Z21" s="9" t="str">
        <f>_xlfn.XLOOKUP($B21,'PEW2'!$C$6:$C$201,'PEW2'!$B$6:$B$201,"")</f>
        <v/>
      </c>
      <c r="AA21" s="77">
        <f>_xlfn.XLOOKUP(Z21,'PEW2'!$B$6:$B$201,'PEW2'!$A$6:$A$201,0)</f>
        <v>0</v>
      </c>
      <c r="AB21" s="9" t="str">
        <f>_xlfn.XLOOKUP($B21,'PEW3'!$C$6:$C$201,'PEW3'!$B$6:$B$201,"")</f>
        <v/>
      </c>
      <c r="AC21" s="77">
        <f>_xlfn.XLOOKUP(AB21,'PEW3'!$B$6:$B$201,'PEW3'!$A$6:$A$201,0)</f>
        <v>0</v>
      </c>
      <c r="AD21" s="9" t="str">
        <f>_xlfn.XLOOKUP($B21,VFC!$C$6:$C$201,VFC!$B$6:$B$201,"")</f>
        <v/>
      </c>
      <c r="AE21" s="77">
        <f>_xlfn.XLOOKUP(AD21,VFC!$B$6:$B$201,VFC!$A$6:$A$201,0)</f>
        <v>0</v>
      </c>
      <c r="AF21" s="9" t="str">
        <f>_xlfn.XLOOKUP($B21,'PEW4'!$C$6:$C$201,'PEW4'!$B$6:$B$201,"")</f>
        <v/>
      </c>
      <c r="AG21" s="77">
        <f>_xlfn.XLOOKUP(AF21,'PEW4'!$B$6:$B$201,'PEW4'!$A$6:$A$201,0)</f>
        <v>0</v>
      </c>
      <c r="AH21" s="9" t="str">
        <f>_xlfn.XLOOKUP($B21,'PEW5'!$C$6:$C$201,'PEW5'!$B$6:$B$201,"")</f>
        <v/>
      </c>
      <c r="AI21" s="77">
        <f>_xlfn.XLOOKUP(AH21,'PEW5'!$B$6:$B$201,'PEW5'!$A$6:$A$201,0)</f>
        <v>0</v>
      </c>
      <c r="AJ21" s="9" t="str">
        <f>_xlfn.XLOOKUP($B21,'PEW6'!$C$6:$C$201,'PEW6'!$B$6:$B$201,"")</f>
        <v/>
      </c>
      <c r="AK21" s="77">
        <f>_xlfn.XLOOKUP(AJ21,'PEW6'!$B$6:$B$201,'PEW6'!$A$6:$A$201,0)</f>
        <v>0</v>
      </c>
      <c r="AL21" s="9" t="str">
        <f>_xlfn.XLOOKUP($B21,'PEW7'!$C$6:$C$201,'PEW7'!$B$6:$B$201,"")</f>
        <v/>
      </c>
      <c r="AM21" s="77">
        <f>_xlfn.XLOOKUP(AL21,'PEW7'!$B$6:$B$201,'PEW7'!$A$6:$A$201,0)</f>
        <v>0</v>
      </c>
      <c r="AN21" s="9" t="str">
        <f>_xlfn.XLOOKUP($B21,'PEW8'!$C$6:$C$201,'PEW8'!$B$6:$B$201,"")</f>
        <v/>
      </c>
      <c r="AO21" s="77">
        <f>_xlfn.XLOOKUP(AN21,'PEW8'!$B$6:$B$201,'PEW8'!$A$6:$A$201,0)</f>
        <v>0</v>
      </c>
      <c r="AP21" s="9" t="str">
        <f>_xlfn.XLOOKUP($B21,'PEW9'!$C$6:$C$201,'PEW9'!$B$6:$B$201,"")</f>
        <v/>
      </c>
      <c r="AQ21" s="77">
        <f>_xlfn.XLOOKUP(AP21,'PEW9'!$B$6:$B$201,'PEW9'!$A$6:$A$201,0)</f>
        <v>0</v>
      </c>
      <c r="AR21" s="9" t="str">
        <f>_xlfn.XLOOKUP($B21,'PEW10'!$C$6:$C$201,'PEW10'!$B$6:$B$201,"")</f>
        <v/>
      </c>
      <c r="AS21" s="77">
        <f>_xlfn.XLOOKUP(AR21,'PEW10'!$B$6:$B$201,'PEW10'!$A$6:$A$201,0)</f>
        <v>0</v>
      </c>
      <c r="AT21" s="9" t="str">
        <f>_xlfn.XLOOKUP($B21,'PEW11'!$C$6:$C$201,'PEW11'!$B$6:$B$201,"")</f>
        <v/>
      </c>
      <c r="AU21" s="77">
        <f>_xlfn.XLOOKUP(AT21,'PEW11'!$B$6:$B$201,'PEW11'!$A$6:$A$201,0)</f>
        <v>0</v>
      </c>
      <c r="AV21" s="9" t="str">
        <f>_xlfn.XLOOKUP($B21,'PEW12'!$C$6:$C$201,'PEW12'!$B$6:$B$201,"")</f>
        <v/>
      </c>
      <c r="AW21" s="77">
        <f>_xlfn.XLOOKUP(AV21,'PEW12'!$B$6:$B$201,'PEW12'!$A$6:$A$201,0)</f>
        <v>0</v>
      </c>
      <c r="AX21" s="9" t="str" cm="1">
        <f t="array" ref="AX21">_xlfn.XLOOKUP($B21,IMEW!C$6:C$201,IMEW!$B$6:B$201,"")</f>
        <v/>
      </c>
      <c r="AY21" s="78">
        <f>_xlfn.XLOOKUP(AX21,IMEW!$B$6:$B$201,IMEW!$A$6:$A$201,0)</f>
        <v>0</v>
      </c>
      <c r="BA21" s="79">
        <f t="shared" si="1"/>
        <v>0</v>
      </c>
      <c r="BB21" s="79">
        <f t="shared" si="2"/>
        <v>0</v>
      </c>
      <c r="BC21" s="79">
        <f t="shared" si="3"/>
        <v>0</v>
      </c>
      <c r="BD21" s="79">
        <f t="shared" si="4"/>
        <v>0</v>
      </c>
      <c r="BE21" s="79">
        <f t="shared" si="5"/>
        <v>0</v>
      </c>
      <c r="BF21" s="79">
        <f t="shared" si="6"/>
        <v>0</v>
      </c>
      <c r="BG21" s="79">
        <f t="shared" si="7"/>
        <v>0</v>
      </c>
    </row>
    <row r="22" spans="1:59" ht="14.8" customHeight="1" x14ac:dyDescent="0.25">
      <c r="A22" s="8">
        <f t="shared" si="0"/>
        <v>17</v>
      </c>
      <c r="B22" s="10"/>
      <c r="C22" s="11"/>
      <c r="D22" s="75">
        <f>SUM(F22,H22,J22,L22,N22,P22,R22,T22,V22)-SUM(SMALL((F22,H22,J22,L22,N22,P22,R22,T22),1),SMALL((F22,H22,J22,L22,N22,P22,R22,T22),2))+SUM(LARGE((Y22,AA22,AC22,AE22,AG22,AI22,AK22,AM22,AO22,AQ22,AS22,AU22,AW22),1),LARGE((Y22,AA22,AC22,AE22,AG22,AI22,AK22,AM22,AO22,AQ22,AS22,AU22,AW22),2),LARGE((Y22,AA22,AC22,AE22,AG22,AI22,AK22,AM22,AO22,AQ22,AS22,AU22,AW22),3),AY22)</f>
        <v>0</v>
      </c>
      <c r="E22" s="9" t="str">
        <f>_xlfn.XLOOKUP($B22,'GP1'!$C$6:$C$101,'GP1'!$B$6:$B$101,"")</f>
        <v/>
      </c>
      <c r="F22" s="76">
        <f>_xlfn.XLOOKUP(E22,'GP1'!$B$6:$B$55,'GP1'!$A$6:$A$55,0)</f>
        <v>0</v>
      </c>
      <c r="G22" s="9" t="str">
        <f>_xlfn.XLOOKUP($B22,'GP2'!$C$6:$C$101,'GP2'!$B$6:$B$101,"")</f>
        <v/>
      </c>
      <c r="H22" s="76">
        <f>_xlfn.XLOOKUP(G22,'GP2'!$B$6:$B$55,'GP2'!$A$6:$A$55,0)</f>
        <v>0</v>
      </c>
      <c r="I22" s="9" t="str">
        <f>_xlfn.XLOOKUP($B22,'GP3'!$C$6:$C$101,'GP3'!$B$6:$B$101,"")</f>
        <v/>
      </c>
      <c r="J22" s="76">
        <f>_xlfn.XLOOKUP(I22,'GP3'!$B$6:$B$55,'GP3'!$A$6:$A$55,0)</f>
        <v>0</v>
      </c>
      <c r="K22" s="9" t="str">
        <f>_xlfn.XLOOKUP($B22,'GP4'!$C$6:$C$101,'GP4'!$B$6:$B$101,"")</f>
        <v/>
      </c>
      <c r="L22" s="76">
        <f>_xlfn.XLOOKUP(K22,'GP4'!$B$6:$B$55,'GP4'!$A$6:$A$55,0)</f>
        <v>0</v>
      </c>
      <c r="M22" s="9" t="str">
        <f>_xlfn.XLOOKUP($B22,'GP5'!$C$6:$C$101,'GP5'!$B$6:$B$101,"")</f>
        <v/>
      </c>
      <c r="N22" s="126">
        <f>_xlfn.XLOOKUP(M22,'GP5'!$B$6:$B$55,'GP5'!$A$6:$A$55,0)</f>
        <v>0</v>
      </c>
      <c r="O22" s="9" t="str">
        <f>_xlfn.XLOOKUP($B22,'GP6'!$C$6:$C$101,'GP6'!$B$6:$B$101,"")</f>
        <v/>
      </c>
      <c r="P22" s="126">
        <f>_xlfn.XLOOKUP(O22,'GP6'!$B$6:$B$55,'GP6'!$A$6:$A$55,0)</f>
        <v>0</v>
      </c>
      <c r="Q22" s="9" t="str">
        <f>_xlfn.XLOOKUP($B22,'GP7'!$C$6:$C$101,'GP7'!$B$6:$B$101,"")</f>
        <v/>
      </c>
      <c r="R22" s="126">
        <f>_xlfn.XLOOKUP(Q22,'GP7'!$B$6:$B$55,'GP7'!$A$6:$A$55,0)</f>
        <v>0</v>
      </c>
      <c r="S22" s="9" t="str">
        <f>_xlfn.XLOOKUP($B22,'GP8'!$C$6:$C$101,'GP8'!$B$6:$B$101,"")</f>
        <v/>
      </c>
      <c r="T22" s="126">
        <f>_xlfn.XLOOKUP(S22,'GP8'!$B$6:$B$55,'GP8'!$A$6:$A$55,0)</f>
        <v>0</v>
      </c>
      <c r="U22" s="9" t="str">
        <f>_xlfn.XLOOKUP($B22,MPW!$C$6:$C$101,MPW!$B$6:$B$101,"")</f>
        <v/>
      </c>
      <c r="V22" s="126">
        <f>_xlfn.XLOOKUP(U22,MPW!$B$6:$B$55,MPW!$A$6:$A$55,0)</f>
        <v>0</v>
      </c>
      <c r="X22" s="9" t="str">
        <f>_xlfn.XLOOKUP($B22,'PEW1'!$C$6:$C$201,'PEW1'!$B$6:$B$201,"")</f>
        <v/>
      </c>
      <c r="Y22" s="77">
        <f>_xlfn.XLOOKUP(X22,'PEW1'!$B$6:$B$201,'PEW1'!$A$6:$A$201,0)</f>
        <v>0</v>
      </c>
      <c r="Z22" s="9" t="str">
        <f>_xlfn.XLOOKUP($B22,'PEW2'!$C$6:$C$201,'PEW2'!$B$6:$B$201,"")</f>
        <v/>
      </c>
      <c r="AA22" s="77">
        <f>_xlfn.XLOOKUP(Z22,'PEW2'!$B$6:$B$201,'PEW2'!$A$6:$A$201,0)</f>
        <v>0</v>
      </c>
      <c r="AB22" s="9" t="str">
        <f>_xlfn.XLOOKUP($B22,'PEW3'!$C$6:$C$201,'PEW3'!$B$6:$B$201,"")</f>
        <v/>
      </c>
      <c r="AC22" s="77">
        <f>_xlfn.XLOOKUP(AB22,'PEW3'!$B$6:$B$201,'PEW3'!$A$6:$A$201,0)</f>
        <v>0</v>
      </c>
      <c r="AD22" s="9" t="str">
        <f>_xlfn.XLOOKUP($B22,VFC!$C$6:$C$201,VFC!$B$6:$B$201,"")</f>
        <v/>
      </c>
      <c r="AE22" s="77">
        <f>_xlfn.XLOOKUP(AD22,VFC!$B$6:$B$201,VFC!$A$6:$A$201,0)</f>
        <v>0</v>
      </c>
      <c r="AF22" s="9" t="str">
        <f>_xlfn.XLOOKUP($B22,'PEW4'!$C$6:$C$201,'PEW4'!$B$6:$B$201,"")</f>
        <v/>
      </c>
      <c r="AG22" s="77">
        <f>_xlfn.XLOOKUP(AF22,'PEW4'!$B$6:$B$201,'PEW4'!$A$6:$A$201,0)</f>
        <v>0</v>
      </c>
      <c r="AH22" s="9" t="str">
        <f>_xlfn.XLOOKUP($B22,'PEW5'!$C$6:$C$201,'PEW5'!$B$6:$B$201,"")</f>
        <v/>
      </c>
      <c r="AI22" s="77">
        <f>_xlfn.XLOOKUP(AH22,'PEW5'!$B$6:$B$201,'PEW5'!$A$6:$A$201,0)</f>
        <v>0</v>
      </c>
      <c r="AJ22" s="9" t="str">
        <f>_xlfn.XLOOKUP($B22,'PEW6'!$C$6:$C$201,'PEW6'!$B$6:$B$201,"")</f>
        <v/>
      </c>
      <c r="AK22" s="77">
        <f>_xlfn.XLOOKUP(AJ22,'PEW6'!$B$6:$B$201,'PEW6'!$A$6:$A$201,0)</f>
        <v>0</v>
      </c>
      <c r="AL22" s="9" t="str">
        <f>_xlfn.XLOOKUP($B22,'PEW7'!$C$6:$C$201,'PEW7'!$B$6:$B$201,"")</f>
        <v/>
      </c>
      <c r="AM22" s="77">
        <f>_xlfn.XLOOKUP(AL22,'PEW7'!$B$6:$B$201,'PEW7'!$A$6:$A$201,0)</f>
        <v>0</v>
      </c>
      <c r="AN22" s="9" t="str">
        <f>_xlfn.XLOOKUP($B22,'PEW8'!$C$6:$C$201,'PEW8'!$B$6:$B$201,"")</f>
        <v/>
      </c>
      <c r="AO22" s="77">
        <f>_xlfn.XLOOKUP(AN22,'PEW8'!$B$6:$B$201,'PEW8'!$A$6:$A$201,0)</f>
        <v>0</v>
      </c>
      <c r="AP22" s="9" t="str">
        <f>_xlfn.XLOOKUP($B22,'PEW9'!$C$6:$C$201,'PEW9'!$B$6:$B$201,"")</f>
        <v/>
      </c>
      <c r="AQ22" s="77">
        <f>_xlfn.XLOOKUP(AP22,'PEW9'!$B$6:$B$201,'PEW9'!$A$6:$A$201,0)</f>
        <v>0</v>
      </c>
      <c r="AR22" s="9" t="str">
        <f>_xlfn.XLOOKUP($B22,'PEW10'!$C$6:$C$201,'PEW10'!$B$6:$B$201,"")</f>
        <v/>
      </c>
      <c r="AS22" s="77">
        <f>_xlfn.XLOOKUP(AR22,'PEW10'!$B$6:$B$201,'PEW10'!$A$6:$A$201,0)</f>
        <v>0</v>
      </c>
      <c r="AT22" s="9" t="str">
        <f>_xlfn.XLOOKUP($B22,'PEW11'!$C$6:$C$201,'PEW11'!$B$6:$B$201,"")</f>
        <v/>
      </c>
      <c r="AU22" s="77">
        <f>_xlfn.XLOOKUP(AT22,'PEW11'!$B$6:$B$201,'PEW11'!$A$6:$A$201,0)</f>
        <v>0</v>
      </c>
      <c r="AV22" s="9" t="str">
        <f>_xlfn.XLOOKUP($B22,'PEW12'!$C$6:$C$201,'PEW12'!$B$6:$B$201,"")</f>
        <v/>
      </c>
      <c r="AW22" s="77">
        <f>_xlfn.XLOOKUP(AV22,'PEW12'!$B$6:$B$201,'PEW12'!$A$6:$A$201,0)</f>
        <v>0</v>
      </c>
      <c r="AX22" s="9" t="str" cm="1">
        <f t="array" ref="AX22">_xlfn.XLOOKUP($B22,IMEW!C$6:C$201,IMEW!$B$6:B$201,"")</f>
        <v/>
      </c>
      <c r="AY22" s="78">
        <f>_xlfn.XLOOKUP(AX22,IMEW!$B$6:$B$201,IMEW!$A$6:$A$201,0)</f>
        <v>0</v>
      </c>
      <c r="BA22" s="79">
        <f t="shared" si="1"/>
        <v>0</v>
      </c>
      <c r="BB22" s="79">
        <f t="shared" si="2"/>
        <v>0</v>
      </c>
      <c r="BC22" s="79">
        <f t="shared" si="3"/>
        <v>0</v>
      </c>
      <c r="BD22" s="79">
        <f t="shared" si="4"/>
        <v>0</v>
      </c>
      <c r="BE22" s="79">
        <f t="shared" si="5"/>
        <v>0</v>
      </c>
      <c r="BF22" s="79">
        <f t="shared" si="6"/>
        <v>0</v>
      </c>
      <c r="BG22" s="79">
        <f t="shared" si="7"/>
        <v>0</v>
      </c>
    </row>
    <row r="23" spans="1:59" ht="14.8" customHeight="1" x14ac:dyDescent="0.25">
      <c r="A23" s="8">
        <f t="shared" si="0"/>
        <v>18</v>
      </c>
      <c r="B23" s="10"/>
      <c r="C23" s="11"/>
      <c r="D23" s="75">
        <f>SUM(F23,H23,J23,L23,N23,P23,R23,T23,V23)-SUM(SMALL((F23,H23,J23,L23,N23,P23,R23,T23),1),SMALL((F23,H23,J23,L23,N23,P23,R23,T23),2))+SUM(LARGE((Y23,AA23,AC23,AE23,AG23,AI23,AK23,AM23,AO23,AQ23,AS23,AU23,AW23),1),LARGE((Y23,AA23,AC23,AE23,AG23,AI23,AK23,AM23,AO23,AQ23,AS23,AU23,AW23),2),LARGE((Y23,AA23,AC23,AE23,AG23,AI23,AK23,AM23,AO23,AQ23,AS23,AU23,AW23),3),AY23)</f>
        <v>0</v>
      </c>
      <c r="E23" s="9" t="str">
        <f>_xlfn.XLOOKUP($B23,'GP1'!$C$6:$C$101,'GP1'!$B$6:$B$101,"")</f>
        <v/>
      </c>
      <c r="F23" s="76">
        <f>_xlfn.XLOOKUP(E23,'GP1'!$B$6:$B$55,'GP1'!$A$6:$A$55,0)</f>
        <v>0</v>
      </c>
      <c r="G23" s="9" t="str">
        <f>_xlfn.XLOOKUP($B23,'GP2'!$C$6:$C$101,'GP2'!$B$6:$B$101,"")</f>
        <v/>
      </c>
      <c r="H23" s="76">
        <f>_xlfn.XLOOKUP(G23,'GP2'!$B$6:$B$55,'GP2'!$A$6:$A$55,0)</f>
        <v>0</v>
      </c>
      <c r="I23" s="9" t="str">
        <f>_xlfn.XLOOKUP($B23,'GP3'!$C$6:$C$101,'GP3'!$B$6:$B$101,"")</f>
        <v/>
      </c>
      <c r="J23" s="76">
        <f>_xlfn.XLOOKUP(I23,'GP3'!$B$6:$B$55,'GP3'!$A$6:$A$55,0)</f>
        <v>0</v>
      </c>
      <c r="K23" s="9" t="str">
        <f>_xlfn.XLOOKUP($B23,'GP4'!$C$6:$C$101,'GP4'!$B$6:$B$101,"")</f>
        <v/>
      </c>
      <c r="L23" s="76">
        <f>_xlfn.XLOOKUP(K23,'GP4'!$B$6:$B$55,'GP4'!$A$6:$A$55,0)</f>
        <v>0</v>
      </c>
      <c r="M23" s="9" t="str">
        <f>_xlfn.XLOOKUP($B23,'GP5'!$C$6:$C$101,'GP5'!$B$6:$B$101,"")</f>
        <v/>
      </c>
      <c r="N23" s="126">
        <f>_xlfn.XLOOKUP(M23,'GP5'!$B$6:$B$55,'GP5'!$A$6:$A$55,0)</f>
        <v>0</v>
      </c>
      <c r="O23" s="9" t="str">
        <f>_xlfn.XLOOKUP($B23,'GP6'!$C$6:$C$101,'GP6'!$B$6:$B$101,"")</f>
        <v/>
      </c>
      <c r="P23" s="126">
        <f>_xlfn.XLOOKUP(O23,'GP6'!$B$6:$B$55,'GP6'!$A$6:$A$55,0)</f>
        <v>0</v>
      </c>
      <c r="Q23" s="9" t="str">
        <f>_xlfn.XLOOKUP($B23,'GP7'!$C$6:$C$101,'GP7'!$B$6:$B$101,"")</f>
        <v/>
      </c>
      <c r="R23" s="126">
        <f>_xlfn.XLOOKUP(Q23,'GP7'!$B$6:$B$55,'GP7'!$A$6:$A$55,0)</f>
        <v>0</v>
      </c>
      <c r="S23" s="9" t="str">
        <f>_xlfn.XLOOKUP($B23,'GP8'!$C$6:$C$101,'GP8'!$B$6:$B$101,"")</f>
        <v/>
      </c>
      <c r="T23" s="126">
        <f>_xlfn.XLOOKUP(S23,'GP8'!$B$6:$B$55,'GP8'!$A$6:$A$55,0)</f>
        <v>0</v>
      </c>
      <c r="U23" s="9" t="str">
        <f>_xlfn.XLOOKUP($B23,MPW!$C$6:$C$101,MPW!$B$6:$B$101,"")</f>
        <v/>
      </c>
      <c r="V23" s="126">
        <f>_xlfn.XLOOKUP(U23,MPW!$B$6:$B$55,MPW!$A$6:$A$55,0)</f>
        <v>0</v>
      </c>
      <c r="X23" s="9" t="str">
        <f>_xlfn.XLOOKUP($B23,'PEW1'!$C$6:$C$201,'PEW1'!$B$6:$B$201,"")</f>
        <v/>
      </c>
      <c r="Y23" s="77">
        <f>_xlfn.XLOOKUP(X23,'PEW1'!$B$6:$B$201,'PEW1'!$A$6:$A$201,0)</f>
        <v>0</v>
      </c>
      <c r="Z23" s="9" t="str">
        <f>_xlfn.XLOOKUP($B23,'PEW2'!$C$6:$C$201,'PEW2'!$B$6:$B$201,"")</f>
        <v/>
      </c>
      <c r="AA23" s="77">
        <f>_xlfn.XLOOKUP(Z23,'PEW2'!$B$6:$B$201,'PEW2'!$A$6:$A$201,0)</f>
        <v>0</v>
      </c>
      <c r="AB23" s="9" t="str">
        <f>_xlfn.XLOOKUP($B23,'PEW3'!$C$6:$C$201,'PEW3'!$B$6:$B$201,"")</f>
        <v/>
      </c>
      <c r="AC23" s="77">
        <f>_xlfn.XLOOKUP(AB23,'PEW3'!$B$6:$B$201,'PEW3'!$A$6:$A$201,0)</f>
        <v>0</v>
      </c>
      <c r="AD23" s="9" t="str">
        <f>_xlfn.XLOOKUP($B23,VFC!$C$6:$C$201,VFC!$B$6:$B$201,"")</f>
        <v/>
      </c>
      <c r="AE23" s="77">
        <f>_xlfn.XLOOKUP(AD23,VFC!$B$6:$B$201,VFC!$A$6:$A$201,0)</f>
        <v>0</v>
      </c>
      <c r="AF23" s="9" t="str">
        <f>_xlfn.XLOOKUP($B23,'PEW4'!$C$6:$C$201,'PEW4'!$B$6:$B$201,"")</f>
        <v/>
      </c>
      <c r="AG23" s="77">
        <f>_xlfn.XLOOKUP(AF23,'PEW4'!$B$6:$B$201,'PEW4'!$A$6:$A$201,0)</f>
        <v>0</v>
      </c>
      <c r="AH23" s="9" t="str">
        <f>_xlfn.XLOOKUP($B23,'PEW5'!$C$6:$C$201,'PEW5'!$B$6:$B$201,"")</f>
        <v/>
      </c>
      <c r="AI23" s="77">
        <f>_xlfn.XLOOKUP(AH23,'PEW5'!$B$6:$B$201,'PEW5'!$A$6:$A$201,0)</f>
        <v>0</v>
      </c>
      <c r="AJ23" s="9" t="str">
        <f>_xlfn.XLOOKUP($B23,'PEW6'!$C$6:$C$201,'PEW6'!$B$6:$B$201,"")</f>
        <v/>
      </c>
      <c r="AK23" s="77">
        <f>_xlfn.XLOOKUP(AJ23,'PEW6'!$B$6:$B$201,'PEW6'!$A$6:$A$201,0)</f>
        <v>0</v>
      </c>
      <c r="AL23" s="9" t="str">
        <f>_xlfn.XLOOKUP($B23,'PEW7'!$C$6:$C$201,'PEW7'!$B$6:$B$201,"")</f>
        <v/>
      </c>
      <c r="AM23" s="77">
        <f>_xlfn.XLOOKUP(AL23,'PEW7'!$B$6:$B$201,'PEW7'!$A$6:$A$201,0)</f>
        <v>0</v>
      </c>
      <c r="AN23" s="9" t="str">
        <f>_xlfn.XLOOKUP($B23,'PEW8'!$C$6:$C$201,'PEW8'!$B$6:$B$201,"")</f>
        <v/>
      </c>
      <c r="AO23" s="77">
        <f>_xlfn.XLOOKUP(AN23,'PEW8'!$B$6:$B$201,'PEW8'!$A$6:$A$201,0)</f>
        <v>0</v>
      </c>
      <c r="AP23" s="9" t="str">
        <f>_xlfn.XLOOKUP($B23,'PEW9'!$C$6:$C$201,'PEW9'!$B$6:$B$201,"")</f>
        <v/>
      </c>
      <c r="AQ23" s="77">
        <f>_xlfn.XLOOKUP(AP23,'PEW9'!$B$6:$B$201,'PEW9'!$A$6:$A$201,0)</f>
        <v>0</v>
      </c>
      <c r="AR23" s="9" t="str">
        <f>_xlfn.XLOOKUP($B23,'PEW10'!$C$6:$C$201,'PEW10'!$B$6:$B$201,"")</f>
        <v/>
      </c>
      <c r="AS23" s="77">
        <f>_xlfn.XLOOKUP(AR23,'PEW10'!$B$6:$B$201,'PEW10'!$A$6:$A$201,0)</f>
        <v>0</v>
      </c>
      <c r="AT23" s="9" t="str">
        <f>_xlfn.XLOOKUP($B23,'PEW11'!$C$6:$C$201,'PEW11'!$B$6:$B$201,"")</f>
        <v/>
      </c>
      <c r="AU23" s="77">
        <f>_xlfn.XLOOKUP(AT23,'PEW11'!$B$6:$B$201,'PEW11'!$A$6:$A$201,0)</f>
        <v>0</v>
      </c>
      <c r="AV23" s="9" t="str">
        <f>_xlfn.XLOOKUP($B23,'PEW12'!$C$6:$C$201,'PEW12'!$B$6:$B$201,"")</f>
        <v/>
      </c>
      <c r="AW23" s="77">
        <f>_xlfn.XLOOKUP(AV23,'PEW12'!$B$6:$B$201,'PEW12'!$A$6:$A$201,0)</f>
        <v>0</v>
      </c>
      <c r="AX23" s="9" t="str" cm="1">
        <f t="array" ref="AX23">_xlfn.XLOOKUP($B23,IMEW!C$6:C$201,IMEW!$B$6:B$201,"")</f>
        <v/>
      </c>
      <c r="AY23" s="78">
        <f>_xlfn.XLOOKUP(AX23,IMEW!$B$6:$B$201,IMEW!$A$6:$A$201,0)</f>
        <v>0</v>
      </c>
      <c r="BA23" s="79">
        <f t="shared" si="1"/>
        <v>0</v>
      </c>
      <c r="BB23" s="79">
        <f t="shared" si="2"/>
        <v>0</v>
      </c>
      <c r="BC23" s="79">
        <f t="shared" si="3"/>
        <v>0</v>
      </c>
      <c r="BD23" s="79">
        <f t="shared" si="4"/>
        <v>0</v>
      </c>
      <c r="BE23" s="79">
        <f t="shared" si="5"/>
        <v>0</v>
      </c>
      <c r="BF23" s="79">
        <f t="shared" si="6"/>
        <v>0</v>
      </c>
      <c r="BG23" s="79">
        <f t="shared" si="7"/>
        <v>0</v>
      </c>
    </row>
    <row r="24" spans="1:59" ht="14.3" x14ac:dyDescent="0.25">
      <c r="A24" s="8">
        <f t="shared" si="0"/>
        <v>19</v>
      </c>
      <c r="B24" s="10"/>
      <c r="C24" s="11"/>
      <c r="D24" s="75">
        <f>SUM(F24,H24,J24,L24,N24,P24,R24,T24,V24)-SUM(SMALL((F24,H24,J24,L24,N24,P24,R24,T24),1),SMALL((F24,H24,J24,L24,N24,P24,R24,T24),2))+SUM(LARGE((Y24,AA24,AC24,AE24,AG24,AI24,AK24,AM24,AO24,AQ24,AS24,AU24,AW24),1),LARGE((Y24,AA24,AC24,AE24,AG24,AI24,AK24,AM24,AO24,AQ24,AS24,AU24,AW24),2),LARGE((Y24,AA24,AC24,AE24,AG24,AI24,AK24,AM24,AO24,AQ24,AS24,AU24,AW24),3),AY24)</f>
        <v>0</v>
      </c>
      <c r="E24" s="9" t="str">
        <f>_xlfn.XLOOKUP($B24,'GP1'!$C$6:$C$101,'GP1'!$B$6:$B$101,"")</f>
        <v/>
      </c>
      <c r="F24" s="76">
        <f>_xlfn.XLOOKUP(E24,'GP1'!$B$6:$B$55,'GP1'!$A$6:$A$55,0)</f>
        <v>0</v>
      </c>
      <c r="G24" s="9" t="str">
        <f>_xlfn.XLOOKUP($B24,'GP2'!$C$6:$C$101,'GP2'!$B$6:$B$101,"")</f>
        <v/>
      </c>
      <c r="H24" s="76">
        <f>_xlfn.XLOOKUP(G24,'GP2'!$B$6:$B$55,'GP2'!$A$6:$A$55,0)</f>
        <v>0</v>
      </c>
      <c r="I24" s="9" t="str">
        <f>_xlfn.XLOOKUP($B24,'GP3'!$C$6:$C$101,'GP3'!$B$6:$B$101,"")</f>
        <v/>
      </c>
      <c r="J24" s="76">
        <f>_xlfn.XLOOKUP(I24,'GP3'!$B$6:$B$55,'GP3'!$A$6:$A$55,0)</f>
        <v>0</v>
      </c>
      <c r="K24" s="9" t="str">
        <f>_xlfn.XLOOKUP($B24,'GP4'!$C$6:$C$101,'GP4'!$B$6:$B$101,"")</f>
        <v/>
      </c>
      <c r="L24" s="76">
        <f>_xlfn.XLOOKUP(K24,'GP4'!$B$6:$B$55,'GP4'!$A$6:$A$55,0)</f>
        <v>0</v>
      </c>
      <c r="M24" s="9" t="str">
        <f>_xlfn.XLOOKUP($B24,'GP5'!$C$6:$C$101,'GP5'!$B$6:$B$101,"")</f>
        <v/>
      </c>
      <c r="N24" s="126">
        <f>_xlfn.XLOOKUP(M24,'GP5'!$B$6:$B$55,'GP5'!$A$6:$A$55,0)</f>
        <v>0</v>
      </c>
      <c r="O24" s="9" t="str">
        <f>_xlfn.XLOOKUP($B24,'GP6'!$C$6:$C$101,'GP6'!$B$6:$B$101,"")</f>
        <v/>
      </c>
      <c r="P24" s="126">
        <f>_xlfn.XLOOKUP(O24,'GP6'!$B$6:$B$55,'GP6'!$A$6:$A$55,0)</f>
        <v>0</v>
      </c>
      <c r="Q24" s="9" t="str">
        <f>_xlfn.XLOOKUP($B24,'GP7'!$C$6:$C$101,'GP7'!$B$6:$B$101,"")</f>
        <v/>
      </c>
      <c r="R24" s="126">
        <f>_xlfn.XLOOKUP(Q24,'GP7'!$B$6:$B$55,'GP7'!$A$6:$A$55,0)</f>
        <v>0</v>
      </c>
      <c r="S24" s="9" t="str">
        <f>_xlfn.XLOOKUP($B24,'GP8'!$C$6:$C$101,'GP8'!$B$6:$B$101,"")</f>
        <v/>
      </c>
      <c r="T24" s="126">
        <f>_xlfn.XLOOKUP(S24,'GP8'!$B$6:$B$55,'GP8'!$A$6:$A$55,0)</f>
        <v>0</v>
      </c>
      <c r="U24" s="9" t="str">
        <f>_xlfn.XLOOKUP($B24,MPW!$C$6:$C$101,MPW!$B$6:$B$101,"")</f>
        <v/>
      </c>
      <c r="V24" s="126">
        <f>_xlfn.XLOOKUP(U24,MPW!$B$6:$B$55,MPW!$A$6:$A$55,0)</f>
        <v>0</v>
      </c>
      <c r="X24" s="9" t="str">
        <f>_xlfn.XLOOKUP($B24,'PEW1'!$C$6:$C$201,'PEW1'!$B$6:$B$201,"")</f>
        <v/>
      </c>
      <c r="Y24" s="77">
        <f>_xlfn.XLOOKUP(X24,'PEW1'!$B$6:$B$201,'PEW1'!$A$6:$A$201,0)</f>
        <v>0</v>
      </c>
      <c r="Z24" s="9" t="str">
        <f>_xlfn.XLOOKUP($B24,'PEW2'!$C$6:$C$201,'PEW2'!$B$6:$B$201,"")</f>
        <v/>
      </c>
      <c r="AA24" s="77">
        <f>_xlfn.XLOOKUP(Z24,'PEW2'!$B$6:$B$201,'PEW2'!$A$6:$A$201,0)</f>
        <v>0</v>
      </c>
      <c r="AB24" s="9" t="str">
        <f>_xlfn.XLOOKUP($B24,'PEW3'!$C$6:$C$201,'PEW3'!$B$6:$B$201,"")</f>
        <v/>
      </c>
      <c r="AC24" s="77">
        <f>_xlfn.XLOOKUP(AB24,'PEW3'!$B$6:$B$201,'PEW3'!$A$6:$A$201,0)</f>
        <v>0</v>
      </c>
      <c r="AD24" s="9" t="str">
        <f>_xlfn.XLOOKUP($B24,VFC!$C$6:$C$201,VFC!$B$6:$B$201,"")</f>
        <v/>
      </c>
      <c r="AE24" s="77">
        <f>_xlfn.XLOOKUP(AD24,VFC!$B$6:$B$201,VFC!$A$6:$A$201,0)</f>
        <v>0</v>
      </c>
      <c r="AF24" s="9" t="str">
        <f>_xlfn.XLOOKUP($B24,'PEW4'!$C$6:$C$201,'PEW4'!$B$6:$B$201,"")</f>
        <v/>
      </c>
      <c r="AG24" s="77">
        <f>_xlfn.XLOOKUP(AF24,'PEW4'!$B$6:$B$201,'PEW4'!$A$6:$A$201,0)</f>
        <v>0</v>
      </c>
      <c r="AH24" s="9" t="str">
        <f>_xlfn.XLOOKUP($B24,'PEW5'!$C$6:$C$201,'PEW5'!$B$6:$B$201,"")</f>
        <v/>
      </c>
      <c r="AI24" s="77">
        <f>_xlfn.XLOOKUP(AH24,'PEW5'!$B$6:$B$201,'PEW5'!$A$6:$A$201,0)</f>
        <v>0</v>
      </c>
      <c r="AJ24" s="9" t="str">
        <f>_xlfn.XLOOKUP($B24,'PEW6'!$C$6:$C$201,'PEW6'!$B$6:$B$201,"")</f>
        <v/>
      </c>
      <c r="AK24" s="77">
        <f>_xlfn.XLOOKUP(AJ24,'PEW6'!$B$6:$B$201,'PEW6'!$A$6:$A$201,0)</f>
        <v>0</v>
      </c>
      <c r="AL24" s="9" t="str">
        <f>_xlfn.XLOOKUP($B24,'PEW7'!$C$6:$C$201,'PEW7'!$B$6:$B$201,"")</f>
        <v/>
      </c>
      <c r="AM24" s="77">
        <f>_xlfn.XLOOKUP(AL24,'PEW7'!$B$6:$B$201,'PEW7'!$A$6:$A$201,0)</f>
        <v>0</v>
      </c>
      <c r="AN24" s="9" t="str">
        <f>_xlfn.XLOOKUP($B24,'PEW8'!$C$6:$C$201,'PEW8'!$B$6:$B$201,"")</f>
        <v/>
      </c>
      <c r="AO24" s="77">
        <f>_xlfn.XLOOKUP(AN24,'PEW8'!$B$6:$B$201,'PEW8'!$A$6:$A$201,0)</f>
        <v>0</v>
      </c>
      <c r="AP24" s="9" t="str">
        <f>_xlfn.XLOOKUP($B24,'PEW9'!$C$6:$C$201,'PEW9'!$B$6:$B$201,"")</f>
        <v/>
      </c>
      <c r="AQ24" s="77">
        <f>_xlfn.XLOOKUP(AP24,'PEW9'!$B$6:$B$201,'PEW9'!$A$6:$A$201,0)</f>
        <v>0</v>
      </c>
      <c r="AR24" s="9" t="str">
        <f>_xlfn.XLOOKUP($B24,'PEW10'!$C$6:$C$201,'PEW10'!$B$6:$B$201,"")</f>
        <v/>
      </c>
      <c r="AS24" s="77">
        <f>_xlfn.XLOOKUP(AR24,'PEW10'!$B$6:$B$201,'PEW10'!$A$6:$A$201,0)</f>
        <v>0</v>
      </c>
      <c r="AT24" s="9" t="str">
        <f>_xlfn.XLOOKUP($B24,'PEW11'!$C$6:$C$201,'PEW11'!$B$6:$B$201,"")</f>
        <v/>
      </c>
      <c r="AU24" s="77">
        <f>_xlfn.XLOOKUP(AT24,'PEW11'!$B$6:$B$201,'PEW11'!$A$6:$A$201,0)</f>
        <v>0</v>
      </c>
      <c r="AV24" s="9" t="str">
        <f>_xlfn.XLOOKUP($B24,'PEW12'!$C$6:$C$201,'PEW12'!$B$6:$B$201,"")</f>
        <v/>
      </c>
      <c r="AW24" s="77">
        <f>_xlfn.XLOOKUP(AV24,'PEW12'!$B$6:$B$201,'PEW12'!$A$6:$A$201,0)</f>
        <v>0</v>
      </c>
      <c r="AX24" s="9" t="str" cm="1">
        <f t="array" ref="AX24">_xlfn.XLOOKUP($B24,IMEW!C$6:C$201,IMEW!$B$6:B$201,"")</f>
        <v/>
      </c>
      <c r="AY24" s="78">
        <f>_xlfn.XLOOKUP(AX24,IMEW!$B$6:$B$201,IMEW!$A$6:$A$201,0)</f>
        <v>0</v>
      </c>
      <c r="BA24" s="79">
        <f t="shared" si="1"/>
        <v>0</v>
      </c>
      <c r="BB24" s="79">
        <f t="shared" si="2"/>
        <v>0</v>
      </c>
      <c r="BC24" s="79">
        <f t="shared" si="3"/>
        <v>0</v>
      </c>
      <c r="BD24" s="79">
        <f t="shared" si="4"/>
        <v>0</v>
      </c>
      <c r="BE24" s="79">
        <f t="shared" si="5"/>
        <v>0</v>
      </c>
      <c r="BF24" s="79">
        <f t="shared" si="6"/>
        <v>0</v>
      </c>
      <c r="BG24" s="79">
        <f t="shared" si="7"/>
        <v>0</v>
      </c>
    </row>
    <row r="25" spans="1:59" ht="14.3" x14ac:dyDescent="0.25">
      <c r="A25" s="8">
        <f t="shared" si="0"/>
        <v>20</v>
      </c>
      <c r="B25" s="10"/>
      <c r="C25" s="11"/>
      <c r="D25" s="75">
        <f>SUM(F25,H25,J25,L25,N25,P25,R25,T25,V25)-SUM(SMALL((F25,H25,J25,L25,N25,P25,R25,T25),1),SMALL((F25,H25,J25,L25,N25,P25,R25,T25),2))+SUM(LARGE((Y25,AA25,AC25,AE25,AG25,AI25,AK25,AM25,AO25,AQ25,AS25,AU25,AW25),1),LARGE((Y25,AA25,AC25,AE25,AG25,AI25,AK25,AM25,AO25,AQ25,AS25,AU25,AW25),2),LARGE((Y25,AA25,AC25,AE25,AG25,AI25,AK25,AM25,AO25,AQ25,AS25,AU25,AW25),3),AY25)</f>
        <v>0</v>
      </c>
      <c r="E25" s="9" t="str">
        <f>_xlfn.XLOOKUP($B25,'GP1'!$C$6:$C$101,'GP1'!$B$6:$B$101,"")</f>
        <v/>
      </c>
      <c r="F25" s="76">
        <f>_xlfn.XLOOKUP(E25,'GP1'!$B$6:$B$55,'GP1'!$A$6:$A$55,0)</f>
        <v>0</v>
      </c>
      <c r="G25" s="9" t="str">
        <f>_xlfn.XLOOKUP($B25,'GP2'!$C$6:$C$101,'GP2'!$B$6:$B$101,"")</f>
        <v/>
      </c>
      <c r="H25" s="76">
        <f>_xlfn.XLOOKUP(G25,'GP2'!$B$6:$B$55,'GP2'!$A$6:$A$55,0)</f>
        <v>0</v>
      </c>
      <c r="I25" s="9" t="str">
        <f>_xlfn.XLOOKUP($B25,'GP3'!$C$6:$C$101,'GP3'!$B$6:$B$101,"")</f>
        <v/>
      </c>
      <c r="J25" s="76">
        <f>_xlfn.XLOOKUP(I25,'GP3'!$B$6:$B$55,'GP3'!$A$6:$A$55,0)</f>
        <v>0</v>
      </c>
      <c r="K25" s="9" t="str">
        <f>_xlfn.XLOOKUP($B25,'GP4'!$C$6:$C$101,'GP4'!$B$6:$B$101,"")</f>
        <v/>
      </c>
      <c r="L25" s="76">
        <f>_xlfn.XLOOKUP(K25,'GP4'!$B$6:$B$55,'GP4'!$A$6:$A$55,0)</f>
        <v>0</v>
      </c>
      <c r="M25" s="9" t="str">
        <f>_xlfn.XLOOKUP($B25,'GP5'!$C$6:$C$101,'GP5'!$B$6:$B$101,"")</f>
        <v/>
      </c>
      <c r="N25" s="126">
        <f>_xlfn.XLOOKUP(M25,'GP5'!$B$6:$B$55,'GP5'!$A$6:$A$55,0)</f>
        <v>0</v>
      </c>
      <c r="O25" s="9" t="str">
        <f>_xlfn.XLOOKUP($B25,'GP6'!$C$6:$C$101,'GP6'!$B$6:$B$101,"")</f>
        <v/>
      </c>
      <c r="P25" s="126">
        <f>_xlfn.XLOOKUP(O25,'GP6'!$B$6:$B$55,'GP6'!$A$6:$A$55,0)</f>
        <v>0</v>
      </c>
      <c r="Q25" s="9" t="str">
        <f>_xlfn.XLOOKUP($B25,'GP7'!$C$6:$C$101,'GP7'!$B$6:$B$101,"")</f>
        <v/>
      </c>
      <c r="R25" s="126">
        <f>_xlfn.XLOOKUP(Q25,'GP7'!$B$6:$B$55,'GP7'!$A$6:$A$55,0)</f>
        <v>0</v>
      </c>
      <c r="S25" s="9" t="str">
        <f>_xlfn.XLOOKUP($B25,'GP8'!$C$6:$C$101,'GP8'!$B$6:$B$101,"")</f>
        <v/>
      </c>
      <c r="T25" s="126">
        <f>_xlfn.XLOOKUP(S25,'GP8'!$B$6:$B$55,'GP8'!$A$6:$A$55,0)</f>
        <v>0</v>
      </c>
      <c r="U25" s="9" t="str">
        <f>_xlfn.XLOOKUP($B25,MPW!$C$6:$C$101,MPW!$B$6:$B$101,"")</f>
        <v/>
      </c>
      <c r="V25" s="126">
        <f>_xlfn.XLOOKUP(U25,MPW!$B$6:$B$55,MPW!$A$6:$A$55,0)</f>
        <v>0</v>
      </c>
      <c r="X25" s="9" t="str">
        <f>_xlfn.XLOOKUP($B25,'PEW1'!$C$6:$C$201,'PEW1'!$B$6:$B$201,"")</f>
        <v/>
      </c>
      <c r="Y25" s="77">
        <f>_xlfn.XLOOKUP(X25,'PEW1'!$B$6:$B$201,'PEW1'!$A$6:$A$201,0)</f>
        <v>0</v>
      </c>
      <c r="Z25" s="9" t="str">
        <f>_xlfn.XLOOKUP($B25,'PEW2'!$C$6:$C$201,'PEW2'!$B$6:$B$201,"")</f>
        <v/>
      </c>
      <c r="AA25" s="77">
        <f>_xlfn.XLOOKUP(Z25,'PEW2'!$B$6:$B$201,'PEW2'!$A$6:$A$201,0)</f>
        <v>0</v>
      </c>
      <c r="AB25" s="9" t="str">
        <f>_xlfn.XLOOKUP($B25,'PEW3'!$C$6:$C$201,'PEW3'!$B$6:$B$201,"")</f>
        <v/>
      </c>
      <c r="AC25" s="77">
        <f>_xlfn.XLOOKUP(AB25,'PEW3'!$B$6:$B$201,'PEW3'!$A$6:$A$201,0)</f>
        <v>0</v>
      </c>
      <c r="AD25" s="9" t="str">
        <f>_xlfn.XLOOKUP($B25,VFC!$C$6:$C$201,VFC!$B$6:$B$201,"")</f>
        <v/>
      </c>
      <c r="AE25" s="77">
        <f>_xlfn.XLOOKUP(AD25,VFC!$B$6:$B$201,VFC!$A$6:$A$201,0)</f>
        <v>0</v>
      </c>
      <c r="AF25" s="9" t="str">
        <f>_xlfn.XLOOKUP($B25,'PEW4'!$C$6:$C$201,'PEW4'!$B$6:$B$201,"")</f>
        <v/>
      </c>
      <c r="AG25" s="77">
        <f>_xlfn.XLOOKUP(AF25,'PEW4'!$B$6:$B$201,'PEW4'!$A$6:$A$201,0)</f>
        <v>0</v>
      </c>
      <c r="AH25" s="9" t="str">
        <f>_xlfn.XLOOKUP($B25,'PEW5'!$C$6:$C$201,'PEW5'!$B$6:$B$201,"")</f>
        <v/>
      </c>
      <c r="AI25" s="77">
        <f>_xlfn.XLOOKUP(AH25,'PEW5'!$B$6:$B$201,'PEW5'!$A$6:$A$201,0)</f>
        <v>0</v>
      </c>
      <c r="AJ25" s="9" t="str">
        <f>_xlfn.XLOOKUP($B25,'PEW6'!$C$6:$C$201,'PEW6'!$B$6:$B$201,"")</f>
        <v/>
      </c>
      <c r="AK25" s="77">
        <f>_xlfn.XLOOKUP(AJ25,'PEW6'!$B$6:$B$201,'PEW6'!$A$6:$A$201,0)</f>
        <v>0</v>
      </c>
      <c r="AL25" s="9" t="str">
        <f>_xlfn.XLOOKUP($B25,'PEW7'!$C$6:$C$201,'PEW7'!$B$6:$B$201,"")</f>
        <v/>
      </c>
      <c r="AM25" s="77">
        <f>_xlfn.XLOOKUP(AL25,'PEW7'!$B$6:$B$201,'PEW7'!$A$6:$A$201,0)</f>
        <v>0</v>
      </c>
      <c r="AN25" s="9" t="str">
        <f>_xlfn.XLOOKUP($B25,'PEW8'!$C$6:$C$201,'PEW8'!$B$6:$B$201,"")</f>
        <v/>
      </c>
      <c r="AO25" s="77">
        <f>_xlfn.XLOOKUP(AN25,'PEW8'!$B$6:$B$201,'PEW8'!$A$6:$A$201,0)</f>
        <v>0</v>
      </c>
      <c r="AP25" s="9" t="str">
        <f>_xlfn.XLOOKUP($B25,'PEW9'!$C$6:$C$201,'PEW9'!$B$6:$B$201,"")</f>
        <v/>
      </c>
      <c r="AQ25" s="77">
        <f>_xlfn.XLOOKUP(AP25,'PEW9'!$B$6:$B$201,'PEW9'!$A$6:$A$201,0)</f>
        <v>0</v>
      </c>
      <c r="AR25" s="9" t="str">
        <f>_xlfn.XLOOKUP($B25,'PEW10'!$C$6:$C$201,'PEW10'!$B$6:$B$201,"")</f>
        <v/>
      </c>
      <c r="AS25" s="77">
        <f>_xlfn.XLOOKUP(AR25,'PEW10'!$B$6:$B$201,'PEW10'!$A$6:$A$201,0)</f>
        <v>0</v>
      </c>
      <c r="AT25" s="9" t="str">
        <f>_xlfn.XLOOKUP($B25,'PEW11'!$C$6:$C$201,'PEW11'!$B$6:$B$201,"")</f>
        <v/>
      </c>
      <c r="AU25" s="77">
        <f>_xlfn.XLOOKUP(AT25,'PEW11'!$B$6:$B$201,'PEW11'!$A$6:$A$201,0)</f>
        <v>0</v>
      </c>
      <c r="AV25" s="9" t="str">
        <f>_xlfn.XLOOKUP($B25,'PEW12'!$C$6:$C$201,'PEW12'!$B$6:$B$201,"")</f>
        <v/>
      </c>
      <c r="AW25" s="77">
        <f>_xlfn.XLOOKUP(AV25,'PEW12'!$B$6:$B$201,'PEW12'!$A$6:$A$201,0)</f>
        <v>0</v>
      </c>
      <c r="AX25" s="9" t="str" cm="1">
        <f t="array" ref="AX25">_xlfn.XLOOKUP($B25,IMEW!C$6:C$201,IMEW!$B$6:B$201,"")</f>
        <v/>
      </c>
      <c r="AY25" s="78">
        <f>_xlfn.XLOOKUP(AX25,IMEW!$B$6:$B$201,IMEW!$A$6:$A$201,0)</f>
        <v>0</v>
      </c>
      <c r="BA25" s="79">
        <f t="shared" si="1"/>
        <v>0</v>
      </c>
      <c r="BB25" s="79">
        <f t="shared" si="2"/>
        <v>0</v>
      </c>
      <c r="BC25" s="79">
        <f t="shared" si="3"/>
        <v>0</v>
      </c>
      <c r="BD25" s="79">
        <f t="shared" si="4"/>
        <v>0</v>
      </c>
      <c r="BE25" s="79">
        <f t="shared" si="5"/>
        <v>0</v>
      </c>
      <c r="BF25" s="79">
        <f t="shared" si="6"/>
        <v>0</v>
      </c>
      <c r="BG25" s="79">
        <f t="shared" si="7"/>
        <v>0</v>
      </c>
    </row>
    <row r="26" spans="1:59" ht="14.3" x14ac:dyDescent="0.25">
      <c r="A26" s="8">
        <f t="shared" si="0"/>
        <v>21</v>
      </c>
      <c r="B26" s="10"/>
      <c r="C26" s="11"/>
      <c r="D26" s="75">
        <f>SUM(F26,H26,J26,L26,N26,P26,R26,T26,V26)-SUM(SMALL((F26,H26,J26,L26,N26,P26,R26,T26),1),SMALL((F26,H26,J26,L26,N26,P26,R26,T26),2))+SUM(LARGE((Y26,AA26,AC26,AE26,AG26,AI26,AK26,AM26,AO26,AQ26,AS26,AU26,AW26),1),LARGE((Y26,AA26,AC26,AE26,AG26,AI26,AK26,AM26,AO26,AQ26,AS26,AU26,AW26),2),LARGE((Y26,AA26,AC26,AE26,AG26,AI26,AK26,AM26,AO26,AQ26,AS26,AU26,AW26),3),AY26)</f>
        <v>0</v>
      </c>
      <c r="E26" s="9" t="str">
        <f>_xlfn.XLOOKUP($B26,'GP1'!$C$6:$C$101,'GP1'!$B$6:$B$101,"")</f>
        <v/>
      </c>
      <c r="F26" s="76">
        <f>_xlfn.XLOOKUP(E26,'GP1'!$B$6:$B$55,'GP1'!$A$6:$A$55,0)</f>
        <v>0</v>
      </c>
      <c r="G26" s="9" t="str">
        <f>_xlfn.XLOOKUP($B26,'GP2'!$C$6:$C$101,'GP2'!$B$6:$B$101,"")</f>
        <v/>
      </c>
      <c r="H26" s="76">
        <f>_xlfn.XLOOKUP(G26,'GP2'!$B$6:$B$55,'GP2'!$A$6:$A$55,0)</f>
        <v>0</v>
      </c>
      <c r="I26" s="9" t="str">
        <f>_xlfn.XLOOKUP($B26,'GP3'!$C$6:$C$101,'GP3'!$B$6:$B$101,"")</f>
        <v/>
      </c>
      <c r="J26" s="76">
        <f>_xlfn.XLOOKUP(I26,'GP3'!$B$6:$B$55,'GP3'!$A$6:$A$55,0)</f>
        <v>0</v>
      </c>
      <c r="K26" s="9" t="str">
        <f>_xlfn.XLOOKUP($B26,'GP4'!$C$6:$C$101,'GP4'!$B$6:$B$101,"")</f>
        <v/>
      </c>
      <c r="L26" s="76">
        <f>_xlfn.XLOOKUP(K26,'GP4'!$B$6:$B$55,'GP4'!$A$6:$A$55,0)</f>
        <v>0</v>
      </c>
      <c r="M26" s="9" t="str">
        <f>_xlfn.XLOOKUP($B26,'GP5'!$C$6:$C$101,'GP5'!$B$6:$B$101,"")</f>
        <v/>
      </c>
      <c r="N26" s="126">
        <f>_xlfn.XLOOKUP(M26,'GP5'!$B$6:$B$55,'GP5'!$A$6:$A$55,0)</f>
        <v>0</v>
      </c>
      <c r="O26" s="9" t="str">
        <f>_xlfn.XLOOKUP($B26,'GP6'!$C$6:$C$101,'GP6'!$B$6:$B$101,"")</f>
        <v/>
      </c>
      <c r="P26" s="126">
        <f>_xlfn.XLOOKUP(O26,'GP6'!$B$6:$B$55,'GP6'!$A$6:$A$55,0)</f>
        <v>0</v>
      </c>
      <c r="Q26" s="9" t="str">
        <f>_xlfn.XLOOKUP($B26,'GP7'!$C$6:$C$101,'GP7'!$B$6:$B$101,"")</f>
        <v/>
      </c>
      <c r="R26" s="126">
        <f>_xlfn.XLOOKUP(Q26,'GP7'!$B$6:$B$55,'GP7'!$A$6:$A$55,0)</f>
        <v>0</v>
      </c>
      <c r="S26" s="9" t="str">
        <f>_xlfn.XLOOKUP($B26,'GP8'!$C$6:$C$101,'GP8'!$B$6:$B$101,"")</f>
        <v/>
      </c>
      <c r="T26" s="126">
        <f>_xlfn.XLOOKUP(S26,'GP8'!$B$6:$B$55,'GP8'!$A$6:$A$55,0)</f>
        <v>0</v>
      </c>
      <c r="U26" s="9" t="str">
        <f>_xlfn.XLOOKUP($B26,MPW!$C$6:$C$101,MPW!$B$6:$B$101,"")</f>
        <v/>
      </c>
      <c r="V26" s="126">
        <f>_xlfn.XLOOKUP(U26,MPW!$B$6:$B$55,MPW!$A$6:$A$55,0)</f>
        <v>0</v>
      </c>
      <c r="X26" s="9" t="str">
        <f>_xlfn.XLOOKUP($B26,'PEW1'!$C$6:$C$201,'PEW1'!$B$6:$B$201,"")</f>
        <v/>
      </c>
      <c r="Y26" s="77">
        <f>_xlfn.XLOOKUP(X26,'PEW1'!$B$6:$B$201,'PEW1'!$A$6:$A$201,0)</f>
        <v>0</v>
      </c>
      <c r="Z26" s="9" t="str">
        <f>_xlfn.XLOOKUP($B26,'PEW2'!$C$6:$C$201,'PEW2'!$B$6:$B$201,"")</f>
        <v/>
      </c>
      <c r="AA26" s="77">
        <f>_xlfn.XLOOKUP(Z26,'PEW2'!$B$6:$B$201,'PEW2'!$A$6:$A$201,0)</f>
        <v>0</v>
      </c>
      <c r="AB26" s="9" t="str">
        <f>_xlfn.XLOOKUP($B26,'PEW3'!$C$6:$C$201,'PEW3'!$B$6:$B$201,"")</f>
        <v/>
      </c>
      <c r="AC26" s="77">
        <f>_xlfn.XLOOKUP(AB26,'PEW3'!$B$6:$B$201,'PEW3'!$A$6:$A$201,0)</f>
        <v>0</v>
      </c>
      <c r="AD26" s="9" t="str">
        <f>_xlfn.XLOOKUP($B26,VFC!$C$6:$C$201,VFC!$B$6:$B$201,"")</f>
        <v/>
      </c>
      <c r="AE26" s="77">
        <f>_xlfn.XLOOKUP(AD26,VFC!$B$6:$B$201,VFC!$A$6:$A$201,0)</f>
        <v>0</v>
      </c>
      <c r="AF26" s="9" t="str">
        <f>_xlfn.XLOOKUP($B26,'PEW4'!$C$6:$C$201,'PEW4'!$B$6:$B$201,"")</f>
        <v/>
      </c>
      <c r="AG26" s="77">
        <f>_xlfn.XLOOKUP(AF26,'PEW4'!$B$6:$B$201,'PEW4'!$A$6:$A$201,0)</f>
        <v>0</v>
      </c>
      <c r="AH26" s="9" t="str">
        <f>_xlfn.XLOOKUP($B26,'PEW5'!$C$6:$C$201,'PEW5'!$B$6:$B$201,"")</f>
        <v/>
      </c>
      <c r="AI26" s="77">
        <f>_xlfn.XLOOKUP(AH26,'PEW5'!$B$6:$B$201,'PEW5'!$A$6:$A$201,0)</f>
        <v>0</v>
      </c>
      <c r="AJ26" s="9" t="str">
        <f>_xlfn.XLOOKUP($B26,'PEW6'!$C$6:$C$201,'PEW6'!$B$6:$B$201,"")</f>
        <v/>
      </c>
      <c r="AK26" s="77">
        <f>_xlfn.XLOOKUP(AJ26,'PEW6'!$B$6:$B$201,'PEW6'!$A$6:$A$201,0)</f>
        <v>0</v>
      </c>
      <c r="AL26" s="9" t="str">
        <f>_xlfn.XLOOKUP($B26,'PEW7'!$C$6:$C$201,'PEW7'!$B$6:$B$201,"")</f>
        <v/>
      </c>
      <c r="AM26" s="77">
        <f>_xlfn.XLOOKUP(AL26,'PEW7'!$B$6:$B$201,'PEW7'!$A$6:$A$201,0)</f>
        <v>0</v>
      </c>
      <c r="AN26" s="9" t="str">
        <f>_xlfn.XLOOKUP($B26,'PEW8'!$C$6:$C$201,'PEW8'!$B$6:$B$201,"")</f>
        <v/>
      </c>
      <c r="AO26" s="77">
        <f>_xlfn.XLOOKUP(AN26,'PEW8'!$B$6:$B$201,'PEW8'!$A$6:$A$201,0)</f>
        <v>0</v>
      </c>
      <c r="AP26" s="9" t="str">
        <f>_xlfn.XLOOKUP($B26,'PEW9'!$C$6:$C$201,'PEW9'!$B$6:$B$201,"")</f>
        <v/>
      </c>
      <c r="AQ26" s="77">
        <f>_xlfn.XLOOKUP(AP26,'PEW9'!$B$6:$B$201,'PEW9'!$A$6:$A$201,0)</f>
        <v>0</v>
      </c>
      <c r="AR26" s="9" t="str">
        <f>_xlfn.XLOOKUP($B26,'PEW10'!$C$6:$C$201,'PEW10'!$B$6:$B$201,"")</f>
        <v/>
      </c>
      <c r="AS26" s="77">
        <f>_xlfn.XLOOKUP(AR26,'PEW10'!$B$6:$B$201,'PEW10'!$A$6:$A$201,0)</f>
        <v>0</v>
      </c>
      <c r="AT26" s="9" t="str">
        <f>_xlfn.XLOOKUP($B26,'PEW11'!$C$6:$C$201,'PEW11'!$B$6:$B$201,"")</f>
        <v/>
      </c>
      <c r="AU26" s="77">
        <f>_xlfn.XLOOKUP(AT26,'PEW11'!$B$6:$B$201,'PEW11'!$A$6:$A$201,0)</f>
        <v>0</v>
      </c>
      <c r="AV26" s="9" t="str">
        <f>_xlfn.XLOOKUP($B26,'PEW12'!$C$6:$C$201,'PEW12'!$B$6:$B$201,"")</f>
        <v/>
      </c>
      <c r="AW26" s="77">
        <f>_xlfn.XLOOKUP(AV26,'PEW12'!$B$6:$B$201,'PEW12'!$A$6:$A$201,0)</f>
        <v>0</v>
      </c>
      <c r="AX26" s="9" t="str" cm="1">
        <f t="array" ref="AX26">_xlfn.XLOOKUP($B26,IMEW!C$6:C$201,IMEW!$B$6:B$201,"")</f>
        <v/>
      </c>
      <c r="AY26" s="78">
        <f>_xlfn.XLOOKUP(AX26,IMEW!$B$6:$B$201,IMEW!$A$6:$A$201,0)</f>
        <v>0</v>
      </c>
      <c r="BA26" s="79">
        <f t="shared" si="1"/>
        <v>0</v>
      </c>
      <c r="BB26" s="79">
        <f t="shared" si="2"/>
        <v>0</v>
      </c>
      <c r="BC26" s="79">
        <f t="shared" si="3"/>
        <v>0</v>
      </c>
      <c r="BD26" s="79">
        <f t="shared" si="4"/>
        <v>0</v>
      </c>
      <c r="BE26" s="79">
        <f t="shared" si="5"/>
        <v>0</v>
      </c>
      <c r="BF26" s="79">
        <f t="shared" si="6"/>
        <v>0</v>
      </c>
      <c r="BG26" s="79">
        <f t="shared" si="7"/>
        <v>0</v>
      </c>
    </row>
    <row r="27" spans="1:59" ht="14.3" x14ac:dyDescent="0.25">
      <c r="A27" s="8">
        <f t="shared" si="0"/>
        <v>22</v>
      </c>
      <c r="B27" s="10"/>
      <c r="C27" s="11"/>
      <c r="D27" s="75">
        <f>SUM(F27,H27,J27,L27,N27,P27,R27,T27,V27)-SUM(SMALL((F27,H27,J27,L27,N27,P27,R27,T27),1),SMALL((F27,H27,J27,L27,N27,P27,R27,T27),2))+SUM(LARGE((Y27,AA27,AC27,AE27,AG27,AI27,AK27,AM27,AO27,AQ27,AS27,AU27,AW27),1),LARGE((Y27,AA27,AC27,AE27,AG27,AI27,AK27,AM27,AO27,AQ27,AS27,AU27,AW27),2),LARGE((Y27,AA27,AC27,AE27,AG27,AI27,AK27,AM27,AO27,AQ27,AS27,AU27,AW27),3),AY27)</f>
        <v>0</v>
      </c>
      <c r="E27" s="9" t="str">
        <f>_xlfn.XLOOKUP($B27,'GP1'!$C$6:$C$101,'GP1'!$B$6:$B$101,"")</f>
        <v/>
      </c>
      <c r="F27" s="76">
        <f>_xlfn.XLOOKUP(E27,'GP1'!$B$6:$B$55,'GP1'!$A$6:$A$55,0)</f>
        <v>0</v>
      </c>
      <c r="G27" s="9" t="str">
        <f>_xlfn.XLOOKUP($B27,'GP2'!$C$6:$C$101,'GP2'!$B$6:$B$101,"")</f>
        <v/>
      </c>
      <c r="H27" s="76">
        <f>_xlfn.XLOOKUP(G27,'GP2'!$B$6:$B$55,'GP2'!$A$6:$A$55,0)</f>
        <v>0</v>
      </c>
      <c r="I27" s="9" t="str">
        <f>_xlfn.XLOOKUP($B27,'GP3'!$C$6:$C$101,'GP3'!$B$6:$B$101,"")</f>
        <v/>
      </c>
      <c r="J27" s="76">
        <f>_xlfn.XLOOKUP(I27,'GP3'!$B$6:$B$55,'GP3'!$A$6:$A$55,0)</f>
        <v>0</v>
      </c>
      <c r="K27" s="9" t="str">
        <f>_xlfn.XLOOKUP($B27,'GP4'!$C$6:$C$101,'GP4'!$B$6:$B$101,"")</f>
        <v/>
      </c>
      <c r="L27" s="76">
        <f>_xlfn.XLOOKUP(K27,'GP4'!$B$6:$B$55,'GP4'!$A$6:$A$55,0)</f>
        <v>0</v>
      </c>
      <c r="M27" s="9" t="str">
        <f>_xlfn.XLOOKUP($B27,'GP5'!$C$6:$C$101,'GP5'!$B$6:$B$101,"")</f>
        <v/>
      </c>
      <c r="N27" s="126">
        <f>_xlfn.XLOOKUP(M27,'GP5'!$B$6:$B$55,'GP5'!$A$6:$A$55,0)</f>
        <v>0</v>
      </c>
      <c r="O27" s="9" t="str">
        <f>_xlfn.XLOOKUP($B27,'GP6'!$C$6:$C$101,'GP6'!$B$6:$B$101,"")</f>
        <v/>
      </c>
      <c r="P27" s="126">
        <f>_xlfn.XLOOKUP(O27,'GP6'!$B$6:$B$55,'GP6'!$A$6:$A$55,0)</f>
        <v>0</v>
      </c>
      <c r="Q27" s="9" t="str">
        <f>_xlfn.XLOOKUP($B27,'GP7'!$C$6:$C$101,'GP7'!$B$6:$B$101,"")</f>
        <v/>
      </c>
      <c r="R27" s="126">
        <f>_xlfn.XLOOKUP(Q27,'GP7'!$B$6:$B$55,'GP7'!$A$6:$A$55,0)</f>
        <v>0</v>
      </c>
      <c r="S27" s="9" t="str">
        <f>_xlfn.XLOOKUP($B27,'GP8'!$C$6:$C$101,'GP8'!$B$6:$B$101,"")</f>
        <v/>
      </c>
      <c r="T27" s="126">
        <f>_xlfn.XLOOKUP(S27,'GP8'!$B$6:$B$55,'GP8'!$A$6:$A$55,0)</f>
        <v>0</v>
      </c>
      <c r="U27" s="9" t="str">
        <f>_xlfn.XLOOKUP($B27,MPW!$C$6:$C$101,MPW!$B$6:$B$101,"")</f>
        <v/>
      </c>
      <c r="V27" s="126">
        <f>_xlfn.XLOOKUP(U27,MPW!$B$6:$B$55,MPW!$A$6:$A$55,0)</f>
        <v>0</v>
      </c>
      <c r="X27" s="9" t="str">
        <f>_xlfn.XLOOKUP($B27,'PEW1'!$C$6:$C$201,'PEW1'!$B$6:$B$201,"")</f>
        <v/>
      </c>
      <c r="Y27" s="77">
        <f>_xlfn.XLOOKUP(X27,'PEW1'!$B$6:$B$201,'PEW1'!$A$6:$A$201,0)</f>
        <v>0</v>
      </c>
      <c r="Z27" s="9" t="str">
        <f>_xlfn.XLOOKUP($B27,'PEW2'!$C$6:$C$201,'PEW2'!$B$6:$B$201,"")</f>
        <v/>
      </c>
      <c r="AA27" s="77">
        <f>_xlfn.XLOOKUP(Z27,'PEW2'!$B$6:$B$201,'PEW2'!$A$6:$A$201,0)</f>
        <v>0</v>
      </c>
      <c r="AB27" s="9" t="str">
        <f>_xlfn.XLOOKUP($B27,'PEW3'!$C$6:$C$201,'PEW3'!$B$6:$B$201,"")</f>
        <v/>
      </c>
      <c r="AC27" s="77">
        <f>_xlfn.XLOOKUP(AB27,'PEW3'!$B$6:$B$201,'PEW3'!$A$6:$A$201,0)</f>
        <v>0</v>
      </c>
      <c r="AD27" s="9" t="str">
        <f>_xlfn.XLOOKUP($B27,VFC!$C$6:$C$201,VFC!$B$6:$B$201,"")</f>
        <v/>
      </c>
      <c r="AE27" s="77">
        <f>_xlfn.XLOOKUP(AD27,VFC!$B$6:$B$201,VFC!$A$6:$A$201,0)</f>
        <v>0</v>
      </c>
      <c r="AF27" s="9" t="str">
        <f>_xlfn.XLOOKUP($B27,'PEW4'!$C$6:$C$201,'PEW4'!$B$6:$B$201,"")</f>
        <v/>
      </c>
      <c r="AG27" s="77">
        <f>_xlfn.XLOOKUP(AF27,'PEW4'!$B$6:$B$201,'PEW4'!$A$6:$A$201,0)</f>
        <v>0</v>
      </c>
      <c r="AH27" s="9" t="str">
        <f>_xlfn.XLOOKUP($B27,'PEW5'!$C$6:$C$201,'PEW5'!$B$6:$B$201,"")</f>
        <v/>
      </c>
      <c r="AI27" s="77">
        <f>_xlfn.XLOOKUP(AH27,'PEW5'!$B$6:$B$201,'PEW5'!$A$6:$A$201,0)</f>
        <v>0</v>
      </c>
      <c r="AJ27" s="9" t="str">
        <f>_xlfn.XLOOKUP($B27,'PEW6'!$C$6:$C$201,'PEW6'!$B$6:$B$201,"")</f>
        <v/>
      </c>
      <c r="AK27" s="77">
        <f>_xlfn.XLOOKUP(AJ27,'PEW6'!$B$6:$B$201,'PEW6'!$A$6:$A$201,0)</f>
        <v>0</v>
      </c>
      <c r="AL27" s="9" t="str">
        <f>_xlfn.XLOOKUP($B27,'PEW7'!$C$6:$C$201,'PEW7'!$B$6:$B$201,"")</f>
        <v/>
      </c>
      <c r="AM27" s="77">
        <f>_xlfn.XLOOKUP(AL27,'PEW7'!$B$6:$B$201,'PEW7'!$A$6:$A$201,0)</f>
        <v>0</v>
      </c>
      <c r="AN27" s="9" t="str">
        <f>_xlfn.XLOOKUP($B27,'PEW8'!$C$6:$C$201,'PEW8'!$B$6:$B$201,"")</f>
        <v/>
      </c>
      <c r="AO27" s="77">
        <f>_xlfn.XLOOKUP(AN27,'PEW8'!$B$6:$B$201,'PEW8'!$A$6:$A$201,0)</f>
        <v>0</v>
      </c>
      <c r="AP27" s="9" t="str">
        <f>_xlfn.XLOOKUP($B27,'PEW9'!$C$6:$C$201,'PEW9'!$B$6:$B$201,"")</f>
        <v/>
      </c>
      <c r="AQ27" s="77">
        <f>_xlfn.XLOOKUP(AP27,'PEW9'!$B$6:$B$201,'PEW9'!$A$6:$A$201,0)</f>
        <v>0</v>
      </c>
      <c r="AR27" s="9" t="str">
        <f>_xlfn.XLOOKUP($B27,'PEW10'!$C$6:$C$201,'PEW10'!$B$6:$B$201,"")</f>
        <v/>
      </c>
      <c r="AS27" s="77">
        <f>_xlfn.XLOOKUP(AR27,'PEW10'!$B$6:$B$201,'PEW10'!$A$6:$A$201,0)</f>
        <v>0</v>
      </c>
      <c r="AT27" s="9" t="str">
        <f>_xlfn.XLOOKUP($B27,'PEW11'!$C$6:$C$201,'PEW11'!$B$6:$B$201,"")</f>
        <v/>
      </c>
      <c r="AU27" s="77">
        <f>_xlfn.XLOOKUP(AT27,'PEW11'!$B$6:$B$201,'PEW11'!$A$6:$A$201,0)</f>
        <v>0</v>
      </c>
      <c r="AV27" s="9" t="str">
        <f>_xlfn.XLOOKUP($B27,'PEW12'!$C$6:$C$201,'PEW12'!$B$6:$B$201,"")</f>
        <v/>
      </c>
      <c r="AW27" s="77">
        <f>_xlfn.XLOOKUP(AV27,'PEW12'!$B$6:$B$201,'PEW12'!$A$6:$A$201,0)</f>
        <v>0</v>
      </c>
      <c r="AX27" s="9" t="str" cm="1">
        <f t="array" ref="AX27">_xlfn.XLOOKUP($B27,IMEW!C$6:C$201,IMEW!$B$6:B$201,"")</f>
        <v/>
      </c>
      <c r="AY27" s="78">
        <f>_xlfn.XLOOKUP(AX27,IMEW!$B$6:$B$201,IMEW!$A$6:$A$201,0)</f>
        <v>0</v>
      </c>
      <c r="BA27" s="79">
        <f t="shared" si="1"/>
        <v>0</v>
      </c>
      <c r="BB27" s="79">
        <f t="shared" si="2"/>
        <v>0</v>
      </c>
      <c r="BC27" s="79">
        <f t="shared" si="3"/>
        <v>0</v>
      </c>
      <c r="BD27" s="79">
        <f t="shared" si="4"/>
        <v>0</v>
      </c>
      <c r="BE27" s="79">
        <f t="shared" si="5"/>
        <v>0</v>
      </c>
      <c r="BF27" s="79">
        <f t="shared" si="6"/>
        <v>0</v>
      </c>
      <c r="BG27" s="79">
        <f t="shared" si="7"/>
        <v>0</v>
      </c>
    </row>
    <row r="28" spans="1:59" ht="14.3" x14ac:dyDescent="0.25">
      <c r="A28" s="8">
        <f t="shared" si="0"/>
        <v>23</v>
      </c>
      <c r="B28" s="10"/>
      <c r="C28" s="11"/>
      <c r="D28" s="75">
        <f>SUM(F28,H28,J28,L28,N28,P28,R28,T28,V28)-SUM(SMALL((F28,H28,J28,L28,N28,P28,R28,T28),1),SMALL((F28,H28,J28,L28,N28,P28,R28,T28),2))+SUM(LARGE((Y28,AA28,AC28,AE28,AG28,AI28,AK28,AM28,AO28,AQ28,AS28,AU28,AW28),1),LARGE((Y28,AA28,AC28,AE28,AG28,AI28,AK28,AM28,AO28,AQ28,AS28,AU28,AW28),2),LARGE((Y28,AA28,AC28,AE28,AG28,AI28,AK28,AM28,AO28,AQ28,AS28,AU28,AW28),3),AY28)</f>
        <v>0</v>
      </c>
      <c r="E28" s="9" t="str">
        <f>_xlfn.XLOOKUP($B28,'GP1'!$C$6:$C$101,'GP1'!$B$6:$B$101,"")</f>
        <v/>
      </c>
      <c r="F28" s="76">
        <f>_xlfn.XLOOKUP(E28,'GP1'!$B$6:$B$55,'GP1'!$A$6:$A$55,0)</f>
        <v>0</v>
      </c>
      <c r="G28" s="9" t="str">
        <f>_xlfn.XLOOKUP($B28,'GP2'!$C$6:$C$101,'GP2'!$B$6:$B$101,"")</f>
        <v/>
      </c>
      <c r="H28" s="76">
        <f>_xlfn.XLOOKUP(G28,'GP2'!$B$6:$B$55,'GP2'!$A$6:$A$55,0)</f>
        <v>0</v>
      </c>
      <c r="I28" s="9" t="str">
        <f>_xlfn.XLOOKUP($B28,'GP3'!$C$6:$C$101,'GP3'!$B$6:$B$101,"")</f>
        <v/>
      </c>
      <c r="J28" s="76">
        <f>_xlfn.XLOOKUP(I28,'GP3'!$B$6:$B$55,'GP3'!$A$6:$A$55,0)</f>
        <v>0</v>
      </c>
      <c r="K28" s="9" t="str">
        <f>_xlfn.XLOOKUP($B28,'GP4'!$C$6:$C$101,'GP4'!$B$6:$B$101,"")</f>
        <v/>
      </c>
      <c r="L28" s="76">
        <f>_xlfn.XLOOKUP(K28,'GP4'!$B$6:$B$55,'GP4'!$A$6:$A$55,0)</f>
        <v>0</v>
      </c>
      <c r="M28" s="9" t="str">
        <f>_xlfn.XLOOKUP($B28,'GP5'!$C$6:$C$101,'GP5'!$B$6:$B$101,"")</f>
        <v/>
      </c>
      <c r="N28" s="126">
        <f>_xlfn.XLOOKUP(M28,'GP5'!$B$6:$B$55,'GP5'!$A$6:$A$55,0)</f>
        <v>0</v>
      </c>
      <c r="O28" s="9" t="str">
        <f>_xlfn.XLOOKUP($B28,'GP6'!$C$6:$C$101,'GP6'!$B$6:$B$101,"")</f>
        <v/>
      </c>
      <c r="P28" s="126">
        <f>_xlfn.XLOOKUP(O28,'GP6'!$B$6:$B$55,'GP6'!$A$6:$A$55,0)</f>
        <v>0</v>
      </c>
      <c r="Q28" s="9" t="str">
        <f>_xlfn.XLOOKUP($B28,'GP7'!$C$6:$C$101,'GP7'!$B$6:$B$101,"")</f>
        <v/>
      </c>
      <c r="R28" s="126">
        <f>_xlfn.XLOOKUP(Q28,'GP7'!$B$6:$B$55,'GP7'!$A$6:$A$55,0)</f>
        <v>0</v>
      </c>
      <c r="S28" s="9" t="str">
        <f>_xlfn.XLOOKUP($B28,'GP8'!$C$6:$C$101,'GP8'!$B$6:$B$101,"")</f>
        <v/>
      </c>
      <c r="T28" s="126">
        <f>_xlfn.XLOOKUP(S28,'GP8'!$B$6:$B$55,'GP8'!$A$6:$A$55,0)</f>
        <v>0</v>
      </c>
      <c r="U28" s="9" t="str">
        <f>_xlfn.XLOOKUP($B28,MPW!$C$6:$C$101,MPW!$B$6:$B$101,"")</f>
        <v/>
      </c>
      <c r="V28" s="126">
        <f>_xlfn.XLOOKUP(U28,MPW!$B$6:$B$55,MPW!$A$6:$A$55,0)</f>
        <v>0</v>
      </c>
      <c r="X28" s="9" t="str">
        <f>_xlfn.XLOOKUP($B28,'PEW1'!$C$6:$C$201,'PEW1'!$B$6:$B$201,"")</f>
        <v/>
      </c>
      <c r="Y28" s="77">
        <f>_xlfn.XLOOKUP(X28,'PEW1'!$B$6:$B$201,'PEW1'!$A$6:$A$201,0)</f>
        <v>0</v>
      </c>
      <c r="Z28" s="9" t="str">
        <f>_xlfn.XLOOKUP($B28,'PEW2'!$C$6:$C$201,'PEW2'!$B$6:$B$201,"")</f>
        <v/>
      </c>
      <c r="AA28" s="77">
        <f>_xlfn.XLOOKUP(Z28,'PEW2'!$B$6:$B$201,'PEW2'!$A$6:$A$201,0)</f>
        <v>0</v>
      </c>
      <c r="AB28" s="9" t="str">
        <f>_xlfn.XLOOKUP($B28,'PEW3'!$C$6:$C$201,'PEW3'!$B$6:$B$201,"")</f>
        <v/>
      </c>
      <c r="AC28" s="77">
        <f>_xlfn.XLOOKUP(AB28,'PEW3'!$B$6:$B$201,'PEW3'!$A$6:$A$201,0)</f>
        <v>0</v>
      </c>
      <c r="AD28" s="9" t="str">
        <f>_xlfn.XLOOKUP($B28,VFC!$C$6:$C$201,VFC!$B$6:$B$201,"")</f>
        <v/>
      </c>
      <c r="AE28" s="77">
        <f>_xlfn.XLOOKUP(AD28,VFC!$B$6:$B$201,VFC!$A$6:$A$201,0)</f>
        <v>0</v>
      </c>
      <c r="AF28" s="9" t="str">
        <f>_xlfn.XLOOKUP($B28,'PEW4'!$C$6:$C$201,'PEW4'!$B$6:$B$201,"")</f>
        <v/>
      </c>
      <c r="AG28" s="77">
        <f>_xlfn.XLOOKUP(AF28,'PEW4'!$B$6:$B$201,'PEW4'!$A$6:$A$201,0)</f>
        <v>0</v>
      </c>
      <c r="AH28" s="9" t="str">
        <f>_xlfn.XLOOKUP($B28,'PEW5'!$C$6:$C$201,'PEW5'!$B$6:$B$201,"")</f>
        <v/>
      </c>
      <c r="AI28" s="77">
        <f>_xlfn.XLOOKUP(AH28,'PEW5'!$B$6:$B$201,'PEW5'!$A$6:$A$201,0)</f>
        <v>0</v>
      </c>
      <c r="AJ28" s="9" t="str">
        <f>_xlfn.XLOOKUP($B28,'PEW6'!$C$6:$C$201,'PEW6'!$B$6:$B$201,"")</f>
        <v/>
      </c>
      <c r="AK28" s="77">
        <f>_xlfn.XLOOKUP(AJ28,'PEW6'!$B$6:$B$201,'PEW6'!$A$6:$A$201,0)</f>
        <v>0</v>
      </c>
      <c r="AL28" s="9" t="str">
        <f>_xlfn.XLOOKUP($B28,'PEW7'!$C$6:$C$201,'PEW7'!$B$6:$B$201,"")</f>
        <v/>
      </c>
      <c r="AM28" s="77">
        <f>_xlfn.XLOOKUP(AL28,'PEW7'!$B$6:$B$201,'PEW7'!$A$6:$A$201,0)</f>
        <v>0</v>
      </c>
      <c r="AN28" s="9" t="str">
        <f>_xlfn.XLOOKUP($B28,'PEW8'!$C$6:$C$201,'PEW8'!$B$6:$B$201,"")</f>
        <v/>
      </c>
      <c r="AO28" s="77">
        <f>_xlfn.XLOOKUP(AN28,'PEW8'!$B$6:$B$201,'PEW8'!$A$6:$A$201,0)</f>
        <v>0</v>
      </c>
      <c r="AP28" s="9" t="str">
        <f>_xlfn.XLOOKUP($B28,'PEW9'!$C$6:$C$201,'PEW9'!$B$6:$B$201,"")</f>
        <v/>
      </c>
      <c r="AQ28" s="77">
        <f>_xlfn.XLOOKUP(AP28,'PEW9'!$B$6:$B$201,'PEW9'!$A$6:$A$201,0)</f>
        <v>0</v>
      </c>
      <c r="AR28" s="9" t="str">
        <f>_xlfn.XLOOKUP($B28,'PEW10'!$C$6:$C$201,'PEW10'!$B$6:$B$201,"")</f>
        <v/>
      </c>
      <c r="AS28" s="77">
        <f>_xlfn.XLOOKUP(AR28,'PEW10'!$B$6:$B$201,'PEW10'!$A$6:$A$201,0)</f>
        <v>0</v>
      </c>
      <c r="AT28" s="9" t="str">
        <f>_xlfn.XLOOKUP($B28,'PEW11'!$C$6:$C$201,'PEW11'!$B$6:$B$201,"")</f>
        <v/>
      </c>
      <c r="AU28" s="77">
        <f>_xlfn.XLOOKUP(AT28,'PEW11'!$B$6:$B$201,'PEW11'!$A$6:$A$201,0)</f>
        <v>0</v>
      </c>
      <c r="AV28" s="9" t="str">
        <f>_xlfn.XLOOKUP($B28,'PEW12'!$C$6:$C$201,'PEW12'!$B$6:$B$201,"")</f>
        <v/>
      </c>
      <c r="AW28" s="77">
        <f>_xlfn.XLOOKUP(AV28,'PEW12'!$B$6:$B$201,'PEW12'!$A$6:$A$201,0)</f>
        <v>0</v>
      </c>
      <c r="AX28" s="9" t="str" cm="1">
        <f t="array" ref="AX28">_xlfn.XLOOKUP($B28,IMEW!C$6:C$201,IMEW!$B$6:B$201,"")</f>
        <v/>
      </c>
      <c r="AY28" s="78">
        <f>_xlfn.XLOOKUP(AX28,IMEW!$B$6:$B$201,IMEW!$A$6:$A$201,0)</f>
        <v>0</v>
      </c>
      <c r="BA28" s="79">
        <f t="shared" si="1"/>
        <v>0</v>
      </c>
      <c r="BB28" s="79">
        <f t="shared" si="2"/>
        <v>0</v>
      </c>
      <c r="BC28" s="79">
        <f t="shared" si="3"/>
        <v>0</v>
      </c>
      <c r="BD28" s="79">
        <f t="shared" si="4"/>
        <v>0</v>
      </c>
      <c r="BE28" s="79">
        <f t="shared" si="5"/>
        <v>0</v>
      </c>
      <c r="BF28" s="79">
        <f t="shared" si="6"/>
        <v>0</v>
      </c>
      <c r="BG28" s="79">
        <f t="shared" si="7"/>
        <v>0</v>
      </c>
    </row>
    <row r="29" spans="1:59" ht="14.3" x14ac:dyDescent="0.25">
      <c r="A29" s="8">
        <f t="shared" si="0"/>
        <v>24</v>
      </c>
      <c r="B29" s="10"/>
      <c r="C29" s="11"/>
      <c r="D29" s="75">
        <f>SUM(F29,H29,J29,L29,N29,P29,R29,T29,V29)-SUM(SMALL((F29,H29,J29,L29,N29,P29,R29,T29),1),SMALL((F29,H29,J29,L29,N29,P29,R29,T29),2))+SUM(LARGE((Y29,AA29,AC29,AE29,AG29,AI29,AK29,AM29,AO29,AQ29,AS29,AU29,AW29),1),LARGE((Y29,AA29,AC29,AE29,AG29,AI29,AK29,AM29,AO29,AQ29,AS29,AU29,AW29),2),LARGE((Y29,AA29,AC29,AE29,AG29,AI29,AK29,AM29,AO29,AQ29,AS29,AU29,AW29),3),AY29)</f>
        <v>0</v>
      </c>
      <c r="E29" s="9" t="str">
        <f>_xlfn.XLOOKUP($B29,'GP1'!$C$6:$C$101,'GP1'!$B$6:$B$101,"")</f>
        <v/>
      </c>
      <c r="F29" s="76">
        <f>_xlfn.XLOOKUP(E29,'GP1'!$B$6:$B$55,'GP1'!$A$6:$A$55,0)</f>
        <v>0</v>
      </c>
      <c r="G29" s="9" t="str">
        <f>_xlfn.XLOOKUP($B29,'GP2'!$C$6:$C$101,'GP2'!$B$6:$B$101,"")</f>
        <v/>
      </c>
      <c r="H29" s="76">
        <f>_xlfn.XLOOKUP(G29,'GP2'!$B$6:$B$55,'GP2'!$A$6:$A$55,0)</f>
        <v>0</v>
      </c>
      <c r="I29" s="9" t="str">
        <f>_xlfn.XLOOKUP($B29,'GP3'!$C$6:$C$101,'GP3'!$B$6:$B$101,"")</f>
        <v/>
      </c>
      <c r="J29" s="76">
        <f>_xlfn.XLOOKUP(I29,'GP3'!$B$6:$B$55,'GP3'!$A$6:$A$55,0)</f>
        <v>0</v>
      </c>
      <c r="K29" s="9" t="str">
        <f>_xlfn.XLOOKUP($B29,'GP4'!$C$6:$C$101,'GP4'!$B$6:$B$101,"")</f>
        <v/>
      </c>
      <c r="L29" s="76">
        <f>_xlfn.XLOOKUP(K29,'GP4'!$B$6:$B$55,'GP4'!$A$6:$A$55,0)</f>
        <v>0</v>
      </c>
      <c r="M29" s="9" t="str">
        <f>_xlfn.XLOOKUP($B29,'GP5'!$C$6:$C$101,'GP5'!$B$6:$B$101,"")</f>
        <v/>
      </c>
      <c r="N29" s="126">
        <f>_xlfn.XLOOKUP(M29,'GP5'!$B$6:$B$55,'GP5'!$A$6:$A$55,0)</f>
        <v>0</v>
      </c>
      <c r="O29" s="9" t="str">
        <f>_xlfn.XLOOKUP($B29,'GP6'!$C$6:$C$101,'GP6'!$B$6:$B$101,"")</f>
        <v/>
      </c>
      <c r="P29" s="126">
        <f>_xlfn.XLOOKUP(O29,'GP6'!$B$6:$B$55,'GP6'!$A$6:$A$55,0)</f>
        <v>0</v>
      </c>
      <c r="Q29" s="9" t="str">
        <f>_xlfn.XLOOKUP($B29,'GP7'!$C$6:$C$101,'GP7'!$B$6:$B$101,"")</f>
        <v/>
      </c>
      <c r="R29" s="126">
        <f>_xlfn.XLOOKUP(Q29,'GP7'!$B$6:$B$55,'GP7'!$A$6:$A$55,0)</f>
        <v>0</v>
      </c>
      <c r="S29" s="9" t="str">
        <f>_xlfn.XLOOKUP($B29,'GP8'!$C$6:$C$101,'GP8'!$B$6:$B$101,"")</f>
        <v/>
      </c>
      <c r="T29" s="126">
        <f>_xlfn.XLOOKUP(S29,'GP8'!$B$6:$B$55,'GP8'!$A$6:$A$55,0)</f>
        <v>0</v>
      </c>
      <c r="U29" s="9" t="str">
        <f>_xlfn.XLOOKUP($B29,MPW!$C$6:$C$101,MPW!$B$6:$B$101,"")</f>
        <v/>
      </c>
      <c r="V29" s="126">
        <f>_xlfn.XLOOKUP(U29,MPW!$B$6:$B$55,MPW!$A$6:$A$55,0)</f>
        <v>0</v>
      </c>
      <c r="X29" s="9" t="str">
        <f>_xlfn.XLOOKUP($B29,'PEW1'!$C$6:$C$201,'PEW1'!$B$6:$B$201,"")</f>
        <v/>
      </c>
      <c r="Y29" s="77">
        <f>_xlfn.XLOOKUP(X29,'PEW1'!$B$6:$B$201,'PEW1'!$A$6:$A$201,0)</f>
        <v>0</v>
      </c>
      <c r="Z29" s="9" t="str">
        <f>_xlfn.XLOOKUP($B29,'PEW2'!$C$6:$C$201,'PEW2'!$B$6:$B$201,"")</f>
        <v/>
      </c>
      <c r="AA29" s="77">
        <f>_xlfn.XLOOKUP(Z29,'PEW2'!$B$6:$B$201,'PEW2'!$A$6:$A$201,0)</f>
        <v>0</v>
      </c>
      <c r="AB29" s="9" t="str">
        <f>_xlfn.XLOOKUP($B29,'PEW3'!$C$6:$C$201,'PEW3'!$B$6:$B$201,"")</f>
        <v/>
      </c>
      <c r="AC29" s="77">
        <f>_xlfn.XLOOKUP(AB29,'PEW3'!$B$6:$B$201,'PEW3'!$A$6:$A$201,0)</f>
        <v>0</v>
      </c>
      <c r="AD29" s="9" t="str">
        <f>_xlfn.XLOOKUP($B29,VFC!$C$6:$C$201,VFC!$B$6:$B$201,"")</f>
        <v/>
      </c>
      <c r="AE29" s="77">
        <f>_xlfn.XLOOKUP(AD29,VFC!$B$6:$B$201,VFC!$A$6:$A$201,0)</f>
        <v>0</v>
      </c>
      <c r="AF29" s="9" t="str">
        <f>_xlfn.XLOOKUP($B29,'PEW4'!$C$6:$C$201,'PEW4'!$B$6:$B$201,"")</f>
        <v/>
      </c>
      <c r="AG29" s="77">
        <f>_xlfn.XLOOKUP(AF29,'PEW4'!$B$6:$B$201,'PEW4'!$A$6:$A$201,0)</f>
        <v>0</v>
      </c>
      <c r="AH29" s="9" t="str">
        <f>_xlfn.XLOOKUP($B29,'PEW5'!$C$6:$C$201,'PEW5'!$B$6:$B$201,"")</f>
        <v/>
      </c>
      <c r="AI29" s="77">
        <f>_xlfn.XLOOKUP(AH29,'PEW5'!$B$6:$B$201,'PEW5'!$A$6:$A$201,0)</f>
        <v>0</v>
      </c>
      <c r="AJ29" s="9" t="str">
        <f>_xlfn.XLOOKUP($B29,'PEW6'!$C$6:$C$201,'PEW6'!$B$6:$B$201,"")</f>
        <v/>
      </c>
      <c r="AK29" s="77">
        <f>_xlfn.XLOOKUP(AJ29,'PEW6'!$B$6:$B$201,'PEW6'!$A$6:$A$201,0)</f>
        <v>0</v>
      </c>
      <c r="AL29" s="9" t="str">
        <f>_xlfn.XLOOKUP($B29,'PEW7'!$C$6:$C$201,'PEW7'!$B$6:$B$201,"")</f>
        <v/>
      </c>
      <c r="AM29" s="77">
        <f>_xlfn.XLOOKUP(AL29,'PEW7'!$B$6:$B$201,'PEW7'!$A$6:$A$201,0)</f>
        <v>0</v>
      </c>
      <c r="AN29" s="9" t="str">
        <f>_xlfn.XLOOKUP($B29,'PEW8'!$C$6:$C$201,'PEW8'!$B$6:$B$201,"")</f>
        <v/>
      </c>
      <c r="AO29" s="77">
        <f>_xlfn.XLOOKUP(AN29,'PEW8'!$B$6:$B$201,'PEW8'!$A$6:$A$201,0)</f>
        <v>0</v>
      </c>
      <c r="AP29" s="9" t="str">
        <f>_xlfn.XLOOKUP($B29,'PEW9'!$C$6:$C$201,'PEW9'!$B$6:$B$201,"")</f>
        <v/>
      </c>
      <c r="AQ29" s="77">
        <f>_xlfn.XLOOKUP(AP29,'PEW9'!$B$6:$B$201,'PEW9'!$A$6:$A$201,0)</f>
        <v>0</v>
      </c>
      <c r="AR29" s="9" t="str">
        <f>_xlfn.XLOOKUP($B29,'PEW10'!$C$6:$C$201,'PEW10'!$B$6:$B$201,"")</f>
        <v/>
      </c>
      <c r="AS29" s="77">
        <f>_xlfn.XLOOKUP(AR29,'PEW10'!$B$6:$B$201,'PEW10'!$A$6:$A$201,0)</f>
        <v>0</v>
      </c>
      <c r="AT29" s="9" t="str">
        <f>_xlfn.XLOOKUP($B29,'PEW11'!$C$6:$C$201,'PEW11'!$B$6:$B$201,"")</f>
        <v/>
      </c>
      <c r="AU29" s="77">
        <f>_xlfn.XLOOKUP(AT29,'PEW11'!$B$6:$B$201,'PEW11'!$A$6:$A$201,0)</f>
        <v>0</v>
      </c>
      <c r="AV29" s="9" t="str">
        <f>_xlfn.XLOOKUP($B29,'PEW12'!$C$6:$C$201,'PEW12'!$B$6:$B$201,"")</f>
        <v/>
      </c>
      <c r="AW29" s="77">
        <f>_xlfn.XLOOKUP(AV29,'PEW12'!$B$6:$B$201,'PEW12'!$A$6:$A$201,0)</f>
        <v>0</v>
      </c>
      <c r="AX29" s="9" t="str" cm="1">
        <f t="array" ref="AX29">_xlfn.XLOOKUP($B29,IMEW!C$6:C$201,IMEW!$B$6:B$201,"")</f>
        <v/>
      </c>
      <c r="AY29" s="78">
        <f>_xlfn.XLOOKUP(AX29,IMEW!$B$6:$B$201,IMEW!$A$6:$A$201,0)</f>
        <v>0</v>
      </c>
      <c r="BA29" s="79">
        <f t="shared" si="1"/>
        <v>0</v>
      </c>
      <c r="BB29" s="79">
        <f t="shared" si="2"/>
        <v>0</v>
      </c>
      <c r="BC29" s="79">
        <f t="shared" si="3"/>
        <v>0</v>
      </c>
      <c r="BD29" s="79">
        <f t="shared" si="4"/>
        <v>0</v>
      </c>
      <c r="BE29" s="79">
        <f t="shared" si="5"/>
        <v>0</v>
      </c>
      <c r="BF29" s="79">
        <f t="shared" si="6"/>
        <v>0</v>
      </c>
      <c r="BG29" s="79">
        <f t="shared" si="7"/>
        <v>0</v>
      </c>
    </row>
    <row r="30" spans="1:59" x14ac:dyDescent="0.2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</row>
    <row r="31" spans="1:59" x14ac:dyDescent="0.2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</row>
    <row r="32" spans="1:59" x14ac:dyDescent="0.2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</row>
    <row r="33" spans="1:22" x14ac:dyDescent="0.2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</row>
    <row r="34" spans="1:22" x14ac:dyDescent="0.2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</row>
    <row r="35" spans="1:22" x14ac:dyDescent="0.2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</row>
    <row r="36" spans="1:22" x14ac:dyDescent="0.2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</row>
    <row r="37" spans="1:22" x14ac:dyDescent="0.2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</row>
    <row r="38" spans="1:22" x14ac:dyDescent="0.2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</row>
    <row r="39" spans="1:22" x14ac:dyDescent="0.2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</row>
    <row r="169" spans="3:3" x14ac:dyDescent="0.2">
      <c r="C169" t="s">
        <v>40</v>
      </c>
    </row>
  </sheetData>
  <autoFilter ref="A5:AY5" xr:uid="{3A0A20B3-5AAD-4C6E-AC99-1ABF64677A16}">
    <sortState xmlns:xlrd2="http://schemas.microsoft.com/office/spreadsheetml/2017/richdata2" ref="A7:AY29">
      <sortCondition descending="1" ref="D5"/>
    </sortState>
  </autoFilter>
  <mergeCells count="29">
    <mergeCell ref="AN4:AO4"/>
    <mergeCell ref="AP4:AQ4"/>
    <mergeCell ref="AR4:AS4"/>
    <mergeCell ref="X4:Y4"/>
    <mergeCell ref="Z4:AA4"/>
    <mergeCell ref="AB4:AC4"/>
    <mergeCell ref="AF4:AG4"/>
    <mergeCell ref="AD4:AE4"/>
    <mergeCell ref="A4:A5"/>
    <mergeCell ref="B4:B5"/>
    <mergeCell ref="C4:C5"/>
    <mergeCell ref="D4:D5"/>
    <mergeCell ref="E4:F4"/>
    <mergeCell ref="D1:V2"/>
    <mergeCell ref="X1:AY3"/>
    <mergeCell ref="G4:H4"/>
    <mergeCell ref="I4:J4"/>
    <mergeCell ref="K4:L4"/>
    <mergeCell ref="AH4:AI4"/>
    <mergeCell ref="AJ4:AK4"/>
    <mergeCell ref="AL4:AM4"/>
    <mergeCell ref="AX4:AY4"/>
    <mergeCell ref="M4:N4"/>
    <mergeCell ref="U4:V4"/>
    <mergeCell ref="O4:P4"/>
    <mergeCell ref="AT4:AU4"/>
    <mergeCell ref="AV4:AW4"/>
    <mergeCell ref="Q4:R4"/>
    <mergeCell ref="S4:T4"/>
  </mergeCells>
  <conditionalFormatting sqref="A6:A29">
    <cfRule type="cellIs" dxfId="24" priority="20" operator="equal">
      <formula>3</formula>
    </cfRule>
    <cfRule type="cellIs" dxfId="23" priority="21" operator="equal">
      <formula>2</formula>
    </cfRule>
    <cfRule type="cellIs" dxfId="22" priority="22" operator="equal">
      <formula>1</formula>
    </cfRule>
  </conditionalFormatting>
  <conditionalFormatting sqref="D6:V29">
    <cfRule type="cellIs" dxfId="21" priority="1" operator="equal">
      <formula>0</formula>
    </cfRule>
  </conditionalFormatting>
  <conditionalFormatting sqref="X6:AY29">
    <cfRule type="cellIs" dxfId="20" priority="15" operator="equal">
      <formula>0</formula>
    </cfRule>
  </conditionalFormatting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 r:id="rId1"/>
  <headerFooter alignWithMargins="0">
    <oddHeader>&amp;C&amp;A</oddHeader>
    <oddFooter>&amp;CStrona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3FA4E-3028-49B1-8988-B951C8B8D9E7}">
  <sheetPr>
    <tabColor rgb="FF92D050"/>
  </sheetPr>
  <dimension ref="A1:AL374"/>
  <sheetViews>
    <sheetView workbookViewId="0">
      <selection activeCell="C3" sqref="C3"/>
    </sheetView>
  </sheetViews>
  <sheetFormatPr defaultColWidth="8.875" defaultRowHeight="14.3" x14ac:dyDescent="0.25"/>
  <cols>
    <col min="1" max="1" width="8" style="115" customWidth="1"/>
    <col min="2" max="2" width="8.25" style="115" customWidth="1"/>
    <col min="3" max="3" width="34.75" style="115" customWidth="1"/>
    <col min="4" max="4" width="11.25" style="115" customWidth="1"/>
    <col min="5" max="6" width="8.875" style="115"/>
    <col min="7" max="7" width="0.875" style="115" customWidth="1"/>
    <col min="8" max="8" width="8.875" style="118"/>
    <col min="9" max="9" width="11" style="118" customWidth="1"/>
    <col min="10" max="10" width="15.25" style="118" customWidth="1"/>
    <col min="11" max="11" width="8.75" style="118" customWidth="1"/>
    <col min="12" max="12" width="11" style="118" customWidth="1"/>
    <col min="13" max="13" width="12.25" style="119" customWidth="1"/>
    <col min="14" max="15" width="13.875" style="80" customWidth="1"/>
    <col min="16" max="18" width="8.875" style="80"/>
    <col min="19" max="20" width="8.875" style="85"/>
    <col min="21" max="21" width="12.125" style="85" customWidth="1"/>
    <col min="22" max="22" width="27.375" style="85" customWidth="1"/>
    <col min="23" max="38" width="8.875" style="85"/>
    <col min="39" max="16384" width="8.875" style="115"/>
  </cols>
  <sheetData>
    <row r="1" spans="1:36" s="85" customFormat="1" x14ac:dyDescent="0.25">
      <c r="A1" s="80"/>
      <c r="B1" s="80"/>
      <c r="C1" s="80"/>
      <c r="D1" s="80"/>
      <c r="E1" s="80"/>
      <c r="F1" s="80"/>
      <c r="G1" s="80"/>
      <c r="H1" s="81" t="s">
        <v>20</v>
      </c>
      <c r="I1" s="82" t="s">
        <v>21</v>
      </c>
      <c r="J1" s="82" t="s">
        <v>22</v>
      </c>
      <c r="K1" s="83" t="s">
        <v>84</v>
      </c>
      <c r="L1" s="84"/>
      <c r="M1" s="84"/>
      <c r="N1" s="80"/>
      <c r="O1" s="80"/>
      <c r="P1" s="80"/>
      <c r="Q1" s="80"/>
      <c r="R1" s="80"/>
    </row>
    <row r="2" spans="1:36" s="85" customFormat="1" x14ac:dyDescent="0.25">
      <c r="A2" s="80"/>
      <c r="B2" s="19" t="s">
        <v>24</v>
      </c>
      <c r="C2" s="127" t="s">
        <v>85</v>
      </c>
      <c r="D2" s="67"/>
      <c r="E2" s="20"/>
      <c r="F2" s="20"/>
      <c r="G2" s="20"/>
      <c r="H2" s="86">
        <v>0</v>
      </c>
      <c r="I2" s="87">
        <v>50</v>
      </c>
      <c r="J2" s="87">
        <v>10</v>
      </c>
      <c r="K2" s="88">
        <f>3*H2^(1/3)</f>
        <v>0</v>
      </c>
      <c r="L2" s="84"/>
      <c r="M2" s="84"/>
      <c r="N2" s="80"/>
      <c r="O2" s="80"/>
      <c r="P2" s="80"/>
      <c r="Q2" s="80"/>
      <c r="R2" s="80"/>
    </row>
    <row r="3" spans="1:36" s="85" customFormat="1" x14ac:dyDescent="0.25">
      <c r="A3" s="80"/>
      <c r="B3" s="89" t="s">
        <v>26</v>
      </c>
      <c r="C3" s="68" t="s">
        <v>86</v>
      </c>
      <c r="D3" s="68"/>
      <c r="E3" s="25"/>
      <c r="F3" s="25"/>
      <c r="G3" s="25"/>
      <c r="H3" s="84"/>
      <c r="I3" s="84"/>
      <c r="J3" s="90"/>
      <c r="K3" s="84"/>
      <c r="L3" s="84"/>
      <c r="M3" s="84"/>
      <c r="N3" s="80"/>
      <c r="O3" s="80"/>
      <c r="P3" s="80"/>
      <c r="Q3" s="80"/>
      <c r="R3" s="80"/>
    </row>
    <row r="4" spans="1:36" s="85" customFormat="1" ht="10.199999999999999" customHeight="1" x14ac:dyDescent="0.25">
      <c r="A4" s="27"/>
      <c r="B4" s="25"/>
      <c r="C4" s="27"/>
      <c r="D4" s="27"/>
      <c r="E4" s="27"/>
      <c r="F4" s="27"/>
      <c r="G4" s="27"/>
      <c r="H4" s="84"/>
      <c r="I4" s="84"/>
      <c r="J4" s="90"/>
      <c r="K4" s="84"/>
      <c r="L4" s="84"/>
      <c r="M4" s="84"/>
      <c r="N4" s="80"/>
      <c r="O4" s="80"/>
      <c r="P4" s="80"/>
      <c r="Q4" s="80"/>
      <c r="R4" s="80"/>
    </row>
    <row r="5" spans="1:36" s="85" customFormat="1" ht="34.65" x14ac:dyDescent="0.25">
      <c r="A5" s="1" t="s">
        <v>28</v>
      </c>
      <c r="B5" s="28" t="s">
        <v>29</v>
      </c>
      <c r="C5" s="1" t="s">
        <v>30</v>
      </c>
      <c r="D5" s="1" t="s">
        <v>31</v>
      </c>
      <c r="E5" s="1" t="s">
        <v>32</v>
      </c>
      <c r="F5" s="1" t="s">
        <v>33</v>
      </c>
      <c r="G5" s="27"/>
      <c r="H5" s="91" t="s">
        <v>34</v>
      </c>
      <c r="I5" s="92" t="s">
        <v>35</v>
      </c>
      <c r="J5" s="93" t="s">
        <v>36</v>
      </c>
      <c r="K5" s="92" t="s">
        <v>37</v>
      </c>
      <c r="L5" s="92" t="s">
        <v>38</v>
      </c>
      <c r="M5" s="91" t="s">
        <v>39</v>
      </c>
      <c r="N5" s="80"/>
      <c r="O5" s="80"/>
      <c r="P5" s="80"/>
      <c r="Q5" s="80"/>
      <c r="R5" s="80"/>
    </row>
    <row r="6" spans="1:36" s="85" customFormat="1" ht="14.45" customHeight="1" x14ac:dyDescent="0.25">
      <c r="A6" s="94">
        <f t="shared" ref="A6:A37" si="0">M6</f>
        <v>0</v>
      </c>
      <c r="B6" s="33" t="str">
        <f>IF(H6&gt;$H$2,"",(ROW()-5))</f>
        <v/>
      </c>
      <c r="C6" s="34"/>
      <c r="D6" s="34"/>
      <c r="E6" s="34"/>
      <c r="F6" s="34" t="s">
        <v>87</v>
      </c>
      <c r="G6" s="27"/>
      <c r="H6" s="95">
        <v>1</v>
      </c>
      <c r="I6" s="96" t="str">
        <f t="shared" ref="I6:I69" si="1">IF(H6&lt;$H$2+1,($I$2-($I$2-1)*(LOG(H6)/LOG($H$2))),"")</f>
        <v/>
      </c>
      <c r="J6" s="95" t="e">
        <f t="shared" ref="J6:J69" si="2">INT(LOG($H$2,2))-ROUNDUP(LOG(H6,2),0)+IF(OR($H$2=1,$H$2=2,$H$2=4,$H$2=8,$H$2=16,$H$2=32,$H$2=64,$H$2=128,$H$2=256),0,1)</f>
        <v>#NUM!</v>
      </c>
      <c r="K6" s="95" t="e">
        <f t="shared" ref="K6:K69" si="3">J6*$J$2</f>
        <v>#NUM!</v>
      </c>
      <c r="L6" s="97">
        <f>3*K2</f>
        <v>0</v>
      </c>
      <c r="M6" s="97">
        <f t="shared" ref="M6:M69" si="4">IF(I6&lt;&gt;"",K6+I6+L6,0)</f>
        <v>0</v>
      </c>
      <c r="N6" s="80"/>
      <c r="O6" s="80"/>
      <c r="P6" s="80"/>
      <c r="Q6" s="80"/>
      <c r="R6" s="80"/>
    </row>
    <row r="7" spans="1:36" s="85" customFormat="1" ht="14.45" customHeight="1" x14ac:dyDescent="0.25">
      <c r="A7" s="98">
        <f t="shared" si="0"/>
        <v>0</v>
      </c>
      <c r="B7" s="39" t="str">
        <f>IF(H7&gt;$H$2,"",(ROW()-5))</f>
        <v/>
      </c>
      <c r="C7" s="40"/>
      <c r="D7" s="40"/>
      <c r="E7" s="40"/>
      <c r="F7" s="40" t="s">
        <v>87</v>
      </c>
      <c r="G7" s="27"/>
      <c r="H7" s="99">
        <v>2</v>
      </c>
      <c r="I7" s="100" t="str">
        <f t="shared" si="1"/>
        <v/>
      </c>
      <c r="J7" s="99" t="e">
        <f t="shared" si="2"/>
        <v>#NUM!</v>
      </c>
      <c r="K7" s="99" t="e">
        <f t="shared" si="3"/>
        <v>#NUM!</v>
      </c>
      <c r="L7" s="101">
        <f>2*K2</f>
        <v>0</v>
      </c>
      <c r="M7" s="101">
        <f t="shared" si="4"/>
        <v>0</v>
      </c>
      <c r="N7" s="80"/>
      <c r="O7" s="80"/>
      <c r="P7" s="80"/>
      <c r="Q7" s="80"/>
      <c r="R7" s="80"/>
    </row>
    <row r="8" spans="1:36" s="85" customFormat="1" ht="14.45" customHeight="1" x14ac:dyDescent="0.25">
      <c r="A8" s="94">
        <f t="shared" si="0"/>
        <v>0</v>
      </c>
      <c r="B8" s="33" t="str">
        <f>IF(H8&gt;$H$2,"",(ROW()-5))</f>
        <v/>
      </c>
      <c r="C8" s="34"/>
      <c r="D8" s="34"/>
      <c r="E8" s="34"/>
      <c r="F8" s="34" t="s">
        <v>87</v>
      </c>
      <c r="G8" s="27"/>
      <c r="H8" s="95">
        <v>3</v>
      </c>
      <c r="I8" s="96" t="str">
        <f t="shared" si="1"/>
        <v/>
      </c>
      <c r="J8" s="95" t="e">
        <f t="shared" si="2"/>
        <v>#NUM!</v>
      </c>
      <c r="K8" s="95" t="e">
        <f t="shared" si="3"/>
        <v>#NUM!</v>
      </c>
      <c r="L8" s="97">
        <f>K2</f>
        <v>0</v>
      </c>
      <c r="M8" s="97">
        <f t="shared" si="4"/>
        <v>0</v>
      </c>
      <c r="N8" s="80"/>
      <c r="O8" s="80"/>
      <c r="P8" s="80"/>
      <c r="Q8" s="80"/>
      <c r="R8" s="80"/>
    </row>
    <row r="9" spans="1:36" s="85" customFormat="1" ht="14.45" customHeight="1" x14ac:dyDescent="0.25">
      <c r="A9" s="98">
        <f t="shared" si="0"/>
        <v>0</v>
      </c>
      <c r="B9" s="39" t="str">
        <f>IF(H9&gt;$H$2,"",3)</f>
        <v/>
      </c>
      <c r="C9" s="40"/>
      <c r="D9" s="40"/>
      <c r="E9" s="40"/>
      <c r="F9" s="40"/>
      <c r="G9" s="27"/>
      <c r="H9" s="99">
        <v>3</v>
      </c>
      <c r="I9" s="100" t="str">
        <f t="shared" si="1"/>
        <v/>
      </c>
      <c r="J9" s="99" t="e">
        <f t="shared" si="2"/>
        <v>#NUM!</v>
      </c>
      <c r="K9" s="99" t="e">
        <f t="shared" si="3"/>
        <v>#NUM!</v>
      </c>
      <c r="L9" s="101">
        <f>K2</f>
        <v>0</v>
      </c>
      <c r="M9" s="101">
        <f t="shared" si="4"/>
        <v>0</v>
      </c>
      <c r="N9" s="80"/>
      <c r="O9" s="80"/>
      <c r="P9" s="80"/>
      <c r="Q9" s="80"/>
      <c r="R9" s="80"/>
      <c r="V9" s="102"/>
      <c r="Z9" s="103"/>
      <c r="AA9" s="103"/>
      <c r="AG9" s="104"/>
      <c r="AH9" s="85" t="s">
        <v>40</v>
      </c>
      <c r="AI9" s="85">
        <v>23</v>
      </c>
    </row>
    <row r="10" spans="1:36" s="85" customFormat="1" ht="14.45" customHeight="1" x14ac:dyDescent="0.25">
      <c r="A10" s="94">
        <f t="shared" si="0"/>
        <v>0</v>
      </c>
      <c r="B10" s="33" t="str">
        <f t="shared" ref="B10:B41" si="5">IF(H10&gt;$H$2,"",(ROW()-5))</f>
        <v/>
      </c>
      <c r="C10" s="34"/>
      <c r="D10" s="34"/>
      <c r="E10" s="34"/>
      <c r="F10" s="34"/>
      <c r="G10" s="27"/>
      <c r="H10" s="95">
        <v>5</v>
      </c>
      <c r="I10" s="96" t="str">
        <f t="shared" si="1"/>
        <v/>
      </c>
      <c r="J10" s="95" t="e">
        <f t="shared" si="2"/>
        <v>#NUM!</v>
      </c>
      <c r="K10" s="95" t="e">
        <f t="shared" si="3"/>
        <v>#NUM!</v>
      </c>
      <c r="L10" s="95"/>
      <c r="M10" s="97">
        <f t="shared" si="4"/>
        <v>0</v>
      </c>
      <c r="N10" s="80"/>
      <c r="O10" s="80"/>
      <c r="P10" s="80"/>
      <c r="Q10" s="80"/>
      <c r="R10" s="80"/>
      <c r="V10" s="102"/>
      <c r="Z10" s="103"/>
      <c r="AA10" s="103"/>
      <c r="AG10" s="104"/>
      <c r="AH10" s="85" t="s">
        <v>41</v>
      </c>
      <c r="AI10" s="85">
        <v>45</v>
      </c>
    </row>
    <row r="11" spans="1:36" s="85" customFormat="1" ht="14.45" customHeight="1" x14ac:dyDescent="0.25">
      <c r="A11" s="98">
        <f t="shared" si="0"/>
        <v>0</v>
      </c>
      <c r="B11" s="39" t="str">
        <f t="shared" si="5"/>
        <v/>
      </c>
      <c r="C11" s="40"/>
      <c r="D11" s="40"/>
      <c r="E11" s="40"/>
      <c r="F11" s="40"/>
      <c r="G11" s="27"/>
      <c r="H11" s="99">
        <v>6</v>
      </c>
      <c r="I11" s="100" t="str">
        <f t="shared" si="1"/>
        <v/>
      </c>
      <c r="J11" s="99" t="e">
        <f t="shared" si="2"/>
        <v>#NUM!</v>
      </c>
      <c r="K11" s="99" t="e">
        <f t="shared" si="3"/>
        <v>#NUM!</v>
      </c>
      <c r="L11" s="99"/>
      <c r="M11" s="101">
        <f t="shared" si="4"/>
        <v>0</v>
      </c>
      <c r="N11" s="80"/>
      <c r="O11" s="80"/>
      <c r="P11" s="80"/>
      <c r="Q11" s="80"/>
      <c r="R11" s="80"/>
      <c r="V11" s="105"/>
      <c r="Z11" s="103"/>
      <c r="AA11" s="103"/>
      <c r="AG11" s="104"/>
      <c r="AH11" s="85" t="s">
        <v>42</v>
      </c>
      <c r="AI11" s="85">
        <v>50</v>
      </c>
    </row>
    <row r="12" spans="1:36" s="85" customFormat="1" ht="14.45" customHeight="1" x14ac:dyDescent="0.25">
      <c r="A12" s="94">
        <f t="shared" si="0"/>
        <v>0</v>
      </c>
      <c r="B12" s="33" t="str">
        <f t="shared" si="5"/>
        <v/>
      </c>
      <c r="C12" s="34"/>
      <c r="D12" s="34"/>
      <c r="E12" s="34"/>
      <c r="F12" s="34"/>
      <c r="G12" s="27"/>
      <c r="H12" s="95">
        <v>7</v>
      </c>
      <c r="I12" s="96" t="str">
        <f t="shared" si="1"/>
        <v/>
      </c>
      <c r="J12" s="95" t="e">
        <f t="shared" si="2"/>
        <v>#NUM!</v>
      </c>
      <c r="K12" s="95" t="e">
        <f t="shared" si="3"/>
        <v>#NUM!</v>
      </c>
      <c r="L12" s="95"/>
      <c r="M12" s="97">
        <f t="shared" si="4"/>
        <v>0</v>
      </c>
      <c r="N12" s="80"/>
      <c r="O12" s="80"/>
      <c r="P12" s="80"/>
      <c r="Q12" s="80"/>
      <c r="R12" s="80"/>
      <c r="Z12" s="103"/>
      <c r="AA12" s="103"/>
      <c r="AG12" s="104"/>
      <c r="AH12" s="85" t="s">
        <v>43</v>
      </c>
      <c r="AI12" s="85">
        <f>AI11-1</f>
        <v>49</v>
      </c>
    </row>
    <row r="13" spans="1:36" s="85" customFormat="1" ht="14.45" customHeight="1" x14ac:dyDescent="0.25">
      <c r="A13" s="98">
        <f t="shared" si="0"/>
        <v>0</v>
      </c>
      <c r="B13" s="39" t="str">
        <f t="shared" si="5"/>
        <v/>
      </c>
      <c r="C13" s="40"/>
      <c r="D13" s="40"/>
      <c r="E13" s="40"/>
      <c r="F13" s="40"/>
      <c r="G13" s="27"/>
      <c r="H13" s="99">
        <v>8</v>
      </c>
      <c r="I13" s="100" t="str">
        <f t="shared" si="1"/>
        <v/>
      </c>
      <c r="J13" s="99" t="e">
        <f t="shared" si="2"/>
        <v>#NUM!</v>
      </c>
      <c r="K13" s="99" t="e">
        <f t="shared" si="3"/>
        <v>#NUM!</v>
      </c>
      <c r="L13" s="99"/>
      <c r="M13" s="101">
        <f t="shared" si="4"/>
        <v>0</v>
      </c>
      <c r="N13" s="80"/>
      <c r="O13" s="80"/>
      <c r="P13" s="80"/>
      <c r="Q13" s="80"/>
      <c r="R13" s="80"/>
      <c r="X13" s="102"/>
      <c r="AG13" s="104"/>
      <c r="AH13" s="85" t="s">
        <v>44</v>
      </c>
      <c r="AI13" s="85">
        <f>LOG(AI9)</f>
        <v>1.3617278360175928</v>
      </c>
    </row>
    <row r="14" spans="1:36" s="85" customFormat="1" x14ac:dyDescent="0.25">
      <c r="A14" s="94">
        <f t="shared" si="0"/>
        <v>0</v>
      </c>
      <c r="B14" s="33" t="str">
        <f t="shared" si="5"/>
        <v/>
      </c>
      <c r="C14" s="34"/>
      <c r="D14" s="34"/>
      <c r="E14" s="34"/>
      <c r="F14" s="34"/>
      <c r="G14" s="27"/>
      <c r="H14" s="95">
        <v>9</v>
      </c>
      <c r="I14" s="96" t="str">
        <f t="shared" si="1"/>
        <v/>
      </c>
      <c r="J14" s="95" t="e">
        <f t="shared" si="2"/>
        <v>#NUM!</v>
      </c>
      <c r="K14" s="95" t="e">
        <f t="shared" si="3"/>
        <v>#NUM!</v>
      </c>
      <c r="L14" s="95"/>
      <c r="M14" s="97">
        <f t="shared" si="4"/>
        <v>0</v>
      </c>
      <c r="N14" s="80"/>
      <c r="O14" s="80"/>
      <c r="P14" s="80"/>
      <c r="Q14" s="80"/>
      <c r="R14" s="80"/>
      <c r="X14" s="106"/>
      <c r="Z14" s="103"/>
      <c r="AA14" s="103"/>
      <c r="AG14" s="104"/>
      <c r="AH14" s="85" t="s">
        <v>45</v>
      </c>
      <c r="AI14" s="85">
        <f>LOG(AI10)</f>
        <v>1.6532125137753437</v>
      </c>
    </row>
    <row r="15" spans="1:36" s="85" customFormat="1" x14ac:dyDescent="0.25">
      <c r="A15" s="98">
        <f t="shared" si="0"/>
        <v>0</v>
      </c>
      <c r="B15" s="39" t="str">
        <f t="shared" si="5"/>
        <v/>
      </c>
      <c r="C15" s="40"/>
      <c r="D15" s="40"/>
      <c r="E15" s="40"/>
      <c r="F15" s="40"/>
      <c r="G15" s="27"/>
      <c r="H15" s="99">
        <v>10</v>
      </c>
      <c r="I15" s="100" t="str">
        <f t="shared" si="1"/>
        <v/>
      </c>
      <c r="J15" s="99" t="e">
        <f t="shared" si="2"/>
        <v>#NUM!</v>
      </c>
      <c r="K15" s="99" t="e">
        <f t="shared" si="3"/>
        <v>#NUM!</v>
      </c>
      <c r="L15" s="99"/>
      <c r="M15" s="101">
        <f t="shared" si="4"/>
        <v>0</v>
      </c>
      <c r="N15" s="80"/>
      <c r="O15" s="80"/>
      <c r="P15" s="80"/>
      <c r="Q15" s="80"/>
      <c r="R15" s="80"/>
      <c r="X15" s="102"/>
      <c r="Z15" s="103"/>
      <c r="AA15" s="103"/>
    </row>
    <row r="16" spans="1:36" s="85" customFormat="1" x14ac:dyDescent="0.25">
      <c r="A16" s="94">
        <f t="shared" si="0"/>
        <v>0</v>
      </c>
      <c r="B16" s="33" t="str">
        <f t="shared" si="5"/>
        <v/>
      </c>
      <c r="C16" s="34"/>
      <c r="D16" s="34"/>
      <c r="E16" s="34"/>
      <c r="F16" s="34"/>
      <c r="G16" s="27"/>
      <c r="H16" s="95">
        <v>11</v>
      </c>
      <c r="I16" s="96" t="str">
        <f t="shared" si="1"/>
        <v/>
      </c>
      <c r="J16" s="95" t="e">
        <f t="shared" si="2"/>
        <v>#NUM!</v>
      </c>
      <c r="K16" s="95" t="e">
        <f t="shared" si="3"/>
        <v>#NUM!</v>
      </c>
      <c r="L16" s="95"/>
      <c r="M16" s="97">
        <f t="shared" si="4"/>
        <v>0</v>
      </c>
      <c r="N16" s="80"/>
      <c r="O16" s="80"/>
      <c r="P16" s="80"/>
      <c r="Q16" s="80"/>
      <c r="R16" s="107"/>
      <c r="Z16" s="103"/>
      <c r="AA16" s="103"/>
      <c r="AH16" s="108" t="s">
        <v>46</v>
      </c>
      <c r="AI16" s="85">
        <f>AI11-AI12*AI13/AI14</f>
        <v>9.6393909380186855</v>
      </c>
      <c r="AJ16" s="85" t="s">
        <v>47</v>
      </c>
    </row>
    <row r="17" spans="1:19" s="85" customFormat="1" x14ac:dyDescent="0.25">
      <c r="A17" s="98">
        <f t="shared" si="0"/>
        <v>0</v>
      </c>
      <c r="B17" s="39" t="str">
        <f t="shared" si="5"/>
        <v/>
      </c>
      <c r="C17" s="40"/>
      <c r="D17" s="40"/>
      <c r="E17" s="40"/>
      <c r="F17" s="40"/>
      <c r="G17" s="27"/>
      <c r="H17" s="99">
        <v>12</v>
      </c>
      <c r="I17" s="100" t="str">
        <f t="shared" si="1"/>
        <v/>
      </c>
      <c r="J17" s="99" t="e">
        <f t="shared" si="2"/>
        <v>#NUM!</v>
      </c>
      <c r="K17" s="99" t="e">
        <f t="shared" si="3"/>
        <v>#NUM!</v>
      </c>
      <c r="L17" s="99"/>
      <c r="M17" s="101">
        <f t="shared" si="4"/>
        <v>0</v>
      </c>
      <c r="N17" s="80"/>
      <c r="O17" s="80"/>
      <c r="P17" s="80"/>
      <c r="Q17" s="80"/>
      <c r="R17" s="80"/>
    </row>
    <row r="18" spans="1:19" s="85" customFormat="1" x14ac:dyDescent="0.25">
      <c r="A18" s="94">
        <f t="shared" si="0"/>
        <v>0</v>
      </c>
      <c r="B18" s="33" t="str">
        <f t="shared" si="5"/>
        <v/>
      </c>
      <c r="C18" s="34"/>
      <c r="D18" s="34"/>
      <c r="E18" s="34"/>
      <c r="F18" s="34"/>
      <c r="G18" s="27"/>
      <c r="H18" s="95">
        <v>13</v>
      </c>
      <c r="I18" s="96" t="str">
        <f t="shared" si="1"/>
        <v/>
      </c>
      <c r="J18" s="95" t="e">
        <f t="shared" si="2"/>
        <v>#NUM!</v>
      </c>
      <c r="K18" s="95" t="e">
        <f t="shared" si="3"/>
        <v>#NUM!</v>
      </c>
      <c r="L18" s="95"/>
      <c r="M18" s="97">
        <f t="shared" si="4"/>
        <v>0</v>
      </c>
      <c r="N18" s="80"/>
      <c r="O18" s="80"/>
      <c r="P18" s="80"/>
      <c r="Q18" s="80"/>
      <c r="R18" s="80"/>
    </row>
    <row r="19" spans="1:19" s="85" customFormat="1" x14ac:dyDescent="0.25">
      <c r="A19" s="98">
        <f t="shared" si="0"/>
        <v>0</v>
      </c>
      <c r="B19" s="39" t="str">
        <f t="shared" si="5"/>
        <v/>
      </c>
      <c r="C19" s="40"/>
      <c r="D19" s="40"/>
      <c r="E19" s="40"/>
      <c r="F19" s="40"/>
      <c r="G19" s="27"/>
      <c r="H19" s="99">
        <v>14</v>
      </c>
      <c r="I19" s="100" t="str">
        <f t="shared" si="1"/>
        <v/>
      </c>
      <c r="J19" s="99" t="e">
        <f t="shared" si="2"/>
        <v>#NUM!</v>
      </c>
      <c r="K19" s="99" t="e">
        <f t="shared" si="3"/>
        <v>#NUM!</v>
      </c>
      <c r="L19" s="99"/>
      <c r="M19" s="101">
        <f t="shared" si="4"/>
        <v>0</v>
      </c>
      <c r="N19" s="80"/>
      <c r="O19" s="80"/>
      <c r="P19" s="80"/>
      <c r="Q19" s="80"/>
      <c r="R19" s="80"/>
    </row>
    <row r="20" spans="1:19" s="85" customFormat="1" x14ac:dyDescent="0.25">
      <c r="A20" s="94">
        <f t="shared" si="0"/>
        <v>0</v>
      </c>
      <c r="B20" s="33" t="str">
        <f t="shared" si="5"/>
        <v/>
      </c>
      <c r="C20" s="34"/>
      <c r="D20" s="34"/>
      <c r="E20" s="34"/>
      <c r="F20" s="34"/>
      <c r="G20" s="27"/>
      <c r="H20" s="95">
        <v>15</v>
      </c>
      <c r="I20" s="96" t="str">
        <f t="shared" si="1"/>
        <v/>
      </c>
      <c r="J20" s="95" t="e">
        <f t="shared" si="2"/>
        <v>#NUM!</v>
      </c>
      <c r="K20" s="95" t="e">
        <f t="shared" si="3"/>
        <v>#NUM!</v>
      </c>
      <c r="L20" s="95"/>
      <c r="M20" s="97">
        <f t="shared" si="4"/>
        <v>0</v>
      </c>
      <c r="N20" s="80"/>
      <c r="O20" s="80"/>
      <c r="P20" s="80"/>
      <c r="Q20" s="80"/>
      <c r="R20" s="109"/>
      <c r="S20" s="110"/>
    </row>
    <row r="21" spans="1:19" s="85" customFormat="1" x14ac:dyDescent="0.25">
      <c r="A21" s="98">
        <f t="shared" si="0"/>
        <v>0</v>
      </c>
      <c r="B21" s="39" t="str">
        <f t="shared" si="5"/>
        <v/>
      </c>
      <c r="C21" s="40"/>
      <c r="D21" s="40"/>
      <c r="E21" s="40"/>
      <c r="F21" s="40"/>
      <c r="G21" s="27"/>
      <c r="H21" s="99">
        <v>16</v>
      </c>
      <c r="I21" s="100" t="str">
        <f t="shared" si="1"/>
        <v/>
      </c>
      <c r="J21" s="99" t="e">
        <f t="shared" si="2"/>
        <v>#NUM!</v>
      </c>
      <c r="K21" s="99" t="e">
        <f t="shared" si="3"/>
        <v>#NUM!</v>
      </c>
      <c r="L21" s="99"/>
      <c r="M21" s="101">
        <f t="shared" si="4"/>
        <v>0</v>
      </c>
      <c r="N21" s="80"/>
      <c r="O21" s="80"/>
      <c r="P21" s="80"/>
      <c r="Q21" s="80"/>
      <c r="R21" s="80"/>
    </row>
    <row r="22" spans="1:19" s="85" customFormat="1" x14ac:dyDescent="0.25">
      <c r="A22" s="94">
        <f t="shared" si="0"/>
        <v>0</v>
      </c>
      <c r="B22" s="33" t="str">
        <f t="shared" si="5"/>
        <v/>
      </c>
      <c r="C22" s="34"/>
      <c r="D22" s="34"/>
      <c r="E22" s="34"/>
      <c r="F22" s="34"/>
      <c r="G22" s="27"/>
      <c r="H22" s="95">
        <v>17</v>
      </c>
      <c r="I22" s="96" t="str">
        <f t="shared" si="1"/>
        <v/>
      </c>
      <c r="J22" s="95" t="e">
        <f t="shared" si="2"/>
        <v>#NUM!</v>
      </c>
      <c r="K22" s="95" t="e">
        <f t="shared" si="3"/>
        <v>#NUM!</v>
      </c>
      <c r="L22" s="95"/>
      <c r="M22" s="97">
        <f t="shared" si="4"/>
        <v>0</v>
      </c>
      <c r="N22" s="80"/>
      <c r="O22" s="80"/>
      <c r="P22" s="80"/>
      <c r="Q22" s="80"/>
      <c r="R22" s="80"/>
    </row>
    <row r="23" spans="1:19" s="85" customFormat="1" x14ac:dyDescent="0.25">
      <c r="A23" s="98">
        <f t="shared" si="0"/>
        <v>0</v>
      </c>
      <c r="B23" s="39" t="str">
        <f t="shared" si="5"/>
        <v/>
      </c>
      <c r="C23" s="40"/>
      <c r="D23" s="40"/>
      <c r="E23" s="40"/>
      <c r="F23" s="40"/>
      <c r="G23" s="27"/>
      <c r="H23" s="99">
        <v>18</v>
      </c>
      <c r="I23" s="100" t="str">
        <f t="shared" si="1"/>
        <v/>
      </c>
      <c r="J23" s="99" t="e">
        <f t="shared" si="2"/>
        <v>#NUM!</v>
      </c>
      <c r="K23" s="99" t="e">
        <f t="shared" si="3"/>
        <v>#NUM!</v>
      </c>
      <c r="L23" s="99"/>
      <c r="M23" s="101">
        <f t="shared" si="4"/>
        <v>0</v>
      </c>
      <c r="N23" s="80"/>
      <c r="O23" s="80"/>
      <c r="P23" s="80"/>
      <c r="Q23" s="80"/>
      <c r="R23" s="80"/>
    </row>
    <row r="24" spans="1:19" s="85" customFormat="1" x14ac:dyDescent="0.25">
      <c r="A24" s="94">
        <f t="shared" si="0"/>
        <v>0</v>
      </c>
      <c r="B24" s="33" t="str">
        <f t="shared" si="5"/>
        <v/>
      </c>
      <c r="C24" s="34"/>
      <c r="D24" s="34"/>
      <c r="E24" s="34"/>
      <c r="F24" s="34"/>
      <c r="G24" s="27"/>
      <c r="H24" s="95">
        <v>19</v>
      </c>
      <c r="I24" s="96" t="str">
        <f t="shared" si="1"/>
        <v/>
      </c>
      <c r="J24" s="95" t="e">
        <f t="shared" si="2"/>
        <v>#NUM!</v>
      </c>
      <c r="K24" s="95" t="e">
        <f t="shared" si="3"/>
        <v>#NUM!</v>
      </c>
      <c r="L24" s="95"/>
      <c r="M24" s="97">
        <f t="shared" si="4"/>
        <v>0</v>
      </c>
      <c r="N24" s="80"/>
      <c r="O24" s="80"/>
      <c r="P24" s="80"/>
      <c r="Q24" s="80"/>
      <c r="R24" s="109"/>
      <c r="S24" s="110"/>
    </row>
    <row r="25" spans="1:19" s="85" customFormat="1" x14ac:dyDescent="0.25">
      <c r="A25" s="98">
        <f t="shared" si="0"/>
        <v>0</v>
      </c>
      <c r="B25" s="39" t="str">
        <f t="shared" si="5"/>
        <v/>
      </c>
      <c r="C25" s="40"/>
      <c r="D25" s="40"/>
      <c r="E25" s="40"/>
      <c r="F25" s="40"/>
      <c r="G25" s="27"/>
      <c r="H25" s="99">
        <v>20</v>
      </c>
      <c r="I25" s="100" t="str">
        <f t="shared" si="1"/>
        <v/>
      </c>
      <c r="J25" s="99" t="e">
        <f t="shared" si="2"/>
        <v>#NUM!</v>
      </c>
      <c r="K25" s="99" t="e">
        <f t="shared" si="3"/>
        <v>#NUM!</v>
      </c>
      <c r="L25" s="99"/>
      <c r="M25" s="101">
        <f t="shared" si="4"/>
        <v>0</v>
      </c>
      <c r="N25" s="80"/>
      <c r="O25" s="80"/>
      <c r="P25" s="80"/>
      <c r="Q25" s="80"/>
      <c r="R25" s="80"/>
    </row>
    <row r="26" spans="1:19" s="85" customFormat="1" x14ac:dyDescent="0.25">
      <c r="A26" s="94">
        <f t="shared" si="0"/>
        <v>0</v>
      </c>
      <c r="B26" s="33" t="str">
        <f t="shared" si="5"/>
        <v/>
      </c>
      <c r="C26" s="34"/>
      <c r="D26" s="34"/>
      <c r="E26" s="34"/>
      <c r="F26" s="34"/>
      <c r="G26" s="27"/>
      <c r="H26" s="95">
        <v>21</v>
      </c>
      <c r="I26" s="96" t="str">
        <f t="shared" si="1"/>
        <v/>
      </c>
      <c r="J26" s="95" t="e">
        <f t="shared" si="2"/>
        <v>#NUM!</v>
      </c>
      <c r="K26" s="95" t="e">
        <f t="shared" si="3"/>
        <v>#NUM!</v>
      </c>
      <c r="L26" s="95"/>
      <c r="M26" s="97">
        <f t="shared" si="4"/>
        <v>0</v>
      </c>
      <c r="N26" s="80"/>
      <c r="O26" s="80"/>
      <c r="P26" s="80"/>
      <c r="Q26" s="80"/>
      <c r="R26" s="80"/>
    </row>
    <row r="27" spans="1:19" s="85" customFormat="1" x14ac:dyDescent="0.25">
      <c r="A27" s="98">
        <f t="shared" si="0"/>
        <v>0</v>
      </c>
      <c r="B27" s="39" t="str">
        <f t="shared" si="5"/>
        <v/>
      </c>
      <c r="C27" s="40"/>
      <c r="D27" s="40"/>
      <c r="E27" s="40"/>
      <c r="F27" s="40"/>
      <c r="G27" s="27"/>
      <c r="H27" s="99">
        <v>22</v>
      </c>
      <c r="I27" s="100" t="str">
        <f t="shared" si="1"/>
        <v/>
      </c>
      <c r="J27" s="99" t="e">
        <f t="shared" si="2"/>
        <v>#NUM!</v>
      </c>
      <c r="K27" s="99" t="e">
        <f t="shared" si="3"/>
        <v>#NUM!</v>
      </c>
      <c r="L27" s="99"/>
      <c r="M27" s="101">
        <f t="shared" si="4"/>
        <v>0</v>
      </c>
      <c r="N27" s="80"/>
      <c r="O27" s="80"/>
      <c r="P27" s="80"/>
      <c r="Q27" s="80"/>
      <c r="R27" s="80"/>
    </row>
    <row r="28" spans="1:19" s="85" customFormat="1" x14ac:dyDescent="0.25">
      <c r="A28" s="94">
        <f t="shared" si="0"/>
        <v>0</v>
      </c>
      <c r="B28" s="33" t="str">
        <f t="shared" si="5"/>
        <v/>
      </c>
      <c r="C28" s="34"/>
      <c r="D28" s="34"/>
      <c r="E28" s="34"/>
      <c r="F28" s="34"/>
      <c r="G28" s="27"/>
      <c r="H28" s="95">
        <v>23</v>
      </c>
      <c r="I28" s="96" t="str">
        <f t="shared" si="1"/>
        <v/>
      </c>
      <c r="J28" s="95" t="e">
        <f t="shared" si="2"/>
        <v>#NUM!</v>
      </c>
      <c r="K28" s="95" t="e">
        <f t="shared" si="3"/>
        <v>#NUM!</v>
      </c>
      <c r="L28" s="95"/>
      <c r="M28" s="97">
        <f t="shared" si="4"/>
        <v>0</v>
      </c>
      <c r="N28" s="80"/>
      <c r="O28" s="80"/>
      <c r="P28" s="80"/>
      <c r="Q28" s="80"/>
      <c r="R28" s="109"/>
      <c r="S28" s="110"/>
    </row>
    <row r="29" spans="1:19" s="85" customFormat="1" x14ac:dyDescent="0.25">
      <c r="A29" s="98">
        <f t="shared" si="0"/>
        <v>0</v>
      </c>
      <c r="B29" s="39" t="str">
        <f t="shared" si="5"/>
        <v/>
      </c>
      <c r="C29" s="40"/>
      <c r="D29" s="40"/>
      <c r="E29" s="40"/>
      <c r="F29" s="40"/>
      <c r="G29" s="80"/>
      <c r="H29" s="99">
        <v>24</v>
      </c>
      <c r="I29" s="100" t="str">
        <f t="shared" si="1"/>
        <v/>
      </c>
      <c r="J29" s="99" t="e">
        <f t="shared" si="2"/>
        <v>#NUM!</v>
      </c>
      <c r="K29" s="99" t="e">
        <f t="shared" si="3"/>
        <v>#NUM!</v>
      </c>
      <c r="L29" s="99"/>
      <c r="M29" s="101">
        <f t="shared" si="4"/>
        <v>0</v>
      </c>
      <c r="N29" s="80"/>
      <c r="O29" s="80"/>
      <c r="P29" s="80"/>
      <c r="Q29" s="80"/>
      <c r="R29" s="80"/>
    </row>
    <row r="30" spans="1:19" s="85" customFormat="1" x14ac:dyDescent="0.25">
      <c r="A30" s="94">
        <f t="shared" si="0"/>
        <v>0</v>
      </c>
      <c r="B30" s="33" t="str">
        <f t="shared" si="5"/>
        <v/>
      </c>
      <c r="C30" s="34"/>
      <c r="D30" s="34"/>
      <c r="E30" s="34"/>
      <c r="F30" s="34"/>
      <c r="G30" s="80"/>
      <c r="H30" s="95">
        <v>25</v>
      </c>
      <c r="I30" s="96" t="str">
        <f t="shared" si="1"/>
        <v/>
      </c>
      <c r="J30" s="95" t="e">
        <f t="shared" si="2"/>
        <v>#NUM!</v>
      </c>
      <c r="K30" s="95" t="e">
        <f t="shared" si="3"/>
        <v>#NUM!</v>
      </c>
      <c r="L30" s="95"/>
      <c r="M30" s="97">
        <f t="shared" si="4"/>
        <v>0</v>
      </c>
      <c r="N30" s="80"/>
      <c r="O30" s="80"/>
      <c r="P30" s="80"/>
      <c r="Q30" s="80"/>
      <c r="R30" s="80"/>
    </row>
    <row r="31" spans="1:19" s="85" customFormat="1" x14ac:dyDescent="0.25">
      <c r="A31" s="98">
        <f t="shared" si="0"/>
        <v>0</v>
      </c>
      <c r="B31" s="39" t="str">
        <f t="shared" si="5"/>
        <v/>
      </c>
      <c r="C31" s="40"/>
      <c r="D31" s="40"/>
      <c r="E31" s="40"/>
      <c r="F31" s="40"/>
      <c r="G31" s="80"/>
      <c r="H31" s="99">
        <v>26</v>
      </c>
      <c r="I31" s="100" t="str">
        <f t="shared" si="1"/>
        <v/>
      </c>
      <c r="J31" s="99" t="e">
        <f t="shared" si="2"/>
        <v>#NUM!</v>
      </c>
      <c r="K31" s="99" t="e">
        <f t="shared" si="3"/>
        <v>#NUM!</v>
      </c>
      <c r="L31" s="99"/>
      <c r="M31" s="101">
        <f t="shared" si="4"/>
        <v>0</v>
      </c>
      <c r="N31" s="80"/>
      <c r="O31" s="80"/>
      <c r="P31" s="80"/>
      <c r="Q31" s="80"/>
      <c r="R31" s="80"/>
    </row>
    <row r="32" spans="1:19" s="85" customFormat="1" x14ac:dyDescent="0.25">
      <c r="A32" s="94">
        <f t="shared" si="0"/>
        <v>0</v>
      </c>
      <c r="B32" s="33" t="str">
        <f t="shared" si="5"/>
        <v/>
      </c>
      <c r="C32" s="34"/>
      <c r="D32" s="34"/>
      <c r="E32" s="34"/>
      <c r="F32" s="34"/>
      <c r="G32" s="80"/>
      <c r="H32" s="95">
        <v>27</v>
      </c>
      <c r="I32" s="96" t="str">
        <f t="shared" si="1"/>
        <v/>
      </c>
      <c r="J32" s="95" t="e">
        <f t="shared" si="2"/>
        <v>#NUM!</v>
      </c>
      <c r="K32" s="95" t="e">
        <f t="shared" si="3"/>
        <v>#NUM!</v>
      </c>
      <c r="L32" s="95"/>
      <c r="M32" s="97">
        <f t="shared" si="4"/>
        <v>0</v>
      </c>
      <c r="N32" s="80"/>
      <c r="O32" s="80"/>
      <c r="P32" s="80"/>
      <c r="Q32" s="80"/>
      <c r="R32" s="109"/>
      <c r="S32" s="110"/>
    </row>
    <row r="33" spans="1:21" s="85" customFormat="1" x14ac:dyDescent="0.25">
      <c r="A33" s="98">
        <f t="shared" si="0"/>
        <v>0</v>
      </c>
      <c r="B33" s="39" t="str">
        <f t="shared" si="5"/>
        <v/>
      </c>
      <c r="C33" s="40"/>
      <c r="D33" s="40"/>
      <c r="E33" s="40"/>
      <c r="F33" s="40"/>
      <c r="G33" s="80"/>
      <c r="H33" s="99">
        <v>28</v>
      </c>
      <c r="I33" s="100" t="str">
        <f t="shared" si="1"/>
        <v/>
      </c>
      <c r="J33" s="99" t="e">
        <f t="shared" si="2"/>
        <v>#NUM!</v>
      </c>
      <c r="K33" s="99" t="e">
        <f t="shared" si="3"/>
        <v>#NUM!</v>
      </c>
      <c r="L33" s="99"/>
      <c r="M33" s="101">
        <f t="shared" si="4"/>
        <v>0</v>
      </c>
      <c r="N33" s="80"/>
      <c r="O33" s="80"/>
      <c r="P33" s="80"/>
      <c r="Q33" s="80"/>
      <c r="R33" s="80"/>
    </row>
    <row r="34" spans="1:21" s="85" customFormat="1" x14ac:dyDescent="0.25">
      <c r="A34" s="94">
        <f t="shared" si="0"/>
        <v>0</v>
      </c>
      <c r="B34" s="33" t="str">
        <f t="shared" si="5"/>
        <v/>
      </c>
      <c r="C34" s="34"/>
      <c r="D34" s="34"/>
      <c r="E34" s="34"/>
      <c r="F34" s="34"/>
      <c r="G34" s="80"/>
      <c r="H34" s="95">
        <v>29</v>
      </c>
      <c r="I34" s="96" t="str">
        <f t="shared" si="1"/>
        <v/>
      </c>
      <c r="J34" s="95" t="e">
        <f t="shared" si="2"/>
        <v>#NUM!</v>
      </c>
      <c r="K34" s="95" t="e">
        <f t="shared" si="3"/>
        <v>#NUM!</v>
      </c>
      <c r="L34" s="95"/>
      <c r="M34" s="97">
        <f t="shared" si="4"/>
        <v>0</v>
      </c>
      <c r="N34" s="80"/>
      <c r="O34" s="80"/>
      <c r="P34" s="80"/>
      <c r="Q34" s="80"/>
      <c r="R34" s="80"/>
    </row>
    <row r="35" spans="1:21" s="85" customFormat="1" x14ac:dyDescent="0.25">
      <c r="A35" s="98">
        <f t="shared" si="0"/>
        <v>0</v>
      </c>
      <c r="B35" s="39" t="str">
        <f t="shared" si="5"/>
        <v/>
      </c>
      <c r="C35" s="40"/>
      <c r="D35" s="40"/>
      <c r="E35" s="40"/>
      <c r="F35" s="40"/>
      <c r="G35" s="80"/>
      <c r="H35" s="99">
        <v>30</v>
      </c>
      <c r="I35" s="100" t="str">
        <f t="shared" si="1"/>
        <v/>
      </c>
      <c r="J35" s="99" t="e">
        <f t="shared" si="2"/>
        <v>#NUM!</v>
      </c>
      <c r="K35" s="99" t="e">
        <f t="shared" si="3"/>
        <v>#NUM!</v>
      </c>
      <c r="L35" s="99"/>
      <c r="M35" s="101">
        <f t="shared" si="4"/>
        <v>0</v>
      </c>
      <c r="N35" s="80"/>
      <c r="O35" s="80"/>
      <c r="P35" s="80"/>
      <c r="Q35" s="80"/>
      <c r="R35" s="80"/>
    </row>
    <row r="36" spans="1:21" s="85" customFormat="1" x14ac:dyDescent="0.25">
      <c r="A36" s="94">
        <f t="shared" si="0"/>
        <v>0</v>
      </c>
      <c r="B36" s="33" t="str">
        <f t="shared" si="5"/>
        <v/>
      </c>
      <c r="C36" s="34"/>
      <c r="D36" s="34"/>
      <c r="E36" s="34"/>
      <c r="F36" s="34"/>
      <c r="G36" s="80"/>
      <c r="H36" s="95">
        <v>31</v>
      </c>
      <c r="I36" s="96" t="str">
        <f t="shared" si="1"/>
        <v/>
      </c>
      <c r="J36" s="95" t="e">
        <f t="shared" si="2"/>
        <v>#NUM!</v>
      </c>
      <c r="K36" s="95" t="e">
        <f t="shared" si="3"/>
        <v>#NUM!</v>
      </c>
      <c r="L36" s="95"/>
      <c r="M36" s="97">
        <f t="shared" si="4"/>
        <v>0</v>
      </c>
      <c r="N36" s="80"/>
      <c r="O36" s="80"/>
      <c r="P36" s="80"/>
      <c r="Q36" s="80"/>
      <c r="R36" s="109"/>
      <c r="S36" s="110"/>
    </row>
    <row r="37" spans="1:21" s="85" customFormat="1" x14ac:dyDescent="0.25">
      <c r="A37" s="98">
        <f t="shared" si="0"/>
        <v>0</v>
      </c>
      <c r="B37" s="39" t="str">
        <f t="shared" si="5"/>
        <v/>
      </c>
      <c r="C37" s="40"/>
      <c r="D37" s="40"/>
      <c r="E37" s="40"/>
      <c r="F37" s="40"/>
      <c r="G37" s="80"/>
      <c r="H37" s="99">
        <v>32</v>
      </c>
      <c r="I37" s="100" t="str">
        <f t="shared" si="1"/>
        <v/>
      </c>
      <c r="J37" s="99" t="e">
        <f t="shared" si="2"/>
        <v>#NUM!</v>
      </c>
      <c r="K37" s="99" t="e">
        <f t="shared" si="3"/>
        <v>#NUM!</v>
      </c>
      <c r="L37" s="99"/>
      <c r="M37" s="101">
        <f t="shared" si="4"/>
        <v>0</v>
      </c>
      <c r="N37" s="80"/>
      <c r="O37" s="80"/>
      <c r="P37" s="80"/>
      <c r="Q37" s="80"/>
      <c r="R37" s="80"/>
    </row>
    <row r="38" spans="1:21" s="85" customFormat="1" x14ac:dyDescent="0.25">
      <c r="A38" s="94"/>
      <c r="B38" s="33" t="str">
        <f t="shared" si="5"/>
        <v/>
      </c>
      <c r="C38" s="34"/>
      <c r="D38" s="34"/>
      <c r="E38" s="34"/>
      <c r="F38" s="34"/>
      <c r="G38" s="80"/>
      <c r="H38" s="95">
        <v>33</v>
      </c>
      <c r="I38" s="96" t="str">
        <f t="shared" si="1"/>
        <v/>
      </c>
      <c r="J38" s="95" t="e">
        <f t="shared" si="2"/>
        <v>#NUM!</v>
      </c>
      <c r="K38" s="95" t="e">
        <f t="shared" si="3"/>
        <v>#NUM!</v>
      </c>
      <c r="L38" s="95"/>
      <c r="M38" s="97">
        <f t="shared" si="4"/>
        <v>0</v>
      </c>
      <c r="N38" s="80"/>
      <c r="O38" s="80"/>
      <c r="P38" s="80"/>
      <c r="Q38" s="80"/>
      <c r="R38" s="80"/>
    </row>
    <row r="39" spans="1:21" s="85" customFormat="1" x14ac:dyDescent="0.25">
      <c r="A39" s="98"/>
      <c r="B39" s="39" t="str">
        <f t="shared" si="5"/>
        <v/>
      </c>
      <c r="C39" s="40"/>
      <c r="D39" s="40"/>
      <c r="E39" s="40"/>
      <c r="F39" s="40"/>
      <c r="G39" s="80"/>
      <c r="H39" s="99">
        <v>34</v>
      </c>
      <c r="I39" s="100" t="str">
        <f t="shared" si="1"/>
        <v/>
      </c>
      <c r="J39" s="99" t="e">
        <f t="shared" si="2"/>
        <v>#NUM!</v>
      </c>
      <c r="K39" s="99" t="e">
        <f t="shared" si="3"/>
        <v>#NUM!</v>
      </c>
      <c r="L39" s="99"/>
      <c r="M39" s="101">
        <f t="shared" si="4"/>
        <v>0</v>
      </c>
      <c r="N39" s="80"/>
      <c r="O39" s="80"/>
      <c r="P39" s="80"/>
      <c r="Q39" s="80"/>
      <c r="R39" s="80"/>
    </row>
    <row r="40" spans="1:21" s="85" customFormat="1" x14ac:dyDescent="0.25">
      <c r="A40" s="94"/>
      <c r="B40" s="33" t="str">
        <f t="shared" si="5"/>
        <v/>
      </c>
      <c r="C40" s="34"/>
      <c r="D40" s="34"/>
      <c r="E40" s="34"/>
      <c r="F40" s="34"/>
      <c r="G40" s="80"/>
      <c r="H40" s="95">
        <v>35</v>
      </c>
      <c r="I40" s="96" t="str">
        <f t="shared" si="1"/>
        <v/>
      </c>
      <c r="J40" s="95" t="e">
        <f t="shared" si="2"/>
        <v>#NUM!</v>
      </c>
      <c r="K40" s="95" t="e">
        <f t="shared" si="3"/>
        <v>#NUM!</v>
      </c>
      <c r="L40" s="95"/>
      <c r="M40" s="97">
        <f t="shared" si="4"/>
        <v>0</v>
      </c>
      <c r="N40" s="80"/>
      <c r="O40" s="80"/>
      <c r="P40" s="80"/>
      <c r="Q40" s="80"/>
      <c r="R40" s="80"/>
    </row>
    <row r="41" spans="1:21" s="85" customFormat="1" x14ac:dyDescent="0.25">
      <c r="A41" s="98"/>
      <c r="B41" s="39" t="str">
        <f t="shared" si="5"/>
        <v/>
      </c>
      <c r="C41" s="40"/>
      <c r="D41" s="40"/>
      <c r="E41" s="40"/>
      <c r="F41" s="40"/>
      <c r="G41" s="80"/>
      <c r="H41" s="99">
        <v>36</v>
      </c>
      <c r="I41" s="100" t="str">
        <f t="shared" si="1"/>
        <v/>
      </c>
      <c r="J41" s="99" t="e">
        <f t="shared" si="2"/>
        <v>#NUM!</v>
      </c>
      <c r="K41" s="99" t="e">
        <f t="shared" si="3"/>
        <v>#NUM!</v>
      </c>
      <c r="L41" s="99"/>
      <c r="M41" s="101">
        <f t="shared" si="4"/>
        <v>0</v>
      </c>
      <c r="N41" s="80"/>
      <c r="O41" s="80"/>
      <c r="P41" s="80"/>
      <c r="Q41" s="80"/>
      <c r="R41" s="80"/>
      <c r="S41" s="111"/>
    </row>
    <row r="42" spans="1:21" s="85" customFormat="1" x14ac:dyDescent="0.25">
      <c r="A42" s="94"/>
      <c r="B42" s="33" t="str">
        <f t="shared" ref="B42:B65" si="6">IF(H42&gt;$H$2,"",(ROW()-5))</f>
        <v/>
      </c>
      <c r="C42" s="34"/>
      <c r="D42" s="34"/>
      <c r="E42" s="34"/>
      <c r="F42" s="34"/>
      <c r="G42" s="80"/>
      <c r="H42" s="95">
        <v>37</v>
      </c>
      <c r="I42" s="96" t="str">
        <f t="shared" si="1"/>
        <v/>
      </c>
      <c r="J42" s="95" t="e">
        <f t="shared" si="2"/>
        <v>#NUM!</v>
      </c>
      <c r="K42" s="95" t="e">
        <f t="shared" si="3"/>
        <v>#NUM!</v>
      </c>
      <c r="L42" s="95"/>
      <c r="M42" s="97">
        <f t="shared" si="4"/>
        <v>0</v>
      </c>
      <c r="N42" s="80"/>
      <c r="O42" s="80"/>
      <c r="P42" s="80"/>
      <c r="Q42" s="80"/>
      <c r="R42" s="80"/>
    </row>
    <row r="43" spans="1:21" s="85" customFormat="1" x14ac:dyDescent="0.25">
      <c r="A43" s="98"/>
      <c r="B43" s="39" t="str">
        <f t="shared" si="6"/>
        <v/>
      </c>
      <c r="C43" s="40"/>
      <c r="D43" s="40"/>
      <c r="E43" s="40"/>
      <c r="F43" s="40"/>
      <c r="G43" s="80"/>
      <c r="H43" s="99">
        <v>38</v>
      </c>
      <c r="I43" s="100" t="str">
        <f t="shared" si="1"/>
        <v/>
      </c>
      <c r="J43" s="99" t="e">
        <f t="shared" si="2"/>
        <v>#NUM!</v>
      </c>
      <c r="K43" s="99" t="e">
        <f t="shared" si="3"/>
        <v>#NUM!</v>
      </c>
      <c r="L43" s="99"/>
      <c r="M43" s="101">
        <f t="shared" si="4"/>
        <v>0</v>
      </c>
      <c r="N43" s="80"/>
      <c r="O43" s="80"/>
      <c r="P43" s="80"/>
      <c r="Q43" s="80"/>
      <c r="R43" s="80"/>
    </row>
    <row r="44" spans="1:21" s="85" customFormat="1" x14ac:dyDescent="0.25">
      <c r="A44" s="94"/>
      <c r="B44" s="33" t="str">
        <f t="shared" si="6"/>
        <v/>
      </c>
      <c r="C44" s="34"/>
      <c r="D44" s="34"/>
      <c r="E44" s="34"/>
      <c r="F44" s="34"/>
      <c r="G44" s="80"/>
      <c r="H44" s="95">
        <v>39</v>
      </c>
      <c r="I44" s="96" t="str">
        <f t="shared" si="1"/>
        <v/>
      </c>
      <c r="J44" s="95" t="e">
        <f t="shared" si="2"/>
        <v>#NUM!</v>
      </c>
      <c r="K44" s="95" t="e">
        <f t="shared" si="3"/>
        <v>#NUM!</v>
      </c>
      <c r="L44" s="95"/>
      <c r="M44" s="97">
        <f t="shared" si="4"/>
        <v>0</v>
      </c>
      <c r="N44" s="80"/>
      <c r="O44" s="80"/>
      <c r="P44" s="80"/>
      <c r="Q44" s="80"/>
      <c r="R44" s="80"/>
    </row>
    <row r="45" spans="1:21" s="85" customFormat="1" x14ac:dyDescent="0.25">
      <c r="A45" s="98"/>
      <c r="B45" s="39" t="str">
        <f t="shared" si="6"/>
        <v/>
      </c>
      <c r="C45" s="40"/>
      <c r="D45" s="40"/>
      <c r="E45" s="40"/>
      <c r="F45" s="40"/>
      <c r="G45" s="80"/>
      <c r="H45" s="99">
        <v>40</v>
      </c>
      <c r="I45" s="100" t="str">
        <f t="shared" si="1"/>
        <v/>
      </c>
      <c r="J45" s="99" t="e">
        <f t="shared" si="2"/>
        <v>#NUM!</v>
      </c>
      <c r="K45" s="99" t="e">
        <f t="shared" si="3"/>
        <v>#NUM!</v>
      </c>
      <c r="L45" s="99"/>
      <c r="M45" s="101">
        <f t="shared" si="4"/>
        <v>0</v>
      </c>
      <c r="N45" s="80"/>
      <c r="O45" s="80"/>
      <c r="P45" s="80"/>
      <c r="Q45" s="80"/>
      <c r="R45" s="80"/>
    </row>
    <row r="46" spans="1:21" s="85" customFormat="1" x14ac:dyDescent="0.25">
      <c r="A46" s="94"/>
      <c r="B46" s="33" t="str">
        <f t="shared" si="6"/>
        <v/>
      </c>
      <c r="C46" s="34"/>
      <c r="D46" s="34"/>
      <c r="E46" s="34"/>
      <c r="F46" s="34"/>
      <c r="G46" s="80"/>
      <c r="H46" s="95">
        <v>41</v>
      </c>
      <c r="I46" s="96" t="str">
        <f t="shared" si="1"/>
        <v/>
      </c>
      <c r="J46" s="95" t="e">
        <f t="shared" si="2"/>
        <v>#NUM!</v>
      </c>
      <c r="K46" s="95" t="e">
        <f t="shared" si="3"/>
        <v>#NUM!</v>
      </c>
      <c r="L46" s="95"/>
      <c r="M46" s="97">
        <f t="shared" si="4"/>
        <v>0</v>
      </c>
      <c r="N46" s="80"/>
      <c r="O46" s="80"/>
      <c r="P46" s="80"/>
      <c r="Q46" s="80"/>
      <c r="R46" s="80" t="e">
        <f>LOG($H$2,2)</f>
        <v>#NUM!</v>
      </c>
      <c r="T46" s="85">
        <f>LOG(H38,2)</f>
        <v>5.0443941193584534</v>
      </c>
      <c r="U46" s="85" t="e">
        <f>R46-T46</f>
        <v>#NUM!</v>
      </c>
    </row>
    <row r="47" spans="1:21" s="85" customFormat="1" x14ac:dyDescent="0.25">
      <c r="A47" s="98"/>
      <c r="B47" s="39" t="str">
        <f t="shared" si="6"/>
        <v/>
      </c>
      <c r="C47" s="40"/>
      <c r="D47" s="40"/>
      <c r="E47" s="40"/>
      <c r="F47" s="40"/>
      <c r="G47" s="80"/>
      <c r="H47" s="99">
        <v>42</v>
      </c>
      <c r="I47" s="100" t="str">
        <f t="shared" si="1"/>
        <v/>
      </c>
      <c r="J47" s="99" t="e">
        <f t="shared" si="2"/>
        <v>#NUM!</v>
      </c>
      <c r="K47" s="99" t="e">
        <f t="shared" si="3"/>
        <v>#NUM!</v>
      </c>
      <c r="L47" s="99"/>
      <c r="M47" s="101">
        <f t="shared" si="4"/>
        <v>0</v>
      </c>
      <c r="N47" s="80"/>
      <c r="O47" s="80"/>
      <c r="P47" s="80"/>
      <c r="Q47" s="80"/>
      <c r="R47" s="80"/>
    </row>
    <row r="48" spans="1:21" s="85" customFormat="1" x14ac:dyDescent="0.25">
      <c r="A48" s="94"/>
      <c r="B48" s="33" t="str">
        <f t="shared" si="6"/>
        <v/>
      </c>
      <c r="C48" s="34"/>
      <c r="D48" s="34"/>
      <c r="E48" s="34"/>
      <c r="F48" s="34"/>
      <c r="G48" s="80"/>
      <c r="H48" s="95">
        <v>43</v>
      </c>
      <c r="I48" s="96" t="str">
        <f t="shared" si="1"/>
        <v/>
      </c>
      <c r="J48" s="95" t="e">
        <f t="shared" si="2"/>
        <v>#NUM!</v>
      </c>
      <c r="K48" s="95" t="e">
        <f t="shared" si="3"/>
        <v>#NUM!</v>
      </c>
      <c r="L48" s="95"/>
      <c r="M48" s="97">
        <f t="shared" si="4"/>
        <v>0</v>
      </c>
      <c r="N48" s="80"/>
      <c r="O48" s="80"/>
      <c r="P48" s="80"/>
      <c r="Q48" s="80"/>
      <c r="R48" s="80"/>
    </row>
    <row r="49" spans="1:38" s="80" customFormat="1" x14ac:dyDescent="0.25">
      <c r="A49" s="98"/>
      <c r="B49" s="39" t="str">
        <f t="shared" si="6"/>
        <v/>
      </c>
      <c r="C49" s="40"/>
      <c r="D49" s="40"/>
      <c r="E49" s="40"/>
      <c r="F49" s="40"/>
      <c r="H49" s="99">
        <v>44</v>
      </c>
      <c r="I49" s="100" t="str">
        <f t="shared" si="1"/>
        <v/>
      </c>
      <c r="J49" s="99" t="e">
        <f t="shared" si="2"/>
        <v>#NUM!</v>
      </c>
      <c r="K49" s="99" t="e">
        <f t="shared" si="3"/>
        <v>#NUM!</v>
      </c>
      <c r="L49" s="99"/>
      <c r="M49" s="101">
        <f t="shared" si="4"/>
        <v>0</v>
      </c>
      <c r="S49" s="85"/>
      <c r="T49" s="85"/>
      <c r="U49" s="85"/>
      <c r="V49" s="85"/>
      <c r="W49" s="85"/>
      <c r="X49" s="85"/>
      <c r="Y49" s="85"/>
      <c r="Z49" s="85"/>
      <c r="AA49" s="85"/>
      <c r="AB49" s="85"/>
      <c r="AC49" s="85"/>
      <c r="AD49" s="85"/>
      <c r="AE49" s="85"/>
      <c r="AF49" s="85"/>
      <c r="AG49" s="85"/>
      <c r="AH49" s="85"/>
      <c r="AI49" s="85"/>
      <c r="AJ49" s="85"/>
      <c r="AK49" s="85"/>
      <c r="AL49" s="85"/>
    </row>
    <row r="50" spans="1:38" s="80" customFormat="1" x14ac:dyDescent="0.25">
      <c r="A50" s="94"/>
      <c r="B50" s="33" t="str">
        <f t="shared" si="6"/>
        <v/>
      </c>
      <c r="C50" s="34"/>
      <c r="D50" s="34"/>
      <c r="E50" s="34"/>
      <c r="F50" s="34"/>
      <c r="H50" s="95">
        <v>45</v>
      </c>
      <c r="I50" s="96" t="str">
        <f t="shared" si="1"/>
        <v/>
      </c>
      <c r="J50" s="95" t="e">
        <f t="shared" si="2"/>
        <v>#NUM!</v>
      </c>
      <c r="K50" s="95" t="e">
        <f t="shared" si="3"/>
        <v>#NUM!</v>
      </c>
      <c r="L50" s="95"/>
      <c r="M50" s="97">
        <f t="shared" si="4"/>
        <v>0</v>
      </c>
      <c r="S50" s="85"/>
      <c r="T50" s="85"/>
      <c r="U50" s="85"/>
      <c r="V50" s="85"/>
      <c r="W50" s="85"/>
      <c r="X50" s="85"/>
      <c r="Y50" s="85"/>
      <c r="Z50" s="85"/>
      <c r="AA50" s="85"/>
      <c r="AB50" s="85"/>
      <c r="AC50" s="85"/>
      <c r="AD50" s="85"/>
      <c r="AE50" s="85"/>
      <c r="AF50" s="85"/>
      <c r="AG50" s="85"/>
      <c r="AH50" s="85"/>
      <c r="AI50" s="85"/>
      <c r="AJ50" s="85"/>
      <c r="AK50" s="85"/>
      <c r="AL50" s="85"/>
    </row>
    <row r="51" spans="1:38" s="80" customFormat="1" x14ac:dyDescent="0.25">
      <c r="A51" s="98"/>
      <c r="B51" s="39" t="str">
        <f t="shared" si="6"/>
        <v/>
      </c>
      <c r="C51" s="40"/>
      <c r="D51" s="40"/>
      <c r="E51" s="40"/>
      <c r="F51" s="40"/>
      <c r="H51" s="99">
        <v>46</v>
      </c>
      <c r="I51" s="100" t="str">
        <f t="shared" si="1"/>
        <v/>
      </c>
      <c r="J51" s="99" t="e">
        <f t="shared" si="2"/>
        <v>#NUM!</v>
      </c>
      <c r="K51" s="99" t="e">
        <f t="shared" si="3"/>
        <v>#NUM!</v>
      </c>
      <c r="L51" s="99"/>
      <c r="M51" s="101">
        <f t="shared" si="4"/>
        <v>0</v>
      </c>
      <c r="S51" s="85"/>
      <c r="T51" s="85"/>
      <c r="U51" s="85"/>
      <c r="V51" s="85"/>
      <c r="W51" s="85"/>
      <c r="X51" s="85"/>
      <c r="Y51" s="85"/>
      <c r="Z51" s="85"/>
      <c r="AA51" s="85"/>
      <c r="AB51" s="85"/>
      <c r="AC51" s="85"/>
      <c r="AD51" s="85"/>
      <c r="AE51" s="85"/>
      <c r="AF51" s="85"/>
      <c r="AG51" s="85"/>
      <c r="AH51" s="85"/>
      <c r="AI51" s="85"/>
      <c r="AJ51" s="85"/>
      <c r="AK51" s="85"/>
      <c r="AL51" s="85"/>
    </row>
    <row r="52" spans="1:38" s="80" customFormat="1" x14ac:dyDescent="0.25">
      <c r="A52" s="112"/>
      <c r="B52" s="33" t="str">
        <f t="shared" si="6"/>
        <v/>
      </c>
      <c r="C52" s="34"/>
      <c r="D52" s="34"/>
      <c r="E52" s="34"/>
      <c r="F52" s="34"/>
      <c r="H52" s="95">
        <v>47</v>
      </c>
      <c r="I52" s="96" t="str">
        <f t="shared" si="1"/>
        <v/>
      </c>
      <c r="J52" s="95" t="e">
        <f t="shared" si="2"/>
        <v>#NUM!</v>
      </c>
      <c r="K52" s="95" t="e">
        <f t="shared" si="3"/>
        <v>#NUM!</v>
      </c>
      <c r="L52" s="95"/>
      <c r="M52" s="97">
        <f t="shared" si="4"/>
        <v>0</v>
      </c>
      <c r="S52" s="85"/>
      <c r="T52" s="85"/>
      <c r="U52" s="85"/>
      <c r="V52" s="85"/>
      <c r="W52" s="85"/>
      <c r="X52" s="85"/>
      <c r="Y52" s="85"/>
      <c r="Z52" s="85"/>
      <c r="AA52" s="85"/>
      <c r="AB52" s="85"/>
      <c r="AC52" s="85"/>
      <c r="AD52" s="85"/>
      <c r="AE52" s="85"/>
      <c r="AF52" s="85"/>
      <c r="AG52" s="85"/>
      <c r="AH52" s="85"/>
      <c r="AI52" s="85"/>
      <c r="AJ52" s="85"/>
      <c r="AK52" s="85"/>
      <c r="AL52" s="85"/>
    </row>
    <row r="53" spans="1:38" s="80" customFormat="1" x14ac:dyDescent="0.25">
      <c r="A53" s="113"/>
      <c r="B53" s="39" t="str">
        <f t="shared" si="6"/>
        <v/>
      </c>
      <c r="C53" s="40"/>
      <c r="D53" s="40"/>
      <c r="E53" s="40"/>
      <c r="F53" s="40"/>
      <c r="H53" s="99">
        <v>48</v>
      </c>
      <c r="I53" s="100" t="str">
        <f t="shared" si="1"/>
        <v/>
      </c>
      <c r="J53" s="99" t="e">
        <f t="shared" si="2"/>
        <v>#NUM!</v>
      </c>
      <c r="K53" s="99" t="e">
        <f t="shared" si="3"/>
        <v>#NUM!</v>
      </c>
      <c r="L53" s="99"/>
      <c r="M53" s="101">
        <f t="shared" si="4"/>
        <v>0</v>
      </c>
      <c r="S53" s="85"/>
      <c r="T53" s="85"/>
      <c r="U53" s="85"/>
      <c r="V53" s="85"/>
      <c r="W53" s="85"/>
      <c r="X53" s="85"/>
      <c r="Y53" s="85"/>
      <c r="Z53" s="85"/>
      <c r="AA53" s="85"/>
      <c r="AB53" s="85"/>
      <c r="AC53" s="85"/>
      <c r="AD53" s="85"/>
      <c r="AE53" s="85"/>
      <c r="AF53" s="85"/>
      <c r="AG53" s="85"/>
      <c r="AH53" s="85"/>
      <c r="AI53" s="85"/>
      <c r="AJ53" s="85"/>
      <c r="AK53" s="85"/>
      <c r="AL53" s="85"/>
    </row>
    <row r="54" spans="1:38" s="80" customFormat="1" x14ac:dyDescent="0.25">
      <c r="A54" s="112"/>
      <c r="B54" s="33" t="str">
        <f t="shared" si="6"/>
        <v/>
      </c>
      <c r="C54" s="34"/>
      <c r="D54" s="34"/>
      <c r="E54" s="34"/>
      <c r="F54" s="34"/>
      <c r="H54" s="95">
        <v>49</v>
      </c>
      <c r="I54" s="96" t="str">
        <f t="shared" si="1"/>
        <v/>
      </c>
      <c r="J54" s="95" t="e">
        <f t="shared" si="2"/>
        <v>#NUM!</v>
      </c>
      <c r="K54" s="95" t="e">
        <f t="shared" si="3"/>
        <v>#NUM!</v>
      </c>
      <c r="L54" s="95"/>
      <c r="M54" s="97">
        <f t="shared" si="4"/>
        <v>0</v>
      </c>
      <c r="S54" s="85"/>
      <c r="T54" s="85"/>
      <c r="U54" s="85"/>
      <c r="V54" s="85"/>
      <c r="W54" s="85"/>
      <c r="X54" s="85"/>
      <c r="Y54" s="85"/>
      <c r="Z54" s="85"/>
      <c r="AA54" s="85"/>
      <c r="AB54" s="85"/>
      <c r="AC54" s="85"/>
      <c r="AD54" s="85"/>
      <c r="AE54" s="85"/>
      <c r="AF54" s="85"/>
      <c r="AG54" s="85"/>
      <c r="AH54" s="85"/>
      <c r="AI54" s="85"/>
      <c r="AJ54" s="85"/>
      <c r="AK54" s="85"/>
      <c r="AL54" s="85"/>
    </row>
    <row r="55" spans="1:38" s="80" customFormat="1" x14ac:dyDescent="0.25">
      <c r="A55" s="113"/>
      <c r="B55" s="39" t="str">
        <f t="shared" si="6"/>
        <v/>
      </c>
      <c r="C55" s="40"/>
      <c r="D55" s="40"/>
      <c r="E55" s="40"/>
      <c r="F55" s="40"/>
      <c r="H55" s="99">
        <v>50</v>
      </c>
      <c r="I55" s="100" t="str">
        <f t="shared" si="1"/>
        <v/>
      </c>
      <c r="J55" s="99" t="e">
        <f t="shared" si="2"/>
        <v>#NUM!</v>
      </c>
      <c r="K55" s="99" t="e">
        <f t="shared" si="3"/>
        <v>#NUM!</v>
      </c>
      <c r="L55" s="99"/>
      <c r="M55" s="101">
        <f t="shared" si="4"/>
        <v>0</v>
      </c>
      <c r="S55" s="85"/>
      <c r="T55" s="85"/>
      <c r="U55" s="85"/>
      <c r="V55" s="85"/>
      <c r="W55" s="85"/>
      <c r="X55" s="85"/>
      <c r="Y55" s="85"/>
      <c r="Z55" s="85"/>
      <c r="AA55" s="85"/>
      <c r="AB55" s="85"/>
      <c r="AC55" s="85"/>
      <c r="AD55" s="85"/>
      <c r="AE55" s="85"/>
      <c r="AF55" s="85"/>
      <c r="AG55" s="85"/>
      <c r="AH55" s="85"/>
      <c r="AI55" s="85"/>
      <c r="AJ55" s="85"/>
      <c r="AK55" s="85"/>
      <c r="AL55" s="85"/>
    </row>
    <row r="56" spans="1:38" s="80" customFormat="1" x14ac:dyDescent="0.25">
      <c r="A56" s="112"/>
      <c r="B56" s="33" t="str">
        <f t="shared" si="6"/>
        <v/>
      </c>
      <c r="C56" s="34"/>
      <c r="D56" s="34"/>
      <c r="E56" s="34"/>
      <c r="F56" s="34"/>
      <c r="H56" s="95">
        <v>51</v>
      </c>
      <c r="I56" s="96" t="str">
        <f t="shared" si="1"/>
        <v/>
      </c>
      <c r="J56" s="95" t="e">
        <f t="shared" si="2"/>
        <v>#NUM!</v>
      </c>
      <c r="K56" s="95" t="e">
        <f t="shared" si="3"/>
        <v>#NUM!</v>
      </c>
      <c r="L56" s="95"/>
      <c r="M56" s="97">
        <f t="shared" si="4"/>
        <v>0</v>
      </c>
      <c r="S56" s="85"/>
      <c r="T56" s="85"/>
      <c r="U56" s="85"/>
      <c r="V56" s="85"/>
      <c r="W56" s="85"/>
      <c r="X56" s="85"/>
      <c r="Y56" s="85"/>
      <c r="Z56" s="85"/>
      <c r="AA56" s="85"/>
      <c r="AB56" s="85"/>
      <c r="AC56" s="85"/>
      <c r="AD56" s="85"/>
      <c r="AE56" s="85"/>
      <c r="AF56" s="85"/>
      <c r="AG56" s="85"/>
      <c r="AH56" s="85"/>
      <c r="AI56" s="85"/>
      <c r="AJ56" s="85"/>
      <c r="AK56" s="85"/>
      <c r="AL56" s="85"/>
    </row>
    <row r="57" spans="1:38" s="80" customFormat="1" x14ac:dyDescent="0.25">
      <c r="A57" s="113"/>
      <c r="B57" s="39" t="str">
        <f t="shared" si="6"/>
        <v/>
      </c>
      <c r="C57" s="40"/>
      <c r="D57" s="40"/>
      <c r="E57" s="40"/>
      <c r="F57" s="40"/>
      <c r="H57" s="99">
        <v>52</v>
      </c>
      <c r="I57" s="100" t="str">
        <f t="shared" si="1"/>
        <v/>
      </c>
      <c r="J57" s="99" t="e">
        <f t="shared" si="2"/>
        <v>#NUM!</v>
      </c>
      <c r="K57" s="99" t="e">
        <f t="shared" si="3"/>
        <v>#NUM!</v>
      </c>
      <c r="L57" s="99"/>
      <c r="M57" s="101">
        <f t="shared" si="4"/>
        <v>0</v>
      </c>
      <c r="S57" s="85"/>
      <c r="T57" s="85"/>
      <c r="U57" s="85"/>
      <c r="V57" s="85"/>
      <c r="W57" s="85"/>
      <c r="X57" s="85"/>
      <c r="Y57" s="85"/>
      <c r="Z57" s="85"/>
      <c r="AA57" s="85"/>
      <c r="AB57" s="85"/>
      <c r="AC57" s="85"/>
      <c r="AD57" s="85"/>
      <c r="AE57" s="85"/>
      <c r="AF57" s="85"/>
      <c r="AG57" s="85"/>
      <c r="AH57" s="85"/>
      <c r="AI57" s="85"/>
      <c r="AJ57" s="85"/>
      <c r="AK57" s="85"/>
      <c r="AL57" s="85"/>
    </row>
    <row r="58" spans="1:38" s="80" customFormat="1" x14ac:dyDescent="0.25">
      <c r="A58" s="112"/>
      <c r="B58" s="33" t="str">
        <f t="shared" si="6"/>
        <v/>
      </c>
      <c r="C58" s="34"/>
      <c r="D58" s="34"/>
      <c r="E58" s="34"/>
      <c r="F58" s="34"/>
      <c r="H58" s="95">
        <v>53</v>
      </c>
      <c r="I58" s="96" t="str">
        <f t="shared" si="1"/>
        <v/>
      </c>
      <c r="J58" s="95" t="e">
        <f t="shared" si="2"/>
        <v>#NUM!</v>
      </c>
      <c r="K58" s="95" t="e">
        <f t="shared" si="3"/>
        <v>#NUM!</v>
      </c>
      <c r="L58" s="95"/>
      <c r="M58" s="97">
        <f t="shared" si="4"/>
        <v>0</v>
      </c>
      <c r="S58" s="85"/>
      <c r="T58" s="85"/>
      <c r="U58" s="85"/>
      <c r="V58" s="85"/>
      <c r="W58" s="85"/>
      <c r="X58" s="85"/>
      <c r="Y58" s="85"/>
      <c r="Z58" s="85"/>
      <c r="AA58" s="85"/>
      <c r="AB58" s="85"/>
      <c r="AC58" s="85"/>
      <c r="AD58" s="85"/>
      <c r="AE58" s="85"/>
      <c r="AF58" s="85"/>
      <c r="AG58" s="85"/>
      <c r="AH58" s="85"/>
      <c r="AI58" s="85"/>
      <c r="AJ58" s="85"/>
      <c r="AK58" s="85"/>
      <c r="AL58" s="85"/>
    </row>
    <row r="59" spans="1:38" s="80" customFormat="1" x14ac:dyDescent="0.25">
      <c r="A59" s="113"/>
      <c r="B59" s="39" t="str">
        <f t="shared" si="6"/>
        <v/>
      </c>
      <c r="C59" s="40"/>
      <c r="D59" s="40"/>
      <c r="E59" s="40"/>
      <c r="F59" s="40"/>
      <c r="H59" s="99">
        <v>54</v>
      </c>
      <c r="I59" s="100" t="str">
        <f t="shared" si="1"/>
        <v/>
      </c>
      <c r="J59" s="99" t="e">
        <f t="shared" si="2"/>
        <v>#NUM!</v>
      </c>
      <c r="K59" s="99" t="e">
        <f t="shared" si="3"/>
        <v>#NUM!</v>
      </c>
      <c r="L59" s="99"/>
      <c r="M59" s="101">
        <f t="shared" si="4"/>
        <v>0</v>
      </c>
      <c r="S59" s="85"/>
      <c r="T59" s="85"/>
      <c r="U59" s="85"/>
      <c r="V59" s="85"/>
      <c r="W59" s="85"/>
      <c r="X59" s="85"/>
      <c r="Y59" s="85"/>
      <c r="Z59" s="85"/>
      <c r="AA59" s="85"/>
      <c r="AB59" s="85"/>
      <c r="AC59" s="85"/>
      <c r="AD59" s="85"/>
      <c r="AE59" s="85"/>
      <c r="AF59" s="85"/>
      <c r="AG59" s="85"/>
      <c r="AH59" s="85"/>
      <c r="AI59" s="85"/>
      <c r="AJ59" s="85"/>
      <c r="AK59" s="85"/>
      <c r="AL59" s="85"/>
    </row>
    <row r="60" spans="1:38" s="80" customFormat="1" x14ac:dyDescent="0.25">
      <c r="A60" s="112"/>
      <c r="B60" s="33" t="str">
        <f t="shared" si="6"/>
        <v/>
      </c>
      <c r="C60" s="34"/>
      <c r="D60" s="34"/>
      <c r="E60" s="34"/>
      <c r="F60" s="34"/>
      <c r="H60" s="95">
        <v>55</v>
      </c>
      <c r="I60" s="96" t="str">
        <f t="shared" si="1"/>
        <v/>
      </c>
      <c r="J60" s="95" t="e">
        <f t="shared" si="2"/>
        <v>#NUM!</v>
      </c>
      <c r="K60" s="95" t="e">
        <f t="shared" si="3"/>
        <v>#NUM!</v>
      </c>
      <c r="L60" s="95"/>
      <c r="M60" s="97">
        <f t="shared" si="4"/>
        <v>0</v>
      </c>
      <c r="S60" s="85"/>
      <c r="T60" s="85"/>
      <c r="U60" s="85"/>
      <c r="V60" s="85"/>
      <c r="W60" s="85"/>
      <c r="X60" s="85"/>
      <c r="Y60" s="85"/>
      <c r="Z60" s="85"/>
      <c r="AA60" s="85"/>
      <c r="AB60" s="85"/>
      <c r="AC60" s="85"/>
      <c r="AD60" s="85"/>
      <c r="AE60" s="85"/>
      <c r="AF60" s="85"/>
      <c r="AG60" s="85"/>
      <c r="AH60" s="85"/>
      <c r="AI60" s="85"/>
      <c r="AJ60" s="85"/>
      <c r="AK60" s="85"/>
      <c r="AL60" s="85"/>
    </row>
    <row r="61" spans="1:38" s="80" customFormat="1" x14ac:dyDescent="0.25">
      <c r="A61" s="113"/>
      <c r="B61" s="39" t="str">
        <f t="shared" si="6"/>
        <v/>
      </c>
      <c r="C61" s="40"/>
      <c r="D61" s="40"/>
      <c r="E61" s="40"/>
      <c r="F61" s="40"/>
      <c r="H61" s="99">
        <v>56</v>
      </c>
      <c r="I61" s="100" t="str">
        <f t="shared" si="1"/>
        <v/>
      </c>
      <c r="J61" s="99" t="e">
        <f t="shared" si="2"/>
        <v>#NUM!</v>
      </c>
      <c r="K61" s="99" t="e">
        <f t="shared" si="3"/>
        <v>#NUM!</v>
      </c>
      <c r="L61" s="99"/>
      <c r="M61" s="101">
        <f t="shared" si="4"/>
        <v>0</v>
      </c>
      <c r="S61" s="85"/>
      <c r="T61" s="85"/>
      <c r="U61" s="85"/>
      <c r="V61" s="85"/>
      <c r="W61" s="85"/>
      <c r="X61" s="85"/>
      <c r="Y61" s="85"/>
      <c r="Z61" s="85"/>
      <c r="AA61" s="85"/>
      <c r="AB61" s="85"/>
      <c r="AC61" s="85"/>
      <c r="AD61" s="85"/>
      <c r="AE61" s="85"/>
      <c r="AF61" s="85"/>
      <c r="AG61" s="85"/>
      <c r="AH61" s="85"/>
      <c r="AI61" s="85"/>
      <c r="AJ61" s="85"/>
      <c r="AK61" s="85"/>
      <c r="AL61" s="85"/>
    </row>
    <row r="62" spans="1:38" s="80" customFormat="1" x14ac:dyDescent="0.25">
      <c r="A62" s="112"/>
      <c r="B62" s="33" t="str">
        <f t="shared" si="6"/>
        <v/>
      </c>
      <c r="C62" s="34"/>
      <c r="D62" s="34"/>
      <c r="E62" s="34"/>
      <c r="F62" s="34"/>
      <c r="H62" s="95">
        <v>57</v>
      </c>
      <c r="I62" s="96" t="str">
        <f t="shared" si="1"/>
        <v/>
      </c>
      <c r="J62" s="95" t="e">
        <f t="shared" si="2"/>
        <v>#NUM!</v>
      </c>
      <c r="K62" s="95" t="e">
        <f t="shared" si="3"/>
        <v>#NUM!</v>
      </c>
      <c r="L62" s="95"/>
      <c r="M62" s="97">
        <f t="shared" si="4"/>
        <v>0</v>
      </c>
      <c r="S62" s="85"/>
      <c r="T62" s="85"/>
      <c r="U62" s="85"/>
      <c r="V62" s="85"/>
      <c r="W62" s="85"/>
      <c r="X62" s="85"/>
      <c r="Y62" s="85"/>
      <c r="Z62" s="85"/>
      <c r="AA62" s="85"/>
      <c r="AB62" s="85"/>
      <c r="AC62" s="85"/>
      <c r="AD62" s="85"/>
      <c r="AE62" s="85"/>
      <c r="AF62" s="85"/>
      <c r="AG62" s="85"/>
      <c r="AH62" s="85"/>
      <c r="AI62" s="85"/>
      <c r="AJ62" s="85"/>
      <c r="AK62" s="85"/>
      <c r="AL62" s="85"/>
    </row>
    <row r="63" spans="1:38" s="80" customFormat="1" x14ac:dyDescent="0.25">
      <c r="A63" s="113"/>
      <c r="B63" s="39" t="str">
        <f t="shared" si="6"/>
        <v/>
      </c>
      <c r="C63" s="40"/>
      <c r="D63" s="40"/>
      <c r="E63" s="40"/>
      <c r="F63" s="40"/>
      <c r="H63" s="99">
        <v>58</v>
      </c>
      <c r="I63" s="100" t="str">
        <f t="shared" si="1"/>
        <v/>
      </c>
      <c r="J63" s="99" t="e">
        <f t="shared" si="2"/>
        <v>#NUM!</v>
      </c>
      <c r="K63" s="99" t="e">
        <f t="shared" si="3"/>
        <v>#NUM!</v>
      </c>
      <c r="L63" s="99"/>
      <c r="M63" s="101">
        <f t="shared" si="4"/>
        <v>0</v>
      </c>
      <c r="S63" s="85"/>
      <c r="T63" s="85"/>
      <c r="U63" s="85"/>
      <c r="V63" s="85"/>
      <c r="W63" s="85"/>
      <c r="X63" s="85"/>
      <c r="Y63" s="85"/>
      <c r="Z63" s="85"/>
      <c r="AA63" s="85"/>
      <c r="AB63" s="85"/>
      <c r="AC63" s="85"/>
      <c r="AD63" s="85"/>
      <c r="AE63" s="85"/>
      <c r="AF63" s="85"/>
      <c r="AG63" s="85"/>
      <c r="AH63" s="85"/>
      <c r="AI63" s="85"/>
      <c r="AJ63" s="85"/>
      <c r="AK63" s="85"/>
      <c r="AL63" s="85"/>
    </row>
    <row r="64" spans="1:38" s="80" customFormat="1" x14ac:dyDescent="0.25">
      <c r="A64" s="112"/>
      <c r="B64" s="33" t="str">
        <f t="shared" si="6"/>
        <v/>
      </c>
      <c r="C64" s="34"/>
      <c r="D64" s="34"/>
      <c r="E64" s="34"/>
      <c r="F64" s="34"/>
      <c r="H64" s="95">
        <v>59</v>
      </c>
      <c r="I64" s="96" t="str">
        <f t="shared" si="1"/>
        <v/>
      </c>
      <c r="J64" s="95" t="e">
        <f t="shared" si="2"/>
        <v>#NUM!</v>
      </c>
      <c r="K64" s="95" t="e">
        <f t="shared" si="3"/>
        <v>#NUM!</v>
      </c>
      <c r="L64" s="95"/>
      <c r="M64" s="97">
        <f t="shared" si="4"/>
        <v>0</v>
      </c>
      <c r="S64" s="85"/>
      <c r="T64" s="85"/>
      <c r="U64" s="85"/>
      <c r="V64" s="85"/>
      <c r="W64" s="85"/>
      <c r="X64" s="85"/>
      <c r="Y64" s="85"/>
      <c r="Z64" s="85"/>
      <c r="AA64" s="85"/>
      <c r="AB64" s="85"/>
      <c r="AC64" s="85"/>
      <c r="AD64" s="85"/>
      <c r="AE64" s="85"/>
      <c r="AF64" s="85"/>
      <c r="AG64" s="85"/>
      <c r="AH64" s="85"/>
      <c r="AI64" s="85"/>
      <c r="AJ64" s="85"/>
      <c r="AK64" s="85"/>
      <c r="AL64" s="85"/>
    </row>
    <row r="65" spans="1:38" s="80" customFormat="1" x14ac:dyDescent="0.25">
      <c r="A65" s="113"/>
      <c r="B65" s="39" t="str">
        <f t="shared" si="6"/>
        <v/>
      </c>
      <c r="C65" s="40"/>
      <c r="D65" s="40"/>
      <c r="E65" s="40"/>
      <c r="F65" s="40"/>
      <c r="H65" s="99">
        <v>60</v>
      </c>
      <c r="I65" s="100" t="str">
        <f t="shared" si="1"/>
        <v/>
      </c>
      <c r="J65" s="99" t="e">
        <f t="shared" si="2"/>
        <v>#NUM!</v>
      </c>
      <c r="K65" s="99" t="e">
        <f t="shared" si="3"/>
        <v>#NUM!</v>
      </c>
      <c r="L65" s="99"/>
      <c r="M65" s="101">
        <f t="shared" si="4"/>
        <v>0</v>
      </c>
      <c r="S65" s="85"/>
      <c r="T65" s="85"/>
      <c r="U65" s="85"/>
      <c r="V65" s="85"/>
      <c r="W65" s="85"/>
      <c r="X65" s="85"/>
      <c r="Y65" s="85"/>
      <c r="Z65" s="85"/>
      <c r="AA65" s="85"/>
      <c r="AB65" s="85"/>
      <c r="AC65" s="85"/>
      <c r="AD65" s="85"/>
      <c r="AE65" s="85"/>
      <c r="AF65" s="85"/>
      <c r="AG65" s="85"/>
      <c r="AH65" s="85"/>
      <c r="AI65" s="85"/>
      <c r="AJ65" s="85"/>
      <c r="AK65" s="85"/>
      <c r="AL65" s="85"/>
    </row>
    <row r="66" spans="1:38" s="80" customFormat="1" x14ac:dyDescent="0.25">
      <c r="A66" s="114"/>
      <c r="B66" s="33"/>
      <c r="C66" s="115"/>
      <c r="D66" s="115"/>
      <c r="E66" s="115"/>
      <c r="F66" s="115"/>
      <c r="H66" s="95">
        <v>61</v>
      </c>
      <c r="I66" s="96" t="str">
        <f t="shared" si="1"/>
        <v/>
      </c>
      <c r="J66" s="95" t="e">
        <f t="shared" si="2"/>
        <v>#NUM!</v>
      </c>
      <c r="K66" s="95" t="e">
        <f t="shared" si="3"/>
        <v>#NUM!</v>
      </c>
      <c r="L66" s="95"/>
      <c r="M66" s="97">
        <f t="shared" si="4"/>
        <v>0</v>
      </c>
      <c r="S66" s="85"/>
      <c r="T66" s="85"/>
      <c r="U66" s="85"/>
      <c r="V66" s="85"/>
      <c r="W66" s="85"/>
      <c r="X66" s="85"/>
      <c r="Y66" s="85"/>
      <c r="Z66" s="85"/>
      <c r="AA66" s="85"/>
      <c r="AB66" s="85"/>
      <c r="AC66" s="85"/>
      <c r="AD66" s="85"/>
      <c r="AE66" s="85"/>
      <c r="AF66" s="85"/>
      <c r="AG66" s="85"/>
      <c r="AH66" s="85"/>
      <c r="AI66" s="85"/>
      <c r="AJ66" s="85"/>
      <c r="AK66" s="85"/>
      <c r="AL66" s="85"/>
    </row>
    <row r="67" spans="1:38" s="80" customFormat="1" x14ac:dyDescent="0.25">
      <c r="A67" s="114"/>
      <c r="B67" s="39"/>
      <c r="C67" s="115"/>
      <c r="D67" s="115"/>
      <c r="E67" s="115"/>
      <c r="F67" s="115"/>
      <c r="H67" s="95">
        <v>62</v>
      </c>
      <c r="I67" s="96" t="str">
        <f t="shared" si="1"/>
        <v/>
      </c>
      <c r="J67" s="95" t="e">
        <f t="shared" si="2"/>
        <v>#NUM!</v>
      </c>
      <c r="K67" s="95" t="e">
        <f t="shared" si="3"/>
        <v>#NUM!</v>
      </c>
      <c r="L67" s="95"/>
      <c r="M67" s="97">
        <f t="shared" si="4"/>
        <v>0</v>
      </c>
      <c r="S67" s="85"/>
      <c r="T67" s="85"/>
      <c r="U67" s="85"/>
      <c r="V67" s="85"/>
      <c r="W67" s="85"/>
      <c r="X67" s="85"/>
      <c r="Y67" s="85"/>
      <c r="Z67" s="85"/>
      <c r="AA67" s="85"/>
      <c r="AB67" s="85"/>
      <c r="AC67" s="85"/>
      <c r="AD67" s="85"/>
      <c r="AE67" s="85"/>
      <c r="AF67" s="85"/>
      <c r="AG67" s="85"/>
      <c r="AH67" s="85"/>
      <c r="AI67" s="85"/>
      <c r="AJ67" s="85"/>
      <c r="AK67" s="85"/>
      <c r="AL67" s="85"/>
    </row>
    <row r="68" spans="1:38" s="80" customFormat="1" x14ac:dyDescent="0.25">
      <c r="A68" s="114"/>
      <c r="B68" s="33"/>
      <c r="C68" s="115"/>
      <c r="D68" s="115"/>
      <c r="E68" s="115"/>
      <c r="F68" s="115"/>
      <c r="H68" s="95">
        <v>63</v>
      </c>
      <c r="I68" s="96" t="str">
        <f t="shared" si="1"/>
        <v/>
      </c>
      <c r="J68" s="95" t="e">
        <f t="shared" si="2"/>
        <v>#NUM!</v>
      </c>
      <c r="K68" s="95" t="e">
        <f t="shared" si="3"/>
        <v>#NUM!</v>
      </c>
      <c r="L68" s="95"/>
      <c r="M68" s="97">
        <f t="shared" si="4"/>
        <v>0</v>
      </c>
      <c r="S68" s="85"/>
      <c r="T68" s="85"/>
      <c r="U68" s="85"/>
      <c r="V68" s="85"/>
      <c r="W68" s="85"/>
      <c r="X68" s="85"/>
      <c r="Y68" s="85"/>
      <c r="Z68" s="85"/>
      <c r="AA68" s="85"/>
      <c r="AB68" s="85"/>
      <c r="AC68" s="85"/>
      <c r="AD68" s="85"/>
      <c r="AE68" s="85"/>
      <c r="AF68" s="85"/>
      <c r="AG68" s="85"/>
      <c r="AH68" s="85"/>
      <c r="AI68" s="85"/>
      <c r="AJ68" s="85"/>
      <c r="AK68" s="85"/>
      <c r="AL68" s="85"/>
    </row>
    <row r="69" spans="1:38" s="80" customFormat="1" x14ac:dyDescent="0.25">
      <c r="A69" s="114"/>
      <c r="B69" s="39"/>
      <c r="C69" s="115"/>
      <c r="D69" s="115"/>
      <c r="E69" s="115"/>
      <c r="F69" s="115"/>
      <c r="H69" s="95">
        <v>64</v>
      </c>
      <c r="I69" s="96" t="str">
        <f t="shared" si="1"/>
        <v/>
      </c>
      <c r="J69" s="95" t="e">
        <f t="shared" si="2"/>
        <v>#NUM!</v>
      </c>
      <c r="K69" s="95" t="e">
        <f t="shared" si="3"/>
        <v>#NUM!</v>
      </c>
      <c r="L69" s="95"/>
      <c r="M69" s="97">
        <f t="shared" si="4"/>
        <v>0</v>
      </c>
      <c r="S69" s="85"/>
      <c r="T69" s="85"/>
      <c r="U69" s="85"/>
      <c r="V69" s="85"/>
      <c r="W69" s="85"/>
      <c r="X69" s="85"/>
      <c r="Y69" s="85"/>
      <c r="Z69" s="85"/>
      <c r="AA69" s="85"/>
      <c r="AB69" s="85"/>
      <c r="AC69" s="85"/>
      <c r="AD69" s="85"/>
      <c r="AE69" s="85"/>
      <c r="AF69" s="85"/>
      <c r="AG69" s="85"/>
      <c r="AH69" s="85"/>
      <c r="AI69" s="85"/>
      <c r="AJ69" s="85"/>
      <c r="AK69" s="85"/>
      <c r="AL69" s="85"/>
    </row>
    <row r="70" spans="1:38" s="80" customFormat="1" x14ac:dyDescent="0.25">
      <c r="A70" s="114"/>
      <c r="B70" s="115"/>
      <c r="C70" s="115"/>
      <c r="D70" s="115"/>
      <c r="E70" s="115"/>
      <c r="F70" s="115"/>
      <c r="H70" s="95">
        <v>65</v>
      </c>
      <c r="I70" s="96" t="str">
        <f t="shared" ref="I70:I133" si="7">IF(H70&lt;$H$2+1,($I$2-($I$2-1)*(LOG(H70)/LOG($H$2))),"")</f>
        <v/>
      </c>
      <c r="J70" s="95" t="e">
        <f t="shared" ref="J70:J133" si="8">INT(LOG($H$2,2))-ROUNDUP(LOG(H70,2),0)+IF(OR($H$2=1,$H$2=2,$H$2=4,$H$2=8,$H$2=16,$H$2=32,$H$2=64,$H$2=128,$H$2=256),0,1)</f>
        <v>#NUM!</v>
      </c>
      <c r="K70" s="95" t="e">
        <f t="shared" ref="K70:K133" si="9">J70*$J$2</f>
        <v>#NUM!</v>
      </c>
      <c r="L70" s="95"/>
      <c r="M70" s="97">
        <f t="shared" ref="M70:M133" si="10">IF(I70&lt;&gt;"",K70+I70+L70,0)</f>
        <v>0</v>
      </c>
      <c r="S70" s="85"/>
      <c r="T70" s="85"/>
      <c r="U70" s="85"/>
      <c r="V70" s="85"/>
      <c r="W70" s="85"/>
      <c r="X70" s="85"/>
      <c r="Y70" s="85"/>
      <c r="Z70" s="85"/>
      <c r="AA70" s="85"/>
      <c r="AB70" s="85"/>
      <c r="AC70" s="85"/>
      <c r="AD70" s="85"/>
      <c r="AE70" s="85"/>
      <c r="AF70" s="85"/>
      <c r="AG70" s="85"/>
      <c r="AH70" s="85"/>
      <c r="AI70" s="85"/>
      <c r="AJ70" s="85"/>
      <c r="AK70" s="85"/>
      <c r="AL70" s="85"/>
    </row>
    <row r="71" spans="1:38" s="80" customFormat="1" x14ac:dyDescent="0.25">
      <c r="A71" s="114"/>
      <c r="B71" s="115"/>
      <c r="C71" s="115"/>
      <c r="D71" s="115"/>
      <c r="E71" s="115"/>
      <c r="F71" s="115"/>
      <c r="H71" s="95">
        <v>66</v>
      </c>
      <c r="I71" s="96" t="str">
        <f t="shared" si="7"/>
        <v/>
      </c>
      <c r="J71" s="95" t="e">
        <f t="shared" si="8"/>
        <v>#NUM!</v>
      </c>
      <c r="K71" s="95" t="e">
        <f t="shared" si="9"/>
        <v>#NUM!</v>
      </c>
      <c r="L71" s="95"/>
      <c r="M71" s="97">
        <f t="shared" si="10"/>
        <v>0</v>
      </c>
      <c r="S71" s="85"/>
      <c r="T71" s="85"/>
      <c r="U71" s="85"/>
      <c r="V71" s="85"/>
      <c r="W71" s="85"/>
      <c r="X71" s="85"/>
      <c r="Y71" s="85"/>
      <c r="Z71" s="85"/>
      <c r="AA71" s="85"/>
      <c r="AB71" s="85"/>
      <c r="AC71" s="85"/>
      <c r="AD71" s="85"/>
      <c r="AE71" s="85"/>
      <c r="AF71" s="85"/>
      <c r="AG71" s="85"/>
      <c r="AH71" s="85"/>
      <c r="AI71" s="85"/>
      <c r="AJ71" s="85"/>
      <c r="AK71" s="85"/>
      <c r="AL71" s="85"/>
    </row>
    <row r="72" spans="1:38" s="80" customFormat="1" x14ac:dyDescent="0.25">
      <c r="A72" s="114"/>
      <c r="B72" s="115"/>
      <c r="C72" s="115"/>
      <c r="D72" s="115"/>
      <c r="E72" s="115"/>
      <c r="F72" s="115"/>
      <c r="H72" s="95">
        <v>67</v>
      </c>
      <c r="I72" s="96" t="str">
        <f t="shared" si="7"/>
        <v/>
      </c>
      <c r="J72" s="95" t="e">
        <f t="shared" si="8"/>
        <v>#NUM!</v>
      </c>
      <c r="K72" s="95" t="e">
        <f t="shared" si="9"/>
        <v>#NUM!</v>
      </c>
      <c r="L72" s="95"/>
      <c r="M72" s="97">
        <f t="shared" si="10"/>
        <v>0</v>
      </c>
      <c r="S72" s="85"/>
      <c r="T72" s="85"/>
      <c r="U72" s="85"/>
      <c r="V72" s="85"/>
      <c r="W72" s="85"/>
      <c r="X72" s="85"/>
      <c r="Y72" s="85"/>
      <c r="Z72" s="85"/>
      <c r="AA72" s="85"/>
      <c r="AB72" s="85"/>
      <c r="AC72" s="85"/>
      <c r="AD72" s="85"/>
      <c r="AE72" s="85"/>
      <c r="AF72" s="85"/>
      <c r="AG72" s="85"/>
      <c r="AH72" s="85"/>
      <c r="AI72" s="85"/>
      <c r="AJ72" s="85"/>
      <c r="AK72" s="85"/>
      <c r="AL72" s="85"/>
    </row>
    <row r="73" spans="1:38" s="80" customFormat="1" x14ac:dyDescent="0.25">
      <c r="A73" s="114"/>
      <c r="B73" s="115"/>
      <c r="C73" s="115"/>
      <c r="D73" s="115"/>
      <c r="E73" s="115"/>
      <c r="F73" s="115"/>
      <c r="H73" s="95">
        <v>68</v>
      </c>
      <c r="I73" s="96" t="str">
        <f t="shared" si="7"/>
        <v/>
      </c>
      <c r="J73" s="95" t="e">
        <f t="shared" si="8"/>
        <v>#NUM!</v>
      </c>
      <c r="K73" s="95" t="e">
        <f t="shared" si="9"/>
        <v>#NUM!</v>
      </c>
      <c r="L73" s="95"/>
      <c r="M73" s="97">
        <f t="shared" si="10"/>
        <v>0</v>
      </c>
      <c r="S73" s="85"/>
      <c r="T73" s="85"/>
      <c r="U73" s="85"/>
      <c r="V73" s="85"/>
      <c r="W73" s="85"/>
      <c r="X73" s="85"/>
      <c r="Y73" s="85"/>
      <c r="Z73" s="85"/>
      <c r="AA73" s="85"/>
      <c r="AB73" s="85"/>
      <c r="AC73" s="85"/>
      <c r="AD73" s="85"/>
      <c r="AE73" s="85"/>
      <c r="AF73" s="85"/>
      <c r="AG73" s="85"/>
      <c r="AH73" s="85"/>
      <c r="AI73" s="85"/>
      <c r="AJ73" s="85"/>
      <c r="AK73" s="85"/>
      <c r="AL73" s="85"/>
    </row>
    <row r="74" spans="1:38" s="80" customFormat="1" x14ac:dyDescent="0.25">
      <c r="A74" s="114"/>
      <c r="B74" s="115"/>
      <c r="C74" s="115"/>
      <c r="D74" s="115"/>
      <c r="E74" s="115"/>
      <c r="F74" s="115"/>
      <c r="H74" s="95">
        <v>69</v>
      </c>
      <c r="I74" s="96" t="str">
        <f t="shared" si="7"/>
        <v/>
      </c>
      <c r="J74" s="95" t="e">
        <f t="shared" si="8"/>
        <v>#NUM!</v>
      </c>
      <c r="K74" s="95" t="e">
        <f t="shared" si="9"/>
        <v>#NUM!</v>
      </c>
      <c r="L74" s="95"/>
      <c r="M74" s="97">
        <f t="shared" si="10"/>
        <v>0</v>
      </c>
      <c r="S74" s="85"/>
      <c r="T74" s="85"/>
      <c r="U74" s="85"/>
      <c r="V74" s="85"/>
      <c r="W74" s="85"/>
      <c r="X74" s="85"/>
      <c r="Y74" s="85"/>
      <c r="Z74" s="85"/>
      <c r="AA74" s="85"/>
      <c r="AB74" s="85"/>
      <c r="AC74" s="85"/>
      <c r="AD74" s="85"/>
      <c r="AE74" s="85"/>
      <c r="AF74" s="85"/>
      <c r="AG74" s="85"/>
      <c r="AH74" s="85"/>
      <c r="AI74" s="85"/>
      <c r="AJ74" s="85"/>
      <c r="AK74" s="85"/>
      <c r="AL74" s="85"/>
    </row>
    <row r="75" spans="1:38" s="80" customFormat="1" x14ac:dyDescent="0.25">
      <c r="A75" s="114"/>
      <c r="B75" s="115"/>
      <c r="C75" s="115"/>
      <c r="D75" s="115"/>
      <c r="E75" s="115"/>
      <c r="F75" s="115"/>
      <c r="H75" s="95">
        <v>70</v>
      </c>
      <c r="I75" s="96" t="str">
        <f t="shared" si="7"/>
        <v/>
      </c>
      <c r="J75" s="95" t="e">
        <f t="shared" si="8"/>
        <v>#NUM!</v>
      </c>
      <c r="K75" s="95" t="e">
        <f t="shared" si="9"/>
        <v>#NUM!</v>
      </c>
      <c r="L75" s="95"/>
      <c r="M75" s="97">
        <f t="shared" si="10"/>
        <v>0</v>
      </c>
      <c r="S75" s="85"/>
      <c r="T75" s="85"/>
      <c r="U75" s="85"/>
      <c r="V75" s="85"/>
      <c r="W75" s="85"/>
      <c r="X75" s="85"/>
      <c r="Y75" s="85"/>
      <c r="Z75" s="85"/>
      <c r="AA75" s="85"/>
      <c r="AB75" s="85"/>
      <c r="AC75" s="85"/>
      <c r="AD75" s="85"/>
      <c r="AE75" s="85"/>
      <c r="AF75" s="85"/>
      <c r="AG75" s="85"/>
      <c r="AH75" s="85"/>
      <c r="AI75" s="85"/>
      <c r="AJ75" s="85"/>
      <c r="AK75" s="85"/>
      <c r="AL75" s="85"/>
    </row>
    <row r="76" spans="1:38" s="80" customFormat="1" x14ac:dyDescent="0.25">
      <c r="A76" s="114"/>
      <c r="B76" s="115"/>
      <c r="C76" s="115"/>
      <c r="D76" s="115"/>
      <c r="E76" s="115"/>
      <c r="F76" s="115"/>
      <c r="H76" s="95">
        <v>71</v>
      </c>
      <c r="I76" s="96" t="str">
        <f t="shared" si="7"/>
        <v/>
      </c>
      <c r="J76" s="95" t="e">
        <f t="shared" si="8"/>
        <v>#NUM!</v>
      </c>
      <c r="K76" s="95" t="e">
        <f t="shared" si="9"/>
        <v>#NUM!</v>
      </c>
      <c r="L76" s="95"/>
      <c r="M76" s="97">
        <f t="shared" si="10"/>
        <v>0</v>
      </c>
      <c r="S76" s="85"/>
      <c r="T76" s="85"/>
      <c r="U76" s="85"/>
      <c r="V76" s="85"/>
      <c r="W76" s="85"/>
      <c r="X76" s="85"/>
      <c r="Y76" s="85"/>
      <c r="Z76" s="85"/>
      <c r="AA76" s="85"/>
      <c r="AB76" s="85"/>
      <c r="AC76" s="85"/>
      <c r="AD76" s="85"/>
      <c r="AE76" s="85"/>
      <c r="AF76" s="85"/>
      <c r="AG76" s="85"/>
      <c r="AH76" s="85"/>
      <c r="AI76" s="85"/>
      <c r="AJ76" s="85"/>
      <c r="AK76" s="85"/>
      <c r="AL76" s="85"/>
    </row>
    <row r="77" spans="1:38" s="80" customFormat="1" x14ac:dyDescent="0.25">
      <c r="A77" s="114"/>
      <c r="B77" s="115"/>
      <c r="C77" s="115"/>
      <c r="D77" s="115"/>
      <c r="E77" s="115"/>
      <c r="F77" s="115"/>
      <c r="H77" s="95">
        <v>72</v>
      </c>
      <c r="I77" s="96" t="str">
        <f t="shared" si="7"/>
        <v/>
      </c>
      <c r="J77" s="95" t="e">
        <f t="shared" si="8"/>
        <v>#NUM!</v>
      </c>
      <c r="K77" s="95" t="e">
        <f t="shared" si="9"/>
        <v>#NUM!</v>
      </c>
      <c r="L77" s="95"/>
      <c r="M77" s="97">
        <f t="shared" si="10"/>
        <v>0</v>
      </c>
      <c r="S77" s="85"/>
      <c r="T77" s="85"/>
      <c r="U77" s="85"/>
      <c r="V77" s="85"/>
      <c r="W77" s="85"/>
      <c r="X77" s="85"/>
      <c r="Y77" s="85"/>
      <c r="Z77" s="85"/>
      <c r="AA77" s="85"/>
      <c r="AB77" s="85"/>
      <c r="AC77" s="85"/>
      <c r="AD77" s="85"/>
      <c r="AE77" s="85"/>
      <c r="AF77" s="85"/>
      <c r="AG77" s="85"/>
      <c r="AH77" s="85"/>
      <c r="AI77" s="85"/>
      <c r="AJ77" s="85"/>
      <c r="AK77" s="85"/>
      <c r="AL77" s="85"/>
    </row>
    <row r="78" spans="1:38" s="80" customFormat="1" x14ac:dyDescent="0.25">
      <c r="A78" s="114"/>
      <c r="B78" s="115"/>
      <c r="C78" s="115"/>
      <c r="D78" s="115"/>
      <c r="E78" s="115"/>
      <c r="F78" s="115"/>
      <c r="H78" s="95">
        <v>73</v>
      </c>
      <c r="I78" s="96" t="str">
        <f t="shared" si="7"/>
        <v/>
      </c>
      <c r="J78" s="95" t="e">
        <f t="shared" si="8"/>
        <v>#NUM!</v>
      </c>
      <c r="K78" s="95" t="e">
        <f t="shared" si="9"/>
        <v>#NUM!</v>
      </c>
      <c r="L78" s="95"/>
      <c r="M78" s="97">
        <f t="shared" si="10"/>
        <v>0</v>
      </c>
      <c r="S78" s="85"/>
      <c r="T78" s="85"/>
      <c r="U78" s="85"/>
      <c r="V78" s="85"/>
      <c r="W78" s="85"/>
      <c r="X78" s="85"/>
      <c r="Y78" s="85"/>
      <c r="Z78" s="85"/>
      <c r="AA78" s="85"/>
      <c r="AB78" s="85"/>
      <c r="AC78" s="85"/>
      <c r="AD78" s="85"/>
      <c r="AE78" s="85"/>
      <c r="AF78" s="85"/>
      <c r="AG78" s="85"/>
      <c r="AH78" s="85"/>
      <c r="AI78" s="85"/>
      <c r="AJ78" s="85"/>
      <c r="AK78" s="85"/>
      <c r="AL78" s="85"/>
    </row>
    <row r="79" spans="1:38" s="80" customFormat="1" x14ac:dyDescent="0.25">
      <c r="A79" s="114"/>
      <c r="B79" s="115"/>
      <c r="C79" s="115"/>
      <c r="D79" s="115"/>
      <c r="E79" s="115"/>
      <c r="F79" s="115"/>
      <c r="H79" s="95">
        <v>74</v>
      </c>
      <c r="I79" s="96" t="str">
        <f t="shared" si="7"/>
        <v/>
      </c>
      <c r="J79" s="95" t="e">
        <f t="shared" si="8"/>
        <v>#NUM!</v>
      </c>
      <c r="K79" s="95" t="e">
        <f t="shared" si="9"/>
        <v>#NUM!</v>
      </c>
      <c r="L79" s="95"/>
      <c r="M79" s="97">
        <f t="shared" si="10"/>
        <v>0</v>
      </c>
      <c r="S79" s="85"/>
      <c r="T79" s="85"/>
      <c r="U79" s="85"/>
      <c r="V79" s="85"/>
      <c r="W79" s="85"/>
      <c r="X79" s="85"/>
      <c r="Y79" s="85"/>
      <c r="Z79" s="85"/>
      <c r="AA79" s="85"/>
      <c r="AB79" s="85"/>
      <c r="AC79" s="85"/>
      <c r="AD79" s="85"/>
      <c r="AE79" s="85"/>
      <c r="AF79" s="85"/>
      <c r="AG79" s="85"/>
      <c r="AH79" s="85"/>
      <c r="AI79" s="85"/>
      <c r="AJ79" s="85"/>
      <c r="AK79" s="85"/>
      <c r="AL79" s="85"/>
    </row>
    <row r="80" spans="1:38" s="80" customFormat="1" x14ac:dyDescent="0.25">
      <c r="A80" s="114"/>
      <c r="B80" s="115"/>
      <c r="C80" s="115"/>
      <c r="D80" s="115"/>
      <c r="E80" s="115"/>
      <c r="F80" s="115"/>
      <c r="H80" s="95">
        <v>75</v>
      </c>
      <c r="I80" s="96" t="str">
        <f t="shared" si="7"/>
        <v/>
      </c>
      <c r="J80" s="95" t="e">
        <f t="shared" si="8"/>
        <v>#NUM!</v>
      </c>
      <c r="K80" s="95" t="e">
        <f t="shared" si="9"/>
        <v>#NUM!</v>
      </c>
      <c r="L80" s="95"/>
      <c r="M80" s="97">
        <f t="shared" si="10"/>
        <v>0</v>
      </c>
      <c r="S80" s="85"/>
      <c r="T80" s="85"/>
      <c r="U80" s="85"/>
      <c r="V80" s="85"/>
      <c r="W80" s="85"/>
      <c r="X80" s="85"/>
      <c r="Y80" s="85"/>
      <c r="Z80" s="85"/>
      <c r="AA80" s="85"/>
      <c r="AB80" s="85"/>
      <c r="AC80" s="85"/>
      <c r="AD80" s="85"/>
      <c r="AE80" s="85"/>
      <c r="AF80" s="85"/>
      <c r="AG80" s="85"/>
      <c r="AH80" s="85"/>
      <c r="AI80" s="85"/>
      <c r="AJ80" s="85"/>
      <c r="AK80" s="85"/>
      <c r="AL80" s="85"/>
    </row>
    <row r="81" spans="1:38" s="80" customFormat="1" x14ac:dyDescent="0.25">
      <c r="A81" s="114"/>
      <c r="B81" s="115"/>
      <c r="C81" s="115"/>
      <c r="D81" s="115"/>
      <c r="E81" s="115"/>
      <c r="F81" s="115"/>
      <c r="H81" s="95">
        <v>76</v>
      </c>
      <c r="I81" s="96" t="str">
        <f t="shared" si="7"/>
        <v/>
      </c>
      <c r="J81" s="95" t="e">
        <f t="shared" si="8"/>
        <v>#NUM!</v>
      </c>
      <c r="K81" s="95" t="e">
        <f t="shared" si="9"/>
        <v>#NUM!</v>
      </c>
      <c r="L81" s="95"/>
      <c r="M81" s="97">
        <f t="shared" si="10"/>
        <v>0</v>
      </c>
      <c r="S81" s="85"/>
      <c r="T81" s="85"/>
      <c r="U81" s="85"/>
      <c r="V81" s="85"/>
      <c r="W81" s="85"/>
      <c r="X81" s="85"/>
      <c r="Y81" s="85"/>
      <c r="Z81" s="85"/>
      <c r="AA81" s="85"/>
      <c r="AB81" s="85"/>
      <c r="AC81" s="85"/>
      <c r="AD81" s="85"/>
      <c r="AE81" s="85"/>
      <c r="AF81" s="85"/>
      <c r="AG81" s="85"/>
      <c r="AH81" s="85"/>
      <c r="AI81" s="85"/>
      <c r="AJ81" s="85"/>
      <c r="AK81" s="85"/>
      <c r="AL81" s="85"/>
    </row>
    <row r="82" spans="1:38" s="80" customFormat="1" x14ac:dyDescent="0.25">
      <c r="A82" s="114"/>
      <c r="B82" s="115"/>
      <c r="C82" s="115"/>
      <c r="D82" s="115"/>
      <c r="E82" s="115"/>
      <c r="F82" s="115"/>
      <c r="H82" s="95">
        <v>77</v>
      </c>
      <c r="I82" s="96" t="str">
        <f t="shared" si="7"/>
        <v/>
      </c>
      <c r="J82" s="95" t="e">
        <f t="shared" si="8"/>
        <v>#NUM!</v>
      </c>
      <c r="K82" s="95" t="e">
        <f t="shared" si="9"/>
        <v>#NUM!</v>
      </c>
      <c r="L82" s="95"/>
      <c r="M82" s="97">
        <f t="shared" si="10"/>
        <v>0</v>
      </c>
      <c r="S82" s="85"/>
      <c r="T82" s="85"/>
      <c r="U82" s="85"/>
      <c r="V82" s="85"/>
      <c r="W82" s="85"/>
      <c r="X82" s="85"/>
      <c r="Y82" s="85"/>
      <c r="Z82" s="85"/>
      <c r="AA82" s="85"/>
      <c r="AB82" s="85"/>
      <c r="AC82" s="85"/>
      <c r="AD82" s="85"/>
      <c r="AE82" s="85"/>
      <c r="AF82" s="85"/>
      <c r="AG82" s="85"/>
      <c r="AH82" s="85"/>
      <c r="AI82" s="85"/>
      <c r="AJ82" s="85"/>
      <c r="AK82" s="85"/>
      <c r="AL82" s="85"/>
    </row>
    <row r="83" spans="1:38" s="80" customFormat="1" x14ac:dyDescent="0.25">
      <c r="A83" s="114"/>
      <c r="B83" s="115"/>
      <c r="C83" s="115"/>
      <c r="D83" s="115"/>
      <c r="E83" s="115"/>
      <c r="F83" s="115"/>
      <c r="H83" s="95">
        <v>78</v>
      </c>
      <c r="I83" s="96" t="str">
        <f t="shared" si="7"/>
        <v/>
      </c>
      <c r="J83" s="95" t="e">
        <f t="shared" si="8"/>
        <v>#NUM!</v>
      </c>
      <c r="K83" s="95" t="e">
        <f t="shared" si="9"/>
        <v>#NUM!</v>
      </c>
      <c r="L83" s="95"/>
      <c r="M83" s="97">
        <f t="shared" si="10"/>
        <v>0</v>
      </c>
      <c r="S83" s="85"/>
      <c r="T83" s="85"/>
      <c r="U83" s="85"/>
      <c r="V83" s="85"/>
      <c r="W83" s="85"/>
      <c r="X83" s="85"/>
      <c r="Y83" s="85"/>
      <c r="Z83" s="85"/>
      <c r="AA83" s="85"/>
      <c r="AB83" s="85"/>
      <c r="AC83" s="85"/>
      <c r="AD83" s="85"/>
      <c r="AE83" s="85"/>
      <c r="AF83" s="85"/>
      <c r="AG83" s="85"/>
      <c r="AH83" s="85"/>
      <c r="AI83" s="85"/>
      <c r="AJ83" s="85"/>
      <c r="AK83" s="85"/>
      <c r="AL83" s="85"/>
    </row>
    <row r="84" spans="1:38" s="80" customFormat="1" x14ac:dyDescent="0.25">
      <c r="A84" s="114"/>
      <c r="B84" s="115"/>
      <c r="C84" s="115"/>
      <c r="D84" s="115"/>
      <c r="E84" s="115"/>
      <c r="F84" s="115"/>
      <c r="H84" s="95">
        <v>79</v>
      </c>
      <c r="I84" s="96" t="str">
        <f t="shared" si="7"/>
        <v/>
      </c>
      <c r="J84" s="95" t="e">
        <f t="shared" si="8"/>
        <v>#NUM!</v>
      </c>
      <c r="K84" s="95" t="e">
        <f t="shared" si="9"/>
        <v>#NUM!</v>
      </c>
      <c r="L84" s="95"/>
      <c r="M84" s="97">
        <f t="shared" si="10"/>
        <v>0</v>
      </c>
      <c r="S84" s="85"/>
      <c r="T84" s="85"/>
      <c r="U84" s="85"/>
      <c r="V84" s="85"/>
      <c r="W84" s="85"/>
      <c r="X84" s="85"/>
      <c r="Y84" s="85"/>
      <c r="Z84" s="85"/>
      <c r="AA84" s="85"/>
      <c r="AB84" s="85"/>
      <c r="AC84" s="85"/>
      <c r="AD84" s="85"/>
      <c r="AE84" s="85"/>
      <c r="AF84" s="85"/>
      <c r="AG84" s="85"/>
      <c r="AH84" s="85"/>
      <c r="AI84" s="85"/>
      <c r="AJ84" s="85"/>
      <c r="AK84" s="85"/>
      <c r="AL84" s="85"/>
    </row>
    <row r="85" spans="1:38" s="80" customFormat="1" x14ac:dyDescent="0.25">
      <c r="A85" s="114"/>
      <c r="B85" s="115"/>
      <c r="C85" s="115"/>
      <c r="D85" s="115"/>
      <c r="E85" s="115"/>
      <c r="F85" s="115"/>
      <c r="H85" s="95">
        <v>80</v>
      </c>
      <c r="I85" s="96" t="str">
        <f t="shared" si="7"/>
        <v/>
      </c>
      <c r="J85" s="95" t="e">
        <f t="shared" si="8"/>
        <v>#NUM!</v>
      </c>
      <c r="K85" s="95" t="e">
        <f t="shared" si="9"/>
        <v>#NUM!</v>
      </c>
      <c r="L85" s="95"/>
      <c r="M85" s="97">
        <f t="shared" si="10"/>
        <v>0</v>
      </c>
      <c r="S85" s="85"/>
      <c r="T85" s="85"/>
      <c r="U85" s="85"/>
      <c r="V85" s="85"/>
      <c r="W85" s="85"/>
      <c r="X85" s="85"/>
      <c r="Y85" s="85"/>
      <c r="Z85" s="85"/>
      <c r="AA85" s="85"/>
      <c r="AB85" s="85"/>
      <c r="AC85" s="85"/>
      <c r="AD85" s="85"/>
      <c r="AE85" s="85"/>
      <c r="AF85" s="85"/>
      <c r="AG85" s="85"/>
      <c r="AH85" s="85"/>
      <c r="AI85" s="85"/>
      <c r="AJ85" s="85"/>
      <c r="AK85" s="85"/>
      <c r="AL85" s="85"/>
    </row>
    <row r="86" spans="1:38" s="80" customFormat="1" x14ac:dyDescent="0.25">
      <c r="A86" s="114"/>
      <c r="B86" s="115"/>
      <c r="C86" s="115"/>
      <c r="D86" s="115"/>
      <c r="E86" s="115"/>
      <c r="F86" s="115"/>
      <c r="H86" s="95">
        <v>81</v>
      </c>
      <c r="I86" s="96" t="str">
        <f t="shared" si="7"/>
        <v/>
      </c>
      <c r="J86" s="95" t="e">
        <f t="shared" si="8"/>
        <v>#NUM!</v>
      </c>
      <c r="K86" s="95" t="e">
        <f t="shared" si="9"/>
        <v>#NUM!</v>
      </c>
      <c r="L86" s="95"/>
      <c r="M86" s="97">
        <f t="shared" si="10"/>
        <v>0</v>
      </c>
      <c r="S86" s="85"/>
      <c r="T86" s="85"/>
      <c r="U86" s="85"/>
      <c r="V86" s="85"/>
      <c r="W86" s="85"/>
      <c r="X86" s="85"/>
      <c r="Y86" s="85"/>
      <c r="Z86" s="85"/>
      <c r="AA86" s="85"/>
      <c r="AB86" s="85"/>
      <c r="AC86" s="85"/>
      <c r="AD86" s="85"/>
      <c r="AE86" s="85"/>
      <c r="AF86" s="85"/>
      <c r="AG86" s="85"/>
      <c r="AH86" s="85"/>
      <c r="AI86" s="85"/>
      <c r="AJ86" s="85"/>
      <c r="AK86" s="85"/>
      <c r="AL86" s="85"/>
    </row>
    <row r="87" spans="1:38" s="80" customFormat="1" x14ac:dyDescent="0.25">
      <c r="A87" s="114"/>
      <c r="B87" s="115"/>
      <c r="C87" s="115"/>
      <c r="D87" s="115"/>
      <c r="E87" s="115"/>
      <c r="F87" s="115"/>
      <c r="H87" s="95">
        <v>82</v>
      </c>
      <c r="I87" s="96" t="str">
        <f t="shared" si="7"/>
        <v/>
      </c>
      <c r="J87" s="95" t="e">
        <f t="shared" si="8"/>
        <v>#NUM!</v>
      </c>
      <c r="K87" s="95" t="e">
        <f t="shared" si="9"/>
        <v>#NUM!</v>
      </c>
      <c r="L87" s="95"/>
      <c r="M87" s="97">
        <f t="shared" si="10"/>
        <v>0</v>
      </c>
      <c r="S87" s="85"/>
      <c r="T87" s="85"/>
      <c r="U87" s="85"/>
      <c r="V87" s="85"/>
      <c r="W87" s="85"/>
      <c r="X87" s="85"/>
      <c r="Y87" s="85"/>
      <c r="Z87" s="85"/>
      <c r="AA87" s="85"/>
      <c r="AB87" s="85"/>
      <c r="AC87" s="85"/>
      <c r="AD87" s="85"/>
      <c r="AE87" s="85"/>
      <c r="AF87" s="85"/>
      <c r="AG87" s="85"/>
      <c r="AH87" s="85"/>
      <c r="AI87" s="85"/>
      <c r="AJ87" s="85"/>
      <c r="AK87" s="85"/>
      <c r="AL87" s="85"/>
    </row>
    <row r="88" spans="1:38" s="80" customFormat="1" x14ac:dyDescent="0.25">
      <c r="A88" s="114"/>
      <c r="B88" s="115"/>
      <c r="C88" s="115"/>
      <c r="D88" s="115"/>
      <c r="E88" s="115"/>
      <c r="F88" s="115"/>
      <c r="H88" s="95">
        <v>83</v>
      </c>
      <c r="I88" s="96" t="str">
        <f t="shared" si="7"/>
        <v/>
      </c>
      <c r="J88" s="95" t="e">
        <f t="shared" si="8"/>
        <v>#NUM!</v>
      </c>
      <c r="K88" s="95" t="e">
        <f t="shared" si="9"/>
        <v>#NUM!</v>
      </c>
      <c r="L88" s="95"/>
      <c r="M88" s="97">
        <f t="shared" si="10"/>
        <v>0</v>
      </c>
      <c r="S88" s="85"/>
      <c r="T88" s="85"/>
      <c r="U88" s="85"/>
      <c r="V88" s="85"/>
      <c r="W88" s="85"/>
      <c r="X88" s="85"/>
      <c r="Y88" s="85"/>
      <c r="Z88" s="85"/>
      <c r="AA88" s="85"/>
      <c r="AB88" s="85"/>
      <c r="AC88" s="85"/>
      <c r="AD88" s="85"/>
      <c r="AE88" s="85"/>
      <c r="AF88" s="85"/>
      <c r="AG88" s="85"/>
      <c r="AH88" s="85"/>
      <c r="AI88" s="85"/>
      <c r="AJ88" s="85"/>
      <c r="AK88" s="85"/>
      <c r="AL88" s="85"/>
    </row>
    <row r="89" spans="1:38" s="80" customFormat="1" x14ac:dyDescent="0.25">
      <c r="A89" s="114"/>
      <c r="B89" s="115"/>
      <c r="C89" s="115"/>
      <c r="D89" s="115"/>
      <c r="E89" s="115"/>
      <c r="F89" s="115"/>
      <c r="H89" s="95">
        <v>84</v>
      </c>
      <c r="I89" s="96" t="str">
        <f t="shared" si="7"/>
        <v/>
      </c>
      <c r="J89" s="95" t="e">
        <f t="shared" si="8"/>
        <v>#NUM!</v>
      </c>
      <c r="K89" s="95" t="e">
        <f t="shared" si="9"/>
        <v>#NUM!</v>
      </c>
      <c r="L89" s="95"/>
      <c r="M89" s="97">
        <f t="shared" si="10"/>
        <v>0</v>
      </c>
      <c r="S89" s="85"/>
      <c r="T89" s="85"/>
      <c r="U89" s="85"/>
      <c r="V89" s="85"/>
      <c r="W89" s="85"/>
      <c r="X89" s="85"/>
      <c r="Y89" s="85"/>
      <c r="Z89" s="85"/>
      <c r="AA89" s="85"/>
      <c r="AB89" s="85"/>
      <c r="AC89" s="85"/>
      <c r="AD89" s="85"/>
      <c r="AE89" s="85"/>
      <c r="AF89" s="85"/>
      <c r="AG89" s="85"/>
      <c r="AH89" s="85"/>
      <c r="AI89" s="85"/>
      <c r="AJ89" s="85"/>
      <c r="AK89" s="85"/>
      <c r="AL89" s="85"/>
    </row>
    <row r="90" spans="1:38" s="80" customFormat="1" x14ac:dyDescent="0.25">
      <c r="A90" s="114"/>
      <c r="B90" s="115"/>
      <c r="C90" s="115"/>
      <c r="D90" s="115"/>
      <c r="E90" s="115"/>
      <c r="F90" s="115"/>
      <c r="H90" s="95">
        <v>85</v>
      </c>
      <c r="I90" s="96" t="str">
        <f t="shared" si="7"/>
        <v/>
      </c>
      <c r="J90" s="95" t="e">
        <f t="shared" si="8"/>
        <v>#NUM!</v>
      </c>
      <c r="K90" s="95" t="e">
        <f t="shared" si="9"/>
        <v>#NUM!</v>
      </c>
      <c r="L90" s="95"/>
      <c r="M90" s="97">
        <f t="shared" si="10"/>
        <v>0</v>
      </c>
      <c r="S90" s="85"/>
      <c r="T90" s="85"/>
      <c r="U90" s="85"/>
      <c r="V90" s="85"/>
      <c r="W90" s="85"/>
      <c r="X90" s="85"/>
      <c r="Y90" s="85"/>
      <c r="Z90" s="85"/>
      <c r="AA90" s="85"/>
      <c r="AB90" s="85"/>
      <c r="AC90" s="85"/>
      <c r="AD90" s="85"/>
      <c r="AE90" s="85"/>
      <c r="AF90" s="85"/>
      <c r="AG90" s="85"/>
      <c r="AH90" s="85"/>
      <c r="AI90" s="85"/>
      <c r="AJ90" s="85"/>
      <c r="AK90" s="85"/>
      <c r="AL90" s="85"/>
    </row>
    <row r="91" spans="1:38" s="80" customFormat="1" x14ac:dyDescent="0.25">
      <c r="A91" s="114"/>
      <c r="B91" s="115"/>
      <c r="C91" s="115"/>
      <c r="D91" s="115"/>
      <c r="E91" s="115"/>
      <c r="F91" s="115"/>
      <c r="H91" s="95">
        <v>86</v>
      </c>
      <c r="I91" s="96" t="str">
        <f t="shared" si="7"/>
        <v/>
      </c>
      <c r="J91" s="95" t="e">
        <f t="shared" si="8"/>
        <v>#NUM!</v>
      </c>
      <c r="K91" s="95" t="e">
        <f t="shared" si="9"/>
        <v>#NUM!</v>
      </c>
      <c r="L91" s="95"/>
      <c r="M91" s="97">
        <f t="shared" si="10"/>
        <v>0</v>
      </c>
      <c r="S91" s="85"/>
      <c r="T91" s="85"/>
      <c r="U91" s="85"/>
      <c r="V91" s="85"/>
      <c r="W91" s="85"/>
      <c r="X91" s="85"/>
      <c r="Y91" s="85"/>
      <c r="Z91" s="85"/>
      <c r="AA91" s="85"/>
      <c r="AB91" s="85"/>
      <c r="AC91" s="85"/>
      <c r="AD91" s="85"/>
      <c r="AE91" s="85"/>
      <c r="AF91" s="85"/>
      <c r="AG91" s="85"/>
      <c r="AH91" s="85"/>
      <c r="AI91" s="85"/>
      <c r="AJ91" s="85"/>
      <c r="AK91" s="85"/>
      <c r="AL91" s="85"/>
    </row>
    <row r="92" spans="1:38" s="80" customFormat="1" x14ac:dyDescent="0.25">
      <c r="A92" s="114"/>
      <c r="B92" s="115"/>
      <c r="C92" s="115"/>
      <c r="D92" s="115"/>
      <c r="E92" s="115"/>
      <c r="F92" s="115"/>
      <c r="H92" s="95">
        <v>87</v>
      </c>
      <c r="I92" s="96" t="str">
        <f t="shared" si="7"/>
        <v/>
      </c>
      <c r="J92" s="95" t="e">
        <f t="shared" si="8"/>
        <v>#NUM!</v>
      </c>
      <c r="K92" s="95" t="e">
        <f t="shared" si="9"/>
        <v>#NUM!</v>
      </c>
      <c r="L92" s="95"/>
      <c r="M92" s="97">
        <f t="shared" si="10"/>
        <v>0</v>
      </c>
      <c r="S92" s="85"/>
      <c r="T92" s="85"/>
      <c r="U92" s="85"/>
      <c r="V92" s="85"/>
      <c r="W92" s="85"/>
      <c r="X92" s="85"/>
      <c r="Y92" s="85"/>
      <c r="Z92" s="85"/>
      <c r="AA92" s="85"/>
      <c r="AB92" s="85"/>
      <c r="AC92" s="85"/>
      <c r="AD92" s="85"/>
      <c r="AE92" s="85"/>
      <c r="AF92" s="85"/>
      <c r="AG92" s="85"/>
      <c r="AH92" s="85"/>
      <c r="AI92" s="85"/>
      <c r="AJ92" s="85"/>
      <c r="AK92" s="85"/>
      <c r="AL92" s="85"/>
    </row>
    <row r="93" spans="1:38" s="80" customFormat="1" x14ac:dyDescent="0.25">
      <c r="A93" s="114"/>
      <c r="B93" s="115"/>
      <c r="C93" s="115"/>
      <c r="D93" s="115"/>
      <c r="E93" s="115"/>
      <c r="F93" s="115"/>
      <c r="H93" s="95">
        <v>88</v>
      </c>
      <c r="I93" s="96" t="str">
        <f t="shared" si="7"/>
        <v/>
      </c>
      <c r="J93" s="95" t="e">
        <f t="shared" si="8"/>
        <v>#NUM!</v>
      </c>
      <c r="K93" s="95" t="e">
        <f t="shared" si="9"/>
        <v>#NUM!</v>
      </c>
      <c r="L93" s="95"/>
      <c r="M93" s="97">
        <f t="shared" si="10"/>
        <v>0</v>
      </c>
      <c r="S93" s="85"/>
      <c r="T93" s="85"/>
      <c r="U93" s="85"/>
      <c r="V93" s="85"/>
      <c r="W93" s="85"/>
      <c r="X93" s="85"/>
      <c r="Y93" s="85"/>
      <c r="Z93" s="85"/>
      <c r="AA93" s="85"/>
      <c r="AB93" s="85"/>
      <c r="AC93" s="85"/>
      <c r="AD93" s="85"/>
      <c r="AE93" s="85"/>
      <c r="AF93" s="85"/>
      <c r="AG93" s="85"/>
      <c r="AH93" s="85"/>
      <c r="AI93" s="85"/>
      <c r="AJ93" s="85"/>
      <c r="AK93" s="85"/>
      <c r="AL93" s="85"/>
    </row>
    <row r="94" spans="1:38" s="80" customFormat="1" x14ac:dyDescent="0.25">
      <c r="A94" s="114"/>
      <c r="B94" s="115"/>
      <c r="C94" s="115"/>
      <c r="D94" s="115"/>
      <c r="E94" s="115"/>
      <c r="F94" s="115"/>
      <c r="H94" s="95">
        <v>89</v>
      </c>
      <c r="I94" s="96" t="str">
        <f t="shared" si="7"/>
        <v/>
      </c>
      <c r="J94" s="95" t="e">
        <f t="shared" si="8"/>
        <v>#NUM!</v>
      </c>
      <c r="K94" s="95" t="e">
        <f t="shared" si="9"/>
        <v>#NUM!</v>
      </c>
      <c r="L94" s="95"/>
      <c r="M94" s="97">
        <f t="shared" si="10"/>
        <v>0</v>
      </c>
      <c r="S94" s="85"/>
      <c r="T94" s="85"/>
      <c r="U94" s="85"/>
      <c r="V94" s="85"/>
      <c r="W94" s="85"/>
      <c r="X94" s="85"/>
      <c r="Y94" s="85"/>
      <c r="Z94" s="85"/>
      <c r="AA94" s="85"/>
      <c r="AB94" s="85"/>
      <c r="AC94" s="85"/>
      <c r="AD94" s="85"/>
      <c r="AE94" s="85"/>
      <c r="AF94" s="85"/>
      <c r="AG94" s="85"/>
      <c r="AH94" s="85"/>
      <c r="AI94" s="85"/>
      <c r="AJ94" s="85"/>
      <c r="AK94" s="85"/>
      <c r="AL94" s="85"/>
    </row>
    <row r="95" spans="1:38" s="80" customFormat="1" x14ac:dyDescent="0.25">
      <c r="A95" s="114"/>
      <c r="B95" s="115"/>
      <c r="C95" s="115"/>
      <c r="D95" s="115"/>
      <c r="E95" s="115"/>
      <c r="F95" s="115"/>
      <c r="H95" s="95">
        <v>90</v>
      </c>
      <c r="I95" s="96" t="str">
        <f t="shared" si="7"/>
        <v/>
      </c>
      <c r="J95" s="95" t="e">
        <f t="shared" si="8"/>
        <v>#NUM!</v>
      </c>
      <c r="K95" s="95" t="e">
        <f t="shared" si="9"/>
        <v>#NUM!</v>
      </c>
      <c r="L95" s="95"/>
      <c r="M95" s="97">
        <f t="shared" si="10"/>
        <v>0</v>
      </c>
      <c r="S95" s="85"/>
      <c r="T95" s="85"/>
      <c r="U95" s="85"/>
      <c r="V95" s="85"/>
      <c r="W95" s="85"/>
      <c r="X95" s="85"/>
      <c r="Y95" s="85"/>
      <c r="Z95" s="85"/>
      <c r="AA95" s="85"/>
      <c r="AB95" s="85"/>
      <c r="AC95" s="85"/>
      <c r="AD95" s="85"/>
      <c r="AE95" s="85"/>
      <c r="AF95" s="85"/>
      <c r="AG95" s="85"/>
      <c r="AH95" s="85"/>
      <c r="AI95" s="85"/>
      <c r="AJ95" s="85"/>
      <c r="AK95" s="85"/>
      <c r="AL95" s="85"/>
    </row>
    <row r="96" spans="1:38" s="80" customFormat="1" x14ac:dyDescent="0.25">
      <c r="A96" s="114"/>
      <c r="B96" s="115"/>
      <c r="C96" s="115"/>
      <c r="D96" s="115"/>
      <c r="E96" s="115"/>
      <c r="F96" s="115"/>
      <c r="H96" s="95">
        <v>91</v>
      </c>
      <c r="I96" s="96" t="str">
        <f t="shared" si="7"/>
        <v/>
      </c>
      <c r="J96" s="95" t="e">
        <f t="shared" si="8"/>
        <v>#NUM!</v>
      </c>
      <c r="K96" s="95" t="e">
        <f t="shared" si="9"/>
        <v>#NUM!</v>
      </c>
      <c r="L96" s="95"/>
      <c r="M96" s="97">
        <f t="shared" si="10"/>
        <v>0</v>
      </c>
      <c r="S96" s="85"/>
      <c r="T96" s="85"/>
      <c r="U96" s="85"/>
      <c r="V96" s="85"/>
      <c r="W96" s="85"/>
      <c r="X96" s="85"/>
      <c r="Y96" s="85"/>
      <c r="Z96" s="85"/>
      <c r="AA96" s="85"/>
      <c r="AB96" s="85"/>
      <c r="AC96" s="85"/>
      <c r="AD96" s="85"/>
      <c r="AE96" s="85"/>
      <c r="AF96" s="85"/>
      <c r="AG96" s="85"/>
      <c r="AH96" s="85"/>
      <c r="AI96" s="85"/>
      <c r="AJ96" s="85"/>
      <c r="AK96" s="85"/>
      <c r="AL96" s="85"/>
    </row>
    <row r="97" spans="1:38" s="80" customFormat="1" x14ac:dyDescent="0.25">
      <c r="A97" s="114"/>
      <c r="B97" s="115"/>
      <c r="C97" s="115"/>
      <c r="D97" s="115"/>
      <c r="E97" s="115"/>
      <c r="F97" s="115"/>
      <c r="H97" s="95">
        <v>92</v>
      </c>
      <c r="I97" s="96" t="str">
        <f t="shared" si="7"/>
        <v/>
      </c>
      <c r="J97" s="95" t="e">
        <f t="shared" si="8"/>
        <v>#NUM!</v>
      </c>
      <c r="K97" s="95" t="e">
        <f t="shared" si="9"/>
        <v>#NUM!</v>
      </c>
      <c r="L97" s="95"/>
      <c r="M97" s="97">
        <f t="shared" si="10"/>
        <v>0</v>
      </c>
      <c r="S97" s="85"/>
      <c r="T97" s="85"/>
      <c r="U97" s="85"/>
      <c r="V97" s="85"/>
      <c r="W97" s="85"/>
      <c r="X97" s="85"/>
      <c r="Y97" s="85"/>
      <c r="Z97" s="85"/>
      <c r="AA97" s="85"/>
      <c r="AB97" s="85"/>
      <c r="AC97" s="85"/>
      <c r="AD97" s="85"/>
      <c r="AE97" s="85"/>
      <c r="AF97" s="85"/>
      <c r="AG97" s="85"/>
      <c r="AH97" s="85"/>
      <c r="AI97" s="85"/>
      <c r="AJ97" s="85"/>
      <c r="AK97" s="85"/>
      <c r="AL97" s="85"/>
    </row>
    <row r="98" spans="1:38" s="80" customFormat="1" x14ac:dyDescent="0.25">
      <c r="A98" s="114"/>
      <c r="B98" s="115"/>
      <c r="C98" s="115"/>
      <c r="D98" s="115"/>
      <c r="E98" s="115"/>
      <c r="F98" s="115"/>
      <c r="H98" s="95">
        <v>93</v>
      </c>
      <c r="I98" s="96" t="str">
        <f t="shared" si="7"/>
        <v/>
      </c>
      <c r="J98" s="95" t="e">
        <f t="shared" si="8"/>
        <v>#NUM!</v>
      </c>
      <c r="K98" s="95" t="e">
        <f t="shared" si="9"/>
        <v>#NUM!</v>
      </c>
      <c r="L98" s="95"/>
      <c r="M98" s="97">
        <f t="shared" si="10"/>
        <v>0</v>
      </c>
      <c r="S98" s="85"/>
      <c r="T98" s="85"/>
      <c r="U98" s="85"/>
      <c r="V98" s="85"/>
      <c r="W98" s="85"/>
      <c r="X98" s="85"/>
      <c r="Y98" s="85"/>
      <c r="Z98" s="85"/>
      <c r="AA98" s="85"/>
      <c r="AB98" s="85"/>
      <c r="AC98" s="85"/>
      <c r="AD98" s="85"/>
      <c r="AE98" s="85"/>
      <c r="AF98" s="85"/>
      <c r="AG98" s="85"/>
      <c r="AH98" s="85"/>
      <c r="AI98" s="85"/>
      <c r="AJ98" s="85"/>
      <c r="AK98" s="85"/>
      <c r="AL98" s="85"/>
    </row>
    <row r="99" spans="1:38" s="80" customFormat="1" x14ac:dyDescent="0.25">
      <c r="A99" s="114"/>
      <c r="B99" s="115"/>
      <c r="C99" s="115"/>
      <c r="D99" s="115"/>
      <c r="E99" s="115"/>
      <c r="F99" s="115"/>
      <c r="H99" s="95">
        <v>94</v>
      </c>
      <c r="I99" s="96" t="str">
        <f t="shared" si="7"/>
        <v/>
      </c>
      <c r="J99" s="95" t="e">
        <f t="shared" si="8"/>
        <v>#NUM!</v>
      </c>
      <c r="K99" s="95" t="e">
        <f t="shared" si="9"/>
        <v>#NUM!</v>
      </c>
      <c r="L99" s="95"/>
      <c r="M99" s="97">
        <f t="shared" si="10"/>
        <v>0</v>
      </c>
      <c r="S99" s="85"/>
      <c r="T99" s="85"/>
      <c r="U99" s="85"/>
      <c r="V99" s="85"/>
      <c r="W99" s="85"/>
      <c r="X99" s="85"/>
      <c r="Y99" s="85"/>
      <c r="Z99" s="85"/>
      <c r="AA99" s="85"/>
      <c r="AB99" s="85"/>
      <c r="AC99" s="85"/>
      <c r="AD99" s="85"/>
      <c r="AE99" s="85"/>
      <c r="AF99" s="85"/>
      <c r="AG99" s="85"/>
      <c r="AH99" s="85"/>
      <c r="AI99" s="85"/>
      <c r="AJ99" s="85"/>
      <c r="AK99" s="85"/>
      <c r="AL99" s="85"/>
    </row>
    <row r="100" spans="1:38" s="80" customFormat="1" x14ac:dyDescent="0.25">
      <c r="A100" s="114"/>
      <c r="B100" s="115"/>
      <c r="C100" s="115"/>
      <c r="D100" s="115"/>
      <c r="E100" s="115"/>
      <c r="F100" s="115"/>
      <c r="H100" s="95">
        <v>95</v>
      </c>
      <c r="I100" s="96" t="str">
        <f t="shared" si="7"/>
        <v/>
      </c>
      <c r="J100" s="95" t="e">
        <f t="shared" si="8"/>
        <v>#NUM!</v>
      </c>
      <c r="K100" s="95" t="e">
        <f t="shared" si="9"/>
        <v>#NUM!</v>
      </c>
      <c r="L100" s="95"/>
      <c r="M100" s="97">
        <f t="shared" si="10"/>
        <v>0</v>
      </c>
      <c r="S100" s="85"/>
      <c r="T100" s="85"/>
      <c r="U100" s="85"/>
      <c r="V100" s="85"/>
      <c r="W100" s="85"/>
      <c r="X100" s="85"/>
      <c r="Y100" s="85"/>
      <c r="Z100" s="85"/>
      <c r="AA100" s="85"/>
      <c r="AB100" s="85"/>
      <c r="AC100" s="85"/>
      <c r="AD100" s="85"/>
      <c r="AE100" s="85"/>
      <c r="AF100" s="85"/>
      <c r="AG100" s="85"/>
      <c r="AH100" s="85"/>
      <c r="AI100" s="85"/>
      <c r="AJ100" s="85"/>
      <c r="AK100" s="85"/>
      <c r="AL100" s="85"/>
    </row>
    <row r="101" spans="1:38" s="80" customFormat="1" x14ac:dyDescent="0.25">
      <c r="A101" s="114"/>
      <c r="B101" s="115"/>
      <c r="C101" s="115"/>
      <c r="D101" s="115"/>
      <c r="E101" s="115"/>
      <c r="F101" s="115"/>
      <c r="H101" s="95">
        <v>96</v>
      </c>
      <c r="I101" s="96" t="str">
        <f t="shared" si="7"/>
        <v/>
      </c>
      <c r="J101" s="95" t="e">
        <f t="shared" si="8"/>
        <v>#NUM!</v>
      </c>
      <c r="K101" s="95" t="e">
        <f t="shared" si="9"/>
        <v>#NUM!</v>
      </c>
      <c r="L101" s="95"/>
      <c r="M101" s="97">
        <f t="shared" si="10"/>
        <v>0</v>
      </c>
      <c r="S101" s="85"/>
      <c r="T101" s="85"/>
      <c r="U101" s="85"/>
      <c r="V101" s="85"/>
      <c r="W101" s="85"/>
      <c r="X101" s="85"/>
      <c r="Y101" s="85"/>
      <c r="Z101" s="85"/>
      <c r="AA101" s="85"/>
      <c r="AB101" s="85"/>
      <c r="AC101" s="85"/>
      <c r="AD101" s="85"/>
      <c r="AE101" s="85"/>
      <c r="AF101" s="85"/>
      <c r="AG101" s="85"/>
      <c r="AH101" s="85"/>
      <c r="AI101" s="85"/>
      <c r="AJ101" s="85"/>
      <c r="AK101" s="85"/>
      <c r="AL101" s="85"/>
    </row>
    <row r="102" spans="1:38" s="80" customFormat="1" x14ac:dyDescent="0.25">
      <c r="A102" s="114"/>
      <c r="B102" s="115"/>
      <c r="C102" s="115"/>
      <c r="D102" s="115"/>
      <c r="E102" s="115"/>
      <c r="F102" s="115"/>
      <c r="H102" s="95">
        <v>97</v>
      </c>
      <c r="I102" s="96" t="str">
        <f t="shared" si="7"/>
        <v/>
      </c>
      <c r="J102" s="95" t="e">
        <f t="shared" si="8"/>
        <v>#NUM!</v>
      </c>
      <c r="K102" s="95" t="e">
        <f t="shared" si="9"/>
        <v>#NUM!</v>
      </c>
      <c r="L102" s="95"/>
      <c r="M102" s="97">
        <f t="shared" si="10"/>
        <v>0</v>
      </c>
      <c r="S102" s="85"/>
      <c r="T102" s="85"/>
      <c r="U102" s="85"/>
      <c r="V102" s="85"/>
      <c r="W102" s="85"/>
      <c r="X102" s="85"/>
      <c r="Y102" s="85"/>
      <c r="Z102" s="85"/>
      <c r="AA102" s="85"/>
      <c r="AB102" s="85"/>
      <c r="AC102" s="85"/>
      <c r="AD102" s="85"/>
      <c r="AE102" s="85"/>
      <c r="AF102" s="85"/>
      <c r="AG102" s="85"/>
      <c r="AH102" s="85"/>
      <c r="AI102" s="85"/>
      <c r="AJ102" s="85"/>
      <c r="AK102" s="85"/>
      <c r="AL102" s="85"/>
    </row>
    <row r="103" spans="1:38" s="80" customFormat="1" x14ac:dyDescent="0.25">
      <c r="A103" s="114"/>
      <c r="B103" s="115"/>
      <c r="C103" s="115"/>
      <c r="D103" s="115"/>
      <c r="E103" s="115"/>
      <c r="F103" s="115"/>
      <c r="H103" s="95">
        <v>98</v>
      </c>
      <c r="I103" s="96" t="str">
        <f t="shared" si="7"/>
        <v/>
      </c>
      <c r="J103" s="95" t="e">
        <f t="shared" si="8"/>
        <v>#NUM!</v>
      </c>
      <c r="K103" s="95" t="e">
        <f t="shared" si="9"/>
        <v>#NUM!</v>
      </c>
      <c r="L103" s="95"/>
      <c r="M103" s="97">
        <f t="shared" si="10"/>
        <v>0</v>
      </c>
      <c r="S103" s="85"/>
      <c r="T103" s="85"/>
      <c r="U103" s="85"/>
      <c r="V103" s="85"/>
      <c r="W103" s="85"/>
      <c r="X103" s="85"/>
      <c r="Y103" s="85"/>
      <c r="Z103" s="85"/>
      <c r="AA103" s="85"/>
      <c r="AB103" s="85"/>
      <c r="AC103" s="85"/>
      <c r="AD103" s="85"/>
      <c r="AE103" s="85"/>
      <c r="AF103" s="85"/>
      <c r="AG103" s="85"/>
      <c r="AH103" s="85"/>
      <c r="AI103" s="85"/>
      <c r="AJ103" s="85"/>
      <c r="AK103" s="85"/>
      <c r="AL103" s="85"/>
    </row>
    <row r="104" spans="1:38" s="80" customFormat="1" x14ac:dyDescent="0.25">
      <c r="A104" s="114"/>
      <c r="B104" s="115"/>
      <c r="C104" s="115"/>
      <c r="D104" s="115"/>
      <c r="E104" s="115"/>
      <c r="F104" s="115"/>
      <c r="H104" s="95">
        <v>99</v>
      </c>
      <c r="I104" s="96" t="str">
        <f t="shared" si="7"/>
        <v/>
      </c>
      <c r="J104" s="95" t="e">
        <f t="shared" si="8"/>
        <v>#NUM!</v>
      </c>
      <c r="K104" s="95" t="e">
        <f t="shared" si="9"/>
        <v>#NUM!</v>
      </c>
      <c r="L104" s="95"/>
      <c r="M104" s="97">
        <f t="shared" si="10"/>
        <v>0</v>
      </c>
      <c r="S104" s="85"/>
      <c r="T104" s="85"/>
      <c r="U104" s="85"/>
      <c r="V104" s="85"/>
      <c r="W104" s="85"/>
      <c r="X104" s="85"/>
      <c r="Y104" s="85"/>
      <c r="Z104" s="85"/>
      <c r="AA104" s="85"/>
      <c r="AB104" s="85"/>
      <c r="AC104" s="85"/>
      <c r="AD104" s="85"/>
      <c r="AE104" s="85"/>
      <c r="AF104" s="85"/>
      <c r="AG104" s="85"/>
      <c r="AH104" s="85"/>
      <c r="AI104" s="85"/>
      <c r="AJ104" s="85"/>
      <c r="AK104" s="85"/>
      <c r="AL104" s="85"/>
    </row>
    <row r="105" spans="1:38" s="80" customFormat="1" x14ac:dyDescent="0.25">
      <c r="A105" s="114"/>
      <c r="B105" s="115"/>
      <c r="C105" s="115"/>
      <c r="D105" s="115"/>
      <c r="E105" s="115"/>
      <c r="F105" s="115"/>
      <c r="H105" s="95">
        <v>100</v>
      </c>
      <c r="I105" s="96" t="str">
        <f t="shared" si="7"/>
        <v/>
      </c>
      <c r="J105" s="95" t="e">
        <f t="shared" si="8"/>
        <v>#NUM!</v>
      </c>
      <c r="K105" s="95" t="e">
        <f t="shared" si="9"/>
        <v>#NUM!</v>
      </c>
      <c r="L105" s="95"/>
      <c r="M105" s="97">
        <f t="shared" si="10"/>
        <v>0</v>
      </c>
      <c r="S105" s="85"/>
      <c r="T105" s="85"/>
      <c r="U105" s="85"/>
      <c r="V105" s="85"/>
      <c r="W105" s="85"/>
      <c r="X105" s="85"/>
      <c r="Y105" s="85"/>
      <c r="Z105" s="85"/>
      <c r="AA105" s="85"/>
      <c r="AB105" s="85"/>
      <c r="AC105" s="85"/>
      <c r="AD105" s="85"/>
      <c r="AE105" s="85"/>
      <c r="AF105" s="85"/>
      <c r="AG105" s="85"/>
      <c r="AH105" s="85"/>
      <c r="AI105" s="85"/>
      <c r="AJ105" s="85"/>
      <c r="AK105" s="85"/>
      <c r="AL105" s="85"/>
    </row>
    <row r="106" spans="1:38" s="80" customFormat="1" x14ac:dyDescent="0.25">
      <c r="A106" s="114"/>
      <c r="B106" s="115"/>
      <c r="C106" s="115"/>
      <c r="D106" s="115"/>
      <c r="E106" s="115"/>
      <c r="F106" s="115"/>
      <c r="H106" s="95">
        <v>101</v>
      </c>
      <c r="I106" s="96" t="str">
        <f t="shared" si="7"/>
        <v/>
      </c>
      <c r="J106" s="95" t="e">
        <f t="shared" si="8"/>
        <v>#NUM!</v>
      </c>
      <c r="K106" s="95" t="e">
        <f t="shared" si="9"/>
        <v>#NUM!</v>
      </c>
      <c r="L106" s="95"/>
      <c r="M106" s="97">
        <f t="shared" si="10"/>
        <v>0</v>
      </c>
      <c r="S106" s="85"/>
      <c r="T106" s="85"/>
      <c r="U106" s="85"/>
      <c r="V106" s="85"/>
      <c r="W106" s="85"/>
      <c r="X106" s="85"/>
      <c r="Y106" s="85"/>
      <c r="Z106" s="85"/>
      <c r="AA106" s="85"/>
      <c r="AB106" s="85"/>
      <c r="AC106" s="85"/>
      <c r="AD106" s="85"/>
      <c r="AE106" s="85"/>
      <c r="AF106" s="85"/>
      <c r="AG106" s="85"/>
      <c r="AH106" s="85"/>
      <c r="AI106" s="85"/>
      <c r="AJ106" s="85"/>
      <c r="AK106" s="85"/>
      <c r="AL106" s="85"/>
    </row>
    <row r="107" spans="1:38" s="80" customFormat="1" x14ac:dyDescent="0.25">
      <c r="A107" s="114"/>
      <c r="B107" s="115"/>
      <c r="C107" s="115"/>
      <c r="D107" s="115"/>
      <c r="E107" s="115"/>
      <c r="F107" s="115"/>
      <c r="H107" s="95">
        <v>102</v>
      </c>
      <c r="I107" s="96" t="str">
        <f t="shared" si="7"/>
        <v/>
      </c>
      <c r="J107" s="95" t="e">
        <f t="shared" si="8"/>
        <v>#NUM!</v>
      </c>
      <c r="K107" s="95" t="e">
        <f t="shared" si="9"/>
        <v>#NUM!</v>
      </c>
      <c r="L107" s="95"/>
      <c r="M107" s="97">
        <f t="shared" si="10"/>
        <v>0</v>
      </c>
      <c r="S107" s="85"/>
      <c r="T107" s="85"/>
      <c r="U107" s="85"/>
      <c r="V107" s="85"/>
      <c r="W107" s="85"/>
      <c r="X107" s="85"/>
      <c r="Y107" s="85"/>
      <c r="Z107" s="85"/>
      <c r="AA107" s="85"/>
      <c r="AB107" s="85"/>
      <c r="AC107" s="85"/>
      <c r="AD107" s="85"/>
      <c r="AE107" s="85"/>
      <c r="AF107" s="85"/>
      <c r="AG107" s="85"/>
      <c r="AH107" s="85"/>
      <c r="AI107" s="85"/>
      <c r="AJ107" s="85"/>
      <c r="AK107" s="85"/>
      <c r="AL107" s="85"/>
    </row>
    <row r="108" spans="1:38" s="80" customFormat="1" x14ac:dyDescent="0.25">
      <c r="A108" s="114"/>
      <c r="B108" s="115"/>
      <c r="C108" s="115"/>
      <c r="D108" s="115"/>
      <c r="E108" s="115"/>
      <c r="F108" s="115"/>
      <c r="H108" s="95">
        <v>103</v>
      </c>
      <c r="I108" s="96" t="str">
        <f t="shared" si="7"/>
        <v/>
      </c>
      <c r="J108" s="95" t="e">
        <f t="shared" si="8"/>
        <v>#NUM!</v>
      </c>
      <c r="K108" s="95" t="e">
        <f t="shared" si="9"/>
        <v>#NUM!</v>
      </c>
      <c r="L108" s="95"/>
      <c r="M108" s="97">
        <f t="shared" si="10"/>
        <v>0</v>
      </c>
      <c r="S108" s="85"/>
      <c r="T108" s="85"/>
      <c r="U108" s="85"/>
      <c r="V108" s="85"/>
      <c r="W108" s="85"/>
      <c r="X108" s="85"/>
      <c r="Y108" s="85"/>
      <c r="Z108" s="85"/>
      <c r="AA108" s="85"/>
      <c r="AB108" s="85"/>
      <c r="AC108" s="85"/>
      <c r="AD108" s="85"/>
      <c r="AE108" s="85"/>
      <c r="AF108" s="85"/>
      <c r="AG108" s="85"/>
      <c r="AH108" s="85"/>
      <c r="AI108" s="85"/>
      <c r="AJ108" s="85"/>
      <c r="AK108" s="85"/>
      <c r="AL108" s="85"/>
    </row>
    <row r="109" spans="1:38" s="80" customFormat="1" x14ac:dyDescent="0.25">
      <c r="A109" s="114"/>
      <c r="B109" s="115"/>
      <c r="C109" s="115"/>
      <c r="D109" s="115"/>
      <c r="E109" s="115"/>
      <c r="F109" s="115"/>
      <c r="H109" s="95">
        <v>104</v>
      </c>
      <c r="I109" s="96" t="str">
        <f t="shared" si="7"/>
        <v/>
      </c>
      <c r="J109" s="95" t="e">
        <f t="shared" si="8"/>
        <v>#NUM!</v>
      </c>
      <c r="K109" s="95" t="e">
        <f t="shared" si="9"/>
        <v>#NUM!</v>
      </c>
      <c r="L109" s="95"/>
      <c r="M109" s="97">
        <f t="shared" si="10"/>
        <v>0</v>
      </c>
      <c r="S109" s="85"/>
      <c r="T109" s="85"/>
      <c r="U109" s="85"/>
      <c r="V109" s="85"/>
      <c r="W109" s="85"/>
      <c r="X109" s="85"/>
      <c r="Y109" s="85"/>
      <c r="Z109" s="85"/>
      <c r="AA109" s="85"/>
      <c r="AB109" s="85"/>
      <c r="AC109" s="85"/>
      <c r="AD109" s="85"/>
      <c r="AE109" s="85"/>
      <c r="AF109" s="85"/>
      <c r="AG109" s="85"/>
      <c r="AH109" s="85"/>
      <c r="AI109" s="85"/>
      <c r="AJ109" s="85"/>
      <c r="AK109" s="85"/>
      <c r="AL109" s="85"/>
    </row>
    <row r="110" spans="1:38" s="80" customFormat="1" x14ac:dyDescent="0.25">
      <c r="A110" s="114"/>
      <c r="B110" s="115"/>
      <c r="C110" s="115"/>
      <c r="D110" s="115"/>
      <c r="E110" s="115"/>
      <c r="F110" s="115"/>
      <c r="H110" s="95">
        <v>105</v>
      </c>
      <c r="I110" s="96" t="str">
        <f t="shared" si="7"/>
        <v/>
      </c>
      <c r="J110" s="95" t="e">
        <f t="shared" si="8"/>
        <v>#NUM!</v>
      </c>
      <c r="K110" s="95" t="e">
        <f t="shared" si="9"/>
        <v>#NUM!</v>
      </c>
      <c r="L110" s="95"/>
      <c r="M110" s="97">
        <f t="shared" si="10"/>
        <v>0</v>
      </c>
      <c r="S110" s="85"/>
      <c r="T110" s="85"/>
      <c r="U110" s="85"/>
      <c r="V110" s="85"/>
      <c r="W110" s="85"/>
      <c r="X110" s="85"/>
      <c r="Y110" s="85"/>
      <c r="Z110" s="85"/>
      <c r="AA110" s="85"/>
      <c r="AB110" s="85"/>
      <c r="AC110" s="85"/>
      <c r="AD110" s="85"/>
      <c r="AE110" s="85"/>
      <c r="AF110" s="85"/>
      <c r="AG110" s="85"/>
      <c r="AH110" s="85"/>
      <c r="AI110" s="85"/>
      <c r="AJ110" s="85"/>
      <c r="AK110" s="85"/>
      <c r="AL110" s="85"/>
    </row>
    <row r="111" spans="1:38" s="80" customFormat="1" x14ac:dyDescent="0.25">
      <c r="A111" s="114"/>
      <c r="B111" s="115"/>
      <c r="C111" s="115"/>
      <c r="D111" s="115"/>
      <c r="E111" s="115"/>
      <c r="F111" s="115"/>
      <c r="H111" s="95">
        <v>106</v>
      </c>
      <c r="I111" s="96" t="str">
        <f t="shared" si="7"/>
        <v/>
      </c>
      <c r="J111" s="95" t="e">
        <f t="shared" si="8"/>
        <v>#NUM!</v>
      </c>
      <c r="K111" s="95" t="e">
        <f t="shared" si="9"/>
        <v>#NUM!</v>
      </c>
      <c r="L111" s="95"/>
      <c r="M111" s="97">
        <f t="shared" si="10"/>
        <v>0</v>
      </c>
      <c r="S111" s="85"/>
      <c r="T111" s="85"/>
      <c r="U111" s="85"/>
      <c r="V111" s="85"/>
      <c r="W111" s="85"/>
      <c r="X111" s="85"/>
      <c r="Y111" s="85"/>
      <c r="Z111" s="85"/>
      <c r="AA111" s="85"/>
      <c r="AB111" s="85"/>
      <c r="AC111" s="85"/>
      <c r="AD111" s="85"/>
      <c r="AE111" s="85"/>
      <c r="AF111" s="85"/>
      <c r="AG111" s="85"/>
      <c r="AH111" s="85"/>
      <c r="AI111" s="85"/>
      <c r="AJ111" s="85"/>
      <c r="AK111" s="85"/>
      <c r="AL111" s="85"/>
    </row>
    <row r="112" spans="1:38" s="80" customFormat="1" x14ac:dyDescent="0.25">
      <c r="A112" s="114"/>
      <c r="B112" s="115"/>
      <c r="C112" s="115"/>
      <c r="D112" s="115"/>
      <c r="E112" s="115"/>
      <c r="F112" s="115"/>
      <c r="H112" s="95">
        <v>107</v>
      </c>
      <c r="I112" s="96" t="str">
        <f t="shared" si="7"/>
        <v/>
      </c>
      <c r="J112" s="95" t="e">
        <f t="shared" si="8"/>
        <v>#NUM!</v>
      </c>
      <c r="K112" s="95" t="e">
        <f t="shared" si="9"/>
        <v>#NUM!</v>
      </c>
      <c r="L112" s="95"/>
      <c r="M112" s="97">
        <f t="shared" si="10"/>
        <v>0</v>
      </c>
      <c r="S112" s="85"/>
      <c r="T112" s="85"/>
      <c r="U112" s="85"/>
      <c r="V112" s="85"/>
      <c r="W112" s="85"/>
      <c r="X112" s="85"/>
      <c r="Y112" s="85"/>
      <c r="Z112" s="85"/>
      <c r="AA112" s="85"/>
      <c r="AB112" s="85"/>
      <c r="AC112" s="85"/>
      <c r="AD112" s="85"/>
      <c r="AE112" s="85"/>
      <c r="AF112" s="85"/>
      <c r="AG112" s="85"/>
      <c r="AH112" s="85"/>
      <c r="AI112" s="85"/>
      <c r="AJ112" s="85"/>
      <c r="AK112" s="85"/>
      <c r="AL112" s="85"/>
    </row>
    <row r="113" spans="1:38" s="80" customFormat="1" x14ac:dyDescent="0.25">
      <c r="A113" s="114"/>
      <c r="B113" s="115"/>
      <c r="C113" s="115"/>
      <c r="D113" s="115"/>
      <c r="E113" s="115"/>
      <c r="F113" s="115"/>
      <c r="H113" s="95">
        <v>108</v>
      </c>
      <c r="I113" s="96" t="str">
        <f t="shared" si="7"/>
        <v/>
      </c>
      <c r="J113" s="95" t="e">
        <f t="shared" si="8"/>
        <v>#NUM!</v>
      </c>
      <c r="K113" s="95" t="e">
        <f t="shared" si="9"/>
        <v>#NUM!</v>
      </c>
      <c r="L113" s="95"/>
      <c r="M113" s="97">
        <f t="shared" si="10"/>
        <v>0</v>
      </c>
      <c r="S113" s="85"/>
      <c r="T113" s="85"/>
      <c r="U113" s="85"/>
      <c r="V113" s="85"/>
      <c r="W113" s="85"/>
      <c r="X113" s="85"/>
      <c r="Y113" s="85"/>
      <c r="Z113" s="85"/>
      <c r="AA113" s="85"/>
      <c r="AB113" s="85"/>
      <c r="AC113" s="85"/>
      <c r="AD113" s="85"/>
      <c r="AE113" s="85"/>
      <c r="AF113" s="85"/>
      <c r="AG113" s="85"/>
      <c r="AH113" s="85"/>
      <c r="AI113" s="85"/>
      <c r="AJ113" s="85"/>
      <c r="AK113" s="85"/>
      <c r="AL113" s="85"/>
    </row>
    <row r="114" spans="1:38" s="80" customFormat="1" x14ac:dyDescent="0.25">
      <c r="A114" s="114"/>
      <c r="B114" s="115"/>
      <c r="C114" s="115"/>
      <c r="D114" s="115"/>
      <c r="E114" s="115"/>
      <c r="F114" s="115"/>
      <c r="H114" s="95">
        <v>109</v>
      </c>
      <c r="I114" s="96" t="str">
        <f t="shared" si="7"/>
        <v/>
      </c>
      <c r="J114" s="95" t="e">
        <f t="shared" si="8"/>
        <v>#NUM!</v>
      </c>
      <c r="K114" s="95" t="e">
        <f t="shared" si="9"/>
        <v>#NUM!</v>
      </c>
      <c r="L114" s="95"/>
      <c r="M114" s="97">
        <f t="shared" si="10"/>
        <v>0</v>
      </c>
      <c r="S114" s="85"/>
      <c r="T114" s="85"/>
      <c r="U114" s="85"/>
      <c r="V114" s="85"/>
      <c r="W114" s="85"/>
      <c r="X114" s="85"/>
      <c r="Y114" s="85"/>
      <c r="Z114" s="85"/>
      <c r="AA114" s="85"/>
      <c r="AB114" s="85"/>
      <c r="AC114" s="85"/>
      <c r="AD114" s="85"/>
      <c r="AE114" s="85"/>
      <c r="AF114" s="85"/>
      <c r="AG114" s="85"/>
      <c r="AH114" s="85"/>
      <c r="AI114" s="85"/>
      <c r="AJ114" s="85"/>
      <c r="AK114" s="85"/>
      <c r="AL114" s="85"/>
    </row>
    <row r="115" spans="1:38" s="80" customFormat="1" x14ac:dyDescent="0.25">
      <c r="A115" s="114"/>
      <c r="B115" s="115"/>
      <c r="C115" s="115"/>
      <c r="D115" s="115"/>
      <c r="E115" s="115"/>
      <c r="F115" s="115"/>
      <c r="H115" s="95">
        <v>110</v>
      </c>
      <c r="I115" s="96" t="str">
        <f t="shared" si="7"/>
        <v/>
      </c>
      <c r="J115" s="95" t="e">
        <f t="shared" si="8"/>
        <v>#NUM!</v>
      </c>
      <c r="K115" s="95" t="e">
        <f t="shared" si="9"/>
        <v>#NUM!</v>
      </c>
      <c r="L115" s="95"/>
      <c r="M115" s="97">
        <f t="shared" si="10"/>
        <v>0</v>
      </c>
      <c r="S115" s="85"/>
      <c r="T115" s="85"/>
      <c r="U115" s="85"/>
      <c r="V115" s="85"/>
      <c r="W115" s="85"/>
      <c r="X115" s="85"/>
      <c r="Y115" s="85"/>
      <c r="Z115" s="85"/>
      <c r="AA115" s="85"/>
      <c r="AB115" s="85"/>
      <c r="AC115" s="85"/>
      <c r="AD115" s="85"/>
      <c r="AE115" s="85"/>
      <c r="AF115" s="85"/>
      <c r="AG115" s="85"/>
      <c r="AH115" s="85"/>
      <c r="AI115" s="85"/>
      <c r="AJ115" s="85"/>
      <c r="AK115" s="85"/>
      <c r="AL115" s="85"/>
    </row>
    <row r="116" spans="1:38" s="80" customFormat="1" x14ac:dyDescent="0.25">
      <c r="A116" s="114"/>
      <c r="B116" s="115"/>
      <c r="C116" s="115"/>
      <c r="D116" s="115"/>
      <c r="E116" s="115"/>
      <c r="F116" s="115"/>
      <c r="H116" s="95">
        <v>111</v>
      </c>
      <c r="I116" s="96" t="str">
        <f t="shared" si="7"/>
        <v/>
      </c>
      <c r="J116" s="95" t="e">
        <f t="shared" si="8"/>
        <v>#NUM!</v>
      </c>
      <c r="K116" s="95" t="e">
        <f t="shared" si="9"/>
        <v>#NUM!</v>
      </c>
      <c r="L116" s="95"/>
      <c r="M116" s="97">
        <f t="shared" si="10"/>
        <v>0</v>
      </c>
      <c r="S116" s="85"/>
      <c r="T116" s="85"/>
      <c r="U116" s="85"/>
      <c r="V116" s="85"/>
      <c r="W116" s="85"/>
      <c r="X116" s="85"/>
      <c r="Y116" s="85"/>
      <c r="Z116" s="85"/>
      <c r="AA116" s="85"/>
      <c r="AB116" s="85"/>
      <c r="AC116" s="85"/>
      <c r="AD116" s="85"/>
      <c r="AE116" s="85"/>
      <c r="AF116" s="85"/>
      <c r="AG116" s="85"/>
      <c r="AH116" s="85"/>
      <c r="AI116" s="85"/>
      <c r="AJ116" s="85"/>
      <c r="AK116" s="85"/>
      <c r="AL116" s="85"/>
    </row>
    <row r="117" spans="1:38" s="80" customFormat="1" x14ac:dyDescent="0.25">
      <c r="A117" s="114"/>
      <c r="B117" s="115"/>
      <c r="C117" s="115"/>
      <c r="D117" s="115"/>
      <c r="E117" s="115"/>
      <c r="F117" s="115"/>
      <c r="H117" s="95">
        <v>112</v>
      </c>
      <c r="I117" s="96" t="str">
        <f t="shared" si="7"/>
        <v/>
      </c>
      <c r="J117" s="95" t="e">
        <f t="shared" si="8"/>
        <v>#NUM!</v>
      </c>
      <c r="K117" s="95" t="e">
        <f t="shared" si="9"/>
        <v>#NUM!</v>
      </c>
      <c r="L117" s="95"/>
      <c r="M117" s="97">
        <f t="shared" si="10"/>
        <v>0</v>
      </c>
      <c r="S117" s="85"/>
      <c r="T117" s="85"/>
      <c r="U117" s="85"/>
      <c r="V117" s="85"/>
      <c r="W117" s="85"/>
      <c r="X117" s="85"/>
      <c r="Y117" s="85"/>
      <c r="Z117" s="85"/>
      <c r="AA117" s="85"/>
      <c r="AB117" s="85"/>
      <c r="AC117" s="85"/>
      <c r="AD117" s="85"/>
      <c r="AE117" s="85"/>
      <c r="AF117" s="85"/>
      <c r="AG117" s="85"/>
      <c r="AH117" s="85"/>
      <c r="AI117" s="85"/>
      <c r="AJ117" s="85"/>
      <c r="AK117" s="85"/>
      <c r="AL117" s="85"/>
    </row>
    <row r="118" spans="1:38" s="80" customFormat="1" x14ac:dyDescent="0.25">
      <c r="A118" s="114"/>
      <c r="B118" s="115"/>
      <c r="C118" s="115"/>
      <c r="D118" s="115"/>
      <c r="E118" s="115"/>
      <c r="F118" s="115"/>
      <c r="H118" s="95">
        <v>113</v>
      </c>
      <c r="I118" s="96" t="str">
        <f t="shared" si="7"/>
        <v/>
      </c>
      <c r="J118" s="95" t="e">
        <f t="shared" si="8"/>
        <v>#NUM!</v>
      </c>
      <c r="K118" s="95" t="e">
        <f t="shared" si="9"/>
        <v>#NUM!</v>
      </c>
      <c r="L118" s="95"/>
      <c r="M118" s="97">
        <f t="shared" si="10"/>
        <v>0</v>
      </c>
      <c r="S118" s="85"/>
      <c r="T118" s="85"/>
      <c r="U118" s="85"/>
      <c r="V118" s="85"/>
      <c r="W118" s="85"/>
      <c r="X118" s="85"/>
      <c r="Y118" s="85"/>
      <c r="Z118" s="85"/>
      <c r="AA118" s="85"/>
      <c r="AB118" s="85"/>
      <c r="AC118" s="85"/>
      <c r="AD118" s="85"/>
      <c r="AE118" s="85"/>
      <c r="AF118" s="85"/>
      <c r="AG118" s="85"/>
      <c r="AH118" s="85"/>
      <c r="AI118" s="85"/>
      <c r="AJ118" s="85"/>
      <c r="AK118" s="85"/>
      <c r="AL118" s="85"/>
    </row>
    <row r="119" spans="1:38" s="80" customFormat="1" x14ac:dyDescent="0.25">
      <c r="A119" s="114"/>
      <c r="B119" s="115"/>
      <c r="C119" s="115"/>
      <c r="D119" s="115"/>
      <c r="E119" s="115"/>
      <c r="F119" s="115"/>
      <c r="H119" s="95">
        <v>114</v>
      </c>
      <c r="I119" s="96" t="str">
        <f t="shared" si="7"/>
        <v/>
      </c>
      <c r="J119" s="95" t="e">
        <f t="shared" si="8"/>
        <v>#NUM!</v>
      </c>
      <c r="K119" s="95" t="e">
        <f t="shared" si="9"/>
        <v>#NUM!</v>
      </c>
      <c r="L119" s="95"/>
      <c r="M119" s="97">
        <f t="shared" si="10"/>
        <v>0</v>
      </c>
      <c r="S119" s="85"/>
      <c r="T119" s="85"/>
      <c r="U119" s="85"/>
      <c r="V119" s="85"/>
      <c r="W119" s="85"/>
      <c r="X119" s="85"/>
      <c r="Y119" s="85"/>
      <c r="Z119" s="85"/>
      <c r="AA119" s="85"/>
      <c r="AB119" s="85"/>
      <c r="AC119" s="85"/>
      <c r="AD119" s="85"/>
      <c r="AE119" s="85"/>
      <c r="AF119" s="85"/>
      <c r="AG119" s="85"/>
      <c r="AH119" s="85"/>
      <c r="AI119" s="85"/>
      <c r="AJ119" s="85"/>
      <c r="AK119" s="85"/>
      <c r="AL119" s="85"/>
    </row>
    <row r="120" spans="1:38" s="80" customFormat="1" x14ac:dyDescent="0.25">
      <c r="A120" s="114"/>
      <c r="B120" s="115"/>
      <c r="C120" s="115"/>
      <c r="D120" s="115"/>
      <c r="E120" s="115"/>
      <c r="F120" s="115"/>
      <c r="H120" s="95">
        <v>115</v>
      </c>
      <c r="I120" s="96" t="str">
        <f t="shared" si="7"/>
        <v/>
      </c>
      <c r="J120" s="95" t="e">
        <f t="shared" si="8"/>
        <v>#NUM!</v>
      </c>
      <c r="K120" s="95" t="e">
        <f t="shared" si="9"/>
        <v>#NUM!</v>
      </c>
      <c r="L120" s="95"/>
      <c r="M120" s="97">
        <f t="shared" si="10"/>
        <v>0</v>
      </c>
      <c r="S120" s="85"/>
      <c r="T120" s="85"/>
      <c r="U120" s="85"/>
      <c r="V120" s="85"/>
      <c r="W120" s="85"/>
      <c r="X120" s="85"/>
      <c r="Y120" s="85"/>
      <c r="Z120" s="85"/>
      <c r="AA120" s="85"/>
      <c r="AB120" s="85"/>
      <c r="AC120" s="85"/>
      <c r="AD120" s="85"/>
      <c r="AE120" s="85"/>
      <c r="AF120" s="85"/>
      <c r="AG120" s="85"/>
      <c r="AH120" s="85"/>
      <c r="AI120" s="85"/>
      <c r="AJ120" s="85"/>
      <c r="AK120" s="85"/>
      <c r="AL120" s="85"/>
    </row>
    <row r="121" spans="1:38" s="80" customFormat="1" x14ac:dyDescent="0.25">
      <c r="A121" s="114"/>
      <c r="B121" s="115"/>
      <c r="C121" s="115"/>
      <c r="D121" s="115"/>
      <c r="E121" s="115"/>
      <c r="F121" s="115"/>
      <c r="H121" s="95">
        <v>116</v>
      </c>
      <c r="I121" s="96" t="str">
        <f t="shared" si="7"/>
        <v/>
      </c>
      <c r="J121" s="95" t="e">
        <f t="shared" si="8"/>
        <v>#NUM!</v>
      </c>
      <c r="K121" s="95" t="e">
        <f t="shared" si="9"/>
        <v>#NUM!</v>
      </c>
      <c r="L121" s="95"/>
      <c r="M121" s="97">
        <f t="shared" si="10"/>
        <v>0</v>
      </c>
      <c r="S121" s="85"/>
      <c r="T121" s="85"/>
      <c r="U121" s="85"/>
      <c r="V121" s="85"/>
      <c r="W121" s="85"/>
      <c r="X121" s="85"/>
      <c r="Y121" s="85"/>
      <c r="Z121" s="85"/>
      <c r="AA121" s="85"/>
      <c r="AB121" s="85"/>
      <c r="AC121" s="85"/>
      <c r="AD121" s="85"/>
      <c r="AE121" s="85"/>
      <c r="AF121" s="85"/>
      <c r="AG121" s="85"/>
      <c r="AH121" s="85"/>
      <c r="AI121" s="85"/>
      <c r="AJ121" s="85"/>
      <c r="AK121" s="85"/>
      <c r="AL121" s="85"/>
    </row>
    <row r="122" spans="1:38" s="80" customFormat="1" x14ac:dyDescent="0.25">
      <c r="A122" s="114"/>
      <c r="B122" s="115"/>
      <c r="C122" s="115"/>
      <c r="D122" s="115"/>
      <c r="E122" s="115"/>
      <c r="F122" s="115"/>
      <c r="H122" s="95">
        <v>117</v>
      </c>
      <c r="I122" s="96" t="str">
        <f t="shared" si="7"/>
        <v/>
      </c>
      <c r="J122" s="95" t="e">
        <f t="shared" si="8"/>
        <v>#NUM!</v>
      </c>
      <c r="K122" s="95" t="e">
        <f t="shared" si="9"/>
        <v>#NUM!</v>
      </c>
      <c r="L122" s="95"/>
      <c r="M122" s="97">
        <f t="shared" si="10"/>
        <v>0</v>
      </c>
      <c r="S122" s="85"/>
      <c r="T122" s="85"/>
      <c r="U122" s="85"/>
      <c r="V122" s="85"/>
      <c r="W122" s="85"/>
      <c r="X122" s="85"/>
      <c r="Y122" s="85"/>
      <c r="Z122" s="85"/>
      <c r="AA122" s="85"/>
      <c r="AB122" s="85"/>
      <c r="AC122" s="85"/>
      <c r="AD122" s="85"/>
      <c r="AE122" s="85"/>
      <c r="AF122" s="85"/>
      <c r="AG122" s="85"/>
      <c r="AH122" s="85"/>
      <c r="AI122" s="85"/>
      <c r="AJ122" s="85"/>
      <c r="AK122" s="85"/>
      <c r="AL122" s="85"/>
    </row>
    <row r="123" spans="1:38" s="80" customFormat="1" x14ac:dyDescent="0.25">
      <c r="A123" s="114"/>
      <c r="B123" s="115"/>
      <c r="C123" s="115"/>
      <c r="D123" s="115"/>
      <c r="E123" s="115"/>
      <c r="F123" s="115"/>
      <c r="H123" s="95">
        <v>118</v>
      </c>
      <c r="I123" s="96" t="str">
        <f t="shared" si="7"/>
        <v/>
      </c>
      <c r="J123" s="95" t="e">
        <f t="shared" si="8"/>
        <v>#NUM!</v>
      </c>
      <c r="K123" s="95" t="e">
        <f t="shared" si="9"/>
        <v>#NUM!</v>
      </c>
      <c r="L123" s="95"/>
      <c r="M123" s="97">
        <f t="shared" si="10"/>
        <v>0</v>
      </c>
      <c r="S123" s="85"/>
      <c r="T123" s="85"/>
      <c r="U123" s="85"/>
      <c r="V123" s="85"/>
      <c r="W123" s="85"/>
      <c r="X123" s="85"/>
      <c r="Y123" s="85"/>
      <c r="Z123" s="85"/>
      <c r="AA123" s="85"/>
      <c r="AB123" s="85"/>
      <c r="AC123" s="85"/>
      <c r="AD123" s="85"/>
      <c r="AE123" s="85"/>
      <c r="AF123" s="85"/>
      <c r="AG123" s="85"/>
      <c r="AH123" s="85"/>
      <c r="AI123" s="85"/>
      <c r="AJ123" s="85"/>
      <c r="AK123" s="85"/>
      <c r="AL123" s="85"/>
    </row>
    <row r="124" spans="1:38" s="80" customFormat="1" x14ac:dyDescent="0.25">
      <c r="A124" s="114"/>
      <c r="B124" s="115"/>
      <c r="C124" s="115"/>
      <c r="D124" s="115"/>
      <c r="E124" s="115"/>
      <c r="F124" s="115"/>
      <c r="H124" s="95">
        <v>119</v>
      </c>
      <c r="I124" s="96" t="str">
        <f t="shared" si="7"/>
        <v/>
      </c>
      <c r="J124" s="95" t="e">
        <f t="shared" si="8"/>
        <v>#NUM!</v>
      </c>
      <c r="K124" s="95" t="e">
        <f t="shared" si="9"/>
        <v>#NUM!</v>
      </c>
      <c r="L124" s="95"/>
      <c r="M124" s="97">
        <f t="shared" si="10"/>
        <v>0</v>
      </c>
      <c r="S124" s="85"/>
      <c r="T124" s="85"/>
      <c r="U124" s="85"/>
      <c r="V124" s="85"/>
      <c r="W124" s="85"/>
      <c r="X124" s="85"/>
      <c r="Y124" s="85"/>
      <c r="Z124" s="85"/>
      <c r="AA124" s="85"/>
      <c r="AB124" s="85"/>
      <c r="AC124" s="85"/>
      <c r="AD124" s="85"/>
      <c r="AE124" s="85"/>
      <c r="AF124" s="85"/>
      <c r="AG124" s="85"/>
      <c r="AH124" s="85"/>
      <c r="AI124" s="85"/>
      <c r="AJ124" s="85"/>
      <c r="AK124" s="85"/>
      <c r="AL124" s="85"/>
    </row>
    <row r="125" spans="1:38" s="80" customFormat="1" x14ac:dyDescent="0.25">
      <c r="A125" s="114"/>
      <c r="B125" s="115"/>
      <c r="C125" s="115"/>
      <c r="D125" s="115"/>
      <c r="E125" s="115"/>
      <c r="F125" s="115"/>
      <c r="H125" s="95">
        <v>120</v>
      </c>
      <c r="I125" s="96" t="str">
        <f t="shared" si="7"/>
        <v/>
      </c>
      <c r="J125" s="95" t="e">
        <f t="shared" si="8"/>
        <v>#NUM!</v>
      </c>
      <c r="K125" s="95" t="e">
        <f t="shared" si="9"/>
        <v>#NUM!</v>
      </c>
      <c r="L125" s="95"/>
      <c r="M125" s="97">
        <f t="shared" si="10"/>
        <v>0</v>
      </c>
      <c r="S125" s="85"/>
      <c r="T125" s="85"/>
      <c r="U125" s="85"/>
      <c r="V125" s="85"/>
      <c r="W125" s="85"/>
      <c r="X125" s="85"/>
      <c r="Y125" s="85"/>
      <c r="Z125" s="85"/>
      <c r="AA125" s="85"/>
      <c r="AB125" s="85"/>
      <c r="AC125" s="85"/>
      <c r="AD125" s="85"/>
      <c r="AE125" s="85"/>
      <c r="AF125" s="85"/>
      <c r="AG125" s="85"/>
      <c r="AH125" s="85"/>
      <c r="AI125" s="85"/>
      <c r="AJ125" s="85"/>
      <c r="AK125" s="85"/>
      <c r="AL125" s="85"/>
    </row>
    <row r="126" spans="1:38" s="80" customFormat="1" x14ac:dyDescent="0.25">
      <c r="A126" s="114"/>
      <c r="B126" s="115"/>
      <c r="C126" s="115"/>
      <c r="D126" s="115"/>
      <c r="E126" s="115"/>
      <c r="F126" s="115"/>
      <c r="H126" s="95">
        <v>121</v>
      </c>
      <c r="I126" s="96" t="str">
        <f t="shared" si="7"/>
        <v/>
      </c>
      <c r="J126" s="95" t="e">
        <f t="shared" si="8"/>
        <v>#NUM!</v>
      </c>
      <c r="K126" s="95" t="e">
        <f t="shared" si="9"/>
        <v>#NUM!</v>
      </c>
      <c r="L126" s="95"/>
      <c r="M126" s="97">
        <f t="shared" si="10"/>
        <v>0</v>
      </c>
      <c r="S126" s="85"/>
      <c r="T126" s="85"/>
      <c r="U126" s="85"/>
      <c r="V126" s="85"/>
      <c r="W126" s="85"/>
      <c r="X126" s="85"/>
      <c r="Y126" s="85"/>
      <c r="Z126" s="85"/>
      <c r="AA126" s="85"/>
      <c r="AB126" s="85"/>
      <c r="AC126" s="85"/>
      <c r="AD126" s="85"/>
      <c r="AE126" s="85"/>
      <c r="AF126" s="85"/>
      <c r="AG126" s="85"/>
      <c r="AH126" s="85"/>
      <c r="AI126" s="85"/>
      <c r="AJ126" s="85"/>
      <c r="AK126" s="85"/>
      <c r="AL126" s="85"/>
    </row>
    <row r="127" spans="1:38" s="80" customFormat="1" x14ac:dyDescent="0.25">
      <c r="A127" s="114"/>
      <c r="B127" s="115"/>
      <c r="C127" s="115"/>
      <c r="D127" s="115"/>
      <c r="E127" s="115"/>
      <c r="F127" s="115"/>
      <c r="H127" s="95">
        <v>122</v>
      </c>
      <c r="I127" s="96" t="str">
        <f t="shared" si="7"/>
        <v/>
      </c>
      <c r="J127" s="95" t="e">
        <f t="shared" si="8"/>
        <v>#NUM!</v>
      </c>
      <c r="K127" s="95" t="e">
        <f t="shared" si="9"/>
        <v>#NUM!</v>
      </c>
      <c r="L127" s="95"/>
      <c r="M127" s="97">
        <f t="shared" si="10"/>
        <v>0</v>
      </c>
      <c r="S127" s="85"/>
      <c r="T127" s="85"/>
      <c r="U127" s="85"/>
      <c r="V127" s="85"/>
      <c r="W127" s="85"/>
      <c r="X127" s="85"/>
      <c r="Y127" s="85"/>
      <c r="Z127" s="85"/>
      <c r="AA127" s="85"/>
      <c r="AB127" s="85"/>
      <c r="AC127" s="85"/>
      <c r="AD127" s="85"/>
      <c r="AE127" s="85"/>
      <c r="AF127" s="85"/>
      <c r="AG127" s="85"/>
      <c r="AH127" s="85"/>
      <c r="AI127" s="85"/>
      <c r="AJ127" s="85"/>
      <c r="AK127" s="85"/>
      <c r="AL127" s="85"/>
    </row>
    <row r="128" spans="1:38" s="80" customFormat="1" x14ac:dyDescent="0.25">
      <c r="A128" s="114"/>
      <c r="B128" s="115"/>
      <c r="C128" s="115"/>
      <c r="D128" s="115"/>
      <c r="E128" s="115"/>
      <c r="F128" s="115"/>
      <c r="H128" s="95">
        <v>123</v>
      </c>
      <c r="I128" s="96" t="str">
        <f t="shared" si="7"/>
        <v/>
      </c>
      <c r="J128" s="95" t="e">
        <f t="shared" si="8"/>
        <v>#NUM!</v>
      </c>
      <c r="K128" s="95" t="e">
        <f t="shared" si="9"/>
        <v>#NUM!</v>
      </c>
      <c r="L128" s="95"/>
      <c r="M128" s="97">
        <f t="shared" si="10"/>
        <v>0</v>
      </c>
      <c r="S128" s="85"/>
      <c r="T128" s="85"/>
      <c r="U128" s="85"/>
      <c r="V128" s="85"/>
      <c r="W128" s="85"/>
      <c r="X128" s="85"/>
      <c r="Y128" s="85"/>
      <c r="Z128" s="85"/>
      <c r="AA128" s="85"/>
      <c r="AB128" s="85"/>
      <c r="AC128" s="85"/>
      <c r="AD128" s="85"/>
      <c r="AE128" s="85"/>
      <c r="AF128" s="85"/>
      <c r="AG128" s="85"/>
      <c r="AH128" s="85"/>
      <c r="AI128" s="85"/>
      <c r="AJ128" s="85"/>
      <c r="AK128" s="85"/>
      <c r="AL128" s="85"/>
    </row>
    <row r="129" spans="1:38" s="80" customFormat="1" x14ac:dyDescent="0.25">
      <c r="A129" s="114"/>
      <c r="B129" s="115"/>
      <c r="C129" s="115"/>
      <c r="D129" s="115"/>
      <c r="E129" s="115"/>
      <c r="F129" s="115"/>
      <c r="H129" s="95">
        <v>124</v>
      </c>
      <c r="I129" s="96" t="str">
        <f t="shared" si="7"/>
        <v/>
      </c>
      <c r="J129" s="95" t="e">
        <f t="shared" si="8"/>
        <v>#NUM!</v>
      </c>
      <c r="K129" s="95" t="e">
        <f t="shared" si="9"/>
        <v>#NUM!</v>
      </c>
      <c r="L129" s="95"/>
      <c r="M129" s="97">
        <f t="shared" si="10"/>
        <v>0</v>
      </c>
      <c r="S129" s="85"/>
      <c r="T129" s="85"/>
      <c r="U129" s="85"/>
      <c r="V129" s="85"/>
      <c r="W129" s="85"/>
      <c r="X129" s="85"/>
      <c r="Y129" s="85"/>
      <c r="Z129" s="85"/>
      <c r="AA129" s="85"/>
      <c r="AB129" s="85"/>
      <c r="AC129" s="85"/>
      <c r="AD129" s="85"/>
      <c r="AE129" s="85"/>
      <c r="AF129" s="85"/>
      <c r="AG129" s="85"/>
      <c r="AH129" s="85"/>
      <c r="AI129" s="85"/>
      <c r="AJ129" s="85"/>
      <c r="AK129" s="85"/>
      <c r="AL129" s="85"/>
    </row>
    <row r="130" spans="1:38" s="80" customFormat="1" x14ac:dyDescent="0.25">
      <c r="A130" s="114"/>
      <c r="B130" s="115"/>
      <c r="C130" s="115"/>
      <c r="D130" s="115"/>
      <c r="E130" s="115"/>
      <c r="F130" s="115"/>
      <c r="H130" s="95">
        <v>125</v>
      </c>
      <c r="I130" s="96" t="str">
        <f t="shared" si="7"/>
        <v/>
      </c>
      <c r="J130" s="95" t="e">
        <f t="shared" si="8"/>
        <v>#NUM!</v>
      </c>
      <c r="K130" s="95" t="e">
        <f t="shared" si="9"/>
        <v>#NUM!</v>
      </c>
      <c r="L130" s="95"/>
      <c r="M130" s="97">
        <f t="shared" si="10"/>
        <v>0</v>
      </c>
      <c r="S130" s="85"/>
      <c r="T130" s="85"/>
      <c r="U130" s="85"/>
      <c r="V130" s="85"/>
      <c r="W130" s="85"/>
      <c r="X130" s="85"/>
      <c r="Y130" s="85"/>
      <c r="Z130" s="85"/>
      <c r="AA130" s="85"/>
      <c r="AB130" s="85"/>
      <c r="AC130" s="85"/>
      <c r="AD130" s="85"/>
      <c r="AE130" s="85"/>
      <c r="AF130" s="85"/>
      <c r="AG130" s="85"/>
      <c r="AH130" s="85"/>
      <c r="AI130" s="85"/>
      <c r="AJ130" s="85"/>
      <c r="AK130" s="85"/>
      <c r="AL130" s="85"/>
    </row>
    <row r="131" spans="1:38" s="80" customFormat="1" x14ac:dyDescent="0.25">
      <c r="A131" s="114"/>
      <c r="B131" s="115"/>
      <c r="C131" s="115"/>
      <c r="D131" s="115"/>
      <c r="E131" s="115"/>
      <c r="F131" s="115"/>
      <c r="H131" s="95">
        <v>126</v>
      </c>
      <c r="I131" s="96" t="str">
        <f t="shared" si="7"/>
        <v/>
      </c>
      <c r="J131" s="95" t="e">
        <f t="shared" si="8"/>
        <v>#NUM!</v>
      </c>
      <c r="K131" s="95" t="e">
        <f t="shared" si="9"/>
        <v>#NUM!</v>
      </c>
      <c r="L131" s="95"/>
      <c r="M131" s="97">
        <f t="shared" si="10"/>
        <v>0</v>
      </c>
      <c r="S131" s="85"/>
      <c r="T131" s="85"/>
      <c r="U131" s="85"/>
      <c r="V131" s="85"/>
      <c r="W131" s="85"/>
      <c r="X131" s="85"/>
      <c r="Y131" s="85"/>
      <c r="Z131" s="85"/>
      <c r="AA131" s="85"/>
      <c r="AB131" s="85"/>
      <c r="AC131" s="85"/>
      <c r="AD131" s="85"/>
      <c r="AE131" s="85"/>
      <c r="AF131" s="85"/>
      <c r="AG131" s="85"/>
      <c r="AH131" s="85"/>
      <c r="AI131" s="85"/>
      <c r="AJ131" s="85"/>
      <c r="AK131" s="85"/>
      <c r="AL131" s="85"/>
    </row>
    <row r="132" spans="1:38" s="80" customFormat="1" x14ac:dyDescent="0.25">
      <c r="A132" s="114"/>
      <c r="B132" s="115"/>
      <c r="C132" s="115"/>
      <c r="D132" s="115"/>
      <c r="E132" s="115"/>
      <c r="F132" s="115"/>
      <c r="H132" s="95">
        <v>127</v>
      </c>
      <c r="I132" s="96" t="str">
        <f t="shared" si="7"/>
        <v/>
      </c>
      <c r="J132" s="95" t="e">
        <f t="shared" si="8"/>
        <v>#NUM!</v>
      </c>
      <c r="K132" s="95" t="e">
        <f t="shared" si="9"/>
        <v>#NUM!</v>
      </c>
      <c r="L132" s="95"/>
      <c r="M132" s="97">
        <f t="shared" si="10"/>
        <v>0</v>
      </c>
      <c r="S132" s="85"/>
      <c r="T132" s="85"/>
      <c r="U132" s="85"/>
      <c r="V132" s="85"/>
      <c r="W132" s="85"/>
      <c r="X132" s="85"/>
      <c r="Y132" s="85"/>
      <c r="Z132" s="85"/>
      <c r="AA132" s="85"/>
      <c r="AB132" s="85"/>
      <c r="AC132" s="85"/>
      <c r="AD132" s="85"/>
      <c r="AE132" s="85"/>
      <c r="AF132" s="85"/>
      <c r="AG132" s="85"/>
      <c r="AH132" s="85"/>
      <c r="AI132" s="85"/>
      <c r="AJ132" s="85"/>
      <c r="AK132" s="85"/>
      <c r="AL132" s="85"/>
    </row>
    <row r="133" spans="1:38" s="80" customFormat="1" x14ac:dyDescent="0.25">
      <c r="A133" s="114"/>
      <c r="B133" s="115"/>
      <c r="C133" s="115"/>
      <c r="D133" s="115"/>
      <c r="E133" s="115"/>
      <c r="F133" s="115"/>
      <c r="H133" s="95">
        <v>128</v>
      </c>
      <c r="I133" s="96" t="str">
        <f t="shared" si="7"/>
        <v/>
      </c>
      <c r="J133" s="95" t="e">
        <f t="shared" si="8"/>
        <v>#NUM!</v>
      </c>
      <c r="K133" s="95" t="e">
        <f t="shared" si="9"/>
        <v>#NUM!</v>
      </c>
      <c r="L133" s="95"/>
      <c r="M133" s="97">
        <f t="shared" si="10"/>
        <v>0</v>
      </c>
      <c r="S133" s="85"/>
      <c r="T133" s="85"/>
      <c r="U133" s="85"/>
      <c r="V133" s="85"/>
      <c r="W133" s="85"/>
      <c r="X133" s="85"/>
      <c r="Y133" s="85"/>
      <c r="Z133" s="85"/>
      <c r="AA133" s="85"/>
      <c r="AB133" s="85"/>
      <c r="AC133" s="85"/>
      <c r="AD133" s="85"/>
      <c r="AE133" s="85"/>
      <c r="AF133" s="85"/>
      <c r="AG133" s="85"/>
      <c r="AH133" s="85"/>
      <c r="AI133" s="85"/>
      <c r="AJ133" s="85"/>
      <c r="AK133" s="85"/>
      <c r="AL133" s="85"/>
    </row>
    <row r="134" spans="1:38" s="80" customFormat="1" x14ac:dyDescent="0.25">
      <c r="A134" s="114"/>
      <c r="B134" s="115"/>
      <c r="C134" s="115"/>
      <c r="D134" s="115"/>
      <c r="E134" s="115"/>
      <c r="F134" s="115"/>
      <c r="H134" s="95">
        <v>129</v>
      </c>
      <c r="I134" s="96" t="str">
        <f t="shared" ref="I134:I197" si="11">IF(H134&lt;$H$2+1,($I$2-($I$2-1)*(LOG(H134)/LOG($H$2))),"")</f>
        <v/>
      </c>
      <c r="J134" s="95" t="e">
        <f t="shared" ref="J134:J197" si="12">INT(LOG($H$2,2))-ROUNDUP(LOG(H134,2),0)+IF(OR($H$2=1,$H$2=2,$H$2=4,$H$2=8,$H$2=16,$H$2=32,$H$2=64,$H$2=128,$H$2=256),0,1)</f>
        <v>#NUM!</v>
      </c>
      <c r="K134" s="95" t="e">
        <f t="shared" ref="K134:K197" si="13">J134*$J$2</f>
        <v>#NUM!</v>
      </c>
      <c r="L134" s="95"/>
      <c r="M134" s="97">
        <f t="shared" ref="M134:M197" si="14">IF(I134&lt;&gt;"",K134+I134+L134,0)</f>
        <v>0</v>
      </c>
      <c r="S134" s="85"/>
      <c r="T134" s="85"/>
      <c r="U134" s="85"/>
      <c r="V134" s="85"/>
      <c r="W134" s="85"/>
      <c r="X134" s="85"/>
      <c r="Y134" s="85"/>
      <c r="Z134" s="85"/>
      <c r="AA134" s="85"/>
      <c r="AB134" s="85"/>
      <c r="AC134" s="85"/>
      <c r="AD134" s="85"/>
      <c r="AE134" s="85"/>
      <c r="AF134" s="85"/>
      <c r="AG134" s="85"/>
      <c r="AH134" s="85"/>
      <c r="AI134" s="85"/>
      <c r="AJ134" s="85"/>
      <c r="AK134" s="85"/>
      <c r="AL134" s="85"/>
    </row>
    <row r="135" spans="1:38" s="80" customFormat="1" x14ac:dyDescent="0.25">
      <c r="A135" s="114"/>
      <c r="B135" s="115"/>
      <c r="C135" s="115"/>
      <c r="D135" s="115"/>
      <c r="E135" s="115"/>
      <c r="F135" s="115"/>
      <c r="H135" s="95">
        <v>130</v>
      </c>
      <c r="I135" s="96" t="str">
        <f t="shared" si="11"/>
        <v/>
      </c>
      <c r="J135" s="95" t="e">
        <f t="shared" si="12"/>
        <v>#NUM!</v>
      </c>
      <c r="K135" s="95" t="e">
        <f t="shared" si="13"/>
        <v>#NUM!</v>
      </c>
      <c r="L135" s="95"/>
      <c r="M135" s="97">
        <f t="shared" si="14"/>
        <v>0</v>
      </c>
      <c r="S135" s="85"/>
      <c r="T135" s="85"/>
      <c r="U135" s="85"/>
      <c r="V135" s="85"/>
      <c r="W135" s="85"/>
      <c r="X135" s="85"/>
      <c r="Y135" s="85"/>
      <c r="Z135" s="85"/>
      <c r="AA135" s="85"/>
      <c r="AB135" s="85"/>
      <c r="AC135" s="85"/>
      <c r="AD135" s="85"/>
      <c r="AE135" s="85"/>
      <c r="AF135" s="85"/>
      <c r="AG135" s="85"/>
      <c r="AH135" s="85"/>
      <c r="AI135" s="85"/>
      <c r="AJ135" s="85"/>
      <c r="AK135" s="85"/>
      <c r="AL135" s="85"/>
    </row>
    <row r="136" spans="1:38" s="80" customFormat="1" x14ac:dyDescent="0.25">
      <c r="A136" s="114"/>
      <c r="B136" s="115"/>
      <c r="C136" s="115"/>
      <c r="D136" s="115"/>
      <c r="E136" s="115"/>
      <c r="F136" s="115"/>
      <c r="H136" s="95">
        <v>131</v>
      </c>
      <c r="I136" s="96" t="str">
        <f t="shared" si="11"/>
        <v/>
      </c>
      <c r="J136" s="95" t="e">
        <f t="shared" si="12"/>
        <v>#NUM!</v>
      </c>
      <c r="K136" s="95" t="e">
        <f t="shared" si="13"/>
        <v>#NUM!</v>
      </c>
      <c r="L136" s="95"/>
      <c r="M136" s="97">
        <f t="shared" si="14"/>
        <v>0</v>
      </c>
      <c r="S136" s="85"/>
      <c r="T136" s="85"/>
      <c r="U136" s="85"/>
      <c r="V136" s="85"/>
      <c r="W136" s="85"/>
      <c r="X136" s="85"/>
      <c r="Y136" s="85"/>
      <c r="Z136" s="85"/>
      <c r="AA136" s="85"/>
      <c r="AB136" s="85"/>
      <c r="AC136" s="85"/>
      <c r="AD136" s="85"/>
      <c r="AE136" s="85"/>
      <c r="AF136" s="85"/>
      <c r="AG136" s="85"/>
      <c r="AH136" s="85"/>
      <c r="AI136" s="85"/>
      <c r="AJ136" s="85"/>
      <c r="AK136" s="85"/>
      <c r="AL136" s="85"/>
    </row>
    <row r="137" spans="1:38" s="80" customFormat="1" x14ac:dyDescent="0.25">
      <c r="A137" s="114"/>
      <c r="B137" s="115"/>
      <c r="C137" s="115"/>
      <c r="D137" s="115"/>
      <c r="E137" s="115"/>
      <c r="F137" s="115"/>
      <c r="H137" s="95">
        <v>132</v>
      </c>
      <c r="I137" s="96" t="str">
        <f t="shared" si="11"/>
        <v/>
      </c>
      <c r="J137" s="95" t="e">
        <f t="shared" si="12"/>
        <v>#NUM!</v>
      </c>
      <c r="K137" s="95" t="e">
        <f t="shared" si="13"/>
        <v>#NUM!</v>
      </c>
      <c r="L137" s="95"/>
      <c r="M137" s="97">
        <f t="shared" si="14"/>
        <v>0</v>
      </c>
      <c r="S137" s="85"/>
      <c r="T137" s="85"/>
      <c r="U137" s="85"/>
      <c r="V137" s="85"/>
      <c r="W137" s="85"/>
      <c r="X137" s="85"/>
      <c r="Y137" s="85"/>
      <c r="Z137" s="85"/>
      <c r="AA137" s="85"/>
      <c r="AB137" s="85"/>
      <c r="AC137" s="85"/>
      <c r="AD137" s="85"/>
      <c r="AE137" s="85"/>
      <c r="AF137" s="85"/>
      <c r="AG137" s="85"/>
      <c r="AH137" s="85"/>
      <c r="AI137" s="85"/>
      <c r="AJ137" s="85"/>
      <c r="AK137" s="85"/>
      <c r="AL137" s="85"/>
    </row>
    <row r="138" spans="1:38" s="80" customFormat="1" x14ac:dyDescent="0.25">
      <c r="A138" s="114"/>
      <c r="B138" s="115"/>
      <c r="C138" s="115"/>
      <c r="D138" s="115"/>
      <c r="E138" s="115"/>
      <c r="F138" s="115"/>
      <c r="H138" s="95">
        <v>133</v>
      </c>
      <c r="I138" s="96" t="str">
        <f t="shared" si="11"/>
        <v/>
      </c>
      <c r="J138" s="95" t="e">
        <f t="shared" si="12"/>
        <v>#NUM!</v>
      </c>
      <c r="K138" s="95" t="e">
        <f t="shared" si="13"/>
        <v>#NUM!</v>
      </c>
      <c r="L138" s="95"/>
      <c r="M138" s="97">
        <f t="shared" si="14"/>
        <v>0</v>
      </c>
      <c r="S138" s="85"/>
      <c r="T138" s="85"/>
      <c r="U138" s="85"/>
      <c r="V138" s="85"/>
      <c r="W138" s="85"/>
      <c r="X138" s="85"/>
      <c r="Y138" s="85"/>
      <c r="Z138" s="85"/>
      <c r="AA138" s="85"/>
      <c r="AB138" s="85"/>
      <c r="AC138" s="85"/>
      <c r="AD138" s="85"/>
      <c r="AE138" s="85"/>
      <c r="AF138" s="85"/>
      <c r="AG138" s="85"/>
      <c r="AH138" s="85"/>
      <c r="AI138" s="85"/>
      <c r="AJ138" s="85"/>
      <c r="AK138" s="85"/>
      <c r="AL138" s="85"/>
    </row>
    <row r="139" spans="1:38" s="80" customFormat="1" x14ac:dyDescent="0.25">
      <c r="A139" s="114"/>
      <c r="B139" s="115"/>
      <c r="C139" s="115"/>
      <c r="D139" s="115"/>
      <c r="E139" s="115"/>
      <c r="F139" s="115"/>
      <c r="H139" s="95">
        <v>134</v>
      </c>
      <c r="I139" s="96" t="str">
        <f t="shared" si="11"/>
        <v/>
      </c>
      <c r="J139" s="95" t="e">
        <f t="shared" si="12"/>
        <v>#NUM!</v>
      </c>
      <c r="K139" s="95" t="e">
        <f t="shared" si="13"/>
        <v>#NUM!</v>
      </c>
      <c r="L139" s="95"/>
      <c r="M139" s="97">
        <f t="shared" si="14"/>
        <v>0</v>
      </c>
      <c r="S139" s="85"/>
      <c r="T139" s="85"/>
      <c r="U139" s="85"/>
      <c r="V139" s="85"/>
      <c r="W139" s="85"/>
      <c r="X139" s="85"/>
      <c r="Y139" s="85"/>
      <c r="Z139" s="85"/>
      <c r="AA139" s="85"/>
      <c r="AB139" s="85"/>
      <c r="AC139" s="85"/>
      <c r="AD139" s="85"/>
      <c r="AE139" s="85"/>
      <c r="AF139" s="85"/>
      <c r="AG139" s="85"/>
      <c r="AH139" s="85"/>
      <c r="AI139" s="85"/>
      <c r="AJ139" s="85"/>
      <c r="AK139" s="85"/>
      <c r="AL139" s="85"/>
    </row>
    <row r="140" spans="1:38" s="80" customFormat="1" x14ac:dyDescent="0.25">
      <c r="A140" s="114"/>
      <c r="B140" s="115"/>
      <c r="C140" s="115"/>
      <c r="D140" s="115"/>
      <c r="E140" s="115"/>
      <c r="F140" s="115"/>
      <c r="H140" s="95">
        <v>135</v>
      </c>
      <c r="I140" s="96" t="str">
        <f t="shared" si="11"/>
        <v/>
      </c>
      <c r="J140" s="95" t="e">
        <f t="shared" si="12"/>
        <v>#NUM!</v>
      </c>
      <c r="K140" s="95" t="e">
        <f t="shared" si="13"/>
        <v>#NUM!</v>
      </c>
      <c r="L140" s="95"/>
      <c r="M140" s="97">
        <f t="shared" si="14"/>
        <v>0</v>
      </c>
      <c r="S140" s="85"/>
      <c r="T140" s="85"/>
      <c r="U140" s="85"/>
      <c r="V140" s="85"/>
      <c r="W140" s="85"/>
      <c r="X140" s="85"/>
      <c r="Y140" s="85"/>
      <c r="Z140" s="85"/>
      <c r="AA140" s="85"/>
      <c r="AB140" s="85"/>
      <c r="AC140" s="85"/>
      <c r="AD140" s="85"/>
      <c r="AE140" s="85"/>
      <c r="AF140" s="85"/>
      <c r="AG140" s="85"/>
      <c r="AH140" s="85"/>
      <c r="AI140" s="85"/>
      <c r="AJ140" s="85"/>
      <c r="AK140" s="85"/>
      <c r="AL140" s="85"/>
    </row>
    <row r="141" spans="1:38" s="80" customFormat="1" x14ac:dyDescent="0.25">
      <c r="A141" s="114"/>
      <c r="B141" s="115"/>
      <c r="C141" s="115"/>
      <c r="D141" s="115"/>
      <c r="E141" s="115"/>
      <c r="F141" s="115"/>
      <c r="H141" s="95">
        <v>136</v>
      </c>
      <c r="I141" s="96" t="str">
        <f t="shared" si="11"/>
        <v/>
      </c>
      <c r="J141" s="95" t="e">
        <f t="shared" si="12"/>
        <v>#NUM!</v>
      </c>
      <c r="K141" s="95" t="e">
        <f t="shared" si="13"/>
        <v>#NUM!</v>
      </c>
      <c r="L141" s="95"/>
      <c r="M141" s="97">
        <f t="shared" si="14"/>
        <v>0</v>
      </c>
      <c r="S141" s="85"/>
      <c r="T141" s="85"/>
      <c r="U141" s="85"/>
      <c r="V141" s="85"/>
      <c r="W141" s="85"/>
      <c r="X141" s="85"/>
      <c r="Y141" s="85"/>
      <c r="Z141" s="85"/>
      <c r="AA141" s="85"/>
      <c r="AB141" s="85"/>
      <c r="AC141" s="85"/>
      <c r="AD141" s="85"/>
      <c r="AE141" s="85"/>
      <c r="AF141" s="85"/>
      <c r="AG141" s="85"/>
      <c r="AH141" s="85"/>
      <c r="AI141" s="85"/>
      <c r="AJ141" s="85"/>
      <c r="AK141" s="85"/>
      <c r="AL141" s="85"/>
    </row>
    <row r="142" spans="1:38" s="80" customFormat="1" x14ac:dyDescent="0.25">
      <c r="A142" s="114"/>
      <c r="B142" s="115"/>
      <c r="C142" s="115"/>
      <c r="D142" s="115"/>
      <c r="E142" s="115"/>
      <c r="F142" s="115"/>
      <c r="H142" s="95">
        <v>137</v>
      </c>
      <c r="I142" s="96" t="str">
        <f t="shared" si="11"/>
        <v/>
      </c>
      <c r="J142" s="95" t="e">
        <f t="shared" si="12"/>
        <v>#NUM!</v>
      </c>
      <c r="K142" s="95" t="e">
        <f t="shared" si="13"/>
        <v>#NUM!</v>
      </c>
      <c r="L142" s="95"/>
      <c r="M142" s="97">
        <f t="shared" si="14"/>
        <v>0</v>
      </c>
      <c r="S142" s="85"/>
      <c r="T142" s="85"/>
      <c r="U142" s="85"/>
      <c r="V142" s="85"/>
      <c r="W142" s="85"/>
      <c r="X142" s="85"/>
      <c r="Y142" s="85"/>
      <c r="Z142" s="85"/>
      <c r="AA142" s="85"/>
      <c r="AB142" s="85"/>
      <c r="AC142" s="85"/>
      <c r="AD142" s="85"/>
      <c r="AE142" s="85"/>
      <c r="AF142" s="85"/>
      <c r="AG142" s="85"/>
      <c r="AH142" s="85"/>
      <c r="AI142" s="85"/>
      <c r="AJ142" s="85"/>
      <c r="AK142" s="85"/>
      <c r="AL142" s="85"/>
    </row>
    <row r="143" spans="1:38" s="80" customFormat="1" x14ac:dyDescent="0.25">
      <c r="A143" s="114"/>
      <c r="B143" s="115"/>
      <c r="C143" s="115"/>
      <c r="D143" s="115"/>
      <c r="E143" s="115"/>
      <c r="F143" s="115"/>
      <c r="H143" s="95">
        <v>138</v>
      </c>
      <c r="I143" s="96" t="str">
        <f t="shared" si="11"/>
        <v/>
      </c>
      <c r="J143" s="95" t="e">
        <f t="shared" si="12"/>
        <v>#NUM!</v>
      </c>
      <c r="K143" s="95" t="e">
        <f t="shared" si="13"/>
        <v>#NUM!</v>
      </c>
      <c r="L143" s="95"/>
      <c r="M143" s="97">
        <f t="shared" si="14"/>
        <v>0</v>
      </c>
      <c r="S143" s="85"/>
      <c r="T143" s="85"/>
      <c r="U143" s="85"/>
      <c r="V143" s="85"/>
      <c r="W143" s="85"/>
      <c r="X143" s="85"/>
      <c r="Y143" s="85"/>
      <c r="Z143" s="85"/>
      <c r="AA143" s="85"/>
      <c r="AB143" s="85"/>
      <c r="AC143" s="85"/>
      <c r="AD143" s="85"/>
      <c r="AE143" s="85"/>
      <c r="AF143" s="85"/>
      <c r="AG143" s="85"/>
      <c r="AH143" s="85"/>
      <c r="AI143" s="85"/>
      <c r="AJ143" s="85"/>
      <c r="AK143" s="85"/>
      <c r="AL143" s="85"/>
    </row>
    <row r="144" spans="1:38" s="80" customFormat="1" x14ac:dyDescent="0.25">
      <c r="A144" s="114"/>
      <c r="B144" s="115"/>
      <c r="C144" s="115"/>
      <c r="D144" s="115"/>
      <c r="E144" s="115"/>
      <c r="F144" s="115"/>
      <c r="H144" s="95">
        <v>139</v>
      </c>
      <c r="I144" s="96" t="str">
        <f t="shared" si="11"/>
        <v/>
      </c>
      <c r="J144" s="95" t="e">
        <f t="shared" si="12"/>
        <v>#NUM!</v>
      </c>
      <c r="K144" s="95" t="e">
        <f t="shared" si="13"/>
        <v>#NUM!</v>
      </c>
      <c r="L144" s="95"/>
      <c r="M144" s="97">
        <f t="shared" si="14"/>
        <v>0</v>
      </c>
      <c r="S144" s="85"/>
      <c r="T144" s="85"/>
      <c r="U144" s="85"/>
      <c r="V144" s="85"/>
      <c r="W144" s="85"/>
      <c r="X144" s="85"/>
      <c r="Y144" s="85"/>
      <c r="Z144" s="85"/>
      <c r="AA144" s="85"/>
      <c r="AB144" s="85"/>
      <c r="AC144" s="85"/>
      <c r="AD144" s="85"/>
      <c r="AE144" s="85"/>
      <c r="AF144" s="85"/>
      <c r="AG144" s="85"/>
      <c r="AH144" s="85"/>
      <c r="AI144" s="85"/>
      <c r="AJ144" s="85"/>
      <c r="AK144" s="85"/>
      <c r="AL144" s="85"/>
    </row>
    <row r="145" spans="1:38" s="80" customFormat="1" x14ac:dyDescent="0.25">
      <c r="A145" s="114"/>
      <c r="B145" s="115"/>
      <c r="C145" s="115"/>
      <c r="D145" s="115"/>
      <c r="E145" s="115"/>
      <c r="F145" s="115"/>
      <c r="H145" s="95">
        <v>140</v>
      </c>
      <c r="I145" s="96" t="str">
        <f t="shared" si="11"/>
        <v/>
      </c>
      <c r="J145" s="95" t="e">
        <f t="shared" si="12"/>
        <v>#NUM!</v>
      </c>
      <c r="K145" s="95" t="e">
        <f t="shared" si="13"/>
        <v>#NUM!</v>
      </c>
      <c r="L145" s="95"/>
      <c r="M145" s="97">
        <f t="shared" si="14"/>
        <v>0</v>
      </c>
      <c r="S145" s="85"/>
      <c r="T145" s="85"/>
      <c r="U145" s="85"/>
      <c r="V145" s="85"/>
      <c r="W145" s="85"/>
      <c r="X145" s="85"/>
      <c r="Y145" s="85"/>
      <c r="Z145" s="85"/>
      <c r="AA145" s="85"/>
      <c r="AB145" s="85"/>
      <c r="AC145" s="85"/>
      <c r="AD145" s="85"/>
      <c r="AE145" s="85"/>
      <c r="AF145" s="85"/>
      <c r="AG145" s="85"/>
      <c r="AH145" s="85"/>
      <c r="AI145" s="85"/>
      <c r="AJ145" s="85"/>
      <c r="AK145" s="85"/>
      <c r="AL145" s="85"/>
    </row>
    <row r="146" spans="1:38" s="80" customFormat="1" x14ac:dyDescent="0.25">
      <c r="A146" s="114"/>
      <c r="B146" s="115"/>
      <c r="C146" s="115"/>
      <c r="D146" s="115"/>
      <c r="E146" s="115"/>
      <c r="F146" s="115"/>
      <c r="H146" s="95">
        <v>141</v>
      </c>
      <c r="I146" s="96" t="str">
        <f t="shared" si="11"/>
        <v/>
      </c>
      <c r="J146" s="95" t="e">
        <f t="shared" si="12"/>
        <v>#NUM!</v>
      </c>
      <c r="K146" s="95" t="e">
        <f t="shared" si="13"/>
        <v>#NUM!</v>
      </c>
      <c r="L146" s="95"/>
      <c r="M146" s="97">
        <f t="shared" si="14"/>
        <v>0</v>
      </c>
      <c r="S146" s="85"/>
      <c r="T146" s="85"/>
      <c r="U146" s="85"/>
      <c r="V146" s="85"/>
      <c r="W146" s="85"/>
      <c r="X146" s="85"/>
      <c r="Y146" s="85"/>
      <c r="Z146" s="85"/>
      <c r="AA146" s="85"/>
      <c r="AB146" s="85"/>
      <c r="AC146" s="85"/>
      <c r="AD146" s="85"/>
      <c r="AE146" s="85"/>
      <c r="AF146" s="85"/>
      <c r="AG146" s="85"/>
      <c r="AH146" s="85"/>
      <c r="AI146" s="85"/>
      <c r="AJ146" s="85"/>
      <c r="AK146" s="85"/>
      <c r="AL146" s="85"/>
    </row>
    <row r="147" spans="1:38" s="80" customFormat="1" x14ac:dyDescent="0.25">
      <c r="A147" s="114"/>
      <c r="B147" s="115"/>
      <c r="C147" s="115"/>
      <c r="D147" s="115"/>
      <c r="E147" s="115"/>
      <c r="F147" s="115"/>
      <c r="H147" s="95">
        <v>142</v>
      </c>
      <c r="I147" s="96" t="str">
        <f t="shared" si="11"/>
        <v/>
      </c>
      <c r="J147" s="95" t="e">
        <f t="shared" si="12"/>
        <v>#NUM!</v>
      </c>
      <c r="K147" s="95" t="e">
        <f t="shared" si="13"/>
        <v>#NUM!</v>
      </c>
      <c r="L147" s="95"/>
      <c r="M147" s="97">
        <f t="shared" si="14"/>
        <v>0</v>
      </c>
      <c r="S147" s="85"/>
      <c r="T147" s="85"/>
      <c r="U147" s="85"/>
      <c r="V147" s="85"/>
      <c r="W147" s="85"/>
      <c r="X147" s="85"/>
      <c r="Y147" s="85"/>
      <c r="Z147" s="85"/>
      <c r="AA147" s="85"/>
      <c r="AB147" s="85"/>
      <c r="AC147" s="85"/>
      <c r="AD147" s="85"/>
      <c r="AE147" s="85"/>
      <c r="AF147" s="85"/>
      <c r="AG147" s="85"/>
      <c r="AH147" s="85"/>
      <c r="AI147" s="85"/>
      <c r="AJ147" s="85"/>
      <c r="AK147" s="85"/>
      <c r="AL147" s="85"/>
    </row>
    <row r="148" spans="1:38" s="80" customFormat="1" x14ac:dyDescent="0.25">
      <c r="A148" s="114"/>
      <c r="B148" s="115"/>
      <c r="C148" s="115"/>
      <c r="D148" s="115"/>
      <c r="E148" s="115"/>
      <c r="F148" s="115"/>
      <c r="H148" s="95">
        <v>143</v>
      </c>
      <c r="I148" s="96" t="str">
        <f t="shared" si="11"/>
        <v/>
      </c>
      <c r="J148" s="95" t="e">
        <f t="shared" si="12"/>
        <v>#NUM!</v>
      </c>
      <c r="K148" s="95" t="e">
        <f t="shared" si="13"/>
        <v>#NUM!</v>
      </c>
      <c r="L148" s="95"/>
      <c r="M148" s="97">
        <f t="shared" si="14"/>
        <v>0</v>
      </c>
      <c r="S148" s="85"/>
      <c r="T148" s="85"/>
      <c r="U148" s="85"/>
      <c r="V148" s="85"/>
      <c r="W148" s="85"/>
      <c r="X148" s="85"/>
      <c r="Y148" s="85"/>
      <c r="Z148" s="85"/>
      <c r="AA148" s="85"/>
      <c r="AB148" s="85"/>
      <c r="AC148" s="85"/>
      <c r="AD148" s="85"/>
      <c r="AE148" s="85"/>
      <c r="AF148" s="85"/>
      <c r="AG148" s="85"/>
      <c r="AH148" s="85"/>
      <c r="AI148" s="85"/>
      <c r="AJ148" s="85"/>
      <c r="AK148" s="85"/>
      <c r="AL148" s="85"/>
    </row>
    <row r="149" spans="1:38" s="80" customFormat="1" x14ac:dyDescent="0.25">
      <c r="A149" s="114"/>
      <c r="B149" s="115"/>
      <c r="C149" s="115"/>
      <c r="D149" s="115"/>
      <c r="E149" s="115"/>
      <c r="F149" s="115"/>
      <c r="H149" s="95">
        <v>144</v>
      </c>
      <c r="I149" s="96" t="str">
        <f t="shared" si="11"/>
        <v/>
      </c>
      <c r="J149" s="95" t="e">
        <f t="shared" si="12"/>
        <v>#NUM!</v>
      </c>
      <c r="K149" s="95" t="e">
        <f t="shared" si="13"/>
        <v>#NUM!</v>
      </c>
      <c r="L149" s="95"/>
      <c r="M149" s="97">
        <f t="shared" si="14"/>
        <v>0</v>
      </c>
      <c r="S149" s="85"/>
      <c r="T149" s="85"/>
      <c r="U149" s="85"/>
      <c r="V149" s="85"/>
      <c r="W149" s="85"/>
      <c r="X149" s="85"/>
      <c r="Y149" s="85"/>
      <c r="Z149" s="85"/>
      <c r="AA149" s="85"/>
      <c r="AB149" s="85"/>
      <c r="AC149" s="85"/>
      <c r="AD149" s="85"/>
      <c r="AE149" s="85"/>
      <c r="AF149" s="85"/>
      <c r="AG149" s="85"/>
      <c r="AH149" s="85"/>
      <c r="AI149" s="85"/>
      <c r="AJ149" s="85"/>
      <c r="AK149" s="85"/>
      <c r="AL149" s="85"/>
    </row>
    <row r="150" spans="1:38" s="80" customFormat="1" x14ac:dyDescent="0.25">
      <c r="A150" s="114"/>
      <c r="B150" s="115"/>
      <c r="C150" s="115"/>
      <c r="D150" s="115"/>
      <c r="E150" s="115"/>
      <c r="F150" s="115"/>
      <c r="H150" s="95">
        <v>145</v>
      </c>
      <c r="I150" s="96" t="str">
        <f t="shared" si="11"/>
        <v/>
      </c>
      <c r="J150" s="95" t="e">
        <f t="shared" si="12"/>
        <v>#NUM!</v>
      </c>
      <c r="K150" s="95" t="e">
        <f t="shared" si="13"/>
        <v>#NUM!</v>
      </c>
      <c r="L150" s="95"/>
      <c r="M150" s="97">
        <f t="shared" si="14"/>
        <v>0</v>
      </c>
      <c r="S150" s="85"/>
      <c r="T150" s="85"/>
      <c r="U150" s="85"/>
      <c r="V150" s="85"/>
      <c r="W150" s="85"/>
      <c r="X150" s="85"/>
      <c r="Y150" s="85"/>
      <c r="Z150" s="85"/>
      <c r="AA150" s="85"/>
      <c r="AB150" s="85"/>
      <c r="AC150" s="85"/>
      <c r="AD150" s="85"/>
      <c r="AE150" s="85"/>
      <c r="AF150" s="85"/>
      <c r="AG150" s="85"/>
      <c r="AH150" s="85"/>
      <c r="AI150" s="85"/>
      <c r="AJ150" s="85"/>
      <c r="AK150" s="85"/>
      <c r="AL150" s="85"/>
    </row>
    <row r="151" spans="1:38" s="80" customFormat="1" x14ac:dyDescent="0.25">
      <c r="A151" s="114"/>
      <c r="B151" s="115"/>
      <c r="C151" s="115"/>
      <c r="D151" s="115"/>
      <c r="E151" s="115"/>
      <c r="F151" s="115"/>
      <c r="H151" s="95">
        <v>146</v>
      </c>
      <c r="I151" s="96" t="str">
        <f t="shared" si="11"/>
        <v/>
      </c>
      <c r="J151" s="95" t="e">
        <f t="shared" si="12"/>
        <v>#NUM!</v>
      </c>
      <c r="K151" s="95" t="e">
        <f t="shared" si="13"/>
        <v>#NUM!</v>
      </c>
      <c r="L151" s="95"/>
      <c r="M151" s="97">
        <f t="shared" si="14"/>
        <v>0</v>
      </c>
      <c r="S151" s="85"/>
      <c r="T151" s="85"/>
      <c r="U151" s="85"/>
      <c r="V151" s="85"/>
      <c r="W151" s="85"/>
      <c r="X151" s="85"/>
      <c r="Y151" s="85"/>
      <c r="Z151" s="85"/>
      <c r="AA151" s="85"/>
      <c r="AB151" s="85"/>
      <c r="AC151" s="85"/>
      <c r="AD151" s="85"/>
      <c r="AE151" s="85"/>
      <c r="AF151" s="85"/>
      <c r="AG151" s="85"/>
      <c r="AH151" s="85"/>
      <c r="AI151" s="85"/>
      <c r="AJ151" s="85"/>
      <c r="AK151" s="85"/>
      <c r="AL151" s="85"/>
    </row>
    <row r="152" spans="1:38" s="80" customFormat="1" x14ac:dyDescent="0.25">
      <c r="A152" s="114"/>
      <c r="B152" s="115"/>
      <c r="C152" s="115"/>
      <c r="D152" s="115"/>
      <c r="E152" s="115"/>
      <c r="F152" s="115"/>
      <c r="H152" s="95">
        <v>147</v>
      </c>
      <c r="I152" s="96" t="str">
        <f t="shared" si="11"/>
        <v/>
      </c>
      <c r="J152" s="95" t="e">
        <f t="shared" si="12"/>
        <v>#NUM!</v>
      </c>
      <c r="K152" s="95" t="e">
        <f t="shared" si="13"/>
        <v>#NUM!</v>
      </c>
      <c r="L152" s="95"/>
      <c r="M152" s="97">
        <f t="shared" si="14"/>
        <v>0</v>
      </c>
      <c r="S152" s="85"/>
      <c r="T152" s="85"/>
      <c r="U152" s="85"/>
      <c r="V152" s="85"/>
      <c r="W152" s="85"/>
      <c r="X152" s="85"/>
      <c r="Y152" s="85"/>
      <c r="Z152" s="85"/>
      <c r="AA152" s="85"/>
      <c r="AB152" s="85"/>
      <c r="AC152" s="85"/>
      <c r="AD152" s="85"/>
      <c r="AE152" s="85"/>
      <c r="AF152" s="85"/>
      <c r="AG152" s="85"/>
      <c r="AH152" s="85"/>
      <c r="AI152" s="85"/>
      <c r="AJ152" s="85"/>
      <c r="AK152" s="85"/>
      <c r="AL152" s="85"/>
    </row>
    <row r="153" spans="1:38" s="80" customFormat="1" x14ac:dyDescent="0.25">
      <c r="A153" s="114"/>
      <c r="B153" s="115"/>
      <c r="C153" s="115"/>
      <c r="D153" s="115"/>
      <c r="E153" s="115"/>
      <c r="F153" s="115"/>
      <c r="H153" s="95">
        <v>148</v>
      </c>
      <c r="I153" s="96" t="str">
        <f t="shared" si="11"/>
        <v/>
      </c>
      <c r="J153" s="95" t="e">
        <f t="shared" si="12"/>
        <v>#NUM!</v>
      </c>
      <c r="K153" s="95" t="e">
        <f t="shared" si="13"/>
        <v>#NUM!</v>
      </c>
      <c r="L153" s="95"/>
      <c r="M153" s="97">
        <f t="shared" si="14"/>
        <v>0</v>
      </c>
      <c r="S153" s="85"/>
      <c r="T153" s="85"/>
      <c r="U153" s="85"/>
      <c r="V153" s="85"/>
      <c r="W153" s="85"/>
      <c r="X153" s="85"/>
      <c r="Y153" s="85"/>
      <c r="Z153" s="85"/>
      <c r="AA153" s="85"/>
      <c r="AB153" s="85"/>
      <c r="AC153" s="85"/>
      <c r="AD153" s="85"/>
      <c r="AE153" s="85"/>
      <c r="AF153" s="85"/>
      <c r="AG153" s="85"/>
      <c r="AH153" s="85"/>
      <c r="AI153" s="85"/>
      <c r="AJ153" s="85"/>
      <c r="AK153" s="85"/>
      <c r="AL153" s="85"/>
    </row>
    <row r="154" spans="1:38" s="80" customFormat="1" x14ac:dyDescent="0.25">
      <c r="A154" s="114"/>
      <c r="B154" s="115"/>
      <c r="C154" s="115"/>
      <c r="D154" s="115"/>
      <c r="E154" s="115"/>
      <c r="F154" s="115"/>
      <c r="H154" s="95">
        <v>149</v>
      </c>
      <c r="I154" s="96" t="str">
        <f t="shared" si="11"/>
        <v/>
      </c>
      <c r="J154" s="95" t="e">
        <f t="shared" si="12"/>
        <v>#NUM!</v>
      </c>
      <c r="K154" s="95" t="e">
        <f t="shared" si="13"/>
        <v>#NUM!</v>
      </c>
      <c r="L154" s="95"/>
      <c r="M154" s="97">
        <f t="shared" si="14"/>
        <v>0</v>
      </c>
      <c r="S154" s="85"/>
      <c r="T154" s="85"/>
      <c r="U154" s="85"/>
      <c r="V154" s="85"/>
      <c r="W154" s="85"/>
      <c r="X154" s="85"/>
      <c r="Y154" s="85"/>
      <c r="Z154" s="85"/>
      <c r="AA154" s="85"/>
      <c r="AB154" s="85"/>
      <c r="AC154" s="85"/>
      <c r="AD154" s="85"/>
      <c r="AE154" s="85"/>
      <c r="AF154" s="85"/>
      <c r="AG154" s="85"/>
      <c r="AH154" s="85"/>
      <c r="AI154" s="85"/>
      <c r="AJ154" s="85"/>
      <c r="AK154" s="85"/>
      <c r="AL154" s="85"/>
    </row>
    <row r="155" spans="1:38" s="80" customFormat="1" x14ac:dyDescent="0.25">
      <c r="A155" s="116"/>
      <c r="B155" s="115"/>
      <c r="C155" s="115"/>
      <c r="D155" s="115"/>
      <c r="E155" s="115"/>
      <c r="F155" s="115"/>
      <c r="H155" s="95">
        <v>150</v>
      </c>
      <c r="I155" s="96" t="str">
        <f t="shared" si="11"/>
        <v/>
      </c>
      <c r="J155" s="95" t="e">
        <f t="shared" si="12"/>
        <v>#NUM!</v>
      </c>
      <c r="K155" s="95" t="e">
        <f t="shared" si="13"/>
        <v>#NUM!</v>
      </c>
      <c r="L155" s="95"/>
      <c r="M155" s="97">
        <f t="shared" si="14"/>
        <v>0</v>
      </c>
      <c r="S155" s="85"/>
      <c r="T155" s="85"/>
      <c r="U155" s="85"/>
      <c r="V155" s="85"/>
      <c r="W155" s="85"/>
      <c r="X155" s="85"/>
      <c r="Y155" s="85"/>
      <c r="Z155" s="85"/>
      <c r="AA155" s="85"/>
      <c r="AB155" s="85"/>
      <c r="AC155" s="85"/>
      <c r="AD155" s="85"/>
      <c r="AE155" s="85"/>
      <c r="AF155" s="85"/>
      <c r="AG155" s="85"/>
      <c r="AH155" s="85"/>
      <c r="AI155" s="85"/>
      <c r="AJ155" s="85"/>
      <c r="AK155" s="85"/>
      <c r="AL155" s="85"/>
    </row>
    <row r="156" spans="1:38" s="80" customFormat="1" x14ac:dyDescent="0.25">
      <c r="A156" s="116"/>
      <c r="B156" s="115"/>
      <c r="C156" s="115"/>
      <c r="D156" s="115"/>
      <c r="E156" s="115"/>
      <c r="F156" s="115"/>
      <c r="H156" s="95">
        <v>151</v>
      </c>
      <c r="I156" s="96" t="str">
        <f t="shared" si="11"/>
        <v/>
      </c>
      <c r="J156" s="95" t="e">
        <f t="shared" si="12"/>
        <v>#NUM!</v>
      </c>
      <c r="K156" s="95" t="e">
        <f t="shared" si="13"/>
        <v>#NUM!</v>
      </c>
      <c r="L156" s="95"/>
      <c r="M156" s="97">
        <f t="shared" si="14"/>
        <v>0</v>
      </c>
      <c r="S156" s="85"/>
      <c r="T156" s="85"/>
      <c r="U156" s="85"/>
      <c r="V156" s="85"/>
      <c r="W156" s="85"/>
      <c r="X156" s="85"/>
      <c r="Y156" s="85"/>
      <c r="Z156" s="85"/>
      <c r="AA156" s="85"/>
      <c r="AB156" s="85"/>
      <c r="AC156" s="85"/>
      <c r="AD156" s="85"/>
      <c r="AE156" s="85"/>
      <c r="AF156" s="85"/>
      <c r="AG156" s="85"/>
      <c r="AH156" s="85"/>
      <c r="AI156" s="85"/>
      <c r="AJ156" s="85"/>
      <c r="AK156" s="85"/>
      <c r="AL156" s="85"/>
    </row>
    <row r="157" spans="1:38" s="80" customFormat="1" x14ac:dyDescent="0.25">
      <c r="A157" s="116"/>
      <c r="B157" s="115"/>
      <c r="C157" s="115"/>
      <c r="D157" s="115"/>
      <c r="E157" s="115"/>
      <c r="F157" s="115"/>
      <c r="H157" s="95">
        <v>152</v>
      </c>
      <c r="I157" s="96" t="str">
        <f t="shared" si="11"/>
        <v/>
      </c>
      <c r="J157" s="95" t="e">
        <f t="shared" si="12"/>
        <v>#NUM!</v>
      </c>
      <c r="K157" s="95" t="e">
        <f t="shared" si="13"/>
        <v>#NUM!</v>
      </c>
      <c r="L157" s="95"/>
      <c r="M157" s="97">
        <f t="shared" si="14"/>
        <v>0</v>
      </c>
      <c r="S157" s="85"/>
      <c r="T157" s="85"/>
      <c r="U157" s="85"/>
      <c r="V157" s="85"/>
      <c r="W157" s="85"/>
      <c r="X157" s="85"/>
      <c r="Y157" s="85"/>
      <c r="Z157" s="85"/>
      <c r="AA157" s="85"/>
      <c r="AB157" s="85"/>
      <c r="AC157" s="85"/>
      <c r="AD157" s="85"/>
      <c r="AE157" s="85"/>
      <c r="AF157" s="85"/>
      <c r="AG157" s="85"/>
      <c r="AH157" s="85"/>
      <c r="AI157" s="85"/>
      <c r="AJ157" s="85"/>
      <c r="AK157" s="85"/>
      <c r="AL157" s="85"/>
    </row>
    <row r="158" spans="1:38" s="80" customFormat="1" x14ac:dyDescent="0.25">
      <c r="A158" s="116"/>
      <c r="B158" s="115"/>
      <c r="C158" s="115"/>
      <c r="D158" s="115"/>
      <c r="E158" s="115"/>
      <c r="F158" s="115"/>
      <c r="H158" s="95">
        <v>153</v>
      </c>
      <c r="I158" s="96" t="str">
        <f t="shared" si="11"/>
        <v/>
      </c>
      <c r="J158" s="95" t="e">
        <f t="shared" si="12"/>
        <v>#NUM!</v>
      </c>
      <c r="K158" s="95" t="e">
        <f t="shared" si="13"/>
        <v>#NUM!</v>
      </c>
      <c r="L158" s="95"/>
      <c r="M158" s="97">
        <f t="shared" si="14"/>
        <v>0</v>
      </c>
      <c r="S158" s="85"/>
      <c r="T158" s="85"/>
      <c r="U158" s="85"/>
      <c r="V158" s="85"/>
      <c r="W158" s="85"/>
      <c r="X158" s="85"/>
      <c r="Y158" s="85"/>
      <c r="Z158" s="85"/>
      <c r="AA158" s="85"/>
      <c r="AB158" s="85"/>
      <c r="AC158" s="85"/>
      <c r="AD158" s="85"/>
      <c r="AE158" s="85"/>
      <c r="AF158" s="85"/>
      <c r="AG158" s="85"/>
      <c r="AH158" s="85"/>
      <c r="AI158" s="85"/>
      <c r="AJ158" s="85"/>
      <c r="AK158" s="85"/>
      <c r="AL158" s="85"/>
    </row>
    <row r="159" spans="1:38" s="80" customFormat="1" x14ac:dyDescent="0.25">
      <c r="A159" s="116"/>
      <c r="B159" s="115"/>
      <c r="C159" s="115"/>
      <c r="D159" s="115"/>
      <c r="E159" s="115"/>
      <c r="F159" s="115"/>
      <c r="H159" s="95">
        <v>154</v>
      </c>
      <c r="I159" s="96" t="str">
        <f t="shared" si="11"/>
        <v/>
      </c>
      <c r="J159" s="95" t="e">
        <f t="shared" si="12"/>
        <v>#NUM!</v>
      </c>
      <c r="K159" s="95" t="e">
        <f t="shared" si="13"/>
        <v>#NUM!</v>
      </c>
      <c r="L159" s="95"/>
      <c r="M159" s="97">
        <f t="shared" si="14"/>
        <v>0</v>
      </c>
      <c r="S159" s="85"/>
      <c r="T159" s="85"/>
      <c r="U159" s="85"/>
      <c r="V159" s="85"/>
      <c r="W159" s="85"/>
      <c r="X159" s="85"/>
      <c r="Y159" s="85"/>
      <c r="Z159" s="85"/>
      <c r="AA159" s="85"/>
      <c r="AB159" s="85"/>
      <c r="AC159" s="85"/>
      <c r="AD159" s="85"/>
      <c r="AE159" s="85"/>
      <c r="AF159" s="85"/>
      <c r="AG159" s="85"/>
      <c r="AH159" s="85"/>
      <c r="AI159" s="85"/>
      <c r="AJ159" s="85"/>
      <c r="AK159" s="85"/>
      <c r="AL159" s="85"/>
    </row>
    <row r="160" spans="1:38" s="80" customFormat="1" x14ac:dyDescent="0.25">
      <c r="A160" s="116"/>
      <c r="B160" s="115"/>
      <c r="C160" s="115"/>
      <c r="D160" s="115"/>
      <c r="E160" s="115"/>
      <c r="F160" s="115"/>
      <c r="H160" s="95">
        <v>155</v>
      </c>
      <c r="I160" s="96" t="str">
        <f t="shared" si="11"/>
        <v/>
      </c>
      <c r="J160" s="95" t="e">
        <f t="shared" si="12"/>
        <v>#NUM!</v>
      </c>
      <c r="K160" s="95" t="e">
        <f t="shared" si="13"/>
        <v>#NUM!</v>
      </c>
      <c r="L160" s="95"/>
      <c r="M160" s="97">
        <f t="shared" si="14"/>
        <v>0</v>
      </c>
      <c r="S160" s="85"/>
      <c r="T160" s="85"/>
      <c r="U160" s="85"/>
      <c r="V160" s="85"/>
      <c r="W160" s="85"/>
      <c r="X160" s="85"/>
      <c r="Y160" s="85"/>
      <c r="Z160" s="85"/>
      <c r="AA160" s="85"/>
      <c r="AB160" s="85"/>
      <c r="AC160" s="85"/>
      <c r="AD160" s="85"/>
      <c r="AE160" s="85"/>
      <c r="AF160" s="85"/>
      <c r="AG160" s="85"/>
      <c r="AH160" s="85"/>
      <c r="AI160" s="85"/>
      <c r="AJ160" s="85"/>
      <c r="AK160" s="85"/>
      <c r="AL160" s="85"/>
    </row>
    <row r="161" spans="1:38" s="80" customFormat="1" x14ac:dyDescent="0.25">
      <c r="A161" s="116"/>
      <c r="B161" s="115"/>
      <c r="C161" s="115"/>
      <c r="D161" s="115"/>
      <c r="E161" s="115"/>
      <c r="F161" s="115"/>
      <c r="H161" s="95">
        <v>156</v>
      </c>
      <c r="I161" s="96" t="str">
        <f t="shared" si="11"/>
        <v/>
      </c>
      <c r="J161" s="95" t="e">
        <f t="shared" si="12"/>
        <v>#NUM!</v>
      </c>
      <c r="K161" s="95" t="e">
        <f t="shared" si="13"/>
        <v>#NUM!</v>
      </c>
      <c r="L161" s="95"/>
      <c r="M161" s="97">
        <f t="shared" si="14"/>
        <v>0</v>
      </c>
      <c r="S161" s="85"/>
      <c r="T161" s="85"/>
      <c r="U161" s="85"/>
      <c r="V161" s="85"/>
      <c r="W161" s="85"/>
      <c r="X161" s="85"/>
      <c r="Y161" s="85"/>
      <c r="Z161" s="85"/>
      <c r="AA161" s="85"/>
      <c r="AB161" s="85"/>
      <c r="AC161" s="85"/>
      <c r="AD161" s="85"/>
      <c r="AE161" s="85"/>
      <c r="AF161" s="85"/>
      <c r="AG161" s="85"/>
      <c r="AH161" s="85"/>
      <c r="AI161" s="85"/>
      <c r="AJ161" s="85"/>
      <c r="AK161" s="85"/>
      <c r="AL161" s="85"/>
    </row>
    <row r="162" spans="1:38" s="80" customFormat="1" x14ac:dyDescent="0.25">
      <c r="A162" s="116"/>
      <c r="B162" s="115"/>
      <c r="C162" s="115"/>
      <c r="D162" s="115"/>
      <c r="E162" s="115"/>
      <c r="F162" s="115"/>
      <c r="H162" s="95">
        <v>157</v>
      </c>
      <c r="I162" s="96" t="str">
        <f t="shared" si="11"/>
        <v/>
      </c>
      <c r="J162" s="95" t="e">
        <f t="shared" si="12"/>
        <v>#NUM!</v>
      </c>
      <c r="K162" s="95" t="e">
        <f t="shared" si="13"/>
        <v>#NUM!</v>
      </c>
      <c r="L162" s="95"/>
      <c r="M162" s="97">
        <f t="shared" si="14"/>
        <v>0</v>
      </c>
      <c r="S162" s="85"/>
      <c r="T162" s="85"/>
      <c r="U162" s="85"/>
      <c r="V162" s="85"/>
      <c r="W162" s="85"/>
      <c r="X162" s="85"/>
      <c r="Y162" s="85"/>
      <c r="Z162" s="85"/>
      <c r="AA162" s="85"/>
      <c r="AB162" s="85"/>
      <c r="AC162" s="85"/>
      <c r="AD162" s="85"/>
      <c r="AE162" s="85"/>
      <c r="AF162" s="85"/>
      <c r="AG162" s="85"/>
      <c r="AH162" s="85"/>
      <c r="AI162" s="85"/>
      <c r="AJ162" s="85"/>
      <c r="AK162" s="85"/>
      <c r="AL162" s="85"/>
    </row>
    <row r="163" spans="1:38" s="80" customFormat="1" x14ac:dyDescent="0.25">
      <c r="A163" s="116"/>
      <c r="B163" s="115"/>
      <c r="C163" s="115"/>
      <c r="D163" s="115"/>
      <c r="E163" s="115"/>
      <c r="F163" s="115"/>
      <c r="H163" s="95">
        <v>158</v>
      </c>
      <c r="I163" s="96" t="str">
        <f t="shared" si="11"/>
        <v/>
      </c>
      <c r="J163" s="95" t="e">
        <f t="shared" si="12"/>
        <v>#NUM!</v>
      </c>
      <c r="K163" s="95" t="e">
        <f t="shared" si="13"/>
        <v>#NUM!</v>
      </c>
      <c r="L163" s="95"/>
      <c r="M163" s="97">
        <f t="shared" si="14"/>
        <v>0</v>
      </c>
      <c r="S163" s="85"/>
      <c r="T163" s="85"/>
      <c r="U163" s="85"/>
      <c r="V163" s="85"/>
      <c r="W163" s="85"/>
      <c r="X163" s="85"/>
      <c r="Y163" s="85"/>
      <c r="Z163" s="85"/>
      <c r="AA163" s="85"/>
      <c r="AB163" s="85"/>
      <c r="AC163" s="85"/>
      <c r="AD163" s="85"/>
      <c r="AE163" s="85"/>
      <c r="AF163" s="85"/>
      <c r="AG163" s="85"/>
      <c r="AH163" s="85"/>
      <c r="AI163" s="85"/>
      <c r="AJ163" s="85"/>
      <c r="AK163" s="85"/>
      <c r="AL163" s="85"/>
    </row>
    <row r="164" spans="1:38" s="80" customFormat="1" x14ac:dyDescent="0.25">
      <c r="A164" s="116"/>
      <c r="B164" s="115"/>
      <c r="C164" s="115"/>
      <c r="D164" s="115"/>
      <c r="E164" s="115"/>
      <c r="F164" s="115"/>
      <c r="H164" s="95">
        <v>159</v>
      </c>
      <c r="I164" s="96" t="str">
        <f t="shared" si="11"/>
        <v/>
      </c>
      <c r="J164" s="95" t="e">
        <f t="shared" si="12"/>
        <v>#NUM!</v>
      </c>
      <c r="K164" s="95" t="e">
        <f t="shared" si="13"/>
        <v>#NUM!</v>
      </c>
      <c r="L164" s="95"/>
      <c r="M164" s="97">
        <f t="shared" si="14"/>
        <v>0</v>
      </c>
      <c r="S164" s="85"/>
      <c r="T164" s="85"/>
      <c r="U164" s="85"/>
      <c r="V164" s="85"/>
      <c r="W164" s="85"/>
      <c r="X164" s="85"/>
      <c r="Y164" s="85"/>
      <c r="Z164" s="85"/>
      <c r="AA164" s="85"/>
      <c r="AB164" s="85"/>
      <c r="AC164" s="85"/>
      <c r="AD164" s="85"/>
      <c r="AE164" s="85"/>
      <c r="AF164" s="85"/>
      <c r="AG164" s="85"/>
      <c r="AH164" s="85"/>
      <c r="AI164" s="85"/>
      <c r="AJ164" s="85"/>
      <c r="AK164" s="85"/>
      <c r="AL164" s="85"/>
    </row>
    <row r="165" spans="1:38" s="80" customFormat="1" x14ac:dyDescent="0.25">
      <c r="A165" s="116"/>
      <c r="B165" s="115"/>
      <c r="C165" s="115"/>
      <c r="D165" s="115"/>
      <c r="E165" s="115"/>
      <c r="F165" s="115"/>
      <c r="H165" s="95">
        <v>160</v>
      </c>
      <c r="I165" s="96" t="str">
        <f t="shared" si="11"/>
        <v/>
      </c>
      <c r="J165" s="95" t="e">
        <f t="shared" si="12"/>
        <v>#NUM!</v>
      </c>
      <c r="K165" s="95" t="e">
        <f t="shared" si="13"/>
        <v>#NUM!</v>
      </c>
      <c r="L165" s="95"/>
      <c r="M165" s="97">
        <f t="shared" si="14"/>
        <v>0</v>
      </c>
      <c r="S165" s="85"/>
      <c r="T165" s="85"/>
      <c r="U165" s="85"/>
      <c r="V165" s="85"/>
      <c r="W165" s="85"/>
      <c r="X165" s="85"/>
      <c r="Y165" s="85"/>
      <c r="Z165" s="85"/>
      <c r="AA165" s="85"/>
      <c r="AB165" s="85"/>
      <c r="AC165" s="85"/>
      <c r="AD165" s="85"/>
      <c r="AE165" s="85"/>
      <c r="AF165" s="85"/>
      <c r="AG165" s="85"/>
      <c r="AH165" s="85"/>
      <c r="AI165" s="85"/>
      <c r="AJ165" s="85"/>
      <c r="AK165" s="85"/>
      <c r="AL165" s="85"/>
    </row>
    <row r="166" spans="1:38" s="80" customFormat="1" x14ac:dyDescent="0.25">
      <c r="A166" s="116"/>
      <c r="B166" s="115"/>
      <c r="C166" s="115"/>
      <c r="D166" s="115"/>
      <c r="E166" s="115"/>
      <c r="F166" s="115"/>
      <c r="H166" s="95">
        <v>161</v>
      </c>
      <c r="I166" s="96" t="str">
        <f t="shared" si="11"/>
        <v/>
      </c>
      <c r="J166" s="95" t="e">
        <f t="shared" si="12"/>
        <v>#NUM!</v>
      </c>
      <c r="K166" s="95" t="e">
        <f t="shared" si="13"/>
        <v>#NUM!</v>
      </c>
      <c r="L166" s="95"/>
      <c r="M166" s="97">
        <f t="shared" si="14"/>
        <v>0</v>
      </c>
      <c r="S166" s="85"/>
      <c r="T166" s="85"/>
      <c r="U166" s="85"/>
      <c r="V166" s="85"/>
      <c r="W166" s="85"/>
      <c r="X166" s="85"/>
      <c r="Y166" s="85"/>
      <c r="Z166" s="85"/>
      <c r="AA166" s="85"/>
      <c r="AB166" s="85"/>
      <c r="AC166" s="85"/>
      <c r="AD166" s="85"/>
      <c r="AE166" s="85"/>
      <c r="AF166" s="85"/>
      <c r="AG166" s="85"/>
      <c r="AH166" s="85"/>
      <c r="AI166" s="85"/>
      <c r="AJ166" s="85"/>
      <c r="AK166" s="85"/>
      <c r="AL166" s="85"/>
    </row>
    <row r="167" spans="1:38" s="80" customFormat="1" x14ac:dyDescent="0.25">
      <c r="A167" s="116"/>
      <c r="B167" s="115"/>
      <c r="C167" s="115"/>
      <c r="D167" s="115"/>
      <c r="E167" s="115"/>
      <c r="F167" s="115"/>
      <c r="H167" s="95">
        <v>162</v>
      </c>
      <c r="I167" s="96" t="str">
        <f t="shared" si="11"/>
        <v/>
      </c>
      <c r="J167" s="95" t="e">
        <f t="shared" si="12"/>
        <v>#NUM!</v>
      </c>
      <c r="K167" s="95" t="e">
        <f t="shared" si="13"/>
        <v>#NUM!</v>
      </c>
      <c r="L167" s="95"/>
      <c r="M167" s="97">
        <f t="shared" si="14"/>
        <v>0</v>
      </c>
      <c r="S167" s="85"/>
      <c r="T167" s="85"/>
      <c r="U167" s="85"/>
      <c r="V167" s="85"/>
      <c r="W167" s="85"/>
      <c r="X167" s="85"/>
      <c r="Y167" s="85"/>
      <c r="Z167" s="85"/>
      <c r="AA167" s="85"/>
      <c r="AB167" s="85"/>
      <c r="AC167" s="85"/>
      <c r="AD167" s="85"/>
      <c r="AE167" s="85"/>
      <c r="AF167" s="85"/>
      <c r="AG167" s="85"/>
      <c r="AH167" s="85"/>
      <c r="AI167" s="85"/>
      <c r="AJ167" s="85"/>
      <c r="AK167" s="85"/>
      <c r="AL167" s="85"/>
    </row>
    <row r="168" spans="1:38" s="80" customFormat="1" x14ac:dyDescent="0.25">
      <c r="A168" s="116"/>
      <c r="B168" s="115"/>
      <c r="C168" s="115"/>
      <c r="D168" s="115"/>
      <c r="E168" s="115"/>
      <c r="F168" s="115"/>
      <c r="H168" s="95">
        <v>163</v>
      </c>
      <c r="I168" s="96" t="str">
        <f t="shared" si="11"/>
        <v/>
      </c>
      <c r="J168" s="95" t="e">
        <f t="shared" si="12"/>
        <v>#NUM!</v>
      </c>
      <c r="K168" s="95" t="e">
        <f t="shared" si="13"/>
        <v>#NUM!</v>
      </c>
      <c r="L168" s="95"/>
      <c r="M168" s="97">
        <f t="shared" si="14"/>
        <v>0</v>
      </c>
      <c r="S168" s="85"/>
      <c r="T168" s="85"/>
      <c r="U168" s="85"/>
      <c r="V168" s="85"/>
      <c r="W168" s="85"/>
      <c r="X168" s="85"/>
      <c r="Y168" s="85"/>
      <c r="Z168" s="85"/>
      <c r="AA168" s="85"/>
      <c r="AB168" s="85"/>
      <c r="AC168" s="85"/>
      <c r="AD168" s="85"/>
      <c r="AE168" s="85"/>
      <c r="AF168" s="85"/>
      <c r="AG168" s="85"/>
      <c r="AH168" s="85"/>
      <c r="AI168" s="85"/>
      <c r="AJ168" s="85"/>
      <c r="AK168" s="85"/>
      <c r="AL168" s="85"/>
    </row>
    <row r="169" spans="1:38" s="80" customFormat="1" x14ac:dyDescent="0.25">
      <c r="A169" s="116"/>
      <c r="B169" s="115"/>
      <c r="C169" s="115" t="s">
        <v>40</v>
      </c>
      <c r="D169" s="115"/>
      <c r="E169" s="115"/>
      <c r="F169" s="115"/>
      <c r="H169" s="95">
        <v>164</v>
      </c>
      <c r="I169" s="96" t="str">
        <f t="shared" si="11"/>
        <v/>
      </c>
      <c r="J169" s="95" t="e">
        <f t="shared" si="12"/>
        <v>#NUM!</v>
      </c>
      <c r="K169" s="95" t="e">
        <f t="shared" si="13"/>
        <v>#NUM!</v>
      </c>
      <c r="L169" s="95"/>
      <c r="M169" s="97">
        <f t="shared" si="14"/>
        <v>0</v>
      </c>
      <c r="S169" s="85"/>
      <c r="T169" s="85"/>
      <c r="U169" s="85"/>
      <c r="V169" s="85"/>
      <c r="W169" s="85"/>
      <c r="X169" s="85"/>
      <c r="Y169" s="85"/>
      <c r="Z169" s="85"/>
      <c r="AA169" s="85"/>
      <c r="AB169" s="85"/>
      <c r="AC169" s="85"/>
      <c r="AD169" s="85"/>
      <c r="AE169" s="85"/>
      <c r="AF169" s="85"/>
      <c r="AG169" s="85"/>
      <c r="AH169" s="85"/>
      <c r="AI169" s="85"/>
      <c r="AJ169" s="85"/>
      <c r="AK169" s="85"/>
      <c r="AL169" s="85"/>
    </row>
    <row r="170" spans="1:38" s="80" customFormat="1" x14ac:dyDescent="0.25">
      <c r="A170" s="116"/>
      <c r="B170" s="115"/>
      <c r="C170" s="115"/>
      <c r="D170" s="115"/>
      <c r="E170" s="115"/>
      <c r="F170" s="115"/>
      <c r="H170" s="95">
        <v>165</v>
      </c>
      <c r="I170" s="96" t="str">
        <f t="shared" si="11"/>
        <v/>
      </c>
      <c r="J170" s="95" t="e">
        <f t="shared" si="12"/>
        <v>#NUM!</v>
      </c>
      <c r="K170" s="95" t="e">
        <f t="shared" si="13"/>
        <v>#NUM!</v>
      </c>
      <c r="L170" s="95"/>
      <c r="M170" s="97">
        <f t="shared" si="14"/>
        <v>0</v>
      </c>
      <c r="S170" s="85"/>
      <c r="T170" s="85"/>
      <c r="U170" s="85"/>
      <c r="V170" s="85"/>
      <c r="W170" s="85"/>
      <c r="X170" s="85"/>
      <c r="Y170" s="85"/>
      <c r="Z170" s="85"/>
      <c r="AA170" s="85"/>
      <c r="AB170" s="85"/>
      <c r="AC170" s="85"/>
      <c r="AD170" s="85"/>
      <c r="AE170" s="85"/>
      <c r="AF170" s="85"/>
      <c r="AG170" s="85"/>
      <c r="AH170" s="85"/>
      <c r="AI170" s="85"/>
      <c r="AJ170" s="85"/>
      <c r="AK170" s="85"/>
      <c r="AL170" s="85"/>
    </row>
    <row r="171" spans="1:38" s="80" customFormat="1" x14ac:dyDescent="0.25">
      <c r="A171" s="116"/>
      <c r="B171" s="115"/>
      <c r="C171" s="115"/>
      <c r="D171" s="115"/>
      <c r="E171" s="115"/>
      <c r="F171" s="115"/>
      <c r="H171" s="95">
        <v>166</v>
      </c>
      <c r="I171" s="96" t="str">
        <f t="shared" si="11"/>
        <v/>
      </c>
      <c r="J171" s="95" t="e">
        <f t="shared" si="12"/>
        <v>#NUM!</v>
      </c>
      <c r="K171" s="95" t="e">
        <f t="shared" si="13"/>
        <v>#NUM!</v>
      </c>
      <c r="L171" s="95"/>
      <c r="M171" s="97">
        <f t="shared" si="14"/>
        <v>0</v>
      </c>
      <c r="S171" s="85"/>
      <c r="T171" s="85"/>
      <c r="U171" s="85"/>
      <c r="V171" s="85"/>
      <c r="W171" s="85"/>
      <c r="X171" s="85"/>
      <c r="Y171" s="85"/>
      <c r="Z171" s="85"/>
      <c r="AA171" s="85"/>
      <c r="AB171" s="85"/>
      <c r="AC171" s="85"/>
      <c r="AD171" s="85"/>
      <c r="AE171" s="85"/>
      <c r="AF171" s="85"/>
      <c r="AG171" s="85"/>
      <c r="AH171" s="85"/>
      <c r="AI171" s="85"/>
      <c r="AJ171" s="85"/>
      <c r="AK171" s="85"/>
      <c r="AL171" s="85"/>
    </row>
    <row r="172" spans="1:38" s="80" customFormat="1" x14ac:dyDescent="0.25">
      <c r="A172" s="116"/>
      <c r="B172" s="115"/>
      <c r="C172" s="115"/>
      <c r="D172" s="115"/>
      <c r="E172" s="115"/>
      <c r="F172" s="115"/>
      <c r="H172" s="95">
        <v>167</v>
      </c>
      <c r="I172" s="96" t="str">
        <f t="shared" si="11"/>
        <v/>
      </c>
      <c r="J172" s="95" t="e">
        <f t="shared" si="12"/>
        <v>#NUM!</v>
      </c>
      <c r="K172" s="95" t="e">
        <f t="shared" si="13"/>
        <v>#NUM!</v>
      </c>
      <c r="L172" s="95"/>
      <c r="M172" s="97">
        <f t="shared" si="14"/>
        <v>0</v>
      </c>
      <c r="S172" s="85"/>
      <c r="T172" s="85"/>
      <c r="U172" s="85"/>
      <c r="V172" s="85"/>
      <c r="W172" s="85"/>
      <c r="X172" s="85"/>
      <c r="Y172" s="85"/>
      <c r="Z172" s="85"/>
      <c r="AA172" s="85"/>
      <c r="AB172" s="85"/>
      <c r="AC172" s="85"/>
      <c r="AD172" s="85"/>
      <c r="AE172" s="85"/>
      <c r="AF172" s="85"/>
      <c r="AG172" s="85"/>
      <c r="AH172" s="85"/>
      <c r="AI172" s="85"/>
      <c r="AJ172" s="85"/>
      <c r="AK172" s="85"/>
      <c r="AL172" s="85"/>
    </row>
    <row r="173" spans="1:38" s="80" customFormat="1" x14ac:dyDescent="0.25">
      <c r="A173" s="116"/>
      <c r="B173" s="115"/>
      <c r="C173" s="115"/>
      <c r="D173" s="115"/>
      <c r="E173" s="115"/>
      <c r="F173" s="115"/>
      <c r="H173" s="95">
        <v>168</v>
      </c>
      <c r="I173" s="96" t="str">
        <f t="shared" si="11"/>
        <v/>
      </c>
      <c r="J173" s="95" t="e">
        <f t="shared" si="12"/>
        <v>#NUM!</v>
      </c>
      <c r="K173" s="95" t="e">
        <f t="shared" si="13"/>
        <v>#NUM!</v>
      </c>
      <c r="L173" s="95"/>
      <c r="M173" s="97">
        <f t="shared" si="14"/>
        <v>0</v>
      </c>
      <c r="S173" s="85"/>
      <c r="T173" s="85"/>
      <c r="U173" s="85"/>
      <c r="V173" s="85"/>
      <c r="W173" s="85"/>
      <c r="X173" s="85"/>
      <c r="Y173" s="85"/>
      <c r="Z173" s="85"/>
      <c r="AA173" s="85"/>
      <c r="AB173" s="85"/>
      <c r="AC173" s="85"/>
      <c r="AD173" s="85"/>
      <c r="AE173" s="85"/>
      <c r="AF173" s="85"/>
      <c r="AG173" s="85"/>
      <c r="AH173" s="85"/>
      <c r="AI173" s="85"/>
      <c r="AJ173" s="85"/>
      <c r="AK173" s="85"/>
      <c r="AL173" s="85"/>
    </row>
    <row r="174" spans="1:38" s="80" customFormat="1" x14ac:dyDescent="0.25">
      <c r="A174" s="116"/>
      <c r="B174" s="115"/>
      <c r="C174" s="115"/>
      <c r="D174" s="115"/>
      <c r="E174" s="115"/>
      <c r="F174" s="115"/>
      <c r="H174" s="95">
        <v>169</v>
      </c>
      <c r="I174" s="96" t="str">
        <f t="shared" si="11"/>
        <v/>
      </c>
      <c r="J174" s="95" t="e">
        <f t="shared" si="12"/>
        <v>#NUM!</v>
      </c>
      <c r="K174" s="95" t="e">
        <f t="shared" si="13"/>
        <v>#NUM!</v>
      </c>
      <c r="L174" s="95"/>
      <c r="M174" s="97">
        <f t="shared" si="14"/>
        <v>0</v>
      </c>
      <c r="S174" s="85"/>
      <c r="T174" s="85"/>
      <c r="U174" s="85"/>
      <c r="V174" s="85"/>
      <c r="W174" s="85"/>
      <c r="X174" s="85"/>
      <c r="Y174" s="85"/>
      <c r="Z174" s="85"/>
      <c r="AA174" s="85"/>
      <c r="AB174" s="85"/>
      <c r="AC174" s="85"/>
      <c r="AD174" s="85"/>
      <c r="AE174" s="85"/>
      <c r="AF174" s="85"/>
      <c r="AG174" s="85"/>
      <c r="AH174" s="85"/>
      <c r="AI174" s="85"/>
      <c r="AJ174" s="85"/>
      <c r="AK174" s="85"/>
      <c r="AL174" s="85"/>
    </row>
    <row r="175" spans="1:38" s="80" customFormat="1" x14ac:dyDescent="0.25">
      <c r="A175" s="116"/>
      <c r="B175" s="115"/>
      <c r="C175" s="115"/>
      <c r="D175" s="115"/>
      <c r="E175" s="115"/>
      <c r="F175" s="115"/>
      <c r="H175" s="95">
        <v>170</v>
      </c>
      <c r="I175" s="96" t="str">
        <f t="shared" si="11"/>
        <v/>
      </c>
      <c r="J175" s="95" t="e">
        <f t="shared" si="12"/>
        <v>#NUM!</v>
      </c>
      <c r="K175" s="95" t="e">
        <f t="shared" si="13"/>
        <v>#NUM!</v>
      </c>
      <c r="L175" s="95"/>
      <c r="M175" s="97">
        <f t="shared" si="14"/>
        <v>0</v>
      </c>
      <c r="S175" s="85"/>
      <c r="T175" s="85"/>
      <c r="U175" s="85"/>
      <c r="V175" s="85"/>
      <c r="W175" s="85"/>
      <c r="X175" s="85"/>
      <c r="Y175" s="85"/>
      <c r="Z175" s="85"/>
      <c r="AA175" s="85"/>
      <c r="AB175" s="85"/>
      <c r="AC175" s="85"/>
      <c r="AD175" s="85"/>
      <c r="AE175" s="85"/>
      <c r="AF175" s="85"/>
      <c r="AG175" s="85"/>
      <c r="AH175" s="85"/>
      <c r="AI175" s="85"/>
      <c r="AJ175" s="85"/>
      <c r="AK175" s="85"/>
      <c r="AL175" s="85"/>
    </row>
    <row r="176" spans="1:38" s="80" customFormat="1" x14ac:dyDescent="0.25">
      <c r="A176" s="116"/>
      <c r="B176" s="115"/>
      <c r="C176" s="115"/>
      <c r="D176" s="115"/>
      <c r="E176" s="115"/>
      <c r="F176" s="115"/>
      <c r="H176" s="95">
        <v>171</v>
      </c>
      <c r="I176" s="96" t="str">
        <f t="shared" si="11"/>
        <v/>
      </c>
      <c r="J176" s="95" t="e">
        <f t="shared" si="12"/>
        <v>#NUM!</v>
      </c>
      <c r="K176" s="95" t="e">
        <f t="shared" si="13"/>
        <v>#NUM!</v>
      </c>
      <c r="L176" s="95"/>
      <c r="M176" s="97">
        <f t="shared" si="14"/>
        <v>0</v>
      </c>
      <c r="S176" s="85"/>
      <c r="T176" s="85"/>
      <c r="U176" s="85"/>
      <c r="V176" s="85"/>
      <c r="W176" s="85"/>
      <c r="X176" s="85"/>
      <c r="Y176" s="85"/>
      <c r="Z176" s="85"/>
      <c r="AA176" s="85"/>
      <c r="AB176" s="85"/>
      <c r="AC176" s="85"/>
      <c r="AD176" s="85"/>
      <c r="AE176" s="85"/>
      <c r="AF176" s="85"/>
      <c r="AG176" s="85"/>
      <c r="AH176" s="85"/>
      <c r="AI176" s="85"/>
      <c r="AJ176" s="85"/>
      <c r="AK176" s="85"/>
      <c r="AL176" s="85"/>
    </row>
    <row r="177" spans="1:38" s="80" customFormat="1" x14ac:dyDescent="0.25">
      <c r="A177" s="116"/>
      <c r="B177" s="115"/>
      <c r="C177" s="115"/>
      <c r="D177" s="115"/>
      <c r="E177" s="115"/>
      <c r="F177" s="115"/>
      <c r="H177" s="95">
        <v>172</v>
      </c>
      <c r="I177" s="96" t="str">
        <f t="shared" si="11"/>
        <v/>
      </c>
      <c r="J177" s="95" t="e">
        <f t="shared" si="12"/>
        <v>#NUM!</v>
      </c>
      <c r="K177" s="95" t="e">
        <f t="shared" si="13"/>
        <v>#NUM!</v>
      </c>
      <c r="L177" s="95"/>
      <c r="M177" s="97">
        <f t="shared" si="14"/>
        <v>0</v>
      </c>
      <c r="S177" s="85"/>
      <c r="T177" s="85"/>
      <c r="U177" s="85"/>
      <c r="V177" s="85"/>
      <c r="W177" s="85"/>
      <c r="X177" s="85"/>
      <c r="Y177" s="85"/>
      <c r="Z177" s="85"/>
      <c r="AA177" s="85"/>
      <c r="AB177" s="85"/>
      <c r="AC177" s="85"/>
      <c r="AD177" s="85"/>
      <c r="AE177" s="85"/>
      <c r="AF177" s="85"/>
      <c r="AG177" s="85"/>
      <c r="AH177" s="85"/>
      <c r="AI177" s="85"/>
      <c r="AJ177" s="85"/>
      <c r="AK177" s="85"/>
      <c r="AL177" s="85"/>
    </row>
    <row r="178" spans="1:38" s="80" customFormat="1" x14ac:dyDescent="0.25">
      <c r="A178" s="116"/>
      <c r="B178" s="115"/>
      <c r="C178" s="115"/>
      <c r="D178" s="115"/>
      <c r="E178" s="115"/>
      <c r="F178" s="115"/>
      <c r="H178" s="95">
        <v>173</v>
      </c>
      <c r="I178" s="96" t="str">
        <f t="shared" si="11"/>
        <v/>
      </c>
      <c r="J178" s="95" t="e">
        <f t="shared" si="12"/>
        <v>#NUM!</v>
      </c>
      <c r="K178" s="95" t="e">
        <f t="shared" si="13"/>
        <v>#NUM!</v>
      </c>
      <c r="L178" s="95"/>
      <c r="M178" s="97">
        <f t="shared" si="14"/>
        <v>0</v>
      </c>
      <c r="S178" s="85"/>
      <c r="T178" s="85"/>
      <c r="U178" s="85"/>
      <c r="V178" s="85"/>
      <c r="W178" s="85"/>
      <c r="X178" s="85"/>
      <c r="Y178" s="85"/>
      <c r="Z178" s="85"/>
      <c r="AA178" s="85"/>
      <c r="AB178" s="85"/>
      <c r="AC178" s="85"/>
      <c r="AD178" s="85"/>
      <c r="AE178" s="85"/>
      <c r="AF178" s="85"/>
      <c r="AG178" s="85"/>
      <c r="AH178" s="85"/>
      <c r="AI178" s="85"/>
      <c r="AJ178" s="85"/>
      <c r="AK178" s="85"/>
      <c r="AL178" s="85"/>
    </row>
    <row r="179" spans="1:38" s="80" customFormat="1" x14ac:dyDescent="0.25">
      <c r="A179" s="116"/>
      <c r="B179" s="115"/>
      <c r="C179" s="115"/>
      <c r="D179" s="115"/>
      <c r="E179" s="115"/>
      <c r="F179" s="115"/>
      <c r="H179" s="95">
        <v>174</v>
      </c>
      <c r="I179" s="96" t="str">
        <f t="shared" si="11"/>
        <v/>
      </c>
      <c r="J179" s="95" t="e">
        <f t="shared" si="12"/>
        <v>#NUM!</v>
      </c>
      <c r="K179" s="95" t="e">
        <f t="shared" si="13"/>
        <v>#NUM!</v>
      </c>
      <c r="L179" s="95"/>
      <c r="M179" s="97">
        <f t="shared" si="14"/>
        <v>0</v>
      </c>
      <c r="S179" s="85"/>
      <c r="T179" s="85"/>
      <c r="U179" s="85"/>
      <c r="V179" s="85"/>
      <c r="W179" s="85"/>
      <c r="X179" s="85"/>
      <c r="Y179" s="85"/>
      <c r="Z179" s="85"/>
      <c r="AA179" s="85"/>
      <c r="AB179" s="85"/>
      <c r="AC179" s="85"/>
      <c r="AD179" s="85"/>
      <c r="AE179" s="85"/>
      <c r="AF179" s="85"/>
      <c r="AG179" s="85"/>
      <c r="AH179" s="85"/>
      <c r="AI179" s="85"/>
      <c r="AJ179" s="85"/>
      <c r="AK179" s="85"/>
      <c r="AL179" s="85"/>
    </row>
    <row r="180" spans="1:38" s="80" customFormat="1" x14ac:dyDescent="0.25">
      <c r="A180" s="116"/>
      <c r="B180" s="115"/>
      <c r="C180" s="115"/>
      <c r="D180" s="115"/>
      <c r="E180" s="115"/>
      <c r="F180" s="115"/>
      <c r="H180" s="95">
        <v>175</v>
      </c>
      <c r="I180" s="96" t="str">
        <f t="shared" si="11"/>
        <v/>
      </c>
      <c r="J180" s="95" t="e">
        <f t="shared" si="12"/>
        <v>#NUM!</v>
      </c>
      <c r="K180" s="95" t="e">
        <f t="shared" si="13"/>
        <v>#NUM!</v>
      </c>
      <c r="L180" s="95"/>
      <c r="M180" s="97">
        <f t="shared" si="14"/>
        <v>0</v>
      </c>
      <c r="S180" s="85"/>
      <c r="T180" s="85"/>
      <c r="U180" s="85"/>
      <c r="V180" s="85"/>
      <c r="W180" s="85"/>
      <c r="X180" s="85"/>
      <c r="Y180" s="85"/>
      <c r="Z180" s="85"/>
      <c r="AA180" s="85"/>
      <c r="AB180" s="85"/>
      <c r="AC180" s="85"/>
      <c r="AD180" s="85"/>
      <c r="AE180" s="85"/>
      <c r="AF180" s="85"/>
      <c r="AG180" s="85"/>
      <c r="AH180" s="85"/>
      <c r="AI180" s="85"/>
      <c r="AJ180" s="85"/>
      <c r="AK180" s="85"/>
      <c r="AL180" s="85"/>
    </row>
    <row r="181" spans="1:38" s="80" customFormat="1" x14ac:dyDescent="0.25">
      <c r="A181" s="116"/>
      <c r="B181" s="115"/>
      <c r="C181" s="115"/>
      <c r="D181" s="115"/>
      <c r="E181" s="115"/>
      <c r="F181" s="115"/>
      <c r="H181" s="95">
        <v>176</v>
      </c>
      <c r="I181" s="96" t="str">
        <f t="shared" si="11"/>
        <v/>
      </c>
      <c r="J181" s="95" t="e">
        <f t="shared" si="12"/>
        <v>#NUM!</v>
      </c>
      <c r="K181" s="95" t="e">
        <f t="shared" si="13"/>
        <v>#NUM!</v>
      </c>
      <c r="L181" s="95"/>
      <c r="M181" s="97">
        <f t="shared" si="14"/>
        <v>0</v>
      </c>
      <c r="S181" s="85"/>
      <c r="T181" s="85"/>
      <c r="U181" s="85"/>
      <c r="V181" s="85"/>
      <c r="W181" s="85"/>
      <c r="X181" s="85"/>
      <c r="Y181" s="85"/>
      <c r="Z181" s="85"/>
      <c r="AA181" s="85"/>
      <c r="AB181" s="85"/>
      <c r="AC181" s="85"/>
      <c r="AD181" s="85"/>
      <c r="AE181" s="85"/>
      <c r="AF181" s="85"/>
      <c r="AG181" s="85"/>
      <c r="AH181" s="85"/>
      <c r="AI181" s="85"/>
      <c r="AJ181" s="85"/>
      <c r="AK181" s="85"/>
      <c r="AL181" s="85"/>
    </row>
    <row r="182" spans="1:38" s="80" customFormat="1" x14ac:dyDescent="0.25">
      <c r="A182" s="116"/>
      <c r="B182" s="115"/>
      <c r="C182" s="115"/>
      <c r="D182" s="115"/>
      <c r="E182" s="115"/>
      <c r="F182" s="115"/>
      <c r="H182" s="95">
        <v>177</v>
      </c>
      <c r="I182" s="96" t="str">
        <f t="shared" si="11"/>
        <v/>
      </c>
      <c r="J182" s="95" t="e">
        <f t="shared" si="12"/>
        <v>#NUM!</v>
      </c>
      <c r="K182" s="95" t="e">
        <f t="shared" si="13"/>
        <v>#NUM!</v>
      </c>
      <c r="L182" s="95"/>
      <c r="M182" s="97">
        <f t="shared" si="14"/>
        <v>0</v>
      </c>
      <c r="S182" s="85"/>
      <c r="T182" s="85"/>
      <c r="U182" s="85"/>
      <c r="V182" s="85"/>
      <c r="W182" s="85"/>
      <c r="X182" s="85"/>
      <c r="Y182" s="85"/>
      <c r="Z182" s="85"/>
      <c r="AA182" s="85"/>
      <c r="AB182" s="85"/>
      <c r="AC182" s="85"/>
      <c r="AD182" s="85"/>
      <c r="AE182" s="85"/>
      <c r="AF182" s="85"/>
      <c r="AG182" s="85"/>
      <c r="AH182" s="85"/>
      <c r="AI182" s="85"/>
      <c r="AJ182" s="85"/>
      <c r="AK182" s="85"/>
      <c r="AL182" s="85"/>
    </row>
    <row r="183" spans="1:38" s="80" customFormat="1" x14ac:dyDescent="0.25">
      <c r="A183" s="116"/>
      <c r="B183" s="115"/>
      <c r="C183" s="115"/>
      <c r="D183" s="115"/>
      <c r="E183" s="115"/>
      <c r="F183" s="115"/>
      <c r="H183" s="95">
        <v>178</v>
      </c>
      <c r="I183" s="96" t="str">
        <f t="shared" si="11"/>
        <v/>
      </c>
      <c r="J183" s="95" t="e">
        <f t="shared" si="12"/>
        <v>#NUM!</v>
      </c>
      <c r="K183" s="95" t="e">
        <f t="shared" si="13"/>
        <v>#NUM!</v>
      </c>
      <c r="L183" s="95"/>
      <c r="M183" s="97">
        <f t="shared" si="14"/>
        <v>0</v>
      </c>
      <c r="S183" s="85"/>
      <c r="T183" s="85"/>
      <c r="U183" s="85"/>
      <c r="V183" s="85"/>
      <c r="W183" s="85"/>
      <c r="X183" s="85"/>
      <c r="Y183" s="85"/>
      <c r="Z183" s="85"/>
      <c r="AA183" s="85"/>
      <c r="AB183" s="85"/>
      <c r="AC183" s="85"/>
      <c r="AD183" s="85"/>
      <c r="AE183" s="85"/>
      <c r="AF183" s="85"/>
      <c r="AG183" s="85"/>
      <c r="AH183" s="85"/>
      <c r="AI183" s="85"/>
      <c r="AJ183" s="85"/>
      <c r="AK183" s="85"/>
      <c r="AL183" s="85"/>
    </row>
    <row r="184" spans="1:38" s="80" customFormat="1" x14ac:dyDescent="0.25">
      <c r="A184" s="116"/>
      <c r="B184" s="115"/>
      <c r="C184" s="115"/>
      <c r="D184" s="115"/>
      <c r="E184" s="115"/>
      <c r="F184" s="115"/>
      <c r="H184" s="95">
        <v>179</v>
      </c>
      <c r="I184" s="96" t="str">
        <f t="shared" si="11"/>
        <v/>
      </c>
      <c r="J184" s="95" t="e">
        <f t="shared" si="12"/>
        <v>#NUM!</v>
      </c>
      <c r="K184" s="95" t="e">
        <f t="shared" si="13"/>
        <v>#NUM!</v>
      </c>
      <c r="L184" s="95"/>
      <c r="M184" s="97">
        <f t="shared" si="14"/>
        <v>0</v>
      </c>
      <c r="S184" s="85"/>
      <c r="T184" s="85"/>
      <c r="U184" s="85"/>
      <c r="V184" s="85"/>
      <c r="W184" s="85"/>
      <c r="X184" s="85"/>
      <c r="Y184" s="85"/>
      <c r="Z184" s="85"/>
      <c r="AA184" s="85"/>
      <c r="AB184" s="85"/>
      <c r="AC184" s="85"/>
      <c r="AD184" s="85"/>
      <c r="AE184" s="85"/>
      <c r="AF184" s="85"/>
      <c r="AG184" s="85"/>
      <c r="AH184" s="85"/>
      <c r="AI184" s="85"/>
      <c r="AJ184" s="85"/>
      <c r="AK184" s="85"/>
      <c r="AL184" s="85"/>
    </row>
    <row r="185" spans="1:38" s="80" customFormat="1" x14ac:dyDescent="0.25">
      <c r="A185" s="116"/>
      <c r="B185" s="115"/>
      <c r="C185" s="115"/>
      <c r="D185" s="115"/>
      <c r="E185" s="115"/>
      <c r="F185" s="115"/>
      <c r="H185" s="95">
        <v>180</v>
      </c>
      <c r="I185" s="96" t="str">
        <f t="shared" si="11"/>
        <v/>
      </c>
      <c r="J185" s="95" t="e">
        <f t="shared" si="12"/>
        <v>#NUM!</v>
      </c>
      <c r="K185" s="95" t="e">
        <f t="shared" si="13"/>
        <v>#NUM!</v>
      </c>
      <c r="L185" s="95"/>
      <c r="M185" s="97">
        <f t="shared" si="14"/>
        <v>0</v>
      </c>
      <c r="S185" s="85"/>
      <c r="T185" s="85"/>
      <c r="U185" s="85"/>
      <c r="V185" s="85"/>
      <c r="W185" s="85"/>
      <c r="X185" s="85"/>
      <c r="Y185" s="85"/>
      <c r="Z185" s="85"/>
      <c r="AA185" s="85"/>
      <c r="AB185" s="85"/>
      <c r="AC185" s="85"/>
      <c r="AD185" s="85"/>
      <c r="AE185" s="85"/>
      <c r="AF185" s="85"/>
      <c r="AG185" s="85"/>
      <c r="AH185" s="85"/>
      <c r="AI185" s="85"/>
      <c r="AJ185" s="85"/>
      <c r="AK185" s="85"/>
      <c r="AL185" s="85"/>
    </row>
    <row r="186" spans="1:38" s="80" customFormat="1" x14ac:dyDescent="0.25">
      <c r="A186" s="116"/>
      <c r="B186" s="115"/>
      <c r="C186" s="115"/>
      <c r="D186" s="115"/>
      <c r="E186" s="115"/>
      <c r="F186" s="115"/>
      <c r="H186" s="95">
        <v>181</v>
      </c>
      <c r="I186" s="96" t="str">
        <f t="shared" si="11"/>
        <v/>
      </c>
      <c r="J186" s="95" t="e">
        <f t="shared" si="12"/>
        <v>#NUM!</v>
      </c>
      <c r="K186" s="95" t="e">
        <f t="shared" si="13"/>
        <v>#NUM!</v>
      </c>
      <c r="L186" s="95"/>
      <c r="M186" s="97">
        <f t="shared" si="14"/>
        <v>0</v>
      </c>
      <c r="S186" s="85"/>
      <c r="T186" s="85"/>
      <c r="U186" s="85"/>
      <c r="V186" s="85"/>
      <c r="W186" s="85"/>
      <c r="X186" s="85"/>
      <c r="Y186" s="85"/>
      <c r="Z186" s="85"/>
      <c r="AA186" s="85"/>
      <c r="AB186" s="85"/>
      <c r="AC186" s="85"/>
      <c r="AD186" s="85"/>
      <c r="AE186" s="85"/>
      <c r="AF186" s="85"/>
      <c r="AG186" s="85"/>
      <c r="AH186" s="85"/>
      <c r="AI186" s="85"/>
      <c r="AJ186" s="85"/>
      <c r="AK186" s="85"/>
      <c r="AL186" s="85"/>
    </row>
    <row r="187" spans="1:38" s="80" customFormat="1" x14ac:dyDescent="0.25">
      <c r="A187" s="116"/>
      <c r="B187" s="115"/>
      <c r="C187" s="115"/>
      <c r="D187" s="115"/>
      <c r="E187" s="115"/>
      <c r="F187" s="115"/>
      <c r="H187" s="95">
        <v>182</v>
      </c>
      <c r="I187" s="96" t="str">
        <f t="shared" si="11"/>
        <v/>
      </c>
      <c r="J187" s="95" t="e">
        <f t="shared" si="12"/>
        <v>#NUM!</v>
      </c>
      <c r="K187" s="95" t="e">
        <f t="shared" si="13"/>
        <v>#NUM!</v>
      </c>
      <c r="L187" s="95"/>
      <c r="M187" s="97">
        <f t="shared" si="14"/>
        <v>0</v>
      </c>
      <c r="S187" s="85"/>
      <c r="T187" s="85"/>
      <c r="U187" s="85"/>
      <c r="V187" s="85"/>
      <c r="W187" s="85"/>
      <c r="X187" s="85"/>
      <c r="Y187" s="85"/>
      <c r="Z187" s="85"/>
      <c r="AA187" s="85"/>
      <c r="AB187" s="85"/>
      <c r="AC187" s="85"/>
      <c r="AD187" s="85"/>
      <c r="AE187" s="85"/>
      <c r="AF187" s="85"/>
      <c r="AG187" s="85"/>
      <c r="AH187" s="85"/>
      <c r="AI187" s="85"/>
      <c r="AJ187" s="85"/>
      <c r="AK187" s="85"/>
      <c r="AL187" s="85"/>
    </row>
    <row r="188" spans="1:38" s="80" customFormat="1" x14ac:dyDescent="0.25">
      <c r="A188" s="116"/>
      <c r="B188" s="115"/>
      <c r="C188" s="115"/>
      <c r="D188" s="115"/>
      <c r="E188" s="115"/>
      <c r="F188" s="115"/>
      <c r="H188" s="95">
        <v>183</v>
      </c>
      <c r="I188" s="96" t="str">
        <f t="shared" si="11"/>
        <v/>
      </c>
      <c r="J188" s="95" t="e">
        <f t="shared" si="12"/>
        <v>#NUM!</v>
      </c>
      <c r="K188" s="95" t="e">
        <f t="shared" si="13"/>
        <v>#NUM!</v>
      </c>
      <c r="L188" s="95"/>
      <c r="M188" s="97">
        <f t="shared" si="14"/>
        <v>0</v>
      </c>
      <c r="S188" s="85"/>
      <c r="T188" s="85"/>
      <c r="U188" s="85"/>
      <c r="V188" s="85"/>
      <c r="W188" s="85"/>
      <c r="X188" s="85"/>
      <c r="Y188" s="85"/>
      <c r="Z188" s="85"/>
      <c r="AA188" s="85"/>
      <c r="AB188" s="85"/>
      <c r="AC188" s="85"/>
      <c r="AD188" s="85"/>
      <c r="AE188" s="85"/>
      <c r="AF188" s="85"/>
      <c r="AG188" s="85"/>
      <c r="AH188" s="85"/>
      <c r="AI188" s="85"/>
      <c r="AJ188" s="85"/>
      <c r="AK188" s="85"/>
      <c r="AL188" s="85"/>
    </row>
    <row r="189" spans="1:38" s="80" customFormat="1" x14ac:dyDescent="0.25">
      <c r="A189" s="116"/>
      <c r="B189" s="115"/>
      <c r="C189" s="115"/>
      <c r="D189" s="115"/>
      <c r="E189" s="115"/>
      <c r="F189" s="115"/>
      <c r="H189" s="95">
        <v>184</v>
      </c>
      <c r="I189" s="96" t="str">
        <f t="shared" si="11"/>
        <v/>
      </c>
      <c r="J189" s="95" t="e">
        <f t="shared" si="12"/>
        <v>#NUM!</v>
      </c>
      <c r="K189" s="95" t="e">
        <f t="shared" si="13"/>
        <v>#NUM!</v>
      </c>
      <c r="L189" s="95"/>
      <c r="M189" s="97">
        <f t="shared" si="14"/>
        <v>0</v>
      </c>
      <c r="S189" s="85"/>
      <c r="T189" s="85"/>
      <c r="U189" s="85"/>
      <c r="V189" s="85"/>
      <c r="W189" s="85"/>
      <c r="X189" s="85"/>
      <c r="Y189" s="85"/>
      <c r="Z189" s="85"/>
      <c r="AA189" s="85"/>
      <c r="AB189" s="85"/>
      <c r="AC189" s="85"/>
      <c r="AD189" s="85"/>
      <c r="AE189" s="85"/>
      <c r="AF189" s="85"/>
      <c r="AG189" s="85"/>
      <c r="AH189" s="85"/>
      <c r="AI189" s="85"/>
      <c r="AJ189" s="85"/>
      <c r="AK189" s="85"/>
      <c r="AL189" s="85"/>
    </row>
    <row r="190" spans="1:38" s="80" customFormat="1" x14ac:dyDescent="0.25">
      <c r="A190" s="116"/>
      <c r="B190" s="115"/>
      <c r="C190" s="115"/>
      <c r="D190" s="115"/>
      <c r="E190" s="115"/>
      <c r="F190" s="115"/>
      <c r="H190" s="95">
        <v>185</v>
      </c>
      <c r="I190" s="96" t="str">
        <f t="shared" si="11"/>
        <v/>
      </c>
      <c r="J190" s="95" t="e">
        <f t="shared" si="12"/>
        <v>#NUM!</v>
      </c>
      <c r="K190" s="95" t="e">
        <f t="shared" si="13"/>
        <v>#NUM!</v>
      </c>
      <c r="L190" s="95"/>
      <c r="M190" s="97">
        <f t="shared" si="14"/>
        <v>0</v>
      </c>
      <c r="S190" s="85"/>
      <c r="T190" s="85"/>
      <c r="U190" s="85"/>
      <c r="V190" s="85"/>
      <c r="W190" s="85"/>
      <c r="X190" s="85"/>
      <c r="Y190" s="85"/>
      <c r="Z190" s="85"/>
      <c r="AA190" s="85"/>
      <c r="AB190" s="85"/>
      <c r="AC190" s="85"/>
      <c r="AD190" s="85"/>
      <c r="AE190" s="85"/>
      <c r="AF190" s="85"/>
      <c r="AG190" s="85"/>
      <c r="AH190" s="85"/>
      <c r="AI190" s="85"/>
      <c r="AJ190" s="85"/>
      <c r="AK190" s="85"/>
      <c r="AL190" s="85"/>
    </row>
    <row r="191" spans="1:38" s="80" customFormat="1" x14ac:dyDescent="0.25">
      <c r="A191" s="116"/>
      <c r="B191" s="115"/>
      <c r="C191" s="115"/>
      <c r="D191" s="115"/>
      <c r="E191" s="115"/>
      <c r="F191" s="115"/>
      <c r="H191" s="95">
        <v>186</v>
      </c>
      <c r="I191" s="96" t="str">
        <f t="shared" si="11"/>
        <v/>
      </c>
      <c r="J191" s="95" t="e">
        <f t="shared" si="12"/>
        <v>#NUM!</v>
      </c>
      <c r="K191" s="95" t="e">
        <f t="shared" si="13"/>
        <v>#NUM!</v>
      </c>
      <c r="L191" s="95"/>
      <c r="M191" s="97">
        <f t="shared" si="14"/>
        <v>0</v>
      </c>
      <c r="S191" s="85"/>
      <c r="T191" s="85"/>
      <c r="U191" s="85"/>
      <c r="V191" s="85"/>
      <c r="W191" s="85"/>
      <c r="X191" s="85"/>
      <c r="Y191" s="85"/>
      <c r="Z191" s="85"/>
      <c r="AA191" s="85"/>
      <c r="AB191" s="85"/>
      <c r="AC191" s="85"/>
      <c r="AD191" s="85"/>
      <c r="AE191" s="85"/>
      <c r="AF191" s="85"/>
      <c r="AG191" s="85"/>
      <c r="AH191" s="85"/>
      <c r="AI191" s="85"/>
      <c r="AJ191" s="85"/>
      <c r="AK191" s="85"/>
      <c r="AL191" s="85"/>
    </row>
    <row r="192" spans="1:38" s="80" customFormat="1" x14ac:dyDescent="0.25">
      <c r="A192" s="116"/>
      <c r="B192" s="115"/>
      <c r="C192" s="115"/>
      <c r="D192" s="115"/>
      <c r="E192" s="115"/>
      <c r="F192" s="115"/>
      <c r="H192" s="95">
        <v>187</v>
      </c>
      <c r="I192" s="96" t="str">
        <f t="shared" si="11"/>
        <v/>
      </c>
      <c r="J192" s="95" t="e">
        <f t="shared" si="12"/>
        <v>#NUM!</v>
      </c>
      <c r="K192" s="95" t="e">
        <f t="shared" si="13"/>
        <v>#NUM!</v>
      </c>
      <c r="L192" s="95"/>
      <c r="M192" s="97">
        <f t="shared" si="14"/>
        <v>0</v>
      </c>
      <c r="S192" s="85"/>
      <c r="T192" s="85"/>
      <c r="U192" s="85"/>
      <c r="V192" s="85"/>
      <c r="W192" s="85"/>
      <c r="X192" s="85"/>
      <c r="Y192" s="85"/>
      <c r="Z192" s="85"/>
      <c r="AA192" s="85"/>
      <c r="AB192" s="85"/>
      <c r="AC192" s="85"/>
      <c r="AD192" s="85"/>
      <c r="AE192" s="85"/>
      <c r="AF192" s="85"/>
      <c r="AG192" s="85"/>
      <c r="AH192" s="85"/>
      <c r="AI192" s="85"/>
      <c r="AJ192" s="85"/>
      <c r="AK192" s="85"/>
      <c r="AL192" s="85"/>
    </row>
    <row r="193" spans="1:38" s="80" customFormat="1" x14ac:dyDescent="0.25">
      <c r="A193" s="116"/>
      <c r="B193" s="115"/>
      <c r="C193" s="115"/>
      <c r="D193" s="115"/>
      <c r="E193" s="115"/>
      <c r="F193" s="115"/>
      <c r="H193" s="95">
        <v>188</v>
      </c>
      <c r="I193" s="96" t="str">
        <f t="shared" si="11"/>
        <v/>
      </c>
      <c r="J193" s="95" t="e">
        <f t="shared" si="12"/>
        <v>#NUM!</v>
      </c>
      <c r="K193" s="95" t="e">
        <f t="shared" si="13"/>
        <v>#NUM!</v>
      </c>
      <c r="L193" s="95"/>
      <c r="M193" s="97">
        <f t="shared" si="14"/>
        <v>0</v>
      </c>
      <c r="S193" s="85"/>
      <c r="T193" s="85"/>
      <c r="U193" s="85"/>
      <c r="V193" s="85"/>
      <c r="W193" s="85"/>
      <c r="X193" s="85"/>
      <c r="Y193" s="85"/>
      <c r="Z193" s="85"/>
      <c r="AA193" s="85"/>
      <c r="AB193" s="85"/>
      <c r="AC193" s="85"/>
      <c r="AD193" s="85"/>
      <c r="AE193" s="85"/>
      <c r="AF193" s="85"/>
      <c r="AG193" s="85"/>
      <c r="AH193" s="85"/>
      <c r="AI193" s="85"/>
      <c r="AJ193" s="85"/>
      <c r="AK193" s="85"/>
      <c r="AL193" s="85"/>
    </row>
    <row r="194" spans="1:38" s="80" customFormat="1" x14ac:dyDescent="0.25">
      <c r="A194" s="116"/>
      <c r="B194" s="115"/>
      <c r="C194" s="115"/>
      <c r="D194" s="115"/>
      <c r="E194" s="115"/>
      <c r="F194" s="115"/>
      <c r="H194" s="95">
        <v>189</v>
      </c>
      <c r="I194" s="96" t="str">
        <f t="shared" si="11"/>
        <v/>
      </c>
      <c r="J194" s="95" t="e">
        <f t="shared" si="12"/>
        <v>#NUM!</v>
      </c>
      <c r="K194" s="95" t="e">
        <f t="shared" si="13"/>
        <v>#NUM!</v>
      </c>
      <c r="L194" s="95"/>
      <c r="M194" s="97">
        <f t="shared" si="14"/>
        <v>0</v>
      </c>
      <c r="S194" s="85"/>
      <c r="T194" s="85"/>
      <c r="U194" s="85"/>
      <c r="V194" s="85"/>
      <c r="W194" s="85"/>
      <c r="X194" s="85"/>
      <c r="Y194" s="85"/>
      <c r="Z194" s="85"/>
      <c r="AA194" s="85"/>
      <c r="AB194" s="85"/>
      <c r="AC194" s="85"/>
      <c r="AD194" s="85"/>
      <c r="AE194" s="85"/>
      <c r="AF194" s="85"/>
      <c r="AG194" s="85"/>
      <c r="AH194" s="85"/>
      <c r="AI194" s="85"/>
      <c r="AJ194" s="85"/>
      <c r="AK194" s="85"/>
      <c r="AL194" s="85"/>
    </row>
    <row r="195" spans="1:38" s="80" customFormat="1" x14ac:dyDescent="0.25">
      <c r="A195" s="116"/>
      <c r="B195" s="115"/>
      <c r="C195" s="115"/>
      <c r="D195" s="115"/>
      <c r="E195" s="115"/>
      <c r="F195" s="115"/>
      <c r="H195" s="95">
        <v>190</v>
      </c>
      <c r="I195" s="96" t="str">
        <f t="shared" si="11"/>
        <v/>
      </c>
      <c r="J195" s="95" t="e">
        <f t="shared" si="12"/>
        <v>#NUM!</v>
      </c>
      <c r="K195" s="95" t="e">
        <f t="shared" si="13"/>
        <v>#NUM!</v>
      </c>
      <c r="L195" s="95"/>
      <c r="M195" s="97">
        <f t="shared" si="14"/>
        <v>0</v>
      </c>
      <c r="S195" s="85"/>
      <c r="T195" s="85"/>
      <c r="U195" s="85"/>
      <c r="V195" s="85"/>
      <c r="W195" s="85"/>
      <c r="X195" s="85"/>
      <c r="Y195" s="85"/>
      <c r="Z195" s="85"/>
      <c r="AA195" s="85"/>
      <c r="AB195" s="85"/>
      <c r="AC195" s="85"/>
      <c r="AD195" s="85"/>
      <c r="AE195" s="85"/>
      <c r="AF195" s="85"/>
      <c r="AG195" s="85"/>
      <c r="AH195" s="85"/>
      <c r="AI195" s="85"/>
      <c r="AJ195" s="85"/>
      <c r="AK195" s="85"/>
      <c r="AL195" s="85"/>
    </row>
    <row r="196" spans="1:38" s="80" customFormat="1" x14ac:dyDescent="0.25">
      <c r="A196" s="116"/>
      <c r="B196" s="115"/>
      <c r="C196" s="115"/>
      <c r="D196" s="115"/>
      <c r="E196" s="115"/>
      <c r="F196" s="115"/>
      <c r="H196" s="95">
        <v>191</v>
      </c>
      <c r="I196" s="96" t="str">
        <f t="shared" si="11"/>
        <v/>
      </c>
      <c r="J196" s="95" t="e">
        <f t="shared" si="12"/>
        <v>#NUM!</v>
      </c>
      <c r="K196" s="95" t="e">
        <f t="shared" si="13"/>
        <v>#NUM!</v>
      </c>
      <c r="L196" s="95"/>
      <c r="M196" s="97">
        <f t="shared" si="14"/>
        <v>0</v>
      </c>
      <c r="S196" s="85"/>
      <c r="T196" s="85"/>
      <c r="U196" s="85"/>
      <c r="V196" s="85"/>
      <c r="W196" s="85"/>
      <c r="X196" s="85"/>
      <c r="Y196" s="85"/>
      <c r="Z196" s="85"/>
      <c r="AA196" s="85"/>
      <c r="AB196" s="85"/>
      <c r="AC196" s="85"/>
      <c r="AD196" s="85"/>
      <c r="AE196" s="85"/>
      <c r="AF196" s="85"/>
      <c r="AG196" s="85"/>
      <c r="AH196" s="85"/>
      <c r="AI196" s="85"/>
      <c r="AJ196" s="85"/>
      <c r="AK196" s="85"/>
      <c r="AL196" s="85"/>
    </row>
    <row r="197" spans="1:38" s="80" customFormat="1" x14ac:dyDescent="0.25">
      <c r="A197" s="116"/>
      <c r="B197" s="115"/>
      <c r="C197" s="115"/>
      <c r="D197" s="115"/>
      <c r="E197" s="115"/>
      <c r="F197" s="115"/>
      <c r="H197" s="95">
        <v>192</v>
      </c>
      <c r="I197" s="96" t="str">
        <f t="shared" si="11"/>
        <v/>
      </c>
      <c r="J197" s="95" t="e">
        <f t="shared" si="12"/>
        <v>#NUM!</v>
      </c>
      <c r="K197" s="95" t="e">
        <f t="shared" si="13"/>
        <v>#NUM!</v>
      </c>
      <c r="L197" s="95"/>
      <c r="M197" s="97">
        <f t="shared" si="14"/>
        <v>0</v>
      </c>
      <c r="S197" s="85"/>
      <c r="T197" s="85"/>
      <c r="U197" s="85"/>
      <c r="V197" s="85"/>
      <c r="W197" s="85"/>
      <c r="X197" s="85"/>
      <c r="Y197" s="85"/>
      <c r="Z197" s="85"/>
      <c r="AA197" s="85"/>
      <c r="AB197" s="85"/>
      <c r="AC197" s="85"/>
      <c r="AD197" s="85"/>
      <c r="AE197" s="85"/>
      <c r="AF197" s="85"/>
      <c r="AG197" s="85"/>
      <c r="AH197" s="85"/>
      <c r="AI197" s="85"/>
      <c r="AJ197" s="85"/>
      <c r="AK197" s="85"/>
      <c r="AL197" s="85"/>
    </row>
    <row r="198" spans="1:38" s="80" customFormat="1" x14ac:dyDescent="0.25">
      <c r="A198" s="116"/>
      <c r="B198" s="115"/>
      <c r="C198" s="115"/>
      <c r="D198" s="115"/>
      <c r="E198" s="115"/>
      <c r="F198" s="115"/>
      <c r="H198" s="95">
        <v>193</v>
      </c>
      <c r="I198" s="96" t="str">
        <f t="shared" ref="I198:I261" si="15">IF(H198&lt;$H$2+1,($I$2-($I$2-1)*(LOG(H198)/LOG($H$2))),"")</f>
        <v/>
      </c>
      <c r="J198" s="95" t="e">
        <f t="shared" ref="J198:J261" si="16">INT(LOG($H$2,2))-ROUNDUP(LOG(H198,2),0)+IF(OR($H$2=1,$H$2=2,$H$2=4,$H$2=8,$H$2=16,$H$2=32,$H$2=64,$H$2=128,$H$2=256),0,1)</f>
        <v>#NUM!</v>
      </c>
      <c r="K198" s="95" t="e">
        <f t="shared" ref="K198:K261" si="17">J198*$J$2</f>
        <v>#NUM!</v>
      </c>
      <c r="L198" s="95"/>
      <c r="M198" s="97">
        <f t="shared" ref="M198:M261" si="18">IF(I198&lt;&gt;"",K198+I198+L198,0)</f>
        <v>0</v>
      </c>
      <c r="S198" s="85"/>
      <c r="T198" s="85"/>
      <c r="U198" s="85"/>
      <c r="V198" s="85"/>
      <c r="W198" s="85"/>
      <c r="X198" s="85"/>
      <c r="Y198" s="85"/>
      <c r="Z198" s="85"/>
      <c r="AA198" s="85"/>
      <c r="AB198" s="85"/>
      <c r="AC198" s="85"/>
      <c r="AD198" s="85"/>
      <c r="AE198" s="85"/>
      <c r="AF198" s="85"/>
      <c r="AG198" s="85"/>
      <c r="AH198" s="85"/>
      <c r="AI198" s="85"/>
      <c r="AJ198" s="85"/>
      <c r="AK198" s="85"/>
      <c r="AL198" s="85"/>
    </row>
    <row r="199" spans="1:38" s="80" customFormat="1" x14ac:dyDescent="0.25">
      <c r="A199" s="116"/>
      <c r="B199" s="115"/>
      <c r="C199" s="115"/>
      <c r="D199" s="115"/>
      <c r="E199" s="115"/>
      <c r="F199" s="115"/>
      <c r="H199" s="95">
        <v>194</v>
      </c>
      <c r="I199" s="96" t="str">
        <f t="shared" si="15"/>
        <v/>
      </c>
      <c r="J199" s="95" t="e">
        <f t="shared" si="16"/>
        <v>#NUM!</v>
      </c>
      <c r="K199" s="95" t="e">
        <f t="shared" si="17"/>
        <v>#NUM!</v>
      </c>
      <c r="L199" s="95"/>
      <c r="M199" s="97">
        <f t="shared" si="18"/>
        <v>0</v>
      </c>
      <c r="S199" s="85"/>
      <c r="T199" s="85"/>
      <c r="U199" s="85"/>
      <c r="V199" s="85"/>
      <c r="W199" s="85"/>
      <c r="X199" s="85"/>
      <c r="Y199" s="85"/>
      <c r="Z199" s="85"/>
      <c r="AA199" s="85"/>
      <c r="AB199" s="85"/>
      <c r="AC199" s="85"/>
      <c r="AD199" s="85"/>
      <c r="AE199" s="85"/>
      <c r="AF199" s="85"/>
      <c r="AG199" s="85"/>
      <c r="AH199" s="85"/>
      <c r="AI199" s="85"/>
      <c r="AJ199" s="85"/>
      <c r="AK199" s="85"/>
      <c r="AL199" s="85"/>
    </row>
    <row r="200" spans="1:38" s="80" customFormat="1" x14ac:dyDescent="0.25">
      <c r="A200" s="116"/>
      <c r="B200" s="115"/>
      <c r="C200" s="115"/>
      <c r="D200" s="115"/>
      <c r="E200" s="115"/>
      <c r="F200" s="115"/>
      <c r="H200" s="95">
        <v>195</v>
      </c>
      <c r="I200" s="96" t="str">
        <f t="shared" si="15"/>
        <v/>
      </c>
      <c r="J200" s="95" t="e">
        <f t="shared" si="16"/>
        <v>#NUM!</v>
      </c>
      <c r="K200" s="95" t="e">
        <f t="shared" si="17"/>
        <v>#NUM!</v>
      </c>
      <c r="L200" s="95"/>
      <c r="M200" s="97">
        <f t="shared" si="18"/>
        <v>0</v>
      </c>
      <c r="S200" s="85"/>
      <c r="T200" s="85"/>
      <c r="U200" s="85"/>
      <c r="V200" s="85"/>
      <c r="W200" s="85"/>
      <c r="X200" s="85"/>
      <c r="Y200" s="85"/>
      <c r="Z200" s="85"/>
      <c r="AA200" s="85"/>
      <c r="AB200" s="85"/>
      <c r="AC200" s="85"/>
      <c r="AD200" s="85"/>
      <c r="AE200" s="85"/>
      <c r="AF200" s="85"/>
      <c r="AG200" s="85"/>
      <c r="AH200" s="85"/>
      <c r="AI200" s="85"/>
      <c r="AJ200" s="85"/>
      <c r="AK200" s="85"/>
      <c r="AL200" s="85"/>
    </row>
    <row r="201" spans="1:38" s="80" customFormat="1" x14ac:dyDescent="0.25">
      <c r="A201" s="116"/>
      <c r="B201" s="115"/>
      <c r="C201" s="115"/>
      <c r="D201" s="115"/>
      <c r="E201" s="115"/>
      <c r="F201" s="115"/>
      <c r="H201" s="95">
        <v>196</v>
      </c>
      <c r="I201" s="96" t="str">
        <f t="shared" si="15"/>
        <v/>
      </c>
      <c r="J201" s="95" t="e">
        <f t="shared" si="16"/>
        <v>#NUM!</v>
      </c>
      <c r="K201" s="95" t="e">
        <f t="shared" si="17"/>
        <v>#NUM!</v>
      </c>
      <c r="L201" s="95"/>
      <c r="M201" s="97">
        <f t="shared" si="18"/>
        <v>0</v>
      </c>
      <c r="S201" s="85"/>
      <c r="T201" s="85"/>
      <c r="U201" s="85"/>
      <c r="V201" s="85"/>
      <c r="W201" s="85"/>
      <c r="X201" s="85"/>
      <c r="Y201" s="85"/>
      <c r="Z201" s="85"/>
      <c r="AA201" s="85"/>
      <c r="AB201" s="85"/>
      <c r="AC201" s="85"/>
      <c r="AD201" s="85"/>
      <c r="AE201" s="85"/>
      <c r="AF201" s="85"/>
      <c r="AG201" s="85"/>
      <c r="AH201" s="85"/>
      <c r="AI201" s="85"/>
      <c r="AJ201" s="85"/>
      <c r="AK201" s="85"/>
      <c r="AL201" s="85"/>
    </row>
    <row r="202" spans="1:38" s="80" customFormat="1" x14ac:dyDescent="0.25">
      <c r="A202" s="116"/>
      <c r="B202" s="115"/>
      <c r="C202" s="115"/>
      <c r="D202" s="115"/>
      <c r="E202" s="115"/>
      <c r="F202" s="115"/>
      <c r="H202" s="95">
        <v>197</v>
      </c>
      <c r="I202" s="96" t="str">
        <f t="shared" si="15"/>
        <v/>
      </c>
      <c r="J202" s="95" t="e">
        <f t="shared" si="16"/>
        <v>#NUM!</v>
      </c>
      <c r="K202" s="95" t="e">
        <f t="shared" si="17"/>
        <v>#NUM!</v>
      </c>
      <c r="L202" s="95"/>
      <c r="M202" s="97">
        <f t="shared" si="18"/>
        <v>0</v>
      </c>
      <c r="S202" s="85"/>
      <c r="T202" s="85"/>
      <c r="U202" s="85"/>
      <c r="V202" s="85"/>
      <c r="W202" s="85"/>
      <c r="X202" s="85"/>
      <c r="Y202" s="85"/>
      <c r="Z202" s="85"/>
      <c r="AA202" s="85"/>
      <c r="AB202" s="85"/>
      <c r="AC202" s="85"/>
      <c r="AD202" s="85"/>
      <c r="AE202" s="85"/>
      <c r="AF202" s="85"/>
      <c r="AG202" s="85"/>
      <c r="AH202" s="85"/>
      <c r="AI202" s="85"/>
      <c r="AJ202" s="85"/>
      <c r="AK202" s="85"/>
      <c r="AL202" s="85"/>
    </row>
    <row r="203" spans="1:38" s="80" customFormat="1" x14ac:dyDescent="0.25">
      <c r="A203" s="116"/>
      <c r="B203" s="115"/>
      <c r="C203" s="115"/>
      <c r="D203" s="115"/>
      <c r="E203" s="115"/>
      <c r="F203" s="115"/>
      <c r="H203" s="95">
        <v>198</v>
      </c>
      <c r="I203" s="96" t="str">
        <f t="shared" si="15"/>
        <v/>
      </c>
      <c r="J203" s="95" t="e">
        <f t="shared" si="16"/>
        <v>#NUM!</v>
      </c>
      <c r="K203" s="95" t="e">
        <f t="shared" si="17"/>
        <v>#NUM!</v>
      </c>
      <c r="L203" s="95"/>
      <c r="M203" s="97">
        <f t="shared" si="18"/>
        <v>0</v>
      </c>
      <c r="S203" s="85"/>
      <c r="T203" s="85"/>
      <c r="U203" s="85"/>
      <c r="V203" s="85"/>
      <c r="W203" s="85"/>
      <c r="X203" s="85"/>
      <c r="Y203" s="85"/>
      <c r="Z203" s="85"/>
      <c r="AA203" s="85"/>
      <c r="AB203" s="85"/>
      <c r="AC203" s="85"/>
      <c r="AD203" s="85"/>
      <c r="AE203" s="85"/>
      <c r="AF203" s="85"/>
      <c r="AG203" s="85"/>
      <c r="AH203" s="85"/>
      <c r="AI203" s="85"/>
      <c r="AJ203" s="85"/>
      <c r="AK203" s="85"/>
      <c r="AL203" s="85"/>
    </row>
    <row r="204" spans="1:38" s="80" customFormat="1" x14ac:dyDescent="0.25">
      <c r="A204" s="116"/>
      <c r="B204" s="115"/>
      <c r="C204" s="115"/>
      <c r="D204" s="115"/>
      <c r="E204" s="115"/>
      <c r="F204" s="115"/>
      <c r="H204" s="95">
        <v>199</v>
      </c>
      <c r="I204" s="96" t="str">
        <f t="shared" si="15"/>
        <v/>
      </c>
      <c r="J204" s="95" t="e">
        <f t="shared" si="16"/>
        <v>#NUM!</v>
      </c>
      <c r="K204" s="95" t="e">
        <f t="shared" si="17"/>
        <v>#NUM!</v>
      </c>
      <c r="L204" s="95"/>
      <c r="M204" s="97">
        <f t="shared" si="18"/>
        <v>0</v>
      </c>
      <c r="S204" s="85"/>
      <c r="T204" s="85"/>
      <c r="U204" s="85"/>
      <c r="V204" s="85"/>
      <c r="W204" s="85"/>
      <c r="X204" s="85"/>
      <c r="Y204" s="85"/>
      <c r="Z204" s="85"/>
      <c r="AA204" s="85"/>
      <c r="AB204" s="85"/>
      <c r="AC204" s="85"/>
      <c r="AD204" s="85"/>
      <c r="AE204" s="85"/>
      <c r="AF204" s="85"/>
      <c r="AG204" s="85"/>
      <c r="AH204" s="85"/>
      <c r="AI204" s="85"/>
      <c r="AJ204" s="85"/>
      <c r="AK204" s="85"/>
      <c r="AL204" s="85"/>
    </row>
    <row r="205" spans="1:38" s="80" customFormat="1" x14ac:dyDescent="0.25">
      <c r="A205" s="116"/>
      <c r="B205" s="115"/>
      <c r="C205" s="115"/>
      <c r="D205" s="115"/>
      <c r="E205" s="115"/>
      <c r="F205" s="115"/>
      <c r="H205" s="95">
        <v>200</v>
      </c>
      <c r="I205" s="96" t="str">
        <f t="shared" si="15"/>
        <v/>
      </c>
      <c r="J205" s="95" t="e">
        <f t="shared" si="16"/>
        <v>#NUM!</v>
      </c>
      <c r="K205" s="95" t="e">
        <f t="shared" si="17"/>
        <v>#NUM!</v>
      </c>
      <c r="L205" s="95"/>
      <c r="M205" s="97">
        <f t="shared" si="18"/>
        <v>0</v>
      </c>
      <c r="S205" s="85"/>
      <c r="T205" s="85"/>
      <c r="U205" s="85"/>
      <c r="V205" s="85"/>
      <c r="W205" s="85"/>
      <c r="X205" s="85"/>
      <c r="Y205" s="85"/>
      <c r="Z205" s="85"/>
      <c r="AA205" s="85"/>
      <c r="AB205" s="85"/>
      <c r="AC205" s="85"/>
      <c r="AD205" s="85"/>
      <c r="AE205" s="85"/>
      <c r="AF205" s="85"/>
      <c r="AG205" s="85"/>
      <c r="AH205" s="85"/>
      <c r="AI205" s="85"/>
      <c r="AJ205" s="85"/>
      <c r="AK205" s="85"/>
      <c r="AL205" s="85"/>
    </row>
    <row r="206" spans="1:38" s="80" customFormat="1" x14ac:dyDescent="0.25">
      <c r="A206" s="116"/>
      <c r="B206" s="115"/>
      <c r="C206" s="115"/>
      <c r="D206" s="115"/>
      <c r="E206" s="115"/>
      <c r="F206" s="115"/>
      <c r="H206" s="95">
        <v>201</v>
      </c>
      <c r="I206" s="96" t="str">
        <f t="shared" si="15"/>
        <v/>
      </c>
      <c r="J206" s="95" t="e">
        <f t="shared" si="16"/>
        <v>#NUM!</v>
      </c>
      <c r="K206" s="95" t="e">
        <f t="shared" si="17"/>
        <v>#NUM!</v>
      </c>
      <c r="L206" s="95"/>
      <c r="M206" s="97">
        <f t="shared" si="18"/>
        <v>0</v>
      </c>
      <c r="S206" s="85"/>
      <c r="T206" s="85"/>
      <c r="U206" s="85"/>
      <c r="V206" s="85"/>
      <c r="W206" s="85"/>
      <c r="X206" s="85"/>
      <c r="Y206" s="85"/>
      <c r="Z206" s="85"/>
      <c r="AA206" s="85"/>
      <c r="AB206" s="85"/>
      <c r="AC206" s="85"/>
      <c r="AD206" s="85"/>
      <c r="AE206" s="85"/>
      <c r="AF206" s="85"/>
      <c r="AG206" s="85"/>
      <c r="AH206" s="85"/>
      <c r="AI206" s="85"/>
      <c r="AJ206" s="85"/>
      <c r="AK206" s="85"/>
      <c r="AL206" s="85"/>
    </row>
    <row r="207" spans="1:38" s="80" customFormat="1" x14ac:dyDescent="0.25">
      <c r="A207" s="116"/>
      <c r="B207" s="115"/>
      <c r="C207" s="115"/>
      <c r="D207" s="115"/>
      <c r="E207" s="115"/>
      <c r="F207" s="115"/>
      <c r="H207" s="95">
        <v>202</v>
      </c>
      <c r="I207" s="96" t="str">
        <f t="shared" si="15"/>
        <v/>
      </c>
      <c r="J207" s="95" t="e">
        <f t="shared" si="16"/>
        <v>#NUM!</v>
      </c>
      <c r="K207" s="95" t="e">
        <f t="shared" si="17"/>
        <v>#NUM!</v>
      </c>
      <c r="L207" s="95"/>
      <c r="M207" s="97">
        <f t="shared" si="18"/>
        <v>0</v>
      </c>
      <c r="S207" s="85"/>
      <c r="T207" s="85"/>
      <c r="U207" s="85"/>
      <c r="V207" s="85"/>
      <c r="W207" s="85"/>
      <c r="X207" s="85"/>
      <c r="Y207" s="85"/>
      <c r="Z207" s="85"/>
      <c r="AA207" s="85"/>
      <c r="AB207" s="85"/>
      <c r="AC207" s="85"/>
      <c r="AD207" s="85"/>
      <c r="AE207" s="85"/>
      <c r="AF207" s="85"/>
      <c r="AG207" s="85"/>
      <c r="AH207" s="85"/>
      <c r="AI207" s="85"/>
      <c r="AJ207" s="85"/>
      <c r="AK207" s="85"/>
      <c r="AL207" s="85"/>
    </row>
    <row r="208" spans="1:38" s="80" customFormat="1" x14ac:dyDescent="0.25">
      <c r="A208" s="116"/>
      <c r="B208" s="115"/>
      <c r="C208" s="115"/>
      <c r="D208" s="115"/>
      <c r="E208" s="115"/>
      <c r="F208" s="115"/>
      <c r="H208" s="95">
        <v>203</v>
      </c>
      <c r="I208" s="96" t="str">
        <f t="shared" si="15"/>
        <v/>
      </c>
      <c r="J208" s="95" t="e">
        <f t="shared" si="16"/>
        <v>#NUM!</v>
      </c>
      <c r="K208" s="95" t="e">
        <f t="shared" si="17"/>
        <v>#NUM!</v>
      </c>
      <c r="L208" s="95"/>
      <c r="M208" s="97">
        <f t="shared" si="18"/>
        <v>0</v>
      </c>
      <c r="S208" s="85"/>
      <c r="T208" s="85"/>
      <c r="U208" s="85"/>
      <c r="V208" s="85"/>
      <c r="W208" s="85"/>
      <c r="X208" s="85"/>
      <c r="Y208" s="85"/>
      <c r="Z208" s="85"/>
      <c r="AA208" s="85"/>
      <c r="AB208" s="85"/>
      <c r="AC208" s="85"/>
      <c r="AD208" s="85"/>
      <c r="AE208" s="85"/>
      <c r="AF208" s="85"/>
      <c r="AG208" s="85"/>
      <c r="AH208" s="85"/>
      <c r="AI208" s="85"/>
      <c r="AJ208" s="85"/>
      <c r="AK208" s="85"/>
      <c r="AL208" s="85"/>
    </row>
    <row r="209" spans="1:38" s="80" customFormat="1" x14ac:dyDescent="0.25">
      <c r="A209" s="116"/>
      <c r="B209" s="115"/>
      <c r="C209" s="115"/>
      <c r="D209" s="115"/>
      <c r="E209" s="115"/>
      <c r="F209" s="115"/>
      <c r="H209" s="95">
        <v>204</v>
      </c>
      <c r="I209" s="96" t="str">
        <f t="shared" si="15"/>
        <v/>
      </c>
      <c r="J209" s="95" t="e">
        <f t="shared" si="16"/>
        <v>#NUM!</v>
      </c>
      <c r="K209" s="95" t="e">
        <f t="shared" si="17"/>
        <v>#NUM!</v>
      </c>
      <c r="L209" s="95"/>
      <c r="M209" s="97">
        <f t="shared" si="18"/>
        <v>0</v>
      </c>
      <c r="S209" s="85"/>
      <c r="T209" s="85"/>
      <c r="U209" s="85"/>
      <c r="V209" s="85"/>
      <c r="W209" s="85"/>
      <c r="X209" s="85"/>
      <c r="Y209" s="85"/>
      <c r="Z209" s="85"/>
      <c r="AA209" s="85"/>
      <c r="AB209" s="85"/>
      <c r="AC209" s="85"/>
      <c r="AD209" s="85"/>
      <c r="AE209" s="85"/>
      <c r="AF209" s="85"/>
      <c r="AG209" s="85"/>
      <c r="AH209" s="85"/>
      <c r="AI209" s="85"/>
      <c r="AJ209" s="85"/>
      <c r="AK209" s="85"/>
      <c r="AL209" s="85"/>
    </row>
    <row r="210" spans="1:38" s="80" customFormat="1" x14ac:dyDescent="0.25">
      <c r="A210" s="116"/>
      <c r="B210" s="115"/>
      <c r="C210" s="115"/>
      <c r="D210" s="115"/>
      <c r="E210" s="115"/>
      <c r="F210" s="115"/>
      <c r="H210" s="95">
        <v>205</v>
      </c>
      <c r="I210" s="96" t="str">
        <f t="shared" si="15"/>
        <v/>
      </c>
      <c r="J210" s="95" t="e">
        <f t="shared" si="16"/>
        <v>#NUM!</v>
      </c>
      <c r="K210" s="95" t="e">
        <f t="shared" si="17"/>
        <v>#NUM!</v>
      </c>
      <c r="L210" s="95"/>
      <c r="M210" s="97">
        <f t="shared" si="18"/>
        <v>0</v>
      </c>
      <c r="S210" s="85"/>
      <c r="T210" s="85"/>
      <c r="U210" s="85"/>
      <c r="V210" s="85"/>
      <c r="W210" s="85"/>
      <c r="X210" s="85"/>
      <c r="Y210" s="85"/>
      <c r="Z210" s="85"/>
      <c r="AA210" s="85"/>
      <c r="AB210" s="85"/>
      <c r="AC210" s="85"/>
      <c r="AD210" s="85"/>
      <c r="AE210" s="85"/>
      <c r="AF210" s="85"/>
      <c r="AG210" s="85"/>
      <c r="AH210" s="85"/>
      <c r="AI210" s="85"/>
      <c r="AJ210" s="85"/>
      <c r="AK210" s="85"/>
      <c r="AL210" s="85"/>
    </row>
    <row r="211" spans="1:38" s="80" customFormat="1" x14ac:dyDescent="0.25">
      <c r="A211" s="116"/>
      <c r="B211" s="115"/>
      <c r="C211" s="115"/>
      <c r="D211" s="115"/>
      <c r="E211" s="115"/>
      <c r="F211" s="115"/>
      <c r="H211" s="95">
        <v>206</v>
      </c>
      <c r="I211" s="96" t="str">
        <f t="shared" si="15"/>
        <v/>
      </c>
      <c r="J211" s="95" t="e">
        <f t="shared" si="16"/>
        <v>#NUM!</v>
      </c>
      <c r="K211" s="95" t="e">
        <f t="shared" si="17"/>
        <v>#NUM!</v>
      </c>
      <c r="L211" s="95"/>
      <c r="M211" s="97">
        <f t="shared" si="18"/>
        <v>0</v>
      </c>
      <c r="S211" s="85"/>
      <c r="T211" s="85"/>
      <c r="U211" s="85"/>
      <c r="V211" s="85"/>
      <c r="W211" s="85"/>
      <c r="X211" s="85"/>
      <c r="Y211" s="85"/>
      <c r="Z211" s="85"/>
      <c r="AA211" s="85"/>
      <c r="AB211" s="85"/>
      <c r="AC211" s="85"/>
      <c r="AD211" s="85"/>
      <c r="AE211" s="85"/>
      <c r="AF211" s="85"/>
      <c r="AG211" s="85"/>
      <c r="AH211" s="85"/>
      <c r="AI211" s="85"/>
      <c r="AJ211" s="85"/>
      <c r="AK211" s="85"/>
      <c r="AL211" s="85"/>
    </row>
    <row r="212" spans="1:38" s="80" customFormat="1" x14ac:dyDescent="0.25">
      <c r="A212" s="116"/>
      <c r="B212" s="115"/>
      <c r="C212" s="115"/>
      <c r="D212" s="115"/>
      <c r="E212" s="115"/>
      <c r="F212" s="115"/>
      <c r="H212" s="95">
        <v>207</v>
      </c>
      <c r="I212" s="96" t="str">
        <f t="shared" si="15"/>
        <v/>
      </c>
      <c r="J212" s="95" t="e">
        <f t="shared" si="16"/>
        <v>#NUM!</v>
      </c>
      <c r="K212" s="95" t="e">
        <f t="shared" si="17"/>
        <v>#NUM!</v>
      </c>
      <c r="L212" s="95"/>
      <c r="M212" s="97">
        <f t="shared" si="18"/>
        <v>0</v>
      </c>
      <c r="S212" s="85"/>
      <c r="T212" s="85"/>
      <c r="U212" s="85"/>
      <c r="V212" s="85"/>
      <c r="W212" s="85"/>
      <c r="X212" s="85"/>
      <c r="Y212" s="85"/>
      <c r="Z212" s="85"/>
      <c r="AA212" s="85"/>
      <c r="AB212" s="85"/>
      <c r="AC212" s="85"/>
      <c r="AD212" s="85"/>
      <c r="AE212" s="85"/>
      <c r="AF212" s="85"/>
      <c r="AG212" s="85"/>
      <c r="AH212" s="85"/>
      <c r="AI212" s="85"/>
      <c r="AJ212" s="85"/>
      <c r="AK212" s="85"/>
      <c r="AL212" s="85"/>
    </row>
    <row r="213" spans="1:38" s="80" customFormat="1" x14ac:dyDescent="0.25">
      <c r="A213" s="116"/>
      <c r="B213" s="115"/>
      <c r="C213" s="115"/>
      <c r="D213" s="115"/>
      <c r="E213" s="115"/>
      <c r="F213" s="115"/>
      <c r="H213" s="95">
        <v>208</v>
      </c>
      <c r="I213" s="96" t="str">
        <f t="shared" si="15"/>
        <v/>
      </c>
      <c r="J213" s="95" t="e">
        <f t="shared" si="16"/>
        <v>#NUM!</v>
      </c>
      <c r="K213" s="95" t="e">
        <f t="shared" si="17"/>
        <v>#NUM!</v>
      </c>
      <c r="L213" s="95"/>
      <c r="M213" s="97">
        <f t="shared" si="18"/>
        <v>0</v>
      </c>
      <c r="S213" s="85"/>
      <c r="T213" s="85"/>
      <c r="U213" s="85"/>
      <c r="V213" s="85"/>
      <c r="W213" s="85"/>
      <c r="X213" s="85"/>
      <c r="Y213" s="85"/>
      <c r="Z213" s="85"/>
      <c r="AA213" s="85"/>
      <c r="AB213" s="85"/>
      <c r="AC213" s="85"/>
      <c r="AD213" s="85"/>
      <c r="AE213" s="85"/>
      <c r="AF213" s="85"/>
      <c r="AG213" s="85"/>
      <c r="AH213" s="85"/>
      <c r="AI213" s="85"/>
      <c r="AJ213" s="85"/>
      <c r="AK213" s="85"/>
      <c r="AL213" s="85"/>
    </row>
    <row r="214" spans="1:38" s="80" customFormat="1" x14ac:dyDescent="0.25">
      <c r="A214" s="116"/>
      <c r="B214" s="115"/>
      <c r="C214" s="115"/>
      <c r="D214" s="115"/>
      <c r="E214" s="115"/>
      <c r="F214" s="115"/>
      <c r="H214" s="95">
        <v>209</v>
      </c>
      <c r="I214" s="96" t="str">
        <f t="shared" si="15"/>
        <v/>
      </c>
      <c r="J214" s="95" t="e">
        <f t="shared" si="16"/>
        <v>#NUM!</v>
      </c>
      <c r="K214" s="95" t="e">
        <f t="shared" si="17"/>
        <v>#NUM!</v>
      </c>
      <c r="L214" s="95"/>
      <c r="M214" s="97">
        <f t="shared" si="18"/>
        <v>0</v>
      </c>
      <c r="S214" s="85"/>
      <c r="T214" s="85"/>
      <c r="U214" s="85"/>
      <c r="V214" s="85"/>
      <c r="W214" s="85"/>
      <c r="X214" s="85"/>
      <c r="Y214" s="85"/>
      <c r="Z214" s="85"/>
      <c r="AA214" s="85"/>
      <c r="AB214" s="85"/>
      <c r="AC214" s="85"/>
      <c r="AD214" s="85"/>
      <c r="AE214" s="85"/>
      <c r="AF214" s="85"/>
      <c r="AG214" s="85"/>
      <c r="AH214" s="85"/>
      <c r="AI214" s="85"/>
      <c r="AJ214" s="85"/>
      <c r="AK214" s="85"/>
      <c r="AL214" s="85"/>
    </row>
    <row r="215" spans="1:38" s="80" customFormat="1" x14ac:dyDescent="0.25">
      <c r="A215" s="116"/>
      <c r="B215" s="115"/>
      <c r="C215" s="115"/>
      <c r="D215" s="115"/>
      <c r="E215" s="115"/>
      <c r="F215" s="115"/>
      <c r="H215" s="95">
        <v>210</v>
      </c>
      <c r="I215" s="96" t="str">
        <f t="shared" si="15"/>
        <v/>
      </c>
      <c r="J215" s="95" t="e">
        <f t="shared" si="16"/>
        <v>#NUM!</v>
      </c>
      <c r="K215" s="95" t="e">
        <f t="shared" si="17"/>
        <v>#NUM!</v>
      </c>
      <c r="L215" s="95"/>
      <c r="M215" s="97">
        <f t="shared" si="18"/>
        <v>0</v>
      </c>
      <c r="S215" s="85"/>
      <c r="T215" s="85"/>
      <c r="U215" s="85"/>
      <c r="V215" s="85"/>
      <c r="W215" s="85"/>
      <c r="X215" s="85"/>
      <c r="Y215" s="85"/>
      <c r="Z215" s="85"/>
      <c r="AA215" s="85"/>
      <c r="AB215" s="85"/>
      <c r="AC215" s="85"/>
      <c r="AD215" s="85"/>
      <c r="AE215" s="85"/>
      <c r="AF215" s="85"/>
      <c r="AG215" s="85"/>
      <c r="AH215" s="85"/>
      <c r="AI215" s="85"/>
      <c r="AJ215" s="85"/>
      <c r="AK215" s="85"/>
      <c r="AL215" s="85"/>
    </row>
    <row r="216" spans="1:38" s="80" customFormat="1" x14ac:dyDescent="0.25">
      <c r="A216" s="116"/>
      <c r="B216" s="115"/>
      <c r="C216" s="115"/>
      <c r="D216" s="115"/>
      <c r="E216" s="115"/>
      <c r="F216" s="115"/>
      <c r="H216" s="95">
        <v>211</v>
      </c>
      <c r="I216" s="96" t="str">
        <f t="shared" si="15"/>
        <v/>
      </c>
      <c r="J216" s="95" t="e">
        <f t="shared" si="16"/>
        <v>#NUM!</v>
      </c>
      <c r="K216" s="95" t="e">
        <f t="shared" si="17"/>
        <v>#NUM!</v>
      </c>
      <c r="L216" s="95"/>
      <c r="M216" s="97">
        <f t="shared" si="18"/>
        <v>0</v>
      </c>
      <c r="S216" s="85"/>
      <c r="T216" s="85"/>
      <c r="U216" s="85"/>
      <c r="V216" s="85"/>
      <c r="W216" s="85"/>
      <c r="X216" s="85"/>
      <c r="Y216" s="85"/>
      <c r="Z216" s="85"/>
      <c r="AA216" s="85"/>
      <c r="AB216" s="85"/>
      <c r="AC216" s="85"/>
      <c r="AD216" s="85"/>
      <c r="AE216" s="85"/>
      <c r="AF216" s="85"/>
      <c r="AG216" s="85"/>
      <c r="AH216" s="85"/>
      <c r="AI216" s="85"/>
      <c r="AJ216" s="85"/>
      <c r="AK216" s="85"/>
      <c r="AL216" s="85"/>
    </row>
    <row r="217" spans="1:38" s="80" customFormat="1" x14ac:dyDescent="0.25">
      <c r="A217" s="116"/>
      <c r="B217" s="115"/>
      <c r="C217" s="115"/>
      <c r="D217" s="115"/>
      <c r="E217" s="115"/>
      <c r="F217" s="115"/>
      <c r="H217" s="95">
        <v>212</v>
      </c>
      <c r="I217" s="96" t="str">
        <f t="shared" si="15"/>
        <v/>
      </c>
      <c r="J217" s="95" t="e">
        <f t="shared" si="16"/>
        <v>#NUM!</v>
      </c>
      <c r="K217" s="95" t="e">
        <f t="shared" si="17"/>
        <v>#NUM!</v>
      </c>
      <c r="L217" s="95"/>
      <c r="M217" s="97">
        <f t="shared" si="18"/>
        <v>0</v>
      </c>
      <c r="S217" s="85"/>
      <c r="T217" s="85"/>
      <c r="U217" s="85"/>
      <c r="V217" s="85"/>
      <c r="W217" s="85"/>
      <c r="X217" s="85"/>
      <c r="Y217" s="85"/>
      <c r="Z217" s="85"/>
      <c r="AA217" s="85"/>
      <c r="AB217" s="85"/>
      <c r="AC217" s="85"/>
      <c r="AD217" s="85"/>
      <c r="AE217" s="85"/>
      <c r="AF217" s="85"/>
      <c r="AG217" s="85"/>
      <c r="AH217" s="85"/>
      <c r="AI217" s="85"/>
      <c r="AJ217" s="85"/>
      <c r="AK217" s="85"/>
      <c r="AL217" s="85"/>
    </row>
    <row r="218" spans="1:38" s="80" customFormat="1" x14ac:dyDescent="0.25">
      <c r="A218" s="116"/>
      <c r="B218" s="115"/>
      <c r="C218" s="115"/>
      <c r="D218" s="115"/>
      <c r="E218" s="115"/>
      <c r="F218" s="115"/>
      <c r="H218" s="95">
        <v>213</v>
      </c>
      <c r="I218" s="96" t="str">
        <f t="shared" si="15"/>
        <v/>
      </c>
      <c r="J218" s="95" t="e">
        <f t="shared" si="16"/>
        <v>#NUM!</v>
      </c>
      <c r="K218" s="95" t="e">
        <f t="shared" si="17"/>
        <v>#NUM!</v>
      </c>
      <c r="L218" s="95"/>
      <c r="M218" s="97">
        <f t="shared" si="18"/>
        <v>0</v>
      </c>
      <c r="S218" s="85"/>
      <c r="T218" s="85"/>
      <c r="U218" s="85"/>
      <c r="V218" s="85"/>
      <c r="W218" s="85"/>
      <c r="X218" s="85"/>
      <c r="Y218" s="85"/>
      <c r="Z218" s="85"/>
      <c r="AA218" s="85"/>
      <c r="AB218" s="85"/>
      <c r="AC218" s="85"/>
      <c r="AD218" s="85"/>
      <c r="AE218" s="85"/>
      <c r="AF218" s="85"/>
      <c r="AG218" s="85"/>
      <c r="AH218" s="85"/>
      <c r="AI218" s="85"/>
      <c r="AJ218" s="85"/>
      <c r="AK218" s="85"/>
      <c r="AL218" s="85"/>
    </row>
    <row r="219" spans="1:38" s="80" customFormat="1" x14ac:dyDescent="0.25">
      <c r="A219" s="116"/>
      <c r="B219" s="115"/>
      <c r="C219" s="115"/>
      <c r="D219" s="115"/>
      <c r="E219" s="115"/>
      <c r="F219" s="115"/>
      <c r="H219" s="95">
        <v>214</v>
      </c>
      <c r="I219" s="96" t="str">
        <f t="shared" si="15"/>
        <v/>
      </c>
      <c r="J219" s="95" t="e">
        <f t="shared" si="16"/>
        <v>#NUM!</v>
      </c>
      <c r="K219" s="95" t="e">
        <f t="shared" si="17"/>
        <v>#NUM!</v>
      </c>
      <c r="L219" s="95"/>
      <c r="M219" s="97">
        <f t="shared" si="18"/>
        <v>0</v>
      </c>
      <c r="S219" s="85"/>
      <c r="T219" s="85"/>
      <c r="U219" s="85"/>
      <c r="V219" s="85"/>
      <c r="W219" s="85"/>
      <c r="X219" s="85"/>
      <c r="Y219" s="85"/>
      <c r="Z219" s="85"/>
      <c r="AA219" s="85"/>
      <c r="AB219" s="85"/>
      <c r="AC219" s="85"/>
      <c r="AD219" s="85"/>
      <c r="AE219" s="85"/>
      <c r="AF219" s="85"/>
      <c r="AG219" s="85"/>
      <c r="AH219" s="85"/>
      <c r="AI219" s="85"/>
      <c r="AJ219" s="85"/>
      <c r="AK219" s="85"/>
      <c r="AL219" s="85"/>
    </row>
    <row r="220" spans="1:38" s="80" customFormat="1" x14ac:dyDescent="0.25">
      <c r="A220" s="116"/>
      <c r="B220" s="115"/>
      <c r="C220" s="115"/>
      <c r="D220" s="115"/>
      <c r="E220" s="115"/>
      <c r="F220" s="115"/>
      <c r="H220" s="95">
        <v>215</v>
      </c>
      <c r="I220" s="96" t="str">
        <f t="shared" si="15"/>
        <v/>
      </c>
      <c r="J220" s="95" t="e">
        <f t="shared" si="16"/>
        <v>#NUM!</v>
      </c>
      <c r="K220" s="95" t="e">
        <f t="shared" si="17"/>
        <v>#NUM!</v>
      </c>
      <c r="L220" s="95"/>
      <c r="M220" s="97">
        <f t="shared" si="18"/>
        <v>0</v>
      </c>
      <c r="S220" s="85"/>
      <c r="T220" s="85"/>
      <c r="U220" s="85"/>
      <c r="V220" s="85"/>
      <c r="W220" s="85"/>
      <c r="X220" s="85"/>
      <c r="Y220" s="85"/>
      <c r="Z220" s="85"/>
      <c r="AA220" s="85"/>
      <c r="AB220" s="85"/>
      <c r="AC220" s="85"/>
      <c r="AD220" s="85"/>
      <c r="AE220" s="85"/>
      <c r="AF220" s="85"/>
      <c r="AG220" s="85"/>
      <c r="AH220" s="85"/>
      <c r="AI220" s="85"/>
      <c r="AJ220" s="85"/>
      <c r="AK220" s="85"/>
      <c r="AL220" s="85"/>
    </row>
    <row r="221" spans="1:38" s="80" customFormat="1" x14ac:dyDescent="0.25">
      <c r="A221" s="116"/>
      <c r="B221" s="115"/>
      <c r="C221" s="115"/>
      <c r="D221" s="115"/>
      <c r="E221" s="115"/>
      <c r="F221" s="115"/>
      <c r="H221" s="95">
        <v>216</v>
      </c>
      <c r="I221" s="96" t="str">
        <f t="shared" si="15"/>
        <v/>
      </c>
      <c r="J221" s="95" t="e">
        <f t="shared" si="16"/>
        <v>#NUM!</v>
      </c>
      <c r="K221" s="95" t="e">
        <f t="shared" si="17"/>
        <v>#NUM!</v>
      </c>
      <c r="L221" s="95"/>
      <c r="M221" s="97">
        <f t="shared" si="18"/>
        <v>0</v>
      </c>
      <c r="S221" s="85"/>
      <c r="T221" s="85"/>
      <c r="U221" s="85"/>
      <c r="V221" s="85"/>
      <c r="W221" s="85"/>
      <c r="X221" s="85"/>
      <c r="Y221" s="85"/>
      <c r="Z221" s="85"/>
      <c r="AA221" s="85"/>
      <c r="AB221" s="85"/>
      <c r="AC221" s="85"/>
      <c r="AD221" s="85"/>
      <c r="AE221" s="85"/>
      <c r="AF221" s="85"/>
      <c r="AG221" s="85"/>
      <c r="AH221" s="85"/>
      <c r="AI221" s="85"/>
      <c r="AJ221" s="85"/>
      <c r="AK221" s="85"/>
      <c r="AL221" s="85"/>
    </row>
    <row r="222" spans="1:38" s="80" customFormat="1" x14ac:dyDescent="0.25">
      <c r="A222" s="116"/>
      <c r="B222" s="115"/>
      <c r="C222" s="115"/>
      <c r="D222" s="115"/>
      <c r="E222" s="115"/>
      <c r="F222" s="115"/>
      <c r="H222" s="95">
        <v>217</v>
      </c>
      <c r="I222" s="96" t="str">
        <f t="shared" si="15"/>
        <v/>
      </c>
      <c r="J222" s="95" t="e">
        <f t="shared" si="16"/>
        <v>#NUM!</v>
      </c>
      <c r="K222" s="95" t="e">
        <f t="shared" si="17"/>
        <v>#NUM!</v>
      </c>
      <c r="L222" s="95"/>
      <c r="M222" s="97">
        <f t="shared" si="18"/>
        <v>0</v>
      </c>
      <c r="S222" s="85"/>
      <c r="T222" s="85"/>
      <c r="U222" s="85"/>
      <c r="V222" s="85"/>
      <c r="W222" s="85"/>
      <c r="X222" s="85"/>
      <c r="Y222" s="85"/>
      <c r="Z222" s="85"/>
      <c r="AA222" s="85"/>
      <c r="AB222" s="85"/>
      <c r="AC222" s="85"/>
      <c r="AD222" s="85"/>
      <c r="AE222" s="85"/>
      <c r="AF222" s="85"/>
      <c r="AG222" s="85"/>
      <c r="AH222" s="85"/>
      <c r="AI222" s="85"/>
      <c r="AJ222" s="85"/>
      <c r="AK222" s="85"/>
      <c r="AL222" s="85"/>
    </row>
    <row r="223" spans="1:38" s="80" customFormat="1" x14ac:dyDescent="0.25">
      <c r="A223" s="116"/>
      <c r="B223" s="115"/>
      <c r="C223" s="115"/>
      <c r="D223" s="115"/>
      <c r="E223" s="115"/>
      <c r="F223" s="115"/>
      <c r="H223" s="95">
        <v>218</v>
      </c>
      <c r="I223" s="96" t="str">
        <f t="shared" si="15"/>
        <v/>
      </c>
      <c r="J223" s="95" t="e">
        <f t="shared" si="16"/>
        <v>#NUM!</v>
      </c>
      <c r="K223" s="95" t="e">
        <f t="shared" si="17"/>
        <v>#NUM!</v>
      </c>
      <c r="L223" s="95"/>
      <c r="M223" s="97">
        <f t="shared" si="18"/>
        <v>0</v>
      </c>
      <c r="S223" s="85"/>
      <c r="T223" s="85"/>
      <c r="U223" s="85"/>
      <c r="V223" s="85"/>
      <c r="W223" s="85"/>
      <c r="X223" s="85"/>
      <c r="Y223" s="85"/>
      <c r="Z223" s="85"/>
      <c r="AA223" s="85"/>
      <c r="AB223" s="85"/>
      <c r="AC223" s="85"/>
      <c r="AD223" s="85"/>
      <c r="AE223" s="85"/>
      <c r="AF223" s="85"/>
      <c r="AG223" s="85"/>
      <c r="AH223" s="85"/>
      <c r="AI223" s="85"/>
      <c r="AJ223" s="85"/>
      <c r="AK223" s="85"/>
      <c r="AL223" s="85"/>
    </row>
    <row r="224" spans="1:38" s="80" customFormat="1" x14ac:dyDescent="0.25">
      <c r="A224" s="116"/>
      <c r="B224" s="115"/>
      <c r="C224" s="115"/>
      <c r="D224" s="115"/>
      <c r="E224" s="115"/>
      <c r="F224" s="115"/>
      <c r="H224" s="95">
        <v>219</v>
      </c>
      <c r="I224" s="96" t="str">
        <f t="shared" si="15"/>
        <v/>
      </c>
      <c r="J224" s="95" t="e">
        <f t="shared" si="16"/>
        <v>#NUM!</v>
      </c>
      <c r="K224" s="95" t="e">
        <f t="shared" si="17"/>
        <v>#NUM!</v>
      </c>
      <c r="L224" s="95"/>
      <c r="M224" s="97">
        <f t="shared" si="18"/>
        <v>0</v>
      </c>
      <c r="S224" s="85"/>
      <c r="T224" s="85"/>
      <c r="U224" s="85"/>
      <c r="V224" s="85"/>
      <c r="W224" s="85"/>
      <c r="X224" s="85"/>
      <c r="Y224" s="85"/>
      <c r="Z224" s="85"/>
      <c r="AA224" s="85"/>
      <c r="AB224" s="85"/>
      <c r="AC224" s="85"/>
      <c r="AD224" s="85"/>
      <c r="AE224" s="85"/>
      <c r="AF224" s="85"/>
      <c r="AG224" s="85"/>
      <c r="AH224" s="85"/>
      <c r="AI224" s="85"/>
      <c r="AJ224" s="85"/>
      <c r="AK224" s="85"/>
      <c r="AL224" s="85"/>
    </row>
    <row r="225" spans="1:38" s="80" customFormat="1" x14ac:dyDescent="0.25">
      <c r="A225" s="116"/>
      <c r="B225" s="115"/>
      <c r="C225" s="115"/>
      <c r="D225" s="115"/>
      <c r="E225" s="115"/>
      <c r="F225" s="115"/>
      <c r="H225" s="95">
        <v>220</v>
      </c>
      <c r="I225" s="96" t="str">
        <f t="shared" si="15"/>
        <v/>
      </c>
      <c r="J225" s="95" t="e">
        <f t="shared" si="16"/>
        <v>#NUM!</v>
      </c>
      <c r="K225" s="95" t="e">
        <f t="shared" si="17"/>
        <v>#NUM!</v>
      </c>
      <c r="L225" s="95"/>
      <c r="M225" s="97">
        <f t="shared" si="18"/>
        <v>0</v>
      </c>
      <c r="S225" s="85"/>
      <c r="T225" s="85"/>
      <c r="U225" s="85"/>
      <c r="V225" s="85"/>
      <c r="W225" s="85"/>
      <c r="X225" s="85"/>
      <c r="Y225" s="85"/>
      <c r="Z225" s="85"/>
      <c r="AA225" s="85"/>
      <c r="AB225" s="85"/>
      <c r="AC225" s="85"/>
      <c r="AD225" s="85"/>
      <c r="AE225" s="85"/>
      <c r="AF225" s="85"/>
      <c r="AG225" s="85"/>
      <c r="AH225" s="85"/>
      <c r="AI225" s="85"/>
      <c r="AJ225" s="85"/>
      <c r="AK225" s="85"/>
      <c r="AL225" s="85"/>
    </row>
    <row r="226" spans="1:38" s="80" customFormat="1" x14ac:dyDescent="0.25">
      <c r="A226" s="116"/>
      <c r="B226" s="115"/>
      <c r="C226" s="115"/>
      <c r="D226" s="115"/>
      <c r="E226" s="115"/>
      <c r="F226" s="115"/>
      <c r="H226" s="95">
        <v>221</v>
      </c>
      <c r="I226" s="96" t="str">
        <f t="shared" si="15"/>
        <v/>
      </c>
      <c r="J226" s="95" t="e">
        <f t="shared" si="16"/>
        <v>#NUM!</v>
      </c>
      <c r="K226" s="95" t="e">
        <f t="shared" si="17"/>
        <v>#NUM!</v>
      </c>
      <c r="L226" s="95"/>
      <c r="M226" s="97">
        <f t="shared" si="18"/>
        <v>0</v>
      </c>
      <c r="S226" s="85"/>
      <c r="T226" s="85"/>
      <c r="U226" s="85"/>
      <c r="V226" s="85"/>
      <c r="W226" s="85"/>
      <c r="X226" s="85"/>
      <c r="Y226" s="85"/>
      <c r="Z226" s="85"/>
      <c r="AA226" s="85"/>
      <c r="AB226" s="85"/>
      <c r="AC226" s="85"/>
      <c r="AD226" s="85"/>
      <c r="AE226" s="85"/>
      <c r="AF226" s="85"/>
      <c r="AG226" s="85"/>
      <c r="AH226" s="85"/>
      <c r="AI226" s="85"/>
      <c r="AJ226" s="85"/>
      <c r="AK226" s="85"/>
      <c r="AL226" s="85"/>
    </row>
    <row r="227" spans="1:38" s="80" customFormat="1" x14ac:dyDescent="0.25">
      <c r="A227" s="116"/>
      <c r="B227" s="115"/>
      <c r="C227" s="115"/>
      <c r="D227" s="115"/>
      <c r="E227" s="115"/>
      <c r="F227" s="115"/>
      <c r="H227" s="95">
        <v>222</v>
      </c>
      <c r="I227" s="96" t="str">
        <f t="shared" si="15"/>
        <v/>
      </c>
      <c r="J227" s="95" t="e">
        <f t="shared" si="16"/>
        <v>#NUM!</v>
      </c>
      <c r="K227" s="95" t="e">
        <f t="shared" si="17"/>
        <v>#NUM!</v>
      </c>
      <c r="L227" s="95"/>
      <c r="M227" s="97">
        <f t="shared" si="18"/>
        <v>0</v>
      </c>
      <c r="S227" s="85"/>
      <c r="T227" s="85"/>
      <c r="U227" s="85"/>
      <c r="V227" s="85"/>
      <c r="W227" s="85"/>
      <c r="X227" s="85"/>
      <c r="Y227" s="85"/>
      <c r="Z227" s="85"/>
      <c r="AA227" s="85"/>
      <c r="AB227" s="85"/>
      <c r="AC227" s="85"/>
      <c r="AD227" s="85"/>
      <c r="AE227" s="85"/>
      <c r="AF227" s="85"/>
      <c r="AG227" s="85"/>
      <c r="AH227" s="85"/>
      <c r="AI227" s="85"/>
      <c r="AJ227" s="85"/>
      <c r="AK227" s="85"/>
      <c r="AL227" s="85"/>
    </row>
    <row r="228" spans="1:38" s="80" customFormat="1" x14ac:dyDescent="0.25">
      <c r="A228" s="116"/>
      <c r="B228" s="115"/>
      <c r="C228" s="115"/>
      <c r="D228" s="115"/>
      <c r="E228" s="115"/>
      <c r="F228" s="115"/>
      <c r="H228" s="95">
        <v>223</v>
      </c>
      <c r="I228" s="96" t="str">
        <f t="shared" si="15"/>
        <v/>
      </c>
      <c r="J228" s="95" t="e">
        <f t="shared" si="16"/>
        <v>#NUM!</v>
      </c>
      <c r="K228" s="95" t="e">
        <f t="shared" si="17"/>
        <v>#NUM!</v>
      </c>
      <c r="L228" s="95"/>
      <c r="M228" s="97">
        <f t="shared" si="18"/>
        <v>0</v>
      </c>
      <c r="S228" s="85"/>
      <c r="T228" s="85"/>
      <c r="U228" s="85"/>
      <c r="V228" s="85"/>
      <c r="W228" s="85"/>
      <c r="X228" s="85"/>
      <c r="Y228" s="85"/>
      <c r="Z228" s="85"/>
      <c r="AA228" s="85"/>
      <c r="AB228" s="85"/>
      <c r="AC228" s="85"/>
      <c r="AD228" s="85"/>
      <c r="AE228" s="85"/>
      <c r="AF228" s="85"/>
      <c r="AG228" s="85"/>
      <c r="AH228" s="85"/>
      <c r="AI228" s="85"/>
      <c r="AJ228" s="85"/>
      <c r="AK228" s="85"/>
      <c r="AL228" s="85"/>
    </row>
    <row r="229" spans="1:38" s="80" customFormat="1" x14ac:dyDescent="0.25">
      <c r="A229" s="116"/>
      <c r="B229" s="115"/>
      <c r="C229" s="115"/>
      <c r="D229" s="115"/>
      <c r="E229" s="115"/>
      <c r="F229" s="115"/>
      <c r="H229" s="95">
        <v>224</v>
      </c>
      <c r="I229" s="96" t="str">
        <f t="shared" si="15"/>
        <v/>
      </c>
      <c r="J229" s="95" t="e">
        <f t="shared" si="16"/>
        <v>#NUM!</v>
      </c>
      <c r="K229" s="95" t="e">
        <f t="shared" si="17"/>
        <v>#NUM!</v>
      </c>
      <c r="L229" s="95"/>
      <c r="M229" s="97">
        <f t="shared" si="18"/>
        <v>0</v>
      </c>
      <c r="S229" s="85"/>
      <c r="T229" s="85"/>
      <c r="U229" s="85"/>
      <c r="V229" s="85"/>
      <c r="W229" s="85"/>
      <c r="X229" s="85"/>
      <c r="Y229" s="85"/>
      <c r="Z229" s="85"/>
      <c r="AA229" s="85"/>
      <c r="AB229" s="85"/>
      <c r="AC229" s="85"/>
      <c r="AD229" s="85"/>
      <c r="AE229" s="85"/>
      <c r="AF229" s="85"/>
      <c r="AG229" s="85"/>
      <c r="AH229" s="85"/>
      <c r="AI229" s="85"/>
      <c r="AJ229" s="85"/>
      <c r="AK229" s="85"/>
      <c r="AL229" s="85"/>
    </row>
    <row r="230" spans="1:38" s="80" customFormat="1" x14ac:dyDescent="0.25">
      <c r="A230" s="116"/>
      <c r="B230" s="115"/>
      <c r="C230" s="115"/>
      <c r="D230" s="115"/>
      <c r="E230" s="115"/>
      <c r="F230" s="115"/>
      <c r="H230" s="95">
        <v>225</v>
      </c>
      <c r="I230" s="96" t="str">
        <f t="shared" si="15"/>
        <v/>
      </c>
      <c r="J230" s="95" t="e">
        <f t="shared" si="16"/>
        <v>#NUM!</v>
      </c>
      <c r="K230" s="95" t="e">
        <f t="shared" si="17"/>
        <v>#NUM!</v>
      </c>
      <c r="L230" s="95"/>
      <c r="M230" s="97">
        <f t="shared" si="18"/>
        <v>0</v>
      </c>
      <c r="S230" s="85"/>
      <c r="T230" s="85"/>
      <c r="U230" s="85"/>
      <c r="V230" s="85"/>
      <c r="W230" s="85"/>
      <c r="X230" s="85"/>
      <c r="Y230" s="85"/>
      <c r="Z230" s="85"/>
      <c r="AA230" s="85"/>
      <c r="AB230" s="85"/>
      <c r="AC230" s="85"/>
      <c r="AD230" s="85"/>
      <c r="AE230" s="85"/>
      <c r="AF230" s="85"/>
      <c r="AG230" s="85"/>
      <c r="AH230" s="85"/>
      <c r="AI230" s="85"/>
      <c r="AJ230" s="85"/>
      <c r="AK230" s="85"/>
      <c r="AL230" s="85"/>
    </row>
    <row r="231" spans="1:38" s="80" customFormat="1" x14ac:dyDescent="0.25">
      <c r="A231" s="116"/>
      <c r="B231" s="115"/>
      <c r="C231" s="115"/>
      <c r="D231" s="115"/>
      <c r="E231" s="115"/>
      <c r="F231" s="115"/>
      <c r="H231" s="95">
        <v>226</v>
      </c>
      <c r="I231" s="96" t="str">
        <f t="shared" si="15"/>
        <v/>
      </c>
      <c r="J231" s="95" t="e">
        <f t="shared" si="16"/>
        <v>#NUM!</v>
      </c>
      <c r="K231" s="95" t="e">
        <f t="shared" si="17"/>
        <v>#NUM!</v>
      </c>
      <c r="L231" s="95"/>
      <c r="M231" s="97">
        <f t="shared" si="18"/>
        <v>0</v>
      </c>
      <c r="S231" s="85"/>
      <c r="T231" s="85"/>
      <c r="U231" s="85"/>
      <c r="V231" s="85"/>
      <c r="W231" s="85"/>
      <c r="X231" s="85"/>
      <c r="Y231" s="85"/>
      <c r="Z231" s="85"/>
      <c r="AA231" s="85"/>
      <c r="AB231" s="85"/>
      <c r="AC231" s="85"/>
      <c r="AD231" s="85"/>
      <c r="AE231" s="85"/>
      <c r="AF231" s="85"/>
      <c r="AG231" s="85"/>
      <c r="AH231" s="85"/>
      <c r="AI231" s="85"/>
      <c r="AJ231" s="85"/>
      <c r="AK231" s="85"/>
      <c r="AL231" s="85"/>
    </row>
    <row r="232" spans="1:38" s="80" customFormat="1" x14ac:dyDescent="0.25">
      <c r="A232" s="116"/>
      <c r="B232" s="115"/>
      <c r="C232" s="115"/>
      <c r="D232" s="115"/>
      <c r="E232" s="115"/>
      <c r="F232" s="115"/>
      <c r="H232" s="95">
        <v>227</v>
      </c>
      <c r="I232" s="96" t="str">
        <f t="shared" si="15"/>
        <v/>
      </c>
      <c r="J232" s="95" t="e">
        <f t="shared" si="16"/>
        <v>#NUM!</v>
      </c>
      <c r="K232" s="95" t="e">
        <f t="shared" si="17"/>
        <v>#NUM!</v>
      </c>
      <c r="L232" s="95"/>
      <c r="M232" s="97">
        <f t="shared" si="18"/>
        <v>0</v>
      </c>
      <c r="S232" s="85"/>
      <c r="T232" s="85"/>
      <c r="U232" s="85"/>
      <c r="V232" s="85"/>
      <c r="W232" s="85"/>
      <c r="X232" s="85"/>
      <c r="Y232" s="85"/>
      <c r="Z232" s="85"/>
      <c r="AA232" s="85"/>
      <c r="AB232" s="85"/>
      <c r="AC232" s="85"/>
      <c r="AD232" s="85"/>
      <c r="AE232" s="85"/>
      <c r="AF232" s="85"/>
      <c r="AG232" s="85"/>
      <c r="AH232" s="85"/>
      <c r="AI232" s="85"/>
      <c r="AJ232" s="85"/>
      <c r="AK232" s="85"/>
      <c r="AL232" s="85"/>
    </row>
    <row r="233" spans="1:38" s="80" customFormat="1" x14ac:dyDescent="0.25">
      <c r="A233" s="116"/>
      <c r="B233" s="115"/>
      <c r="C233" s="115"/>
      <c r="D233" s="115"/>
      <c r="E233" s="115"/>
      <c r="F233" s="115"/>
      <c r="H233" s="95">
        <v>228</v>
      </c>
      <c r="I233" s="96" t="str">
        <f t="shared" si="15"/>
        <v/>
      </c>
      <c r="J233" s="95" t="e">
        <f t="shared" si="16"/>
        <v>#NUM!</v>
      </c>
      <c r="K233" s="95" t="e">
        <f t="shared" si="17"/>
        <v>#NUM!</v>
      </c>
      <c r="L233" s="95"/>
      <c r="M233" s="97">
        <f t="shared" si="18"/>
        <v>0</v>
      </c>
      <c r="S233" s="85"/>
      <c r="T233" s="85"/>
      <c r="U233" s="85"/>
      <c r="V233" s="85"/>
      <c r="W233" s="85"/>
      <c r="X233" s="85"/>
      <c r="Y233" s="85"/>
      <c r="Z233" s="85"/>
      <c r="AA233" s="85"/>
      <c r="AB233" s="85"/>
      <c r="AC233" s="85"/>
      <c r="AD233" s="85"/>
      <c r="AE233" s="85"/>
      <c r="AF233" s="85"/>
      <c r="AG233" s="85"/>
      <c r="AH233" s="85"/>
      <c r="AI233" s="85"/>
      <c r="AJ233" s="85"/>
      <c r="AK233" s="85"/>
      <c r="AL233" s="85"/>
    </row>
    <row r="234" spans="1:38" s="80" customFormat="1" x14ac:dyDescent="0.25">
      <c r="A234" s="116"/>
      <c r="B234" s="115"/>
      <c r="C234" s="115"/>
      <c r="D234" s="115"/>
      <c r="E234" s="115"/>
      <c r="F234" s="115"/>
      <c r="H234" s="95">
        <v>229</v>
      </c>
      <c r="I234" s="96" t="str">
        <f t="shared" si="15"/>
        <v/>
      </c>
      <c r="J234" s="95" t="e">
        <f t="shared" si="16"/>
        <v>#NUM!</v>
      </c>
      <c r="K234" s="95" t="e">
        <f t="shared" si="17"/>
        <v>#NUM!</v>
      </c>
      <c r="L234" s="95"/>
      <c r="M234" s="97">
        <f t="shared" si="18"/>
        <v>0</v>
      </c>
      <c r="S234" s="85"/>
      <c r="T234" s="85"/>
      <c r="U234" s="85"/>
      <c r="V234" s="85"/>
      <c r="W234" s="85"/>
      <c r="X234" s="85"/>
      <c r="Y234" s="85"/>
      <c r="Z234" s="85"/>
      <c r="AA234" s="85"/>
      <c r="AB234" s="85"/>
      <c r="AC234" s="85"/>
      <c r="AD234" s="85"/>
      <c r="AE234" s="85"/>
      <c r="AF234" s="85"/>
      <c r="AG234" s="85"/>
      <c r="AH234" s="85"/>
      <c r="AI234" s="85"/>
      <c r="AJ234" s="85"/>
      <c r="AK234" s="85"/>
      <c r="AL234" s="85"/>
    </row>
    <row r="235" spans="1:38" s="80" customFormat="1" x14ac:dyDescent="0.25">
      <c r="A235" s="116"/>
      <c r="B235" s="115"/>
      <c r="C235" s="115"/>
      <c r="D235" s="115"/>
      <c r="E235" s="115"/>
      <c r="F235" s="115"/>
      <c r="H235" s="95">
        <v>230</v>
      </c>
      <c r="I235" s="96" t="str">
        <f t="shared" si="15"/>
        <v/>
      </c>
      <c r="J235" s="95" t="e">
        <f t="shared" si="16"/>
        <v>#NUM!</v>
      </c>
      <c r="K235" s="95" t="e">
        <f t="shared" si="17"/>
        <v>#NUM!</v>
      </c>
      <c r="L235" s="95"/>
      <c r="M235" s="97">
        <f t="shared" si="18"/>
        <v>0</v>
      </c>
      <c r="S235" s="85"/>
      <c r="T235" s="85"/>
      <c r="U235" s="85"/>
      <c r="V235" s="85"/>
      <c r="W235" s="85"/>
      <c r="X235" s="85"/>
      <c r="Y235" s="85"/>
      <c r="Z235" s="85"/>
      <c r="AA235" s="85"/>
      <c r="AB235" s="85"/>
      <c r="AC235" s="85"/>
      <c r="AD235" s="85"/>
      <c r="AE235" s="85"/>
      <c r="AF235" s="85"/>
      <c r="AG235" s="85"/>
      <c r="AH235" s="85"/>
      <c r="AI235" s="85"/>
      <c r="AJ235" s="85"/>
      <c r="AK235" s="85"/>
      <c r="AL235" s="85"/>
    </row>
    <row r="236" spans="1:38" s="80" customFormat="1" x14ac:dyDescent="0.25">
      <c r="A236" s="116"/>
      <c r="B236" s="115"/>
      <c r="C236" s="115"/>
      <c r="D236" s="115"/>
      <c r="E236" s="115"/>
      <c r="F236" s="115"/>
      <c r="H236" s="95">
        <v>231</v>
      </c>
      <c r="I236" s="96" t="str">
        <f t="shared" si="15"/>
        <v/>
      </c>
      <c r="J236" s="95" t="e">
        <f t="shared" si="16"/>
        <v>#NUM!</v>
      </c>
      <c r="K236" s="95" t="e">
        <f t="shared" si="17"/>
        <v>#NUM!</v>
      </c>
      <c r="L236" s="95"/>
      <c r="M236" s="97">
        <f t="shared" si="18"/>
        <v>0</v>
      </c>
      <c r="S236" s="85"/>
      <c r="T236" s="85"/>
      <c r="U236" s="85"/>
      <c r="V236" s="85"/>
      <c r="W236" s="85"/>
      <c r="X236" s="85"/>
      <c r="Y236" s="85"/>
      <c r="Z236" s="85"/>
      <c r="AA236" s="85"/>
      <c r="AB236" s="85"/>
      <c r="AC236" s="85"/>
      <c r="AD236" s="85"/>
      <c r="AE236" s="85"/>
      <c r="AF236" s="85"/>
      <c r="AG236" s="85"/>
      <c r="AH236" s="85"/>
      <c r="AI236" s="85"/>
      <c r="AJ236" s="85"/>
      <c r="AK236" s="85"/>
      <c r="AL236" s="85"/>
    </row>
    <row r="237" spans="1:38" s="80" customFormat="1" x14ac:dyDescent="0.25">
      <c r="A237" s="116"/>
      <c r="B237" s="115"/>
      <c r="C237" s="115"/>
      <c r="D237" s="115"/>
      <c r="E237" s="115"/>
      <c r="F237" s="115"/>
      <c r="H237" s="95">
        <v>232</v>
      </c>
      <c r="I237" s="96" t="str">
        <f t="shared" si="15"/>
        <v/>
      </c>
      <c r="J237" s="95" t="e">
        <f t="shared" si="16"/>
        <v>#NUM!</v>
      </c>
      <c r="K237" s="95" t="e">
        <f t="shared" si="17"/>
        <v>#NUM!</v>
      </c>
      <c r="L237" s="95"/>
      <c r="M237" s="97">
        <f t="shared" si="18"/>
        <v>0</v>
      </c>
      <c r="S237" s="85"/>
      <c r="T237" s="85"/>
      <c r="U237" s="85"/>
      <c r="V237" s="85"/>
      <c r="W237" s="85"/>
      <c r="X237" s="85"/>
      <c r="Y237" s="85"/>
      <c r="Z237" s="85"/>
      <c r="AA237" s="85"/>
      <c r="AB237" s="85"/>
      <c r="AC237" s="85"/>
      <c r="AD237" s="85"/>
      <c r="AE237" s="85"/>
      <c r="AF237" s="85"/>
      <c r="AG237" s="85"/>
      <c r="AH237" s="85"/>
      <c r="AI237" s="85"/>
      <c r="AJ237" s="85"/>
      <c r="AK237" s="85"/>
      <c r="AL237" s="85"/>
    </row>
    <row r="238" spans="1:38" s="80" customFormat="1" x14ac:dyDescent="0.25">
      <c r="A238" s="116"/>
      <c r="B238" s="115"/>
      <c r="C238" s="115"/>
      <c r="D238" s="115"/>
      <c r="E238" s="115"/>
      <c r="F238" s="115"/>
      <c r="H238" s="95">
        <v>233</v>
      </c>
      <c r="I238" s="96" t="str">
        <f t="shared" si="15"/>
        <v/>
      </c>
      <c r="J238" s="95" t="e">
        <f t="shared" si="16"/>
        <v>#NUM!</v>
      </c>
      <c r="K238" s="95" t="e">
        <f t="shared" si="17"/>
        <v>#NUM!</v>
      </c>
      <c r="L238" s="95"/>
      <c r="M238" s="97">
        <f t="shared" si="18"/>
        <v>0</v>
      </c>
      <c r="S238" s="85"/>
      <c r="T238" s="85"/>
      <c r="U238" s="85"/>
      <c r="V238" s="85"/>
      <c r="W238" s="85"/>
      <c r="X238" s="85"/>
      <c r="Y238" s="85"/>
      <c r="Z238" s="85"/>
      <c r="AA238" s="85"/>
      <c r="AB238" s="85"/>
      <c r="AC238" s="85"/>
      <c r="AD238" s="85"/>
      <c r="AE238" s="85"/>
      <c r="AF238" s="85"/>
      <c r="AG238" s="85"/>
      <c r="AH238" s="85"/>
      <c r="AI238" s="85"/>
      <c r="AJ238" s="85"/>
      <c r="AK238" s="85"/>
      <c r="AL238" s="85"/>
    </row>
    <row r="239" spans="1:38" s="80" customFormat="1" x14ac:dyDescent="0.25">
      <c r="A239" s="116"/>
      <c r="B239" s="115"/>
      <c r="C239" s="115"/>
      <c r="D239" s="115"/>
      <c r="E239" s="115"/>
      <c r="F239" s="115"/>
      <c r="H239" s="95">
        <v>234</v>
      </c>
      <c r="I239" s="96" t="str">
        <f t="shared" si="15"/>
        <v/>
      </c>
      <c r="J239" s="95" t="e">
        <f t="shared" si="16"/>
        <v>#NUM!</v>
      </c>
      <c r="K239" s="95" t="e">
        <f t="shared" si="17"/>
        <v>#NUM!</v>
      </c>
      <c r="L239" s="95"/>
      <c r="M239" s="97">
        <f t="shared" si="18"/>
        <v>0</v>
      </c>
      <c r="S239" s="85"/>
      <c r="T239" s="85"/>
      <c r="U239" s="85"/>
      <c r="V239" s="85"/>
      <c r="W239" s="85"/>
      <c r="X239" s="85"/>
      <c r="Y239" s="85"/>
      <c r="Z239" s="85"/>
      <c r="AA239" s="85"/>
      <c r="AB239" s="85"/>
      <c r="AC239" s="85"/>
      <c r="AD239" s="85"/>
      <c r="AE239" s="85"/>
      <c r="AF239" s="85"/>
      <c r="AG239" s="85"/>
      <c r="AH239" s="85"/>
      <c r="AI239" s="85"/>
      <c r="AJ239" s="85"/>
      <c r="AK239" s="85"/>
      <c r="AL239" s="85"/>
    </row>
    <row r="240" spans="1:38" s="80" customFormat="1" x14ac:dyDescent="0.25">
      <c r="A240" s="116"/>
      <c r="B240" s="115"/>
      <c r="C240" s="115"/>
      <c r="D240" s="115"/>
      <c r="E240" s="115"/>
      <c r="F240" s="115"/>
      <c r="H240" s="95">
        <v>235</v>
      </c>
      <c r="I240" s="96" t="str">
        <f t="shared" si="15"/>
        <v/>
      </c>
      <c r="J240" s="95" t="e">
        <f t="shared" si="16"/>
        <v>#NUM!</v>
      </c>
      <c r="K240" s="95" t="e">
        <f t="shared" si="17"/>
        <v>#NUM!</v>
      </c>
      <c r="L240" s="95"/>
      <c r="M240" s="97">
        <f t="shared" si="18"/>
        <v>0</v>
      </c>
      <c r="S240" s="85"/>
      <c r="T240" s="85"/>
      <c r="U240" s="85"/>
      <c r="V240" s="85"/>
      <c r="W240" s="85"/>
      <c r="X240" s="85"/>
      <c r="Y240" s="85"/>
      <c r="Z240" s="85"/>
      <c r="AA240" s="85"/>
      <c r="AB240" s="85"/>
      <c r="AC240" s="85"/>
      <c r="AD240" s="85"/>
      <c r="AE240" s="85"/>
      <c r="AF240" s="85"/>
      <c r="AG240" s="85"/>
      <c r="AH240" s="85"/>
      <c r="AI240" s="85"/>
      <c r="AJ240" s="85"/>
      <c r="AK240" s="85"/>
      <c r="AL240" s="85"/>
    </row>
    <row r="241" spans="1:38" s="80" customFormat="1" x14ac:dyDescent="0.25">
      <c r="A241" s="116"/>
      <c r="B241" s="115"/>
      <c r="C241" s="115"/>
      <c r="D241" s="115"/>
      <c r="E241" s="115"/>
      <c r="F241" s="115"/>
      <c r="H241" s="95">
        <v>236</v>
      </c>
      <c r="I241" s="96" t="str">
        <f t="shared" si="15"/>
        <v/>
      </c>
      <c r="J241" s="95" t="e">
        <f t="shared" si="16"/>
        <v>#NUM!</v>
      </c>
      <c r="K241" s="95" t="e">
        <f t="shared" si="17"/>
        <v>#NUM!</v>
      </c>
      <c r="L241" s="95"/>
      <c r="M241" s="97">
        <f t="shared" si="18"/>
        <v>0</v>
      </c>
      <c r="S241" s="85"/>
      <c r="T241" s="85"/>
      <c r="U241" s="85"/>
      <c r="V241" s="85"/>
      <c r="W241" s="85"/>
      <c r="X241" s="85"/>
      <c r="Y241" s="85"/>
      <c r="Z241" s="85"/>
      <c r="AA241" s="85"/>
      <c r="AB241" s="85"/>
      <c r="AC241" s="85"/>
      <c r="AD241" s="85"/>
      <c r="AE241" s="85"/>
      <c r="AF241" s="85"/>
      <c r="AG241" s="85"/>
      <c r="AH241" s="85"/>
      <c r="AI241" s="85"/>
      <c r="AJ241" s="85"/>
      <c r="AK241" s="85"/>
      <c r="AL241" s="85"/>
    </row>
    <row r="242" spans="1:38" s="80" customFormat="1" x14ac:dyDescent="0.25">
      <c r="A242" s="116"/>
      <c r="B242" s="115"/>
      <c r="C242" s="115"/>
      <c r="D242" s="115"/>
      <c r="E242" s="115"/>
      <c r="F242" s="115"/>
      <c r="H242" s="95">
        <v>237</v>
      </c>
      <c r="I242" s="96" t="str">
        <f t="shared" si="15"/>
        <v/>
      </c>
      <c r="J242" s="95" t="e">
        <f t="shared" si="16"/>
        <v>#NUM!</v>
      </c>
      <c r="K242" s="95" t="e">
        <f t="shared" si="17"/>
        <v>#NUM!</v>
      </c>
      <c r="L242" s="95"/>
      <c r="M242" s="97">
        <f t="shared" si="18"/>
        <v>0</v>
      </c>
      <c r="S242" s="85"/>
      <c r="T242" s="85"/>
      <c r="U242" s="85"/>
      <c r="V242" s="85"/>
      <c r="W242" s="85"/>
      <c r="X242" s="85"/>
      <c r="Y242" s="85"/>
      <c r="Z242" s="85"/>
      <c r="AA242" s="85"/>
      <c r="AB242" s="85"/>
      <c r="AC242" s="85"/>
      <c r="AD242" s="85"/>
      <c r="AE242" s="85"/>
      <c r="AF242" s="85"/>
      <c r="AG242" s="85"/>
      <c r="AH242" s="85"/>
      <c r="AI242" s="85"/>
      <c r="AJ242" s="85"/>
      <c r="AK242" s="85"/>
      <c r="AL242" s="85"/>
    </row>
    <row r="243" spans="1:38" s="80" customFormat="1" x14ac:dyDescent="0.25">
      <c r="A243" s="116"/>
      <c r="B243" s="115"/>
      <c r="C243" s="115"/>
      <c r="D243" s="115"/>
      <c r="E243" s="115"/>
      <c r="F243" s="115"/>
      <c r="H243" s="95">
        <v>238</v>
      </c>
      <c r="I243" s="96" t="str">
        <f t="shared" si="15"/>
        <v/>
      </c>
      <c r="J243" s="95" t="e">
        <f t="shared" si="16"/>
        <v>#NUM!</v>
      </c>
      <c r="K243" s="95" t="e">
        <f t="shared" si="17"/>
        <v>#NUM!</v>
      </c>
      <c r="L243" s="95"/>
      <c r="M243" s="97">
        <f t="shared" si="18"/>
        <v>0</v>
      </c>
      <c r="S243" s="85"/>
      <c r="T243" s="85"/>
      <c r="U243" s="85"/>
      <c r="V243" s="85"/>
      <c r="W243" s="85"/>
      <c r="X243" s="85"/>
      <c r="Y243" s="85"/>
      <c r="Z243" s="85"/>
      <c r="AA243" s="85"/>
      <c r="AB243" s="85"/>
      <c r="AC243" s="85"/>
      <c r="AD243" s="85"/>
      <c r="AE243" s="85"/>
      <c r="AF243" s="85"/>
      <c r="AG243" s="85"/>
      <c r="AH243" s="85"/>
      <c r="AI243" s="85"/>
      <c r="AJ243" s="85"/>
      <c r="AK243" s="85"/>
      <c r="AL243" s="85"/>
    </row>
    <row r="244" spans="1:38" s="80" customFormat="1" x14ac:dyDescent="0.25">
      <c r="A244" s="116"/>
      <c r="B244" s="115"/>
      <c r="C244" s="115"/>
      <c r="D244" s="115"/>
      <c r="E244" s="115"/>
      <c r="F244" s="115"/>
      <c r="H244" s="95">
        <v>239</v>
      </c>
      <c r="I244" s="96" t="str">
        <f t="shared" si="15"/>
        <v/>
      </c>
      <c r="J244" s="95" t="e">
        <f t="shared" si="16"/>
        <v>#NUM!</v>
      </c>
      <c r="K244" s="95" t="e">
        <f t="shared" si="17"/>
        <v>#NUM!</v>
      </c>
      <c r="L244" s="95"/>
      <c r="M244" s="97">
        <f t="shared" si="18"/>
        <v>0</v>
      </c>
      <c r="S244" s="85"/>
      <c r="T244" s="85"/>
      <c r="U244" s="85"/>
      <c r="V244" s="85"/>
      <c r="W244" s="85"/>
      <c r="X244" s="85"/>
      <c r="Y244" s="85"/>
      <c r="Z244" s="85"/>
      <c r="AA244" s="85"/>
      <c r="AB244" s="85"/>
      <c r="AC244" s="85"/>
      <c r="AD244" s="85"/>
      <c r="AE244" s="85"/>
      <c r="AF244" s="85"/>
      <c r="AG244" s="85"/>
      <c r="AH244" s="85"/>
      <c r="AI244" s="85"/>
      <c r="AJ244" s="85"/>
      <c r="AK244" s="85"/>
      <c r="AL244" s="85"/>
    </row>
    <row r="245" spans="1:38" s="80" customFormat="1" x14ac:dyDescent="0.25">
      <c r="A245" s="116"/>
      <c r="B245" s="115"/>
      <c r="C245" s="115"/>
      <c r="D245" s="115"/>
      <c r="E245" s="115"/>
      <c r="F245" s="115"/>
      <c r="H245" s="95">
        <v>240</v>
      </c>
      <c r="I245" s="96" t="str">
        <f t="shared" si="15"/>
        <v/>
      </c>
      <c r="J245" s="95" t="e">
        <f t="shared" si="16"/>
        <v>#NUM!</v>
      </c>
      <c r="K245" s="95" t="e">
        <f t="shared" si="17"/>
        <v>#NUM!</v>
      </c>
      <c r="L245" s="95"/>
      <c r="M245" s="97">
        <f t="shared" si="18"/>
        <v>0</v>
      </c>
      <c r="S245" s="85"/>
      <c r="T245" s="85"/>
      <c r="U245" s="85"/>
      <c r="V245" s="85"/>
      <c r="W245" s="85"/>
      <c r="X245" s="85"/>
      <c r="Y245" s="85"/>
      <c r="Z245" s="85"/>
      <c r="AA245" s="85"/>
      <c r="AB245" s="85"/>
      <c r="AC245" s="85"/>
      <c r="AD245" s="85"/>
      <c r="AE245" s="85"/>
      <c r="AF245" s="85"/>
      <c r="AG245" s="85"/>
      <c r="AH245" s="85"/>
      <c r="AI245" s="85"/>
      <c r="AJ245" s="85"/>
      <c r="AK245" s="85"/>
      <c r="AL245" s="85"/>
    </row>
    <row r="246" spans="1:38" s="80" customFormat="1" x14ac:dyDescent="0.25">
      <c r="A246" s="116"/>
      <c r="B246" s="115"/>
      <c r="C246" s="115"/>
      <c r="D246" s="115"/>
      <c r="E246" s="115"/>
      <c r="F246" s="115"/>
      <c r="H246" s="95">
        <v>241</v>
      </c>
      <c r="I246" s="96" t="str">
        <f t="shared" si="15"/>
        <v/>
      </c>
      <c r="J246" s="95" t="e">
        <f t="shared" si="16"/>
        <v>#NUM!</v>
      </c>
      <c r="K246" s="95" t="e">
        <f t="shared" si="17"/>
        <v>#NUM!</v>
      </c>
      <c r="L246" s="95"/>
      <c r="M246" s="97">
        <f t="shared" si="18"/>
        <v>0</v>
      </c>
      <c r="S246" s="85"/>
      <c r="T246" s="85"/>
      <c r="U246" s="85"/>
      <c r="V246" s="85"/>
      <c r="W246" s="85"/>
      <c r="X246" s="85"/>
      <c r="Y246" s="85"/>
      <c r="Z246" s="85"/>
      <c r="AA246" s="85"/>
      <c r="AB246" s="85"/>
      <c r="AC246" s="85"/>
      <c r="AD246" s="85"/>
      <c r="AE246" s="85"/>
      <c r="AF246" s="85"/>
      <c r="AG246" s="85"/>
      <c r="AH246" s="85"/>
      <c r="AI246" s="85"/>
      <c r="AJ246" s="85"/>
      <c r="AK246" s="85"/>
      <c r="AL246" s="85"/>
    </row>
    <row r="247" spans="1:38" s="80" customFormat="1" x14ac:dyDescent="0.25">
      <c r="A247" s="116"/>
      <c r="B247" s="115"/>
      <c r="C247" s="115"/>
      <c r="D247" s="115"/>
      <c r="E247" s="115"/>
      <c r="F247" s="115"/>
      <c r="H247" s="95">
        <v>242</v>
      </c>
      <c r="I247" s="96" t="str">
        <f t="shared" si="15"/>
        <v/>
      </c>
      <c r="J247" s="95" t="e">
        <f t="shared" si="16"/>
        <v>#NUM!</v>
      </c>
      <c r="K247" s="95" t="e">
        <f t="shared" si="17"/>
        <v>#NUM!</v>
      </c>
      <c r="L247" s="95"/>
      <c r="M247" s="97">
        <f t="shared" si="18"/>
        <v>0</v>
      </c>
      <c r="S247" s="85"/>
      <c r="T247" s="85"/>
      <c r="U247" s="85"/>
      <c r="V247" s="85"/>
      <c r="W247" s="85"/>
      <c r="X247" s="85"/>
      <c r="Y247" s="85"/>
      <c r="Z247" s="85"/>
      <c r="AA247" s="85"/>
      <c r="AB247" s="85"/>
      <c r="AC247" s="85"/>
      <c r="AD247" s="85"/>
      <c r="AE247" s="85"/>
      <c r="AF247" s="85"/>
      <c r="AG247" s="85"/>
      <c r="AH247" s="85"/>
      <c r="AI247" s="85"/>
      <c r="AJ247" s="85"/>
      <c r="AK247" s="85"/>
      <c r="AL247" s="85"/>
    </row>
    <row r="248" spans="1:38" s="80" customFormat="1" x14ac:dyDescent="0.25">
      <c r="A248" s="116"/>
      <c r="B248" s="115"/>
      <c r="C248" s="115"/>
      <c r="D248" s="115"/>
      <c r="E248" s="115"/>
      <c r="F248" s="115"/>
      <c r="H248" s="95">
        <v>243</v>
      </c>
      <c r="I248" s="96" t="str">
        <f t="shared" si="15"/>
        <v/>
      </c>
      <c r="J248" s="95" t="e">
        <f t="shared" si="16"/>
        <v>#NUM!</v>
      </c>
      <c r="K248" s="95" t="e">
        <f t="shared" si="17"/>
        <v>#NUM!</v>
      </c>
      <c r="L248" s="95"/>
      <c r="M248" s="97">
        <f t="shared" si="18"/>
        <v>0</v>
      </c>
      <c r="S248" s="85"/>
      <c r="T248" s="85"/>
      <c r="U248" s="85"/>
      <c r="V248" s="85"/>
      <c r="W248" s="85"/>
      <c r="X248" s="85"/>
      <c r="Y248" s="85"/>
      <c r="Z248" s="85"/>
      <c r="AA248" s="85"/>
      <c r="AB248" s="85"/>
      <c r="AC248" s="85"/>
      <c r="AD248" s="85"/>
      <c r="AE248" s="85"/>
      <c r="AF248" s="85"/>
      <c r="AG248" s="85"/>
      <c r="AH248" s="85"/>
      <c r="AI248" s="85"/>
      <c r="AJ248" s="85"/>
      <c r="AK248" s="85"/>
      <c r="AL248" s="85"/>
    </row>
    <row r="249" spans="1:38" s="80" customFormat="1" x14ac:dyDescent="0.25">
      <c r="A249" s="116"/>
      <c r="B249" s="115"/>
      <c r="C249" s="115"/>
      <c r="D249" s="115"/>
      <c r="E249" s="115"/>
      <c r="F249" s="115"/>
      <c r="H249" s="95">
        <v>244</v>
      </c>
      <c r="I249" s="96" t="str">
        <f t="shared" si="15"/>
        <v/>
      </c>
      <c r="J249" s="95" t="e">
        <f t="shared" si="16"/>
        <v>#NUM!</v>
      </c>
      <c r="K249" s="95" t="e">
        <f t="shared" si="17"/>
        <v>#NUM!</v>
      </c>
      <c r="L249" s="95"/>
      <c r="M249" s="97">
        <f t="shared" si="18"/>
        <v>0</v>
      </c>
      <c r="S249" s="85"/>
      <c r="T249" s="85"/>
      <c r="U249" s="85"/>
      <c r="V249" s="85"/>
      <c r="W249" s="85"/>
      <c r="X249" s="85"/>
      <c r="Y249" s="85"/>
      <c r="Z249" s="85"/>
      <c r="AA249" s="85"/>
      <c r="AB249" s="85"/>
      <c r="AC249" s="85"/>
      <c r="AD249" s="85"/>
      <c r="AE249" s="85"/>
      <c r="AF249" s="85"/>
      <c r="AG249" s="85"/>
      <c r="AH249" s="85"/>
      <c r="AI249" s="85"/>
      <c r="AJ249" s="85"/>
      <c r="AK249" s="85"/>
      <c r="AL249" s="85"/>
    </row>
    <row r="250" spans="1:38" s="80" customFormat="1" x14ac:dyDescent="0.25">
      <c r="A250" s="116"/>
      <c r="B250" s="115"/>
      <c r="C250" s="115"/>
      <c r="D250" s="115"/>
      <c r="E250" s="115"/>
      <c r="F250" s="115"/>
      <c r="H250" s="95">
        <v>245</v>
      </c>
      <c r="I250" s="96" t="str">
        <f t="shared" si="15"/>
        <v/>
      </c>
      <c r="J250" s="95" t="e">
        <f t="shared" si="16"/>
        <v>#NUM!</v>
      </c>
      <c r="K250" s="95" t="e">
        <f t="shared" si="17"/>
        <v>#NUM!</v>
      </c>
      <c r="L250" s="95"/>
      <c r="M250" s="97">
        <f t="shared" si="18"/>
        <v>0</v>
      </c>
      <c r="S250" s="85"/>
      <c r="T250" s="85"/>
      <c r="U250" s="85"/>
      <c r="V250" s="85"/>
      <c r="W250" s="85"/>
      <c r="X250" s="85"/>
      <c r="Y250" s="85"/>
      <c r="Z250" s="85"/>
      <c r="AA250" s="85"/>
      <c r="AB250" s="85"/>
      <c r="AC250" s="85"/>
      <c r="AD250" s="85"/>
      <c r="AE250" s="85"/>
      <c r="AF250" s="85"/>
      <c r="AG250" s="85"/>
      <c r="AH250" s="85"/>
      <c r="AI250" s="85"/>
      <c r="AJ250" s="85"/>
      <c r="AK250" s="85"/>
      <c r="AL250" s="85"/>
    </row>
    <row r="251" spans="1:38" s="80" customFormat="1" x14ac:dyDescent="0.25">
      <c r="A251" s="116"/>
      <c r="B251" s="115"/>
      <c r="C251" s="115"/>
      <c r="D251" s="115"/>
      <c r="E251" s="115"/>
      <c r="F251" s="115"/>
      <c r="H251" s="95">
        <v>246</v>
      </c>
      <c r="I251" s="96" t="str">
        <f t="shared" si="15"/>
        <v/>
      </c>
      <c r="J251" s="95" t="e">
        <f t="shared" si="16"/>
        <v>#NUM!</v>
      </c>
      <c r="K251" s="95" t="e">
        <f t="shared" si="17"/>
        <v>#NUM!</v>
      </c>
      <c r="L251" s="95"/>
      <c r="M251" s="97">
        <f t="shared" si="18"/>
        <v>0</v>
      </c>
      <c r="S251" s="85"/>
      <c r="T251" s="85"/>
      <c r="U251" s="85"/>
      <c r="V251" s="85"/>
      <c r="W251" s="85"/>
      <c r="X251" s="85"/>
      <c r="Y251" s="85"/>
      <c r="Z251" s="85"/>
      <c r="AA251" s="85"/>
      <c r="AB251" s="85"/>
      <c r="AC251" s="85"/>
      <c r="AD251" s="85"/>
      <c r="AE251" s="85"/>
      <c r="AF251" s="85"/>
      <c r="AG251" s="85"/>
      <c r="AH251" s="85"/>
      <c r="AI251" s="85"/>
      <c r="AJ251" s="85"/>
      <c r="AK251" s="85"/>
      <c r="AL251" s="85"/>
    </row>
    <row r="252" spans="1:38" s="80" customFormat="1" x14ac:dyDescent="0.25">
      <c r="A252" s="116"/>
      <c r="B252" s="115"/>
      <c r="C252" s="115"/>
      <c r="D252" s="115"/>
      <c r="E252" s="115"/>
      <c r="F252" s="115"/>
      <c r="H252" s="95">
        <v>247</v>
      </c>
      <c r="I252" s="96" t="str">
        <f t="shared" si="15"/>
        <v/>
      </c>
      <c r="J252" s="95" t="e">
        <f t="shared" si="16"/>
        <v>#NUM!</v>
      </c>
      <c r="K252" s="95" t="e">
        <f t="shared" si="17"/>
        <v>#NUM!</v>
      </c>
      <c r="L252" s="95"/>
      <c r="M252" s="97">
        <f t="shared" si="18"/>
        <v>0</v>
      </c>
      <c r="S252" s="85"/>
      <c r="T252" s="85"/>
      <c r="U252" s="85"/>
      <c r="V252" s="85"/>
      <c r="W252" s="85"/>
      <c r="X252" s="85"/>
      <c r="Y252" s="85"/>
      <c r="Z252" s="85"/>
      <c r="AA252" s="85"/>
      <c r="AB252" s="85"/>
      <c r="AC252" s="85"/>
      <c r="AD252" s="85"/>
      <c r="AE252" s="85"/>
      <c r="AF252" s="85"/>
      <c r="AG252" s="85"/>
      <c r="AH252" s="85"/>
      <c r="AI252" s="85"/>
      <c r="AJ252" s="85"/>
      <c r="AK252" s="85"/>
      <c r="AL252" s="85"/>
    </row>
    <row r="253" spans="1:38" s="80" customFormat="1" x14ac:dyDescent="0.25">
      <c r="A253" s="116"/>
      <c r="B253" s="115"/>
      <c r="C253" s="115"/>
      <c r="D253" s="115"/>
      <c r="E253" s="115"/>
      <c r="F253" s="115"/>
      <c r="H253" s="95">
        <v>248</v>
      </c>
      <c r="I253" s="96" t="str">
        <f t="shared" si="15"/>
        <v/>
      </c>
      <c r="J253" s="95" t="e">
        <f t="shared" si="16"/>
        <v>#NUM!</v>
      </c>
      <c r="K253" s="95" t="e">
        <f t="shared" si="17"/>
        <v>#NUM!</v>
      </c>
      <c r="L253" s="95"/>
      <c r="M253" s="97">
        <f t="shared" si="18"/>
        <v>0</v>
      </c>
      <c r="S253" s="85"/>
      <c r="T253" s="85"/>
      <c r="U253" s="85"/>
      <c r="V253" s="85"/>
      <c r="W253" s="85"/>
      <c r="X253" s="85"/>
      <c r="Y253" s="85"/>
      <c r="Z253" s="85"/>
      <c r="AA253" s="85"/>
      <c r="AB253" s="85"/>
      <c r="AC253" s="85"/>
      <c r="AD253" s="85"/>
      <c r="AE253" s="85"/>
      <c r="AF253" s="85"/>
      <c r="AG253" s="85"/>
      <c r="AH253" s="85"/>
      <c r="AI253" s="85"/>
      <c r="AJ253" s="85"/>
      <c r="AK253" s="85"/>
      <c r="AL253" s="85"/>
    </row>
    <row r="254" spans="1:38" s="80" customFormat="1" x14ac:dyDescent="0.25">
      <c r="A254" s="116"/>
      <c r="B254" s="115"/>
      <c r="C254" s="115"/>
      <c r="D254" s="115"/>
      <c r="E254" s="115"/>
      <c r="F254" s="115"/>
      <c r="H254" s="95">
        <v>249</v>
      </c>
      <c r="I254" s="96" t="str">
        <f t="shared" si="15"/>
        <v/>
      </c>
      <c r="J254" s="95" t="e">
        <f t="shared" si="16"/>
        <v>#NUM!</v>
      </c>
      <c r="K254" s="95" t="e">
        <f t="shared" si="17"/>
        <v>#NUM!</v>
      </c>
      <c r="L254" s="95"/>
      <c r="M254" s="97">
        <f t="shared" si="18"/>
        <v>0</v>
      </c>
      <c r="S254" s="85"/>
      <c r="T254" s="85"/>
      <c r="U254" s="85"/>
      <c r="V254" s="85"/>
      <c r="W254" s="85"/>
      <c r="X254" s="85"/>
      <c r="Y254" s="85"/>
      <c r="Z254" s="85"/>
      <c r="AA254" s="85"/>
      <c r="AB254" s="85"/>
      <c r="AC254" s="85"/>
      <c r="AD254" s="85"/>
      <c r="AE254" s="85"/>
      <c r="AF254" s="85"/>
      <c r="AG254" s="85"/>
      <c r="AH254" s="85"/>
      <c r="AI254" s="85"/>
      <c r="AJ254" s="85"/>
      <c r="AK254" s="85"/>
      <c r="AL254" s="85"/>
    </row>
    <row r="255" spans="1:38" s="80" customFormat="1" x14ac:dyDescent="0.25">
      <c r="A255" s="116"/>
      <c r="B255" s="115"/>
      <c r="C255" s="115"/>
      <c r="D255" s="115"/>
      <c r="E255" s="115"/>
      <c r="F255" s="115"/>
      <c r="H255" s="95">
        <v>250</v>
      </c>
      <c r="I255" s="96" t="str">
        <f t="shared" si="15"/>
        <v/>
      </c>
      <c r="J255" s="95" t="e">
        <f t="shared" si="16"/>
        <v>#NUM!</v>
      </c>
      <c r="K255" s="95" t="e">
        <f t="shared" si="17"/>
        <v>#NUM!</v>
      </c>
      <c r="L255" s="95"/>
      <c r="M255" s="97">
        <f t="shared" si="18"/>
        <v>0</v>
      </c>
      <c r="S255" s="85"/>
      <c r="T255" s="85"/>
      <c r="U255" s="85"/>
      <c r="V255" s="85"/>
      <c r="W255" s="85"/>
      <c r="X255" s="85"/>
      <c r="Y255" s="85"/>
      <c r="Z255" s="85"/>
      <c r="AA255" s="85"/>
      <c r="AB255" s="85"/>
      <c r="AC255" s="85"/>
      <c r="AD255" s="85"/>
      <c r="AE255" s="85"/>
      <c r="AF255" s="85"/>
      <c r="AG255" s="85"/>
      <c r="AH255" s="85"/>
      <c r="AI255" s="85"/>
      <c r="AJ255" s="85"/>
      <c r="AK255" s="85"/>
      <c r="AL255" s="85"/>
    </row>
    <row r="256" spans="1:38" s="80" customFormat="1" x14ac:dyDescent="0.25">
      <c r="A256" s="116"/>
      <c r="B256" s="115"/>
      <c r="C256" s="115"/>
      <c r="D256" s="115"/>
      <c r="E256" s="115"/>
      <c r="F256" s="115"/>
      <c r="H256" s="95">
        <v>251</v>
      </c>
      <c r="I256" s="96" t="str">
        <f t="shared" si="15"/>
        <v/>
      </c>
      <c r="J256" s="95" t="e">
        <f t="shared" si="16"/>
        <v>#NUM!</v>
      </c>
      <c r="K256" s="95" t="e">
        <f t="shared" si="17"/>
        <v>#NUM!</v>
      </c>
      <c r="L256" s="95"/>
      <c r="M256" s="97">
        <f t="shared" si="18"/>
        <v>0</v>
      </c>
      <c r="S256" s="85"/>
      <c r="T256" s="85"/>
      <c r="U256" s="85"/>
      <c r="V256" s="85"/>
      <c r="W256" s="85"/>
      <c r="X256" s="85"/>
      <c r="Y256" s="85"/>
      <c r="Z256" s="85"/>
      <c r="AA256" s="85"/>
      <c r="AB256" s="85"/>
      <c r="AC256" s="85"/>
      <c r="AD256" s="85"/>
      <c r="AE256" s="85"/>
      <c r="AF256" s="85"/>
      <c r="AG256" s="85"/>
      <c r="AH256" s="85"/>
      <c r="AI256" s="85"/>
      <c r="AJ256" s="85"/>
      <c r="AK256" s="85"/>
      <c r="AL256" s="85"/>
    </row>
    <row r="257" spans="1:38" s="80" customFormat="1" x14ac:dyDescent="0.25">
      <c r="A257" s="116"/>
      <c r="B257" s="115"/>
      <c r="C257" s="115"/>
      <c r="D257" s="115"/>
      <c r="E257" s="115"/>
      <c r="F257" s="115"/>
      <c r="H257" s="95">
        <v>252</v>
      </c>
      <c r="I257" s="96" t="str">
        <f t="shared" si="15"/>
        <v/>
      </c>
      <c r="J257" s="95" t="e">
        <f t="shared" si="16"/>
        <v>#NUM!</v>
      </c>
      <c r="K257" s="95" t="e">
        <f t="shared" si="17"/>
        <v>#NUM!</v>
      </c>
      <c r="L257" s="95"/>
      <c r="M257" s="97">
        <f t="shared" si="18"/>
        <v>0</v>
      </c>
      <c r="S257" s="85"/>
      <c r="T257" s="85"/>
      <c r="U257" s="85"/>
      <c r="V257" s="85"/>
      <c r="W257" s="85"/>
      <c r="X257" s="85"/>
      <c r="Y257" s="85"/>
      <c r="Z257" s="85"/>
      <c r="AA257" s="85"/>
      <c r="AB257" s="85"/>
      <c r="AC257" s="85"/>
      <c r="AD257" s="85"/>
      <c r="AE257" s="85"/>
      <c r="AF257" s="85"/>
      <c r="AG257" s="85"/>
      <c r="AH257" s="85"/>
      <c r="AI257" s="85"/>
      <c r="AJ257" s="85"/>
      <c r="AK257" s="85"/>
      <c r="AL257" s="85"/>
    </row>
    <row r="258" spans="1:38" s="80" customFormat="1" x14ac:dyDescent="0.25">
      <c r="A258" s="116"/>
      <c r="B258" s="115"/>
      <c r="C258" s="115"/>
      <c r="D258" s="115"/>
      <c r="E258" s="115"/>
      <c r="F258" s="115"/>
      <c r="H258" s="95">
        <v>253</v>
      </c>
      <c r="I258" s="96" t="str">
        <f t="shared" si="15"/>
        <v/>
      </c>
      <c r="J258" s="95" t="e">
        <f t="shared" si="16"/>
        <v>#NUM!</v>
      </c>
      <c r="K258" s="95" t="e">
        <f t="shared" si="17"/>
        <v>#NUM!</v>
      </c>
      <c r="L258" s="95"/>
      <c r="M258" s="97">
        <f t="shared" si="18"/>
        <v>0</v>
      </c>
      <c r="S258" s="85"/>
      <c r="T258" s="85"/>
      <c r="U258" s="85"/>
      <c r="V258" s="85"/>
      <c r="W258" s="85"/>
      <c r="X258" s="85"/>
      <c r="Y258" s="85"/>
      <c r="Z258" s="85"/>
      <c r="AA258" s="85"/>
      <c r="AB258" s="85"/>
      <c r="AC258" s="85"/>
      <c r="AD258" s="85"/>
      <c r="AE258" s="85"/>
      <c r="AF258" s="85"/>
      <c r="AG258" s="85"/>
      <c r="AH258" s="85"/>
      <c r="AI258" s="85"/>
      <c r="AJ258" s="85"/>
      <c r="AK258" s="85"/>
      <c r="AL258" s="85"/>
    </row>
    <row r="259" spans="1:38" s="80" customFormat="1" x14ac:dyDescent="0.25">
      <c r="A259" s="116"/>
      <c r="B259" s="115"/>
      <c r="C259" s="115"/>
      <c r="D259" s="115"/>
      <c r="E259" s="115"/>
      <c r="F259" s="115"/>
      <c r="H259" s="95">
        <v>254</v>
      </c>
      <c r="I259" s="96" t="str">
        <f t="shared" si="15"/>
        <v/>
      </c>
      <c r="J259" s="95" t="e">
        <f t="shared" si="16"/>
        <v>#NUM!</v>
      </c>
      <c r="K259" s="95" t="e">
        <f t="shared" si="17"/>
        <v>#NUM!</v>
      </c>
      <c r="L259" s="95"/>
      <c r="M259" s="97">
        <f t="shared" si="18"/>
        <v>0</v>
      </c>
      <c r="S259" s="85"/>
      <c r="T259" s="85"/>
      <c r="U259" s="85"/>
      <c r="V259" s="85"/>
      <c r="W259" s="85"/>
      <c r="X259" s="85"/>
      <c r="Y259" s="85"/>
      <c r="Z259" s="85"/>
      <c r="AA259" s="85"/>
      <c r="AB259" s="85"/>
      <c r="AC259" s="85"/>
      <c r="AD259" s="85"/>
      <c r="AE259" s="85"/>
      <c r="AF259" s="85"/>
      <c r="AG259" s="85"/>
      <c r="AH259" s="85"/>
      <c r="AI259" s="85"/>
      <c r="AJ259" s="85"/>
      <c r="AK259" s="85"/>
      <c r="AL259" s="85"/>
    </row>
    <row r="260" spans="1:38" s="80" customFormat="1" x14ac:dyDescent="0.25">
      <c r="A260" s="116"/>
      <c r="B260" s="115"/>
      <c r="C260" s="115"/>
      <c r="D260" s="115"/>
      <c r="E260" s="115"/>
      <c r="F260" s="115"/>
      <c r="H260" s="95">
        <v>255</v>
      </c>
      <c r="I260" s="96" t="str">
        <f t="shared" si="15"/>
        <v/>
      </c>
      <c r="J260" s="95" t="e">
        <f t="shared" si="16"/>
        <v>#NUM!</v>
      </c>
      <c r="K260" s="95" t="e">
        <f t="shared" si="17"/>
        <v>#NUM!</v>
      </c>
      <c r="L260" s="95"/>
      <c r="M260" s="97">
        <f t="shared" si="18"/>
        <v>0</v>
      </c>
      <c r="S260" s="85"/>
      <c r="T260" s="85"/>
      <c r="U260" s="85"/>
      <c r="V260" s="85"/>
      <c r="W260" s="85"/>
      <c r="X260" s="85"/>
      <c r="Y260" s="85"/>
      <c r="Z260" s="85"/>
      <c r="AA260" s="85"/>
      <c r="AB260" s="85"/>
      <c r="AC260" s="85"/>
      <c r="AD260" s="85"/>
      <c r="AE260" s="85"/>
      <c r="AF260" s="85"/>
      <c r="AG260" s="85"/>
      <c r="AH260" s="85"/>
      <c r="AI260" s="85"/>
      <c r="AJ260" s="85"/>
      <c r="AK260" s="85"/>
      <c r="AL260" s="85"/>
    </row>
    <row r="261" spans="1:38" s="80" customFormat="1" x14ac:dyDescent="0.25">
      <c r="A261" s="116"/>
      <c r="B261" s="115"/>
      <c r="C261" s="115"/>
      <c r="D261" s="115"/>
      <c r="E261" s="115"/>
      <c r="F261" s="115"/>
      <c r="H261" s="95">
        <v>256</v>
      </c>
      <c r="I261" s="96" t="str">
        <f t="shared" si="15"/>
        <v/>
      </c>
      <c r="J261" s="95" t="e">
        <f t="shared" si="16"/>
        <v>#NUM!</v>
      </c>
      <c r="K261" s="95" t="e">
        <f t="shared" si="17"/>
        <v>#NUM!</v>
      </c>
      <c r="L261" s="95"/>
      <c r="M261" s="97">
        <f t="shared" si="18"/>
        <v>0</v>
      </c>
      <c r="S261" s="85"/>
      <c r="T261" s="85"/>
      <c r="U261" s="85"/>
      <c r="V261" s="85"/>
      <c r="W261" s="85"/>
      <c r="X261" s="85"/>
      <c r="Y261" s="85"/>
      <c r="Z261" s="85"/>
      <c r="AA261" s="85"/>
      <c r="AB261" s="85"/>
      <c r="AC261" s="85"/>
      <c r="AD261" s="85"/>
      <c r="AE261" s="85"/>
      <c r="AF261" s="85"/>
      <c r="AG261" s="85"/>
      <c r="AH261" s="85"/>
      <c r="AI261" s="85"/>
      <c r="AJ261" s="85"/>
      <c r="AK261" s="85"/>
      <c r="AL261" s="85"/>
    </row>
    <row r="262" spans="1:38" s="80" customFormat="1" x14ac:dyDescent="0.25">
      <c r="A262" s="116"/>
      <c r="B262" s="115"/>
      <c r="C262" s="115"/>
      <c r="D262" s="115"/>
      <c r="E262" s="115"/>
      <c r="F262" s="115"/>
      <c r="H262" s="95">
        <v>257</v>
      </c>
      <c r="I262" s="96" t="str">
        <f t="shared" ref="I262:I305" si="19">IF(H262&lt;$H$2+1,($I$2-($I$2-1)*(LOG(H262)/LOG($H$2))),"")</f>
        <v/>
      </c>
      <c r="J262" s="95" t="e">
        <f t="shared" ref="J262:J325" si="20">INT(LOG($H$2,2))-ROUNDUP(LOG(H262,2),0)+IF(OR($H$2=1,$H$2=2,$H$2=4,$H$2=8,$H$2=16,$H$2=32,$H$2=64,$H$2=128,$H$2=256),0,1)</f>
        <v>#NUM!</v>
      </c>
      <c r="K262" s="95" t="e">
        <f t="shared" ref="K262:K305" si="21">J262*$J$2</f>
        <v>#NUM!</v>
      </c>
      <c r="L262" s="95"/>
      <c r="M262" s="97">
        <f t="shared" ref="M262:M305" si="22">IF(I262&lt;&gt;"",K262+I262+L262,0)</f>
        <v>0</v>
      </c>
      <c r="S262" s="85"/>
      <c r="T262" s="85"/>
      <c r="U262" s="85"/>
      <c r="V262" s="85"/>
      <c r="W262" s="85"/>
      <c r="X262" s="85"/>
      <c r="Y262" s="85"/>
      <c r="Z262" s="85"/>
      <c r="AA262" s="85"/>
      <c r="AB262" s="85"/>
      <c r="AC262" s="85"/>
      <c r="AD262" s="85"/>
      <c r="AE262" s="85"/>
      <c r="AF262" s="85"/>
      <c r="AG262" s="85"/>
      <c r="AH262" s="85"/>
      <c r="AI262" s="85"/>
      <c r="AJ262" s="85"/>
      <c r="AK262" s="85"/>
      <c r="AL262" s="85"/>
    </row>
    <row r="263" spans="1:38" s="80" customFormat="1" x14ac:dyDescent="0.25">
      <c r="A263" s="116"/>
      <c r="B263" s="115"/>
      <c r="C263" s="115"/>
      <c r="D263" s="115"/>
      <c r="E263" s="115"/>
      <c r="F263" s="115"/>
      <c r="H263" s="95">
        <v>258</v>
      </c>
      <c r="I263" s="96" t="str">
        <f t="shared" si="19"/>
        <v/>
      </c>
      <c r="J263" s="95" t="e">
        <f t="shared" si="20"/>
        <v>#NUM!</v>
      </c>
      <c r="K263" s="95" t="e">
        <f t="shared" si="21"/>
        <v>#NUM!</v>
      </c>
      <c r="L263" s="95"/>
      <c r="M263" s="97">
        <f t="shared" si="22"/>
        <v>0</v>
      </c>
      <c r="S263" s="85"/>
      <c r="T263" s="85"/>
      <c r="U263" s="85"/>
      <c r="V263" s="85"/>
      <c r="W263" s="85"/>
      <c r="X263" s="85"/>
      <c r="Y263" s="85"/>
      <c r="Z263" s="85"/>
      <c r="AA263" s="85"/>
      <c r="AB263" s="85"/>
      <c r="AC263" s="85"/>
      <c r="AD263" s="85"/>
      <c r="AE263" s="85"/>
      <c r="AF263" s="85"/>
      <c r="AG263" s="85"/>
      <c r="AH263" s="85"/>
      <c r="AI263" s="85"/>
      <c r="AJ263" s="85"/>
      <c r="AK263" s="85"/>
      <c r="AL263" s="85"/>
    </row>
    <row r="264" spans="1:38" s="80" customFormat="1" x14ac:dyDescent="0.25">
      <c r="A264" s="116"/>
      <c r="B264" s="115"/>
      <c r="C264" s="115"/>
      <c r="D264" s="115"/>
      <c r="E264" s="115"/>
      <c r="F264" s="115"/>
      <c r="H264" s="95">
        <v>259</v>
      </c>
      <c r="I264" s="96" t="str">
        <f t="shared" si="19"/>
        <v/>
      </c>
      <c r="J264" s="95" t="e">
        <f t="shared" si="20"/>
        <v>#NUM!</v>
      </c>
      <c r="K264" s="95" t="e">
        <f t="shared" si="21"/>
        <v>#NUM!</v>
      </c>
      <c r="L264" s="95"/>
      <c r="M264" s="97">
        <f t="shared" si="22"/>
        <v>0</v>
      </c>
      <c r="S264" s="85"/>
      <c r="T264" s="85"/>
      <c r="U264" s="85"/>
      <c r="V264" s="85"/>
      <c r="W264" s="85"/>
      <c r="X264" s="85"/>
      <c r="Y264" s="85"/>
      <c r="Z264" s="85"/>
      <c r="AA264" s="85"/>
      <c r="AB264" s="85"/>
      <c r="AC264" s="85"/>
      <c r="AD264" s="85"/>
      <c r="AE264" s="85"/>
      <c r="AF264" s="85"/>
      <c r="AG264" s="85"/>
      <c r="AH264" s="85"/>
      <c r="AI264" s="85"/>
      <c r="AJ264" s="85"/>
      <c r="AK264" s="85"/>
      <c r="AL264" s="85"/>
    </row>
    <row r="265" spans="1:38" s="80" customFormat="1" x14ac:dyDescent="0.25">
      <c r="A265" s="116"/>
      <c r="B265" s="115"/>
      <c r="C265" s="115"/>
      <c r="D265" s="115"/>
      <c r="E265" s="115"/>
      <c r="F265" s="115"/>
      <c r="H265" s="95">
        <v>260</v>
      </c>
      <c r="I265" s="96" t="str">
        <f t="shared" si="19"/>
        <v/>
      </c>
      <c r="J265" s="95" t="e">
        <f t="shared" si="20"/>
        <v>#NUM!</v>
      </c>
      <c r="K265" s="95" t="e">
        <f t="shared" si="21"/>
        <v>#NUM!</v>
      </c>
      <c r="L265" s="95"/>
      <c r="M265" s="97">
        <f t="shared" si="22"/>
        <v>0</v>
      </c>
      <c r="S265" s="85"/>
      <c r="T265" s="85"/>
      <c r="U265" s="85"/>
      <c r="V265" s="85"/>
      <c r="W265" s="85"/>
      <c r="X265" s="85"/>
      <c r="Y265" s="85"/>
      <c r="Z265" s="85"/>
      <c r="AA265" s="85"/>
      <c r="AB265" s="85"/>
      <c r="AC265" s="85"/>
      <c r="AD265" s="85"/>
      <c r="AE265" s="85"/>
      <c r="AF265" s="85"/>
      <c r="AG265" s="85"/>
      <c r="AH265" s="85"/>
      <c r="AI265" s="85"/>
      <c r="AJ265" s="85"/>
      <c r="AK265" s="85"/>
      <c r="AL265" s="85"/>
    </row>
    <row r="266" spans="1:38" s="80" customFormat="1" x14ac:dyDescent="0.25">
      <c r="A266" s="116"/>
      <c r="B266" s="115"/>
      <c r="C266" s="115"/>
      <c r="D266" s="115"/>
      <c r="E266" s="115"/>
      <c r="F266" s="115"/>
      <c r="H266" s="95">
        <v>261</v>
      </c>
      <c r="I266" s="96" t="str">
        <f t="shared" si="19"/>
        <v/>
      </c>
      <c r="J266" s="95" t="e">
        <f t="shared" si="20"/>
        <v>#NUM!</v>
      </c>
      <c r="K266" s="95" t="e">
        <f t="shared" si="21"/>
        <v>#NUM!</v>
      </c>
      <c r="L266" s="95"/>
      <c r="M266" s="97">
        <f t="shared" si="22"/>
        <v>0</v>
      </c>
      <c r="S266" s="85"/>
      <c r="T266" s="85"/>
      <c r="U266" s="85"/>
      <c r="V266" s="85"/>
      <c r="W266" s="85"/>
      <c r="X266" s="85"/>
      <c r="Y266" s="85"/>
      <c r="Z266" s="85"/>
      <c r="AA266" s="85"/>
      <c r="AB266" s="85"/>
      <c r="AC266" s="85"/>
      <c r="AD266" s="85"/>
      <c r="AE266" s="85"/>
      <c r="AF266" s="85"/>
      <c r="AG266" s="85"/>
      <c r="AH266" s="85"/>
      <c r="AI266" s="85"/>
      <c r="AJ266" s="85"/>
      <c r="AK266" s="85"/>
      <c r="AL266" s="85"/>
    </row>
    <row r="267" spans="1:38" s="80" customFormat="1" x14ac:dyDescent="0.25">
      <c r="A267" s="116"/>
      <c r="B267" s="115"/>
      <c r="C267" s="115"/>
      <c r="D267" s="115"/>
      <c r="E267" s="115"/>
      <c r="F267" s="115"/>
      <c r="H267" s="95">
        <v>262</v>
      </c>
      <c r="I267" s="96" t="str">
        <f t="shared" si="19"/>
        <v/>
      </c>
      <c r="J267" s="95" t="e">
        <f t="shared" si="20"/>
        <v>#NUM!</v>
      </c>
      <c r="K267" s="95" t="e">
        <f t="shared" si="21"/>
        <v>#NUM!</v>
      </c>
      <c r="L267" s="95"/>
      <c r="M267" s="97">
        <f t="shared" si="22"/>
        <v>0</v>
      </c>
      <c r="S267" s="85"/>
      <c r="T267" s="85"/>
      <c r="U267" s="85"/>
      <c r="V267" s="85"/>
      <c r="W267" s="85"/>
      <c r="X267" s="85"/>
      <c r="Y267" s="85"/>
      <c r="Z267" s="85"/>
      <c r="AA267" s="85"/>
      <c r="AB267" s="85"/>
      <c r="AC267" s="85"/>
      <c r="AD267" s="85"/>
      <c r="AE267" s="85"/>
      <c r="AF267" s="85"/>
      <c r="AG267" s="85"/>
      <c r="AH267" s="85"/>
      <c r="AI267" s="85"/>
      <c r="AJ267" s="85"/>
      <c r="AK267" s="85"/>
      <c r="AL267" s="85"/>
    </row>
    <row r="268" spans="1:38" s="80" customFormat="1" x14ac:dyDescent="0.25">
      <c r="A268" s="116"/>
      <c r="B268" s="115"/>
      <c r="C268" s="115"/>
      <c r="D268" s="115"/>
      <c r="E268" s="115"/>
      <c r="F268" s="115"/>
      <c r="H268" s="95">
        <v>263</v>
      </c>
      <c r="I268" s="96" t="str">
        <f t="shared" si="19"/>
        <v/>
      </c>
      <c r="J268" s="95" t="e">
        <f t="shared" si="20"/>
        <v>#NUM!</v>
      </c>
      <c r="K268" s="95" t="e">
        <f t="shared" si="21"/>
        <v>#NUM!</v>
      </c>
      <c r="L268" s="95"/>
      <c r="M268" s="97">
        <f t="shared" si="22"/>
        <v>0</v>
      </c>
      <c r="S268" s="85"/>
      <c r="T268" s="85"/>
      <c r="U268" s="85"/>
      <c r="V268" s="85"/>
      <c r="W268" s="85"/>
      <c r="X268" s="85"/>
      <c r="Y268" s="85"/>
      <c r="Z268" s="85"/>
      <c r="AA268" s="85"/>
      <c r="AB268" s="85"/>
      <c r="AC268" s="85"/>
      <c r="AD268" s="85"/>
      <c r="AE268" s="85"/>
      <c r="AF268" s="85"/>
      <c r="AG268" s="85"/>
      <c r="AH268" s="85"/>
      <c r="AI268" s="85"/>
      <c r="AJ268" s="85"/>
      <c r="AK268" s="85"/>
      <c r="AL268" s="85"/>
    </row>
    <row r="269" spans="1:38" s="80" customFormat="1" x14ac:dyDescent="0.25">
      <c r="A269" s="116"/>
      <c r="B269" s="115"/>
      <c r="C269" s="115"/>
      <c r="D269" s="115"/>
      <c r="E269" s="115"/>
      <c r="F269" s="115"/>
      <c r="H269" s="95">
        <v>264</v>
      </c>
      <c r="I269" s="96" t="str">
        <f t="shared" si="19"/>
        <v/>
      </c>
      <c r="J269" s="95" t="e">
        <f t="shared" si="20"/>
        <v>#NUM!</v>
      </c>
      <c r="K269" s="95" t="e">
        <f t="shared" si="21"/>
        <v>#NUM!</v>
      </c>
      <c r="L269" s="95"/>
      <c r="M269" s="97">
        <f t="shared" si="22"/>
        <v>0</v>
      </c>
      <c r="S269" s="85"/>
      <c r="T269" s="85"/>
      <c r="U269" s="85"/>
      <c r="V269" s="85"/>
      <c r="W269" s="85"/>
      <c r="X269" s="85"/>
      <c r="Y269" s="85"/>
      <c r="Z269" s="85"/>
      <c r="AA269" s="85"/>
      <c r="AB269" s="85"/>
      <c r="AC269" s="85"/>
      <c r="AD269" s="85"/>
      <c r="AE269" s="85"/>
      <c r="AF269" s="85"/>
      <c r="AG269" s="85"/>
      <c r="AH269" s="85"/>
      <c r="AI269" s="85"/>
      <c r="AJ269" s="85"/>
      <c r="AK269" s="85"/>
      <c r="AL269" s="85"/>
    </row>
    <row r="270" spans="1:38" s="80" customFormat="1" x14ac:dyDescent="0.25">
      <c r="A270" s="116"/>
      <c r="B270" s="115"/>
      <c r="C270" s="115"/>
      <c r="D270" s="115"/>
      <c r="E270" s="115"/>
      <c r="F270" s="115"/>
      <c r="H270" s="95">
        <v>265</v>
      </c>
      <c r="I270" s="96" t="str">
        <f t="shared" si="19"/>
        <v/>
      </c>
      <c r="J270" s="95" t="e">
        <f t="shared" si="20"/>
        <v>#NUM!</v>
      </c>
      <c r="K270" s="95" t="e">
        <f t="shared" si="21"/>
        <v>#NUM!</v>
      </c>
      <c r="L270" s="95"/>
      <c r="M270" s="97">
        <f t="shared" si="22"/>
        <v>0</v>
      </c>
      <c r="S270" s="85"/>
      <c r="T270" s="85"/>
      <c r="U270" s="85"/>
      <c r="V270" s="85"/>
      <c r="W270" s="85"/>
      <c r="X270" s="85"/>
      <c r="Y270" s="85"/>
      <c r="Z270" s="85"/>
      <c r="AA270" s="85"/>
      <c r="AB270" s="85"/>
      <c r="AC270" s="85"/>
      <c r="AD270" s="85"/>
      <c r="AE270" s="85"/>
      <c r="AF270" s="85"/>
      <c r="AG270" s="85"/>
      <c r="AH270" s="85"/>
      <c r="AI270" s="85"/>
      <c r="AJ270" s="85"/>
      <c r="AK270" s="85"/>
      <c r="AL270" s="85"/>
    </row>
    <row r="271" spans="1:38" s="80" customFormat="1" x14ac:dyDescent="0.25">
      <c r="A271" s="116"/>
      <c r="B271" s="115"/>
      <c r="C271" s="115"/>
      <c r="D271" s="115"/>
      <c r="E271" s="115"/>
      <c r="F271" s="115"/>
      <c r="H271" s="95">
        <v>266</v>
      </c>
      <c r="I271" s="96" t="str">
        <f t="shared" si="19"/>
        <v/>
      </c>
      <c r="J271" s="95" t="e">
        <f t="shared" si="20"/>
        <v>#NUM!</v>
      </c>
      <c r="K271" s="95" t="e">
        <f t="shared" si="21"/>
        <v>#NUM!</v>
      </c>
      <c r="L271" s="95"/>
      <c r="M271" s="97">
        <f t="shared" si="22"/>
        <v>0</v>
      </c>
      <c r="S271" s="85"/>
      <c r="T271" s="85"/>
      <c r="U271" s="85"/>
      <c r="V271" s="85"/>
      <c r="W271" s="85"/>
      <c r="X271" s="85"/>
      <c r="Y271" s="85"/>
      <c r="Z271" s="85"/>
      <c r="AA271" s="85"/>
      <c r="AB271" s="85"/>
      <c r="AC271" s="85"/>
      <c r="AD271" s="85"/>
      <c r="AE271" s="85"/>
      <c r="AF271" s="85"/>
      <c r="AG271" s="85"/>
      <c r="AH271" s="85"/>
      <c r="AI271" s="85"/>
      <c r="AJ271" s="85"/>
      <c r="AK271" s="85"/>
      <c r="AL271" s="85"/>
    </row>
    <row r="272" spans="1:38" s="80" customFormat="1" x14ac:dyDescent="0.25">
      <c r="A272" s="116"/>
      <c r="B272" s="115"/>
      <c r="C272" s="115"/>
      <c r="D272" s="115"/>
      <c r="E272" s="115"/>
      <c r="F272" s="115"/>
      <c r="H272" s="95">
        <v>267</v>
      </c>
      <c r="I272" s="96" t="str">
        <f t="shared" si="19"/>
        <v/>
      </c>
      <c r="J272" s="95" t="e">
        <f t="shared" si="20"/>
        <v>#NUM!</v>
      </c>
      <c r="K272" s="95" t="e">
        <f t="shared" si="21"/>
        <v>#NUM!</v>
      </c>
      <c r="L272" s="95"/>
      <c r="M272" s="97">
        <f t="shared" si="22"/>
        <v>0</v>
      </c>
      <c r="S272" s="85"/>
      <c r="T272" s="85"/>
      <c r="U272" s="85"/>
      <c r="V272" s="85"/>
      <c r="W272" s="85"/>
      <c r="X272" s="85"/>
      <c r="Y272" s="85"/>
      <c r="Z272" s="85"/>
      <c r="AA272" s="85"/>
      <c r="AB272" s="85"/>
      <c r="AC272" s="85"/>
      <c r="AD272" s="85"/>
      <c r="AE272" s="85"/>
      <c r="AF272" s="85"/>
      <c r="AG272" s="85"/>
      <c r="AH272" s="85"/>
      <c r="AI272" s="85"/>
      <c r="AJ272" s="85"/>
      <c r="AK272" s="85"/>
      <c r="AL272" s="85"/>
    </row>
    <row r="273" spans="1:38" s="80" customFormat="1" x14ac:dyDescent="0.25">
      <c r="A273" s="116"/>
      <c r="B273" s="115"/>
      <c r="C273" s="115"/>
      <c r="D273" s="115"/>
      <c r="E273" s="115"/>
      <c r="F273" s="115"/>
      <c r="H273" s="95">
        <v>268</v>
      </c>
      <c r="I273" s="96" t="str">
        <f t="shared" si="19"/>
        <v/>
      </c>
      <c r="J273" s="95" t="e">
        <f t="shared" si="20"/>
        <v>#NUM!</v>
      </c>
      <c r="K273" s="95" t="e">
        <f t="shared" si="21"/>
        <v>#NUM!</v>
      </c>
      <c r="L273" s="95"/>
      <c r="M273" s="97">
        <f t="shared" si="22"/>
        <v>0</v>
      </c>
      <c r="S273" s="85"/>
      <c r="T273" s="85"/>
      <c r="U273" s="85"/>
      <c r="V273" s="85"/>
      <c r="W273" s="85"/>
      <c r="X273" s="85"/>
      <c r="Y273" s="85"/>
      <c r="Z273" s="85"/>
      <c r="AA273" s="85"/>
      <c r="AB273" s="85"/>
      <c r="AC273" s="85"/>
      <c r="AD273" s="85"/>
      <c r="AE273" s="85"/>
      <c r="AF273" s="85"/>
      <c r="AG273" s="85"/>
      <c r="AH273" s="85"/>
      <c r="AI273" s="85"/>
      <c r="AJ273" s="85"/>
      <c r="AK273" s="85"/>
      <c r="AL273" s="85"/>
    </row>
    <row r="274" spans="1:38" s="80" customFormat="1" x14ac:dyDescent="0.25">
      <c r="A274" s="116"/>
      <c r="B274" s="115"/>
      <c r="C274" s="115"/>
      <c r="D274" s="115"/>
      <c r="E274" s="115"/>
      <c r="F274" s="115"/>
      <c r="H274" s="95">
        <v>269</v>
      </c>
      <c r="I274" s="96" t="str">
        <f t="shared" si="19"/>
        <v/>
      </c>
      <c r="J274" s="95" t="e">
        <f t="shared" si="20"/>
        <v>#NUM!</v>
      </c>
      <c r="K274" s="95" t="e">
        <f t="shared" si="21"/>
        <v>#NUM!</v>
      </c>
      <c r="L274" s="95"/>
      <c r="M274" s="97">
        <f t="shared" si="22"/>
        <v>0</v>
      </c>
      <c r="S274" s="85"/>
      <c r="T274" s="85"/>
      <c r="U274" s="85"/>
      <c r="V274" s="85"/>
      <c r="W274" s="85"/>
      <c r="X274" s="85"/>
      <c r="Y274" s="85"/>
      <c r="Z274" s="85"/>
      <c r="AA274" s="85"/>
      <c r="AB274" s="85"/>
      <c r="AC274" s="85"/>
      <c r="AD274" s="85"/>
      <c r="AE274" s="85"/>
      <c r="AF274" s="85"/>
      <c r="AG274" s="85"/>
      <c r="AH274" s="85"/>
      <c r="AI274" s="85"/>
      <c r="AJ274" s="85"/>
      <c r="AK274" s="85"/>
      <c r="AL274" s="85"/>
    </row>
    <row r="275" spans="1:38" s="80" customFormat="1" x14ac:dyDescent="0.25">
      <c r="A275" s="116"/>
      <c r="B275" s="115"/>
      <c r="C275" s="115"/>
      <c r="D275" s="115"/>
      <c r="E275" s="115"/>
      <c r="F275" s="115"/>
      <c r="H275" s="95">
        <v>270</v>
      </c>
      <c r="I275" s="96" t="str">
        <f t="shared" si="19"/>
        <v/>
      </c>
      <c r="J275" s="95" t="e">
        <f t="shared" si="20"/>
        <v>#NUM!</v>
      </c>
      <c r="K275" s="95" t="e">
        <f t="shared" si="21"/>
        <v>#NUM!</v>
      </c>
      <c r="L275" s="95"/>
      <c r="M275" s="97">
        <f t="shared" si="22"/>
        <v>0</v>
      </c>
      <c r="S275" s="85"/>
      <c r="T275" s="85"/>
      <c r="U275" s="85"/>
      <c r="V275" s="85"/>
      <c r="W275" s="85"/>
      <c r="X275" s="85"/>
      <c r="Y275" s="85"/>
      <c r="Z275" s="85"/>
      <c r="AA275" s="85"/>
      <c r="AB275" s="85"/>
      <c r="AC275" s="85"/>
      <c r="AD275" s="85"/>
      <c r="AE275" s="85"/>
      <c r="AF275" s="85"/>
      <c r="AG275" s="85"/>
      <c r="AH275" s="85"/>
      <c r="AI275" s="85"/>
      <c r="AJ275" s="85"/>
      <c r="AK275" s="85"/>
      <c r="AL275" s="85"/>
    </row>
    <row r="276" spans="1:38" s="80" customFormat="1" x14ac:dyDescent="0.25">
      <c r="A276" s="116"/>
      <c r="B276" s="115"/>
      <c r="C276" s="115"/>
      <c r="D276" s="115"/>
      <c r="E276" s="115"/>
      <c r="F276" s="115"/>
      <c r="H276" s="95">
        <v>271</v>
      </c>
      <c r="I276" s="96" t="str">
        <f t="shared" si="19"/>
        <v/>
      </c>
      <c r="J276" s="95" t="e">
        <f t="shared" si="20"/>
        <v>#NUM!</v>
      </c>
      <c r="K276" s="95" t="e">
        <f t="shared" si="21"/>
        <v>#NUM!</v>
      </c>
      <c r="L276" s="95"/>
      <c r="M276" s="97">
        <f t="shared" si="22"/>
        <v>0</v>
      </c>
      <c r="S276" s="85"/>
      <c r="T276" s="85"/>
      <c r="U276" s="85"/>
      <c r="V276" s="85"/>
      <c r="W276" s="85"/>
      <c r="X276" s="85"/>
      <c r="Y276" s="85"/>
      <c r="Z276" s="85"/>
      <c r="AA276" s="85"/>
      <c r="AB276" s="85"/>
      <c r="AC276" s="85"/>
      <c r="AD276" s="85"/>
      <c r="AE276" s="85"/>
      <c r="AF276" s="85"/>
      <c r="AG276" s="85"/>
      <c r="AH276" s="85"/>
      <c r="AI276" s="85"/>
      <c r="AJ276" s="85"/>
      <c r="AK276" s="85"/>
      <c r="AL276" s="85"/>
    </row>
    <row r="277" spans="1:38" s="80" customFormat="1" x14ac:dyDescent="0.25">
      <c r="A277" s="116"/>
      <c r="B277" s="115"/>
      <c r="C277" s="115"/>
      <c r="D277" s="115"/>
      <c r="E277" s="115"/>
      <c r="F277" s="115"/>
      <c r="H277" s="95">
        <v>272</v>
      </c>
      <c r="I277" s="96" t="str">
        <f t="shared" si="19"/>
        <v/>
      </c>
      <c r="J277" s="95" t="e">
        <f t="shared" si="20"/>
        <v>#NUM!</v>
      </c>
      <c r="K277" s="95" t="e">
        <f t="shared" si="21"/>
        <v>#NUM!</v>
      </c>
      <c r="L277" s="95"/>
      <c r="M277" s="97">
        <f t="shared" si="22"/>
        <v>0</v>
      </c>
      <c r="S277" s="85"/>
      <c r="T277" s="85"/>
      <c r="U277" s="85"/>
      <c r="V277" s="85"/>
      <c r="W277" s="85"/>
      <c r="X277" s="85"/>
      <c r="Y277" s="85"/>
      <c r="Z277" s="85"/>
      <c r="AA277" s="85"/>
      <c r="AB277" s="85"/>
      <c r="AC277" s="85"/>
      <c r="AD277" s="85"/>
      <c r="AE277" s="85"/>
      <c r="AF277" s="85"/>
      <c r="AG277" s="85"/>
      <c r="AH277" s="85"/>
      <c r="AI277" s="85"/>
      <c r="AJ277" s="85"/>
      <c r="AK277" s="85"/>
      <c r="AL277" s="85"/>
    </row>
    <row r="278" spans="1:38" s="80" customFormat="1" x14ac:dyDescent="0.25">
      <c r="A278" s="116"/>
      <c r="B278" s="115"/>
      <c r="C278" s="115"/>
      <c r="D278" s="115"/>
      <c r="E278" s="115"/>
      <c r="F278" s="115"/>
      <c r="H278" s="95">
        <v>273</v>
      </c>
      <c r="I278" s="96" t="str">
        <f t="shared" si="19"/>
        <v/>
      </c>
      <c r="J278" s="95" t="e">
        <f t="shared" si="20"/>
        <v>#NUM!</v>
      </c>
      <c r="K278" s="95" t="e">
        <f t="shared" si="21"/>
        <v>#NUM!</v>
      </c>
      <c r="L278" s="95"/>
      <c r="M278" s="97">
        <f t="shared" si="22"/>
        <v>0</v>
      </c>
      <c r="S278" s="85"/>
      <c r="T278" s="85"/>
      <c r="U278" s="85"/>
      <c r="V278" s="85"/>
      <c r="W278" s="85"/>
      <c r="X278" s="85"/>
      <c r="Y278" s="85"/>
      <c r="Z278" s="85"/>
      <c r="AA278" s="85"/>
      <c r="AB278" s="85"/>
      <c r="AC278" s="85"/>
      <c r="AD278" s="85"/>
      <c r="AE278" s="85"/>
      <c r="AF278" s="85"/>
      <c r="AG278" s="85"/>
      <c r="AH278" s="85"/>
      <c r="AI278" s="85"/>
      <c r="AJ278" s="85"/>
      <c r="AK278" s="85"/>
      <c r="AL278" s="85"/>
    </row>
    <row r="279" spans="1:38" s="80" customFormat="1" x14ac:dyDescent="0.25">
      <c r="A279" s="116"/>
      <c r="B279" s="115"/>
      <c r="C279" s="115"/>
      <c r="D279" s="115"/>
      <c r="E279" s="115"/>
      <c r="F279" s="115"/>
      <c r="H279" s="95">
        <v>274</v>
      </c>
      <c r="I279" s="96" t="str">
        <f t="shared" si="19"/>
        <v/>
      </c>
      <c r="J279" s="95" t="e">
        <f t="shared" si="20"/>
        <v>#NUM!</v>
      </c>
      <c r="K279" s="95" t="e">
        <f t="shared" si="21"/>
        <v>#NUM!</v>
      </c>
      <c r="L279" s="95"/>
      <c r="M279" s="97">
        <f t="shared" si="22"/>
        <v>0</v>
      </c>
      <c r="S279" s="85"/>
      <c r="T279" s="85"/>
      <c r="U279" s="85"/>
      <c r="V279" s="85"/>
      <c r="W279" s="85"/>
      <c r="X279" s="85"/>
      <c r="Y279" s="85"/>
      <c r="Z279" s="85"/>
      <c r="AA279" s="85"/>
      <c r="AB279" s="85"/>
      <c r="AC279" s="85"/>
      <c r="AD279" s="85"/>
      <c r="AE279" s="85"/>
      <c r="AF279" s="85"/>
      <c r="AG279" s="85"/>
      <c r="AH279" s="85"/>
      <c r="AI279" s="85"/>
      <c r="AJ279" s="85"/>
      <c r="AK279" s="85"/>
      <c r="AL279" s="85"/>
    </row>
    <row r="280" spans="1:38" s="80" customFormat="1" x14ac:dyDescent="0.25">
      <c r="A280" s="116"/>
      <c r="B280" s="115"/>
      <c r="C280" s="115"/>
      <c r="D280" s="115"/>
      <c r="E280" s="115"/>
      <c r="F280" s="115"/>
      <c r="H280" s="95">
        <v>275</v>
      </c>
      <c r="I280" s="96" t="str">
        <f t="shared" si="19"/>
        <v/>
      </c>
      <c r="J280" s="95" t="e">
        <f t="shared" si="20"/>
        <v>#NUM!</v>
      </c>
      <c r="K280" s="95" t="e">
        <f t="shared" si="21"/>
        <v>#NUM!</v>
      </c>
      <c r="L280" s="95"/>
      <c r="M280" s="97">
        <f t="shared" si="22"/>
        <v>0</v>
      </c>
      <c r="S280" s="85"/>
      <c r="T280" s="85"/>
      <c r="U280" s="85"/>
      <c r="V280" s="85"/>
      <c r="W280" s="85"/>
      <c r="X280" s="85"/>
      <c r="Y280" s="85"/>
      <c r="Z280" s="85"/>
      <c r="AA280" s="85"/>
      <c r="AB280" s="85"/>
      <c r="AC280" s="85"/>
      <c r="AD280" s="85"/>
      <c r="AE280" s="85"/>
      <c r="AF280" s="85"/>
      <c r="AG280" s="85"/>
      <c r="AH280" s="85"/>
      <c r="AI280" s="85"/>
      <c r="AJ280" s="85"/>
      <c r="AK280" s="85"/>
      <c r="AL280" s="85"/>
    </row>
    <row r="281" spans="1:38" s="80" customFormat="1" x14ac:dyDescent="0.25">
      <c r="A281" s="116"/>
      <c r="B281" s="115"/>
      <c r="C281" s="115"/>
      <c r="D281" s="115"/>
      <c r="E281" s="115"/>
      <c r="F281" s="115"/>
      <c r="H281" s="95">
        <v>276</v>
      </c>
      <c r="I281" s="96" t="str">
        <f t="shared" si="19"/>
        <v/>
      </c>
      <c r="J281" s="95" t="e">
        <f t="shared" si="20"/>
        <v>#NUM!</v>
      </c>
      <c r="K281" s="95" t="e">
        <f t="shared" si="21"/>
        <v>#NUM!</v>
      </c>
      <c r="L281" s="95"/>
      <c r="M281" s="97">
        <f t="shared" si="22"/>
        <v>0</v>
      </c>
      <c r="S281" s="85"/>
      <c r="T281" s="85"/>
      <c r="U281" s="85"/>
      <c r="V281" s="85"/>
      <c r="W281" s="85"/>
      <c r="X281" s="85"/>
      <c r="Y281" s="85"/>
      <c r="Z281" s="85"/>
      <c r="AA281" s="85"/>
      <c r="AB281" s="85"/>
      <c r="AC281" s="85"/>
      <c r="AD281" s="85"/>
      <c r="AE281" s="85"/>
      <c r="AF281" s="85"/>
      <c r="AG281" s="85"/>
      <c r="AH281" s="85"/>
      <c r="AI281" s="85"/>
      <c r="AJ281" s="85"/>
      <c r="AK281" s="85"/>
      <c r="AL281" s="85"/>
    </row>
    <row r="282" spans="1:38" s="80" customFormat="1" x14ac:dyDescent="0.25">
      <c r="A282" s="116"/>
      <c r="B282" s="115"/>
      <c r="C282" s="115"/>
      <c r="D282" s="115"/>
      <c r="E282" s="115"/>
      <c r="F282" s="115"/>
      <c r="H282" s="95">
        <v>277</v>
      </c>
      <c r="I282" s="96" t="str">
        <f t="shared" si="19"/>
        <v/>
      </c>
      <c r="J282" s="95" t="e">
        <f t="shared" si="20"/>
        <v>#NUM!</v>
      </c>
      <c r="K282" s="95" t="e">
        <f t="shared" si="21"/>
        <v>#NUM!</v>
      </c>
      <c r="L282" s="95"/>
      <c r="M282" s="97">
        <f t="shared" si="22"/>
        <v>0</v>
      </c>
      <c r="S282" s="85"/>
      <c r="T282" s="85"/>
      <c r="U282" s="85"/>
      <c r="V282" s="85"/>
      <c r="W282" s="85"/>
      <c r="X282" s="85"/>
      <c r="Y282" s="85"/>
      <c r="Z282" s="85"/>
      <c r="AA282" s="85"/>
      <c r="AB282" s="85"/>
      <c r="AC282" s="85"/>
      <c r="AD282" s="85"/>
      <c r="AE282" s="85"/>
      <c r="AF282" s="85"/>
      <c r="AG282" s="85"/>
      <c r="AH282" s="85"/>
      <c r="AI282" s="85"/>
      <c r="AJ282" s="85"/>
      <c r="AK282" s="85"/>
      <c r="AL282" s="85"/>
    </row>
    <row r="283" spans="1:38" s="80" customFormat="1" x14ac:dyDescent="0.25">
      <c r="A283" s="116"/>
      <c r="B283" s="115"/>
      <c r="C283" s="115"/>
      <c r="D283" s="115"/>
      <c r="E283" s="115"/>
      <c r="F283" s="115"/>
      <c r="H283" s="95">
        <v>278</v>
      </c>
      <c r="I283" s="96" t="str">
        <f t="shared" si="19"/>
        <v/>
      </c>
      <c r="J283" s="95" t="e">
        <f t="shared" si="20"/>
        <v>#NUM!</v>
      </c>
      <c r="K283" s="95" t="e">
        <f t="shared" si="21"/>
        <v>#NUM!</v>
      </c>
      <c r="L283" s="95"/>
      <c r="M283" s="97">
        <f t="shared" si="22"/>
        <v>0</v>
      </c>
      <c r="S283" s="85"/>
      <c r="T283" s="85"/>
      <c r="U283" s="85"/>
      <c r="V283" s="85"/>
      <c r="W283" s="85"/>
      <c r="X283" s="85"/>
      <c r="Y283" s="85"/>
      <c r="Z283" s="85"/>
      <c r="AA283" s="85"/>
      <c r="AB283" s="85"/>
      <c r="AC283" s="85"/>
      <c r="AD283" s="85"/>
      <c r="AE283" s="85"/>
      <c r="AF283" s="85"/>
      <c r="AG283" s="85"/>
      <c r="AH283" s="85"/>
      <c r="AI283" s="85"/>
      <c r="AJ283" s="85"/>
      <c r="AK283" s="85"/>
      <c r="AL283" s="85"/>
    </row>
    <row r="284" spans="1:38" s="80" customFormat="1" x14ac:dyDescent="0.25">
      <c r="A284" s="116"/>
      <c r="B284" s="115"/>
      <c r="C284" s="115"/>
      <c r="D284" s="115"/>
      <c r="E284" s="115"/>
      <c r="F284" s="115"/>
      <c r="H284" s="95">
        <v>279</v>
      </c>
      <c r="I284" s="96" t="str">
        <f t="shared" si="19"/>
        <v/>
      </c>
      <c r="J284" s="95" t="e">
        <f t="shared" si="20"/>
        <v>#NUM!</v>
      </c>
      <c r="K284" s="95" t="e">
        <f t="shared" si="21"/>
        <v>#NUM!</v>
      </c>
      <c r="L284" s="95"/>
      <c r="M284" s="97">
        <f t="shared" si="22"/>
        <v>0</v>
      </c>
      <c r="S284" s="85"/>
      <c r="T284" s="85"/>
      <c r="U284" s="85"/>
      <c r="V284" s="85"/>
      <c r="W284" s="85"/>
      <c r="X284" s="85"/>
      <c r="Y284" s="85"/>
      <c r="Z284" s="85"/>
      <c r="AA284" s="85"/>
      <c r="AB284" s="85"/>
      <c r="AC284" s="85"/>
      <c r="AD284" s="85"/>
      <c r="AE284" s="85"/>
      <c r="AF284" s="85"/>
      <c r="AG284" s="85"/>
      <c r="AH284" s="85"/>
      <c r="AI284" s="85"/>
      <c r="AJ284" s="85"/>
      <c r="AK284" s="85"/>
      <c r="AL284" s="85"/>
    </row>
    <row r="285" spans="1:38" s="80" customFormat="1" x14ac:dyDescent="0.25">
      <c r="A285" s="116"/>
      <c r="B285" s="115"/>
      <c r="C285" s="115"/>
      <c r="D285" s="115"/>
      <c r="E285" s="115"/>
      <c r="F285" s="115"/>
      <c r="H285" s="95">
        <v>280</v>
      </c>
      <c r="I285" s="96" t="str">
        <f t="shared" si="19"/>
        <v/>
      </c>
      <c r="J285" s="95" t="e">
        <f t="shared" si="20"/>
        <v>#NUM!</v>
      </c>
      <c r="K285" s="95" t="e">
        <f t="shared" si="21"/>
        <v>#NUM!</v>
      </c>
      <c r="L285" s="95"/>
      <c r="M285" s="97">
        <f t="shared" si="22"/>
        <v>0</v>
      </c>
      <c r="S285" s="85"/>
      <c r="T285" s="85"/>
      <c r="U285" s="85"/>
      <c r="V285" s="85"/>
      <c r="W285" s="85"/>
      <c r="X285" s="85"/>
      <c r="Y285" s="85"/>
      <c r="Z285" s="85"/>
      <c r="AA285" s="85"/>
      <c r="AB285" s="85"/>
      <c r="AC285" s="85"/>
      <c r="AD285" s="85"/>
      <c r="AE285" s="85"/>
      <c r="AF285" s="85"/>
      <c r="AG285" s="85"/>
      <c r="AH285" s="85"/>
      <c r="AI285" s="85"/>
      <c r="AJ285" s="85"/>
      <c r="AK285" s="85"/>
      <c r="AL285" s="85"/>
    </row>
    <row r="286" spans="1:38" s="80" customFormat="1" x14ac:dyDescent="0.25">
      <c r="A286" s="116"/>
      <c r="B286" s="115"/>
      <c r="C286" s="115"/>
      <c r="D286" s="115"/>
      <c r="E286" s="115"/>
      <c r="F286" s="115"/>
      <c r="H286" s="95">
        <v>281</v>
      </c>
      <c r="I286" s="96" t="str">
        <f t="shared" si="19"/>
        <v/>
      </c>
      <c r="J286" s="95" t="e">
        <f t="shared" si="20"/>
        <v>#NUM!</v>
      </c>
      <c r="K286" s="95" t="e">
        <f t="shared" si="21"/>
        <v>#NUM!</v>
      </c>
      <c r="L286" s="95"/>
      <c r="M286" s="97">
        <f t="shared" si="22"/>
        <v>0</v>
      </c>
      <c r="S286" s="85"/>
      <c r="T286" s="85"/>
      <c r="U286" s="85"/>
      <c r="V286" s="85"/>
      <c r="W286" s="85"/>
      <c r="X286" s="85"/>
      <c r="Y286" s="85"/>
      <c r="Z286" s="85"/>
      <c r="AA286" s="85"/>
      <c r="AB286" s="85"/>
      <c r="AC286" s="85"/>
      <c r="AD286" s="85"/>
      <c r="AE286" s="85"/>
      <c r="AF286" s="85"/>
      <c r="AG286" s="85"/>
      <c r="AH286" s="85"/>
      <c r="AI286" s="85"/>
      <c r="AJ286" s="85"/>
      <c r="AK286" s="85"/>
      <c r="AL286" s="85"/>
    </row>
    <row r="287" spans="1:38" s="80" customFormat="1" x14ac:dyDescent="0.25">
      <c r="A287" s="116"/>
      <c r="B287" s="115"/>
      <c r="C287" s="115"/>
      <c r="D287" s="115"/>
      <c r="E287" s="115"/>
      <c r="F287" s="115"/>
      <c r="H287" s="95">
        <v>282</v>
      </c>
      <c r="I287" s="96" t="str">
        <f t="shared" si="19"/>
        <v/>
      </c>
      <c r="J287" s="95" t="e">
        <f t="shared" si="20"/>
        <v>#NUM!</v>
      </c>
      <c r="K287" s="95" t="e">
        <f t="shared" si="21"/>
        <v>#NUM!</v>
      </c>
      <c r="L287" s="95"/>
      <c r="M287" s="97">
        <f t="shared" si="22"/>
        <v>0</v>
      </c>
      <c r="S287" s="85"/>
      <c r="T287" s="85"/>
      <c r="U287" s="85"/>
      <c r="V287" s="85"/>
      <c r="W287" s="85"/>
      <c r="X287" s="85"/>
      <c r="Y287" s="85"/>
      <c r="Z287" s="85"/>
      <c r="AA287" s="85"/>
      <c r="AB287" s="85"/>
      <c r="AC287" s="85"/>
      <c r="AD287" s="85"/>
      <c r="AE287" s="85"/>
      <c r="AF287" s="85"/>
      <c r="AG287" s="85"/>
      <c r="AH287" s="85"/>
      <c r="AI287" s="85"/>
      <c r="AJ287" s="85"/>
      <c r="AK287" s="85"/>
      <c r="AL287" s="85"/>
    </row>
    <row r="288" spans="1:38" s="80" customFormat="1" x14ac:dyDescent="0.25">
      <c r="A288" s="116"/>
      <c r="B288" s="115"/>
      <c r="C288" s="115"/>
      <c r="D288" s="115"/>
      <c r="E288" s="115"/>
      <c r="F288" s="115"/>
      <c r="H288" s="95">
        <v>283</v>
      </c>
      <c r="I288" s="96" t="str">
        <f t="shared" si="19"/>
        <v/>
      </c>
      <c r="J288" s="95" t="e">
        <f t="shared" si="20"/>
        <v>#NUM!</v>
      </c>
      <c r="K288" s="95" t="e">
        <f t="shared" si="21"/>
        <v>#NUM!</v>
      </c>
      <c r="L288" s="95"/>
      <c r="M288" s="97">
        <f t="shared" si="22"/>
        <v>0</v>
      </c>
      <c r="S288" s="85"/>
      <c r="T288" s="85"/>
      <c r="U288" s="85"/>
      <c r="V288" s="85"/>
      <c r="W288" s="85"/>
      <c r="X288" s="85"/>
      <c r="Y288" s="85"/>
      <c r="Z288" s="85"/>
      <c r="AA288" s="85"/>
      <c r="AB288" s="85"/>
      <c r="AC288" s="85"/>
      <c r="AD288" s="85"/>
      <c r="AE288" s="85"/>
      <c r="AF288" s="85"/>
      <c r="AG288" s="85"/>
      <c r="AH288" s="85"/>
      <c r="AI288" s="85"/>
      <c r="AJ288" s="85"/>
      <c r="AK288" s="85"/>
      <c r="AL288" s="85"/>
    </row>
    <row r="289" spans="1:38" s="80" customFormat="1" x14ac:dyDescent="0.25">
      <c r="A289" s="116"/>
      <c r="B289" s="115"/>
      <c r="C289" s="115"/>
      <c r="D289" s="115"/>
      <c r="E289" s="115"/>
      <c r="F289" s="115"/>
      <c r="H289" s="95">
        <v>284</v>
      </c>
      <c r="I289" s="96" t="str">
        <f t="shared" si="19"/>
        <v/>
      </c>
      <c r="J289" s="95" t="e">
        <f t="shared" si="20"/>
        <v>#NUM!</v>
      </c>
      <c r="K289" s="95" t="e">
        <f t="shared" si="21"/>
        <v>#NUM!</v>
      </c>
      <c r="L289" s="95"/>
      <c r="M289" s="97">
        <f t="shared" si="22"/>
        <v>0</v>
      </c>
      <c r="S289" s="85"/>
      <c r="T289" s="85"/>
      <c r="U289" s="85"/>
      <c r="V289" s="85"/>
      <c r="W289" s="85"/>
      <c r="X289" s="85"/>
      <c r="Y289" s="85"/>
      <c r="Z289" s="85"/>
      <c r="AA289" s="85"/>
      <c r="AB289" s="85"/>
      <c r="AC289" s="85"/>
      <c r="AD289" s="85"/>
      <c r="AE289" s="85"/>
      <c r="AF289" s="85"/>
      <c r="AG289" s="85"/>
      <c r="AH289" s="85"/>
      <c r="AI289" s="85"/>
      <c r="AJ289" s="85"/>
      <c r="AK289" s="85"/>
      <c r="AL289" s="85"/>
    </row>
    <row r="290" spans="1:38" s="80" customFormat="1" x14ac:dyDescent="0.25">
      <c r="A290" s="116"/>
      <c r="B290" s="115"/>
      <c r="C290" s="115"/>
      <c r="D290" s="115"/>
      <c r="E290" s="115"/>
      <c r="F290" s="115"/>
      <c r="H290" s="95">
        <v>285</v>
      </c>
      <c r="I290" s="96" t="str">
        <f t="shared" si="19"/>
        <v/>
      </c>
      <c r="J290" s="95" t="e">
        <f t="shared" si="20"/>
        <v>#NUM!</v>
      </c>
      <c r="K290" s="95" t="e">
        <f t="shared" si="21"/>
        <v>#NUM!</v>
      </c>
      <c r="L290" s="95"/>
      <c r="M290" s="97">
        <f t="shared" si="22"/>
        <v>0</v>
      </c>
      <c r="S290" s="85"/>
      <c r="T290" s="85"/>
      <c r="U290" s="85"/>
      <c r="V290" s="85"/>
      <c r="W290" s="85"/>
      <c r="X290" s="85"/>
      <c r="Y290" s="85"/>
      <c r="Z290" s="85"/>
      <c r="AA290" s="85"/>
      <c r="AB290" s="85"/>
      <c r="AC290" s="85"/>
      <c r="AD290" s="85"/>
      <c r="AE290" s="85"/>
      <c r="AF290" s="85"/>
      <c r="AG290" s="85"/>
      <c r="AH290" s="85"/>
      <c r="AI290" s="85"/>
      <c r="AJ290" s="85"/>
      <c r="AK290" s="85"/>
      <c r="AL290" s="85"/>
    </row>
    <row r="291" spans="1:38" s="80" customFormat="1" x14ac:dyDescent="0.25">
      <c r="A291" s="116"/>
      <c r="B291" s="115"/>
      <c r="C291" s="115"/>
      <c r="D291" s="115"/>
      <c r="E291" s="115"/>
      <c r="F291" s="115"/>
      <c r="H291" s="95">
        <v>286</v>
      </c>
      <c r="I291" s="96" t="str">
        <f t="shared" si="19"/>
        <v/>
      </c>
      <c r="J291" s="95" t="e">
        <f t="shared" si="20"/>
        <v>#NUM!</v>
      </c>
      <c r="K291" s="95" t="e">
        <f t="shared" si="21"/>
        <v>#NUM!</v>
      </c>
      <c r="L291" s="95"/>
      <c r="M291" s="97">
        <f t="shared" si="22"/>
        <v>0</v>
      </c>
      <c r="S291" s="85"/>
      <c r="T291" s="85"/>
      <c r="U291" s="85"/>
      <c r="V291" s="85"/>
      <c r="W291" s="85"/>
      <c r="X291" s="85"/>
      <c r="Y291" s="85"/>
      <c r="Z291" s="85"/>
      <c r="AA291" s="85"/>
      <c r="AB291" s="85"/>
      <c r="AC291" s="85"/>
      <c r="AD291" s="85"/>
      <c r="AE291" s="85"/>
      <c r="AF291" s="85"/>
      <c r="AG291" s="85"/>
      <c r="AH291" s="85"/>
      <c r="AI291" s="85"/>
      <c r="AJ291" s="85"/>
      <c r="AK291" s="85"/>
      <c r="AL291" s="85"/>
    </row>
    <row r="292" spans="1:38" s="80" customFormat="1" x14ac:dyDescent="0.25">
      <c r="A292" s="116"/>
      <c r="B292" s="115"/>
      <c r="C292" s="115"/>
      <c r="D292" s="115"/>
      <c r="E292" s="115"/>
      <c r="F292" s="115"/>
      <c r="H292" s="95">
        <v>287</v>
      </c>
      <c r="I292" s="96" t="str">
        <f t="shared" si="19"/>
        <v/>
      </c>
      <c r="J292" s="95" t="e">
        <f t="shared" si="20"/>
        <v>#NUM!</v>
      </c>
      <c r="K292" s="95" t="e">
        <f t="shared" si="21"/>
        <v>#NUM!</v>
      </c>
      <c r="L292" s="95"/>
      <c r="M292" s="97">
        <f t="shared" si="22"/>
        <v>0</v>
      </c>
      <c r="S292" s="85"/>
      <c r="T292" s="85"/>
      <c r="U292" s="85"/>
      <c r="V292" s="85"/>
      <c r="W292" s="85"/>
      <c r="X292" s="85"/>
      <c r="Y292" s="85"/>
      <c r="Z292" s="85"/>
      <c r="AA292" s="85"/>
      <c r="AB292" s="85"/>
      <c r="AC292" s="85"/>
      <c r="AD292" s="85"/>
      <c r="AE292" s="85"/>
      <c r="AF292" s="85"/>
      <c r="AG292" s="85"/>
      <c r="AH292" s="85"/>
      <c r="AI292" s="85"/>
      <c r="AJ292" s="85"/>
      <c r="AK292" s="85"/>
      <c r="AL292" s="85"/>
    </row>
    <row r="293" spans="1:38" s="80" customFormat="1" x14ac:dyDescent="0.25">
      <c r="A293" s="116"/>
      <c r="B293" s="115"/>
      <c r="C293" s="115"/>
      <c r="D293" s="115"/>
      <c r="E293" s="115"/>
      <c r="F293" s="115"/>
      <c r="H293" s="95">
        <v>288</v>
      </c>
      <c r="I293" s="96" t="str">
        <f t="shared" si="19"/>
        <v/>
      </c>
      <c r="J293" s="95" t="e">
        <f t="shared" si="20"/>
        <v>#NUM!</v>
      </c>
      <c r="K293" s="95" t="e">
        <f t="shared" si="21"/>
        <v>#NUM!</v>
      </c>
      <c r="L293" s="95"/>
      <c r="M293" s="97">
        <f t="shared" si="22"/>
        <v>0</v>
      </c>
      <c r="S293" s="85"/>
      <c r="T293" s="85"/>
      <c r="U293" s="85"/>
      <c r="V293" s="85"/>
      <c r="W293" s="85"/>
      <c r="X293" s="85"/>
      <c r="Y293" s="85"/>
      <c r="Z293" s="85"/>
      <c r="AA293" s="85"/>
      <c r="AB293" s="85"/>
      <c r="AC293" s="85"/>
      <c r="AD293" s="85"/>
      <c r="AE293" s="85"/>
      <c r="AF293" s="85"/>
      <c r="AG293" s="85"/>
      <c r="AH293" s="85"/>
      <c r="AI293" s="85"/>
      <c r="AJ293" s="85"/>
      <c r="AK293" s="85"/>
      <c r="AL293" s="85"/>
    </row>
    <row r="294" spans="1:38" s="80" customFormat="1" x14ac:dyDescent="0.25">
      <c r="A294" s="116"/>
      <c r="B294" s="115"/>
      <c r="C294" s="115"/>
      <c r="D294" s="115"/>
      <c r="E294" s="115"/>
      <c r="F294" s="115"/>
      <c r="H294" s="95">
        <v>289</v>
      </c>
      <c r="I294" s="96" t="str">
        <f t="shared" si="19"/>
        <v/>
      </c>
      <c r="J294" s="95" t="e">
        <f t="shared" si="20"/>
        <v>#NUM!</v>
      </c>
      <c r="K294" s="95" t="e">
        <f t="shared" si="21"/>
        <v>#NUM!</v>
      </c>
      <c r="L294" s="95"/>
      <c r="M294" s="97">
        <f t="shared" si="22"/>
        <v>0</v>
      </c>
      <c r="S294" s="85"/>
      <c r="T294" s="85"/>
      <c r="U294" s="85"/>
      <c r="V294" s="85"/>
      <c r="W294" s="85"/>
      <c r="X294" s="85"/>
      <c r="Y294" s="85"/>
      <c r="Z294" s="85"/>
      <c r="AA294" s="85"/>
      <c r="AB294" s="85"/>
      <c r="AC294" s="85"/>
      <c r="AD294" s="85"/>
      <c r="AE294" s="85"/>
      <c r="AF294" s="85"/>
      <c r="AG294" s="85"/>
      <c r="AH294" s="85"/>
      <c r="AI294" s="85"/>
      <c r="AJ294" s="85"/>
      <c r="AK294" s="85"/>
      <c r="AL294" s="85"/>
    </row>
    <row r="295" spans="1:38" s="80" customFormat="1" x14ac:dyDescent="0.25">
      <c r="A295" s="116"/>
      <c r="B295" s="115"/>
      <c r="C295" s="115"/>
      <c r="D295" s="115"/>
      <c r="E295" s="115"/>
      <c r="F295" s="115"/>
      <c r="H295" s="95">
        <v>290</v>
      </c>
      <c r="I295" s="96" t="str">
        <f t="shared" si="19"/>
        <v/>
      </c>
      <c r="J295" s="95" t="e">
        <f t="shared" si="20"/>
        <v>#NUM!</v>
      </c>
      <c r="K295" s="95" t="e">
        <f t="shared" si="21"/>
        <v>#NUM!</v>
      </c>
      <c r="L295" s="95"/>
      <c r="M295" s="97">
        <f t="shared" si="22"/>
        <v>0</v>
      </c>
      <c r="S295" s="85"/>
      <c r="T295" s="85"/>
      <c r="U295" s="85"/>
      <c r="V295" s="85"/>
      <c r="W295" s="85"/>
      <c r="X295" s="85"/>
      <c r="Y295" s="85"/>
      <c r="Z295" s="85"/>
      <c r="AA295" s="85"/>
      <c r="AB295" s="85"/>
      <c r="AC295" s="85"/>
      <c r="AD295" s="85"/>
      <c r="AE295" s="85"/>
      <c r="AF295" s="85"/>
      <c r="AG295" s="85"/>
      <c r="AH295" s="85"/>
      <c r="AI295" s="85"/>
      <c r="AJ295" s="85"/>
      <c r="AK295" s="85"/>
      <c r="AL295" s="85"/>
    </row>
    <row r="296" spans="1:38" s="80" customFormat="1" x14ac:dyDescent="0.25">
      <c r="A296" s="116"/>
      <c r="B296" s="115"/>
      <c r="C296" s="115"/>
      <c r="D296" s="115"/>
      <c r="E296" s="115"/>
      <c r="F296" s="115"/>
      <c r="H296" s="95">
        <v>291</v>
      </c>
      <c r="I296" s="96" t="str">
        <f t="shared" si="19"/>
        <v/>
      </c>
      <c r="J296" s="95" t="e">
        <f t="shared" si="20"/>
        <v>#NUM!</v>
      </c>
      <c r="K296" s="95" t="e">
        <f t="shared" si="21"/>
        <v>#NUM!</v>
      </c>
      <c r="L296" s="95"/>
      <c r="M296" s="97">
        <f t="shared" si="22"/>
        <v>0</v>
      </c>
      <c r="S296" s="85"/>
      <c r="T296" s="85"/>
      <c r="U296" s="85"/>
      <c r="V296" s="85"/>
      <c r="W296" s="85"/>
      <c r="X296" s="85"/>
      <c r="Y296" s="85"/>
      <c r="Z296" s="85"/>
      <c r="AA296" s="85"/>
      <c r="AB296" s="85"/>
      <c r="AC296" s="85"/>
      <c r="AD296" s="85"/>
      <c r="AE296" s="85"/>
      <c r="AF296" s="85"/>
      <c r="AG296" s="85"/>
      <c r="AH296" s="85"/>
      <c r="AI296" s="85"/>
      <c r="AJ296" s="85"/>
      <c r="AK296" s="85"/>
      <c r="AL296" s="85"/>
    </row>
    <row r="297" spans="1:38" s="80" customFormat="1" x14ac:dyDescent="0.25">
      <c r="A297" s="116"/>
      <c r="B297" s="115"/>
      <c r="C297" s="115"/>
      <c r="D297" s="115"/>
      <c r="E297" s="115"/>
      <c r="F297" s="115"/>
      <c r="H297" s="95">
        <v>292</v>
      </c>
      <c r="I297" s="96" t="str">
        <f t="shared" si="19"/>
        <v/>
      </c>
      <c r="J297" s="95" t="e">
        <f t="shared" si="20"/>
        <v>#NUM!</v>
      </c>
      <c r="K297" s="95" t="e">
        <f t="shared" si="21"/>
        <v>#NUM!</v>
      </c>
      <c r="L297" s="95"/>
      <c r="M297" s="97">
        <f t="shared" si="22"/>
        <v>0</v>
      </c>
      <c r="S297" s="85"/>
      <c r="T297" s="85"/>
      <c r="U297" s="85"/>
      <c r="V297" s="85"/>
      <c r="W297" s="85"/>
      <c r="X297" s="85"/>
      <c r="Y297" s="85"/>
      <c r="Z297" s="85"/>
      <c r="AA297" s="85"/>
      <c r="AB297" s="85"/>
      <c r="AC297" s="85"/>
      <c r="AD297" s="85"/>
      <c r="AE297" s="85"/>
      <c r="AF297" s="85"/>
      <c r="AG297" s="85"/>
      <c r="AH297" s="85"/>
      <c r="AI297" s="85"/>
      <c r="AJ297" s="85"/>
      <c r="AK297" s="85"/>
      <c r="AL297" s="85"/>
    </row>
    <row r="298" spans="1:38" s="80" customFormat="1" x14ac:dyDescent="0.25">
      <c r="A298" s="116"/>
      <c r="B298" s="115"/>
      <c r="C298" s="115"/>
      <c r="D298" s="115"/>
      <c r="E298" s="115"/>
      <c r="F298" s="115"/>
      <c r="H298" s="95">
        <v>293</v>
      </c>
      <c r="I298" s="96" t="str">
        <f t="shared" si="19"/>
        <v/>
      </c>
      <c r="J298" s="95" t="e">
        <f t="shared" si="20"/>
        <v>#NUM!</v>
      </c>
      <c r="K298" s="95" t="e">
        <f t="shared" si="21"/>
        <v>#NUM!</v>
      </c>
      <c r="L298" s="95"/>
      <c r="M298" s="97">
        <f t="shared" si="22"/>
        <v>0</v>
      </c>
      <c r="S298" s="85"/>
      <c r="T298" s="85"/>
      <c r="U298" s="85"/>
      <c r="V298" s="85"/>
      <c r="W298" s="85"/>
      <c r="X298" s="85"/>
      <c r="Y298" s="85"/>
      <c r="Z298" s="85"/>
      <c r="AA298" s="85"/>
      <c r="AB298" s="85"/>
      <c r="AC298" s="85"/>
      <c r="AD298" s="85"/>
      <c r="AE298" s="85"/>
      <c r="AF298" s="85"/>
      <c r="AG298" s="85"/>
      <c r="AH298" s="85"/>
      <c r="AI298" s="85"/>
      <c r="AJ298" s="85"/>
      <c r="AK298" s="85"/>
      <c r="AL298" s="85"/>
    </row>
    <row r="299" spans="1:38" s="80" customFormat="1" x14ac:dyDescent="0.25">
      <c r="A299" s="116"/>
      <c r="B299" s="115"/>
      <c r="C299" s="115"/>
      <c r="D299" s="115"/>
      <c r="E299" s="115"/>
      <c r="F299" s="115"/>
      <c r="H299" s="95">
        <v>294</v>
      </c>
      <c r="I299" s="96" t="str">
        <f t="shared" si="19"/>
        <v/>
      </c>
      <c r="J299" s="95" t="e">
        <f t="shared" si="20"/>
        <v>#NUM!</v>
      </c>
      <c r="K299" s="95" t="e">
        <f t="shared" si="21"/>
        <v>#NUM!</v>
      </c>
      <c r="L299" s="95"/>
      <c r="M299" s="97">
        <f t="shared" si="22"/>
        <v>0</v>
      </c>
      <c r="S299" s="85"/>
      <c r="T299" s="85"/>
      <c r="U299" s="85"/>
      <c r="V299" s="85"/>
      <c r="W299" s="85"/>
      <c r="X299" s="85"/>
      <c r="Y299" s="85"/>
      <c r="Z299" s="85"/>
      <c r="AA299" s="85"/>
      <c r="AB299" s="85"/>
      <c r="AC299" s="85"/>
      <c r="AD299" s="85"/>
      <c r="AE299" s="85"/>
      <c r="AF299" s="85"/>
      <c r="AG299" s="85"/>
      <c r="AH299" s="85"/>
      <c r="AI299" s="85"/>
      <c r="AJ299" s="85"/>
      <c r="AK299" s="85"/>
      <c r="AL299" s="85"/>
    </row>
    <row r="300" spans="1:38" s="80" customFormat="1" x14ac:dyDescent="0.25">
      <c r="A300" s="116"/>
      <c r="B300" s="115"/>
      <c r="C300" s="115"/>
      <c r="D300" s="115"/>
      <c r="E300" s="115"/>
      <c r="F300" s="115"/>
      <c r="H300" s="95">
        <v>295</v>
      </c>
      <c r="I300" s="96" t="str">
        <f t="shared" si="19"/>
        <v/>
      </c>
      <c r="J300" s="95" t="e">
        <f t="shared" si="20"/>
        <v>#NUM!</v>
      </c>
      <c r="K300" s="95" t="e">
        <f t="shared" si="21"/>
        <v>#NUM!</v>
      </c>
      <c r="L300" s="95"/>
      <c r="M300" s="97">
        <f t="shared" si="22"/>
        <v>0</v>
      </c>
      <c r="S300" s="85"/>
      <c r="T300" s="85"/>
      <c r="U300" s="85"/>
      <c r="V300" s="85"/>
      <c r="W300" s="85"/>
      <c r="X300" s="85"/>
      <c r="Y300" s="85"/>
      <c r="Z300" s="85"/>
      <c r="AA300" s="85"/>
      <c r="AB300" s="85"/>
      <c r="AC300" s="85"/>
      <c r="AD300" s="85"/>
      <c r="AE300" s="85"/>
      <c r="AF300" s="85"/>
      <c r="AG300" s="85"/>
      <c r="AH300" s="85"/>
      <c r="AI300" s="85"/>
      <c r="AJ300" s="85"/>
      <c r="AK300" s="85"/>
      <c r="AL300" s="85"/>
    </row>
    <row r="301" spans="1:38" s="80" customFormat="1" x14ac:dyDescent="0.25">
      <c r="A301" s="116"/>
      <c r="B301" s="115"/>
      <c r="C301" s="115"/>
      <c r="D301" s="115"/>
      <c r="E301" s="115"/>
      <c r="F301" s="115"/>
      <c r="H301" s="95">
        <v>296</v>
      </c>
      <c r="I301" s="96" t="str">
        <f t="shared" si="19"/>
        <v/>
      </c>
      <c r="J301" s="95" t="e">
        <f t="shared" si="20"/>
        <v>#NUM!</v>
      </c>
      <c r="K301" s="95" t="e">
        <f t="shared" si="21"/>
        <v>#NUM!</v>
      </c>
      <c r="L301" s="95"/>
      <c r="M301" s="97">
        <f t="shared" si="22"/>
        <v>0</v>
      </c>
      <c r="S301" s="85"/>
      <c r="T301" s="85"/>
      <c r="U301" s="85"/>
      <c r="V301" s="85"/>
      <c r="W301" s="85"/>
      <c r="X301" s="85"/>
      <c r="Y301" s="85"/>
      <c r="Z301" s="85"/>
      <c r="AA301" s="85"/>
      <c r="AB301" s="85"/>
      <c r="AC301" s="85"/>
      <c r="AD301" s="85"/>
      <c r="AE301" s="85"/>
      <c r="AF301" s="85"/>
      <c r="AG301" s="85"/>
      <c r="AH301" s="85"/>
      <c r="AI301" s="85"/>
      <c r="AJ301" s="85"/>
      <c r="AK301" s="85"/>
      <c r="AL301" s="85"/>
    </row>
    <row r="302" spans="1:38" s="80" customFormat="1" x14ac:dyDescent="0.25">
      <c r="A302" s="116"/>
      <c r="B302" s="115"/>
      <c r="C302" s="115"/>
      <c r="D302" s="115"/>
      <c r="E302" s="115"/>
      <c r="F302" s="115"/>
      <c r="H302" s="95">
        <v>297</v>
      </c>
      <c r="I302" s="96" t="str">
        <f t="shared" si="19"/>
        <v/>
      </c>
      <c r="J302" s="95" t="e">
        <f t="shared" si="20"/>
        <v>#NUM!</v>
      </c>
      <c r="K302" s="95" t="e">
        <f t="shared" si="21"/>
        <v>#NUM!</v>
      </c>
      <c r="L302" s="95"/>
      <c r="M302" s="97">
        <f t="shared" si="22"/>
        <v>0</v>
      </c>
      <c r="S302" s="85"/>
      <c r="T302" s="85"/>
      <c r="U302" s="85"/>
      <c r="V302" s="85"/>
      <c r="W302" s="85"/>
      <c r="X302" s="85"/>
      <c r="Y302" s="85"/>
      <c r="Z302" s="85"/>
      <c r="AA302" s="85"/>
      <c r="AB302" s="85"/>
      <c r="AC302" s="85"/>
      <c r="AD302" s="85"/>
      <c r="AE302" s="85"/>
      <c r="AF302" s="85"/>
      <c r="AG302" s="85"/>
      <c r="AH302" s="85"/>
      <c r="AI302" s="85"/>
      <c r="AJ302" s="85"/>
      <c r="AK302" s="85"/>
      <c r="AL302" s="85"/>
    </row>
    <row r="303" spans="1:38" s="80" customFormat="1" x14ac:dyDescent="0.25">
      <c r="A303" s="116"/>
      <c r="B303" s="115"/>
      <c r="C303" s="115"/>
      <c r="D303" s="115"/>
      <c r="E303" s="115"/>
      <c r="F303" s="115"/>
      <c r="H303" s="95">
        <v>298</v>
      </c>
      <c r="I303" s="96" t="str">
        <f t="shared" si="19"/>
        <v/>
      </c>
      <c r="J303" s="95" t="e">
        <f t="shared" si="20"/>
        <v>#NUM!</v>
      </c>
      <c r="K303" s="95" t="e">
        <f t="shared" si="21"/>
        <v>#NUM!</v>
      </c>
      <c r="L303" s="95"/>
      <c r="M303" s="97">
        <f t="shared" si="22"/>
        <v>0</v>
      </c>
      <c r="S303" s="85"/>
      <c r="T303" s="85"/>
      <c r="U303" s="85"/>
      <c r="V303" s="85"/>
      <c r="W303" s="85"/>
      <c r="X303" s="85"/>
      <c r="Y303" s="85"/>
      <c r="Z303" s="85"/>
      <c r="AA303" s="85"/>
      <c r="AB303" s="85"/>
      <c r="AC303" s="85"/>
      <c r="AD303" s="85"/>
      <c r="AE303" s="85"/>
      <c r="AF303" s="85"/>
      <c r="AG303" s="85"/>
      <c r="AH303" s="85"/>
      <c r="AI303" s="85"/>
      <c r="AJ303" s="85"/>
      <c r="AK303" s="85"/>
      <c r="AL303" s="85"/>
    </row>
    <row r="304" spans="1:38" s="80" customFormat="1" x14ac:dyDescent="0.25">
      <c r="A304" s="116"/>
      <c r="B304" s="115"/>
      <c r="C304" s="115"/>
      <c r="D304" s="115"/>
      <c r="E304" s="115"/>
      <c r="F304" s="115"/>
      <c r="H304" s="95">
        <v>299</v>
      </c>
      <c r="I304" s="96" t="str">
        <f t="shared" si="19"/>
        <v/>
      </c>
      <c r="J304" s="95" t="e">
        <f t="shared" si="20"/>
        <v>#NUM!</v>
      </c>
      <c r="K304" s="95" t="e">
        <f t="shared" si="21"/>
        <v>#NUM!</v>
      </c>
      <c r="L304" s="95"/>
      <c r="M304" s="97">
        <f t="shared" si="22"/>
        <v>0</v>
      </c>
      <c r="S304" s="85"/>
      <c r="T304" s="85"/>
      <c r="U304" s="85"/>
      <c r="V304" s="85"/>
      <c r="W304" s="85"/>
      <c r="X304" s="85"/>
      <c r="Y304" s="85"/>
      <c r="Z304" s="85"/>
      <c r="AA304" s="85"/>
      <c r="AB304" s="85"/>
      <c r="AC304" s="85"/>
      <c r="AD304" s="85"/>
      <c r="AE304" s="85"/>
      <c r="AF304" s="85"/>
      <c r="AG304" s="85"/>
      <c r="AH304" s="85"/>
      <c r="AI304" s="85"/>
      <c r="AJ304" s="85"/>
      <c r="AK304" s="85"/>
      <c r="AL304" s="85"/>
    </row>
    <row r="305" spans="1:38" s="80" customFormat="1" x14ac:dyDescent="0.25">
      <c r="A305" s="116"/>
      <c r="B305" s="115"/>
      <c r="C305" s="115"/>
      <c r="D305" s="115"/>
      <c r="E305" s="115"/>
      <c r="F305" s="115"/>
      <c r="H305" s="95">
        <v>300</v>
      </c>
      <c r="I305" s="96" t="str">
        <f t="shared" si="19"/>
        <v/>
      </c>
      <c r="J305" s="95" t="e">
        <f t="shared" si="20"/>
        <v>#NUM!</v>
      </c>
      <c r="K305" s="95" t="e">
        <f t="shared" si="21"/>
        <v>#NUM!</v>
      </c>
      <c r="L305" s="95"/>
      <c r="M305" s="97">
        <f t="shared" si="22"/>
        <v>0</v>
      </c>
      <c r="S305" s="85"/>
      <c r="T305" s="85"/>
      <c r="U305" s="85"/>
      <c r="V305" s="85"/>
      <c r="W305" s="85"/>
      <c r="X305" s="85"/>
      <c r="Y305" s="85"/>
      <c r="Z305" s="85"/>
      <c r="AA305" s="85"/>
      <c r="AB305" s="85"/>
      <c r="AC305" s="85"/>
      <c r="AD305" s="85"/>
      <c r="AE305" s="85"/>
      <c r="AF305" s="85"/>
      <c r="AG305" s="85"/>
      <c r="AH305" s="85"/>
      <c r="AI305" s="85"/>
      <c r="AJ305" s="85"/>
      <c r="AK305" s="85"/>
      <c r="AL305" s="85"/>
    </row>
    <row r="306" spans="1:38" s="80" customFormat="1" x14ac:dyDescent="0.25">
      <c r="A306" s="117"/>
      <c r="B306" s="115"/>
      <c r="C306" s="115"/>
      <c r="D306" s="115"/>
      <c r="E306" s="115"/>
      <c r="F306" s="115"/>
      <c r="G306" s="115"/>
      <c r="H306" s="118"/>
      <c r="I306" s="118"/>
      <c r="J306" s="118" t="e">
        <f t="shared" si="20"/>
        <v>#NUM!</v>
      </c>
      <c r="K306" s="118"/>
      <c r="L306" s="118"/>
      <c r="M306" s="119"/>
      <c r="S306" s="85"/>
      <c r="T306" s="85"/>
      <c r="U306" s="85"/>
      <c r="V306" s="85"/>
      <c r="W306" s="85"/>
      <c r="X306" s="85"/>
      <c r="Y306" s="85"/>
      <c r="Z306" s="85"/>
      <c r="AA306" s="85"/>
      <c r="AB306" s="85"/>
      <c r="AC306" s="85"/>
      <c r="AD306" s="85"/>
      <c r="AE306" s="85"/>
      <c r="AF306" s="85"/>
      <c r="AG306" s="85"/>
      <c r="AH306" s="85"/>
      <c r="AI306" s="85"/>
      <c r="AJ306" s="85"/>
      <c r="AK306" s="85"/>
      <c r="AL306" s="85"/>
    </row>
    <row r="307" spans="1:38" s="80" customFormat="1" x14ac:dyDescent="0.25">
      <c r="A307" s="115"/>
      <c r="B307" s="115"/>
      <c r="C307" s="115"/>
      <c r="D307" s="115"/>
      <c r="E307" s="115"/>
      <c r="F307" s="115"/>
      <c r="G307" s="115"/>
      <c r="H307" s="118"/>
      <c r="I307" s="118"/>
      <c r="J307" s="118" t="e">
        <f t="shared" si="20"/>
        <v>#NUM!</v>
      </c>
      <c r="K307" s="118"/>
      <c r="L307" s="118"/>
      <c r="M307" s="119"/>
      <c r="S307" s="85"/>
      <c r="T307" s="85"/>
      <c r="U307" s="85"/>
      <c r="V307" s="85"/>
      <c r="W307" s="85"/>
      <c r="X307" s="85"/>
      <c r="Y307" s="85"/>
      <c r="Z307" s="85"/>
      <c r="AA307" s="85"/>
      <c r="AB307" s="85"/>
      <c r="AC307" s="85"/>
      <c r="AD307" s="85"/>
      <c r="AE307" s="85"/>
      <c r="AF307" s="85"/>
      <c r="AG307" s="85"/>
      <c r="AH307" s="85"/>
      <c r="AI307" s="85"/>
      <c r="AJ307" s="85"/>
      <c r="AK307" s="85"/>
      <c r="AL307" s="85"/>
    </row>
    <row r="308" spans="1:38" s="80" customFormat="1" x14ac:dyDescent="0.25">
      <c r="A308" s="115"/>
      <c r="B308" s="115"/>
      <c r="C308" s="115"/>
      <c r="D308" s="115"/>
      <c r="E308" s="115"/>
      <c r="F308" s="115"/>
      <c r="G308" s="115"/>
      <c r="H308" s="118"/>
      <c r="I308" s="118"/>
      <c r="J308" s="118" t="e">
        <f t="shared" si="20"/>
        <v>#NUM!</v>
      </c>
      <c r="K308" s="118"/>
      <c r="L308" s="118"/>
      <c r="M308" s="119"/>
      <c r="S308" s="85"/>
      <c r="T308" s="85"/>
      <c r="U308" s="85"/>
      <c r="V308" s="85"/>
      <c r="W308" s="85"/>
      <c r="X308" s="85"/>
      <c r="Y308" s="85"/>
      <c r="Z308" s="85"/>
      <c r="AA308" s="85"/>
      <c r="AB308" s="85"/>
      <c r="AC308" s="85"/>
      <c r="AD308" s="85"/>
      <c r="AE308" s="85"/>
      <c r="AF308" s="85"/>
      <c r="AG308" s="85"/>
      <c r="AH308" s="85"/>
      <c r="AI308" s="85"/>
      <c r="AJ308" s="85"/>
      <c r="AK308" s="85"/>
      <c r="AL308" s="85"/>
    </row>
    <row r="309" spans="1:38" s="80" customFormat="1" x14ac:dyDescent="0.25">
      <c r="A309" s="115"/>
      <c r="B309" s="115"/>
      <c r="C309" s="115"/>
      <c r="D309" s="115"/>
      <c r="E309" s="115"/>
      <c r="F309" s="115"/>
      <c r="G309" s="115"/>
      <c r="H309" s="118"/>
      <c r="I309" s="118"/>
      <c r="J309" s="118" t="e">
        <f t="shared" si="20"/>
        <v>#NUM!</v>
      </c>
      <c r="K309" s="118"/>
      <c r="L309" s="118"/>
      <c r="M309" s="119"/>
      <c r="S309" s="85"/>
      <c r="T309" s="85"/>
      <c r="U309" s="85"/>
      <c r="V309" s="85"/>
      <c r="W309" s="85"/>
      <c r="X309" s="85"/>
      <c r="Y309" s="85"/>
      <c r="Z309" s="85"/>
      <c r="AA309" s="85"/>
      <c r="AB309" s="85"/>
      <c r="AC309" s="85"/>
      <c r="AD309" s="85"/>
      <c r="AE309" s="85"/>
      <c r="AF309" s="85"/>
      <c r="AG309" s="85"/>
      <c r="AH309" s="85"/>
      <c r="AI309" s="85"/>
      <c r="AJ309" s="85"/>
      <c r="AK309" s="85"/>
      <c r="AL309" s="85"/>
    </row>
    <row r="310" spans="1:38" s="80" customFormat="1" x14ac:dyDescent="0.25">
      <c r="A310" s="115"/>
      <c r="B310" s="115"/>
      <c r="C310" s="115"/>
      <c r="D310" s="115"/>
      <c r="E310" s="115"/>
      <c r="F310" s="115"/>
      <c r="G310" s="115"/>
      <c r="H310" s="118"/>
      <c r="I310" s="118"/>
      <c r="J310" s="118" t="e">
        <f t="shared" si="20"/>
        <v>#NUM!</v>
      </c>
      <c r="K310" s="118"/>
      <c r="L310" s="118"/>
      <c r="M310" s="119"/>
      <c r="S310" s="85"/>
      <c r="T310" s="85"/>
      <c r="U310" s="85"/>
      <c r="V310" s="85"/>
      <c r="W310" s="85"/>
      <c r="X310" s="85"/>
      <c r="Y310" s="85"/>
      <c r="Z310" s="85"/>
      <c r="AA310" s="85"/>
      <c r="AB310" s="85"/>
      <c r="AC310" s="85"/>
      <c r="AD310" s="85"/>
      <c r="AE310" s="85"/>
      <c r="AF310" s="85"/>
      <c r="AG310" s="85"/>
      <c r="AH310" s="85"/>
      <c r="AI310" s="85"/>
      <c r="AJ310" s="85"/>
      <c r="AK310" s="85"/>
      <c r="AL310" s="85"/>
    </row>
    <row r="311" spans="1:38" s="80" customFormat="1" x14ac:dyDescent="0.25">
      <c r="A311" s="115"/>
      <c r="B311" s="115"/>
      <c r="C311" s="115"/>
      <c r="D311" s="115"/>
      <c r="E311" s="115"/>
      <c r="F311" s="115"/>
      <c r="G311" s="115"/>
      <c r="H311" s="118"/>
      <c r="I311" s="118"/>
      <c r="J311" s="118" t="e">
        <f t="shared" si="20"/>
        <v>#NUM!</v>
      </c>
      <c r="K311" s="118"/>
      <c r="L311" s="118"/>
      <c r="M311" s="119"/>
      <c r="S311" s="85"/>
      <c r="T311" s="85"/>
      <c r="U311" s="85"/>
      <c r="V311" s="85"/>
      <c r="W311" s="85"/>
      <c r="X311" s="85"/>
      <c r="Y311" s="85"/>
      <c r="Z311" s="85"/>
      <c r="AA311" s="85"/>
      <c r="AB311" s="85"/>
      <c r="AC311" s="85"/>
      <c r="AD311" s="85"/>
      <c r="AE311" s="85"/>
      <c r="AF311" s="85"/>
      <c r="AG311" s="85"/>
      <c r="AH311" s="85"/>
      <c r="AI311" s="85"/>
      <c r="AJ311" s="85"/>
      <c r="AK311" s="85"/>
      <c r="AL311" s="85"/>
    </row>
    <row r="312" spans="1:38" s="80" customFormat="1" x14ac:dyDescent="0.25">
      <c r="A312" s="115"/>
      <c r="B312" s="115"/>
      <c r="C312" s="115"/>
      <c r="D312" s="115"/>
      <c r="E312" s="115"/>
      <c r="F312" s="115"/>
      <c r="G312" s="115"/>
      <c r="H312" s="118"/>
      <c r="I312" s="118"/>
      <c r="J312" s="118" t="e">
        <f t="shared" si="20"/>
        <v>#NUM!</v>
      </c>
      <c r="K312" s="118"/>
      <c r="L312" s="118"/>
      <c r="M312" s="119"/>
      <c r="S312" s="85"/>
      <c r="T312" s="85"/>
      <c r="U312" s="85"/>
      <c r="V312" s="85"/>
      <c r="W312" s="85"/>
      <c r="X312" s="85"/>
      <c r="Y312" s="85"/>
      <c r="Z312" s="85"/>
      <c r="AA312" s="85"/>
      <c r="AB312" s="85"/>
      <c r="AC312" s="85"/>
      <c r="AD312" s="85"/>
      <c r="AE312" s="85"/>
      <c r="AF312" s="85"/>
      <c r="AG312" s="85"/>
      <c r="AH312" s="85"/>
      <c r="AI312" s="85"/>
      <c r="AJ312" s="85"/>
      <c r="AK312" s="85"/>
      <c r="AL312" s="85"/>
    </row>
    <row r="313" spans="1:38" s="80" customFormat="1" x14ac:dyDescent="0.25">
      <c r="A313" s="115"/>
      <c r="B313" s="115"/>
      <c r="C313" s="115"/>
      <c r="D313" s="115"/>
      <c r="E313" s="115"/>
      <c r="F313" s="115"/>
      <c r="G313" s="115"/>
      <c r="H313" s="118"/>
      <c r="I313" s="118"/>
      <c r="J313" s="118" t="e">
        <f t="shared" si="20"/>
        <v>#NUM!</v>
      </c>
      <c r="K313" s="118"/>
      <c r="L313" s="118"/>
      <c r="M313" s="119"/>
      <c r="S313" s="85"/>
      <c r="T313" s="85"/>
      <c r="U313" s="85"/>
      <c r="V313" s="85"/>
      <c r="W313" s="85"/>
      <c r="X313" s="85"/>
      <c r="Y313" s="85"/>
      <c r="Z313" s="85"/>
      <c r="AA313" s="85"/>
      <c r="AB313" s="85"/>
      <c r="AC313" s="85"/>
      <c r="AD313" s="85"/>
      <c r="AE313" s="85"/>
      <c r="AF313" s="85"/>
      <c r="AG313" s="85"/>
      <c r="AH313" s="85"/>
      <c r="AI313" s="85"/>
      <c r="AJ313" s="85"/>
      <c r="AK313" s="85"/>
      <c r="AL313" s="85"/>
    </row>
    <row r="314" spans="1:38" s="80" customFormat="1" x14ac:dyDescent="0.25">
      <c r="A314" s="115"/>
      <c r="B314" s="115"/>
      <c r="C314" s="115"/>
      <c r="D314" s="115"/>
      <c r="E314" s="115"/>
      <c r="F314" s="115"/>
      <c r="G314" s="115"/>
      <c r="H314" s="118"/>
      <c r="I314" s="118"/>
      <c r="J314" s="118" t="e">
        <f t="shared" si="20"/>
        <v>#NUM!</v>
      </c>
      <c r="K314" s="118"/>
      <c r="L314" s="120"/>
      <c r="M314" s="119"/>
      <c r="P314" s="107"/>
      <c r="S314" s="85"/>
      <c r="T314" s="85"/>
      <c r="U314" s="85"/>
      <c r="V314" s="85"/>
      <c r="W314" s="85"/>
      <c r="X314" s="85"/>
      <c r="Y314" s="85"/>
      <c r="Z314" s="85"/>
      <c r="AA314" s="85"/>
      <c r="AB314" s="85"/>
      <c r="AC314" s="85"/>
      <c r="AD314" s="85"/>
      <c r="AE314" s="85"/>
      <c r="AF314" s="85"/>
      <c r="AG314" s="85"/>
      <c r="AH314" s="85"/>
      <c r="AI314" s="85"/>
      <c r="AJ314" s="85"/>
      <c r="AK314" s="85"/>
      <c r="AL314" s="85"/>
    </row>
    <row r="315" spans="1:38" s="80" customFormat="1" x14ac:dyDescent="0.25">
      <c r="A315" s="115"/>
      <c r="B315" s="115"/>
      <c r="C315" s="115"/>
      <c r="D315" s="115"/>
      <c r="E315" s="115"/>
      <c r="F315" s="115"/>
      <c r="G315" s="115"/>
      <c r="H315" s="118"/>
      <c r="I315" s="118"/>
      <c r="J315" s="118" t="e">
        <f t="shared" si="20"/>
        <v>#NUM!</v>
      </c>
      <c r="K315" s="118"/>
      <c r="L315" s="120"/>
      <c r="M315" s="119"/>
      <c r="P315" s="107"/>
      <c r="S315" s="85"/>
      <c r="T315" s="85"/>
      <c r="U315" s="85"/>
      <c r="V315" s="85"/>
      <c r="W315" s="85"/>
      <c r="X315" s="85"/>
      <c r="Y315" s="85"/>
      <c r="Z315" s="85"/>
      <c r="AA315" s="85"/>
      <c r="AB315" s="85"/>
      <c r="AC315" s="85"/>
      <c r="AD315" s="85"/>
      <c r="AE315" s="85"/>
      <c r="AF315" s="85"/>
      <c r="AG315" s="85"/>
      <c r="AH315" s="85"/>
      <c r="AI315" s="85"/>
      <c r="AJ315" s="85"/>
      <c r="AK315" s="85"/>
      <c r="AL315" s="85"/>
    </row>
    <row r="316" spans="1:38" s="80" customFormat="1" x14ac:dyDescent="0.25">
      <c r="A316" s="115"/>
      <c r="B316" s="115"/>
      <c r="C316" s="115"/>
      <c r="D316" s="115"/>
      <c r="E316" s="115"/>
      <c r="F316" s="115"/>
      <c r="G316" s="115"/>
      <c r="H316" s="118"/>
      <c r="I316" s="118"/>
      <c r="J316" s="118" t="e">
        <f t="shared" si="20"/>
        <v>#NUM!</v>
      </c>
      <c r="K316" s="118"/>
      <c r="L316" s="120"/>
      <c r="M316" s="119"/>
      <c r="P316" s="107"/>
      <c r="S316" s="85"/>
      <c r="T316" s="85"/>
      <c r="U316" s="85"/>
      <c r="V316" s="85"/>
      <c r="W316" s="85"/>
      <c r="X316" s="85"/>
      <c r="Y316" s="85"/>
      <c r="Z316" s="85"/>
      <c r="AA316" s="85"/>
      <c r="AB316" s="85"/>
      <c r="AC316" s="85"/>
      <c r="AD316" s="85"/>
      <c r="AE316" s="85"/>
      <c r="AF316" s="85"/>
      <c r="AG316" s="85"/>
      <c r="AH316" s="85"/>
      <c r="AI316" s="85"/>
      <c r="AJ316" s="85"/>
      <c r="AK316" s="85"/>
      <c r="AL316" s="85"/>
    </row>
    <row r="317" spans="1:38" s="80" customFormat="1" x14ac:dyDescent="0.25">
      <c r="A317" s="115"/>
      <c r="B317" s="115"/>
      <c r="C317" s="115"/>
      <c r="D317" s="115"/>
      <c r="E317" s="115"/>
      <c r="F317" s="115"/>
      <c r="G317" s="115"/>
      <c r="H317" s="118"/>
      <c r="I317" s="118"/>
      <c r="J317" s="118" t="e">
        <f t="shared" si="20"/>
        <v>#NUM!</v>
      </c>
      <c r="K317" s="118"/>
      <c r="L317" s="120"/>
      <c r="M317" s="119"/>
      <c r="P317" s="107"/>
      <c r="S317" s="85"/>
      <c r="T317" s="85"/>
      <c r="U317" s="85"/>
      <c r="V317" s="85"/>
      <c r="W317" s="85"/>
      <c r="X317" s="85"/>
      <c r="Y317" s="85"/>
      <c r="Z317" s="85"/>
      <c r="AA317" s="85"/>
      <c r="AB317" s="85"/>
      <c r="AC317" s="85"/>
      <c r="AD317" s="85"/>
      <c r="AE317" s="85"/>
      <c r="AF317" s="85"/>
      <c r="AG317" s="85"/>
      <c r="AH317" s="85"/>
      <c r="AI317" s="85"/>
      <c r="AJ317" s="85"/>
      <c r="AK317" s="85"/>
      <c r="AL317" s="85"/>
    </row>
    <row r="318" spans="1:38" s="80" customFormat="1" x14ac:dyDescent="0.25">
      <c r="A318" s="115"/>
      <c r="B318" s="115"/>
      <c r="C318" s="115"/>
      <c r="D318" s="115"/>
      <c r="E318" s="115"/>
      <c r="F318" s="115"/>
      <c r="G318" s="115"/>
      <c r="H318" s="118"/>
      <c r="I318" s="118"/>
      <c r="J318" s="118" t="e">
        <f t="shared" si="20"/>
        <v>#NUM!</v>
      </c>
      <c r="K318" s="118"/>
      <c r="L318" s="118"/>
      <c r="M318" s="119"/>
      <c r="S318" s="85"/>
      <c r="T318" s="85"/>
      <c r="U318" s="85"/>
      <c r="V318" s="85"/>
      <c r="W318" s="85"/>
      <c r="X318" s="85"/>
      <c r="Y318" s="85"/>
      <c r="Z318" s="85"/>
      <c r="AA318" s="85"/>
      <c r="AB318" s="85"/>
      <c r="AC318" s="85"/>
      <c r="AD318" s="85"/>
      <c r="AE318" s="85"/>
      <c r="AF318" s="85"/>
      <c r="AG318" s="85"/>
      <c r="AH318" s="85"/>
      <c r="AI318" s="85"/>
      <c r="AJ318" s="85"/>
      <c r="AK318" s="85"/>
      <c r="AL318" s="85"/>
    </row>
    <row r="319" spans="1:38" s="80" customFormat="1" x14ac:dyDescent="0.25">
      <c r="A319" s="115"/>
      <c r="B319" s="115"/>
      <c r="C319" s="115"/>
      <c r="D319" s="115"/>
      <c r="E319" s="115"/>
      <c r="F319" s="115"/>
      <c r="G319" s="115"/>
      <c r="H319" s="118"/>
      <c r="I319" s="118"/>
      <c r="J319" s="118" t="e">
        <f t="shared" si="20"/>
        <v>#NUM!</v>
      </c>
      <c r="K319" s="118"/>
      <c r="L319" s="118"/>
      <c r="M319" s="119"/>
      <c r="S319" s="85"/>
      <c r="T319" s="85"/>
      <c r="U319" s="85"/>
      <c r="V319" s="85"/>
      <c r="W319" s="85"/>
      <c r="X319" s="85"/>
      <c r="Y319" s="85"/>
      <c r="Z319" s="85"/>
      <c r="AA319" s="85"/>
      <c r="AB319" s="85"/>
      <c r="AC319" s="85"/>
      <c r="AD319" s="85"/>
      <c r="AE319" s="85"/>
      <c r="AF319" s="85"/>
      <c r="AG319" s="85"/>
      <c r="AH319" s="85"/>
      <c r="AI319" s="85"/>
      <c r="AJ319" s="85"/>
      <c r="AK319" s="85"/>
      <c r="AL319" s="85"/>
    </row>
    <row r="320" spans="1:38" s="80" customFormat="1" x14ac:dyDescent="0.25">
      <c r="A320" s="115"/>
      <c r="B320" s="115"/>
      <c r="C320" s="115"/>
      <c r="D320" s="115"/>
      <c r="E320" s="115"/>
      <c r="F320" s="115"/>
      <c r="G320" s="115"/>
      <c r="H320" s="118"/>
      <c r="I320" s="118"/>
      <c r="J320" s="118" t="e">
        <f t="shared" si="20"/>
        <v>#NUM!</v>
      </c>
      <c r="K320" s="118"/>
      <c r="L320" s="118"/>
      <c r="M320" s="119"/>
      <c r="S320" s="85"/>
      <c r="T320" s="85"/>
      <c r="U320" s="85"/>
      <c r="V320" s="85"/>
      <c r="W320" s="85"/>
      <c r="X320" s="85"/>
      <c r="Y320" s="85"/>
      <c r="Z320" s="85"/>
      <c r="AA320" s="85"/>
      <c r="AB320" s="85"/>
      <c r="AC320" s="85"/>
      <c r="AD320" s="85"/>
      <c r="AE320" s="85"/>
      <c r="AF320" s="85"/>
      <c r="AG320" s="85"/>
      <c r="AH320" s="85"/>
      <c r="AI320" s="85"/>
      <c r="AJ320" s="85"/>
      <c r="AK320" s="85"/>
      <c r="AL320" s="85"/>
    </row>
    <row r="321" spans="10:38" s="118" customFormat="1" x14ac:dyDescent="0.25">
      <c r="J321" s="118" t="e">
        <f t="shared" si="20"/>
        <v>#NUM!</v>
      </c>
      <c r="M321" s="119"/>
      <c r="N321" s="80"/>
      <c r="O321" s="80"/>
      <c r="P321" s="80"/>
      <c r="Q321" s="80"/>
      <c r="R321" s="80"/>
      <c r="S321" s="85"/>
      <c r="T321" s="85"/>
      <c r="U321" s="85"/>
      <c r="V321" s="85"/>
      <c r="W321" s="85"/>
      <c r="X321" s="85"/>
      <c r="Y321" s="85"/>
      <c r="Z321" s="85"/>
      <c r="AA321" s="85"/>
      <c r="AB321" s="85"/>
      <c r="AC321" s="85"/>
      <c r="AD321" s="85"/>
      <c r="AE321" s="85"/>
      <c r="AF321" s="85"/>
      <c r="AG321" s="85"/>
      <c r="AH321" s="85"/>
      <c r="AI321" s="85"/>
      <c r="AJ321" s="85"/>
      <c r="AK321" s="85"/>
      <c r="AL321" s="85"/>
    </row>
    <row r="322" spans="10:38" s="118" customFormat="1" x14ac:dyDescent="0.25">
      <c r="J322" s="118" t="e">
        <f t="shared" si="20"/>
        <v>#NUM!</v>
      </c>
      <c r="M322" s="119"/>
      <c r="N322" s="80"/>
      <c r="O322" s="80"/>
      <c r="P322" s="80"/>
      <c r="Q322" s="80"/>
      <c r="R322" s="80"/>
      <c r="S322" s="85"/>
      <c r="T322" s="85"/>
      <c r="U322" s="85"/>
      <c r="V322" s="85"/>
      <c r="W322" s="85"/>
      <c r="X322" s="85"/>
      <c r="Y322" s="85"/>
      <c r="Z322" s="85"/>
      <c r="AA322" s="85"/>
      <c r="AB322" s="85"/>
      <c r="AC322" s="85"/>
      <c r="AD322" s="85"/>
      <c r="AE322" s="85"/>
      <c r="AF322" s="85"/>
      <c r="AG322" s="85"/>
      <c r="AH322" s="85"/>
      <c r="AI322" s="85"/>
      <c r="AJ322" s="85"/>
      <c r="AK322" s="85"/>
      <c r="AL322" s="85"/>
    </row>
    <row r="323" spans="10:38" s="118" customFormat="1" x14ac:dyDescent="0.25">
      <c r="J323" s="118" t="e">
        <f t="shared" si="20"/>
        <v>#NUM!</v>
      </c>
      <c r="M323" s="119"/>
      <c r="N323" s="80"/>
      <c r="O323" s="80"/>
      <c r="P323" s="80"/>
      <c r="Q323" s="80"/>
      <c r="R323" s="80"/>
      <c r="S323" s="85"/>
      <c r="T323" s="85"/>
      <c r="U323" s="85"/>
      <c r="V323" s="85"/>
      <c r="W323" s="85"/>
      <c r="X323" s="85"/>
      <c r="Y323" s="85"/>
      <c r="Z323" s="85"/>
      <c r="AA323" s="85"/>
      <c r="AB323" s="85"/>
      <c r="AC323" s="85"/>
      <c r="AD323" s="85"/>
      <c r="AE323" s="85"/>
      <c r="AF323" s="85"/>
      <c r="AG323" s="85"/>
      <c r="AH323" s="85"/>
      <c r="AI323" s="85"/>
      <c r="AJ323" s="85"/>
      <c r="AK323" s="85"/>
      <c r="AL323" s="85"/>
    </row>
    <row r="324" spans="10:38" s="118" customFormat="1" x14ac:dyDescent="0.25">
      <c r="J324" s="118" t="e">
        <f t="shared" si="20"/>
        <v>#NUM!</v>
      </c>
      <c r="M324" s="119"/>
      <c r="N324" s="80"/>
      <c r="O324" s="80"/>
      <c r="P324" s="80"/>
      <c r="Q324" s="80"/>
      <c r="R324" s="80"/>
      <c r="S324" s="85"/>
      <c r="T324" s="85"/>
      <c r="U324" s="85"/>
      <c r="V324" s="85"/>
      <c r="W324" s="85"/>
      <c r="X324" s="85"/>
      <c r="Y324" s="85"/>
      <c r="Z324" s="85"/>
      <c r="AA324" s="85"/>
      <c r="AB324" s="85"/>
      <c r="AC324" s="85"/>
      <c r="AD324" s="85"/>
      <c r="AE324" s="85"/>
      <c r="AF324" s="85"/>
      <c r="AG324" s="85"/>
      <c r="AH324" s="85"/>
      <c r="AI324" s="85"/>
      <c r="AJ324" s="85"/>
      <c r="AK324" s="85"/>
      <c r="AL324" s="85"/>
    </row>
    <row r="325" spans="10:38" s="118" customFormat="1" x14ac:dyDescent="0.25">
      <c r="J325" s="118" t="e">
        <f t="shared" si="20"/>
        <v>#NUM!</v>
      </c>
      <c r="M325" s="119"/>
      <c r="N325" s="80"/>
      <c r="O325" s="80"/>
      <c r="P325" s="80"/>
      <c r="Q325" s="80"/>
      <c r="R325" s="80"/>
      <c r="S325" s="85"/>
      <c r="T325" s="85"/>
      <c r="U325" s="85"/>
      <c r="V325" s="85"/>
      <c r="W325" s="85"/>
      <c r="X325" s="85"/>
      <c r="Y325" s="85"/>
      <c r="Z325" s="85"/>
      <c r="AA325" s="85"/>
      <c r="AB325" s="85"/>
      <c r="AC325" s="85"/>
      <c r="AD325" s="85"/>
      <c r="AE325" s="85"/>
      <c r="AF325" s="85"/>
      <c r="AG325" s="85"/>
      <c r="AH325" s="85"/>
      <c r="AI325" s="85"/>
      <c r="AJ325" s="85"/>
      <c r="AK325" s="85"/>
      <c r="AL325" s="85"/>
    </row>
    <row r="326" spans="10:38" s="118" customFormat="1" x14ac:dyDescent="0.25">
      <c r="J326" s="118" t="e">
        <f t="shared" ref="J326:J374" si="23">INT(LOG($H$2,2))-ROUNDUP(LOG(H326,2),0)+IF(OR($H$2=1,$H$2=2,$H$2=4,$H$2=8,$H$2=16,$H$2=32,$H$2=64,$H$2=128,$H$2=256),0,1)</f>
        <v>#NUM!</v>
      </c>
      <c r="M326" s="119"/>
      <c r="N326" s="80"/>
      <c r="O326" s="80"/>
      <c r="P326" s="80"/>
      <c r="Q326" s="80"/>
      <c r="R326" s="80"/>
      <c r="S326" s="85"/>
      <c r="T326" s="85"/>
      <c r="U326" s="85"/>
      <c r="V326" s="85"/>
      <c r="W326" s="85"/>
      <c r="X326" s="85"/>
      <c r="Y326" s="85"/>
      <c r="Z326" s="85"/>
      <c r="AA326" s="85"/>
      <c r="AB326" s="85"/>
      <c r="AC326" s="85"/>
      <c r="AD326" s="85"/>
      <c r="AE326" s="85"/>
      <c r="AF326" s="85"/>
      <c r="AG326" s="85"/>
      <c r="AH326" s="85"/>
      <c r="AI326" s="85"/>
      <c r="AJ326" s="85"/>
      <c r="AK326" s="85"/>
      <c r="AL326" s="85"/>
    </row>
    <row r="327" spans="10:38" s="118" customFormat="1" x14ac:dyDescent="0.25">
      <c r="J327" s="118" t="e">
        <f t="shared" si="23"/>
        <v>#NUM!</v>
      </c>
      <c r="M327" s="119"/>
      <c r="N327" s="80"/>
      <c r="O327" s="80"/>
      <c r="P327" s="80"/>
      <c r="Q327" s="80"/>
      <c r="R327" s="80"/>
      <c r="S327" s="85"/>
      <c r="T327" s="85"/>
      <c r="U327" s="85"/>
      <c r="V327" s="85"/>
      <c r="W327" s="85"/>
      <c r="X327" s="85"/>
      <c r="Y327" s="85"/>
      <c r="Z327" s="85"/>
      <c r="AA327" s="85"/>
      <c r="AB327" s="85"/>
      <c r="AC327" s="85"/>
      <c r="AD327" s="85"/>
      <c r="AE327" s="85"/>
      <c r="AF327" s="85"/>
      <c r="AG327" s="85"/>
      <c r="AH327" s="85"/>
      <c r="AI327" s="85"/>
      <c r="AJ327" s="85"/>
      <c r="AK327" s="85"/>
      <c r="AL327" s="85"/>
    </row>
    <row r="328" spans="10:38" s="118" customFormat="1" x14ac:dyDescent="0.25">
      <c r="J328" s="118" t="e">
        <f t="shared" si="23"/>
        <v>#NUM!</v>
      </c>
      <c r="M328" s="119"/>
      <c r="N328" s="80"/>
      <c r="O328" s="80"/>
      <c r="P328" s="80"/>
      <c r="Q328" s="80"/>
      <c r="R328" s="80"/>
      <c r="S328" s="85"/>
      <c r="T328" s="85"/>
      <c r="U328" s="85"/>
      <c r="V328" s="85"/>
      <c r="W328" s="85"/>
      <c r="X328" s="85"/>
      <c r="Y328" s="85"/>
      <c r="Z328" s="85"/>
      <c r="AA328" s="85"/>
      <c r="AB328" s="85"/>
      <c r="AC328" s="85"/>
      <c r="AD328" s="85"/>
      <c r="AE328" s="85"/>
      <c r="AF328" s="85"/>
      <c r="AG328" s="85"/>
      <c r="AH328" s="85"/>
      <c r="AI328" s="85"/>
      <c r="AJ328" s="85"/>
      <c r="AK328" s="85"/>
      <c r="AL328" s="85"/>
    </row>
    <row r="329" spans="10:38" s="118" customFormat="1" x14ac:dyDescent="0.25">
      <c r="J329" s="118" t="e">
        <f t="shared" si="23"/>
        <v>#NUM!</v>
      </c>
      <c r="M329" s="119"/>
      <c r="N329" s="80"/>
      <c r="O329" s="80"/>
      <c r="P329" s="80"/>
      <c r="Q329" s="80"/>
      <c r="R329" s="80"/>
      <c r="S329" s="85"/>
      <c r="T329" s="85"/>
      <c r="U329" s="85"/>
      <c r="V329" s="85"/>
      <c r="W329" s="85"/>
      <c r="X329" s="85"/>
      <c r="Y329" s="85"/>
      <c r="Z329" s="85"/>
      <c r="AA329" s="85"/>
      <c r="AB329" s="85"/>
      <c r="AC329" s="85"/>
      <c r="AD329" s="85"/>
      <c r="AE329" s="85"/>
      <c r="AF329" s="85"/>
      <c r="AG329" s="85"/>
      <c r="AH329" s="85"/>
      <c r="AI329" s="85"/>
      <c r="AJ329" s="85"/>
      <c r="AK329" s="85"/>
      <c r="AL329" s="85"/>
    </row>
    <row r="330" spans="10:38" s="118" customFormat="1" x14ac:dyDescent="0.25">
      <c r="J330" s="118" t="e">
        <f t="shared" si="23"/>
        <v>#NUM!</v>
      </c>
      <c r="M330" s="119"/>
      <c r="N330" s="80"/>
      <c r="O330" s="80"/>
      <c r="P330" s="80"/>
      <c r="Q330" s="80"/>
      <c r="R330" s="80"/>
      <c r="S330" s="85"/>
      <c r="T330" s="85"/>
      <c r="U330" s="85"/>
      <c r="V330" s="85"/>
      <c r="W330" s="85"/>
      <c r="X330" s="85"/>
      <c r="Y330" s="85"/>
      <c r="Z330" s="85"/>
      <c r="AA330" s="85"/>
      <c r="AB330" s="85"/>
      <c r="AC330" s="85"/>
      <c r="AD330" s="85"/>
      <c r="AE330" s="85"/>
      <c r="AF330" s="85"/>
      <c r="AG330" s="85"/>
      <c r="AH330" s="85"/>
      <c r="AI330" s="85"/>
      <c r="AJ330" s="85"/>
      <c r="AK330" s="85"/>
      <c r="AL330" s="85"/>
    </row>
    <row r="331" spans="10:38" s="118" customFormat="1" x14ac:dyDescent="0.25">
      <c r="J331" s="118" t="e">
        <f t="shared" si="23"/>
        <v>#NUM!</v>
      </c>
      <c r="M331" s="119"/>
      <c r="N331" s="80"/>
      <c r="O331" s="80"/>
      <c r="P331" s="80"/>
      <c r="Q331" s="80"/>
      <c r="R331" s="80"/>
      <c r="S331" s="85"/>
      <c r="T331" s="85"/>
      <c r="U331" s="85"/>
      <c r="V331" s="85"/>
      <c r="W331" s="85"/>
      <c r="X331" s="85"/>
      <c r="Y331" s="85"/>
      <c r="Z331" s="85"/>
      <c r="AA331" s="85"/>
      <c r="AB331" s="85"/>
      <c r="AC331" s="85"/>
      <c r="AD331" s="85"/>
      <c r="AE331" s="85"/>
      <c r="AF331" s="85"/>
      <c r="AG331" s="85"/>
      <c r="AH331" s="85"/>
      <c r="AI331" s="85"/>
      <c r="AJ331" s="85"/>
      <c r="AK331" s="85"/>
      <c r="AL331" s="85"/>
    </row>
    <row r="332" spans="10:38" s="118" customFormat="1" x14ac:dyDescent="0.25">
      <c r="J332" s="118" t="e">
        <f t="shared" si="23"/>
        <v>#NUM!</v>
      </c>
      <c r="M332" s="119"/>
      <c r="N332" s="80"/>
      <c r="O332" s="80"/>
      <c r="P332" s="80"/>
      <c r="Q332" s="80"/>
      <c r="R332" s="80"/>
      <c r="S332" s="85"/>
      <c r="T332" s="85"/>
      <c r="U332" s="85"/>
      <c r="V332" s="85"/>
      <c r="W332" s="85"/>
      <c r="X332" s="85"/>
      <c r="Y332" s="85"/>
      <c r="Z332" s="85"/>
      <c r="AA332" s="85"/>
      <c r="AB332" s="85"/>
      <c r="AC332" s="85"/>
      <c r="AD332" s="85"/>
      <c r="AE332" s="85"/>
      <c r="AF332" s="85"/>
      <c r="AG332" s="85"/>
      <c r="AH332" s="85"/>
      <c r="AI332" s="85"/>
      <c r="AJ332" s="85"/>
      <c r="AK332" s="85"/>
      <c r="AL332" s="85"/>
    </row>
    <row r="333" spans="10:38" s="118" customFormat="1" x14ac:dyDescent="0.25">
      <c r="J333" s="118" t="e">
        <f t="shared" si="23"/>
        <v>#NUM!</v>
      </c>
      <c r="M333" s="119"/>
      <c r="N333" s="80"/>
      <c r="O333" s="80"/>
      <c r="P333" s="80"/>
      <c r="Q333" s="80"/>
      <c r="R333" s="80"/>
      <c r="S333" s="85"/>
      <c r="T333" s="85"/>
      <c r="U333" s="85"/>
      <c r="V333" s="85"/>
      <c r="W333" s="85"/>
      <c r="X333" s="85"/>
      <c r="Y333" s="85"/>
      <c r="Z333" s="85"/>
      <c r="AA333" s="85"/>
      <c r="AB333" s="85"/>
      <c r="AC333" s="85"/>
      <c r="AD333" s="85"/>
      <c r="AE333" s="85"/>
      <c r="AF333" s="85"/>
      <c r="AG333" s="85"/>
      <c r="AH333" s="85"/>
      <c r="AI333" s="85"/>
      <c r="AJ333" s="85"/>
      <c r="AK333" s="85"/>
      <c r="AL333" s="85"/>
    </row>
    <row r="334" spans="10:38" s="118" customFormat="1" x14ac:dyDescent="0.25">
      <c r="J334" s="118" t="e">
        <f t="shared" si="23"/>
        <v>#NUM!</v>
      </c>
      <c r="M334" s="119"/>
      <c r="N334" s="80"/>
      <c r="O334" s="80"/>
      <c r="P334" s="80"/>
      <c r="Q334" s="80"/>
      <c r="R334" s="80"/>
      <c r="S334" s="85"/>
      <c r="T334" s="85"/>
      <c r="U334" s="85"/>
      <c r="V334" s="85"/>
      <c r="W334" s="85"/>
      <c r="X334" s="85"/>
      <c r="Y334" s="85"/>
      <c r="Z334" s="85"/>
      <c r="AA334" s="85"/>
      <c r="AB334" s="85"/>
      <c r="AC334" s="85"/>
      <c r="AD334" s="85"/>
      <c r="AE334" s="85"/>
      <c r="AF334" s="85"/>
      <c r="AG334" s="85"/>
      <c r="AH334" s="85"/>
      <c r="AI334" s="85"/>
      <c r="AJ334" s="85"/>
      <c r="AK334" s="85"/>
      <c r="AL334" s="85"/>
    </row>
    <row r="335" spans="10:38" s="118" customFormat="1" x14ac:dyDescent="0.25">
      <c r="J335" s="118" t="e">
        <f t="shared" si="23"/>
        <v>#NUM!</v>
      </c>
      <c r="M335" s="119"/>
      <c r="N335" s="80"/>
      <c r="O335" s="80"/>
      <c r="P335" s="80"/>
      <c r="Q335" s="80"/>
      <c r="R335" s="80"/>
      <c r="S335" s="85"/>
      <c r="T335" s="85"/>
      <c r="U335" s="85"/>
      <c r="V335" s="85"/>
      <c r="W335" s="85"/>
      <c r="X335" s="85"/>
      <c r="Y335" s="85"/>
      <c r="Z335" s="85"/>
      <c r="AA335" s="85"/>
      <c r="AB335" s="85"/>
      <c r="AC335" s="85"/>
      <c r="AD335" s="85"/>
      <c r="AE335" s="85"/>
      <c r="AF335" s="85"/>
      <c r="AG335" s="85"/>
      <c r="AH335" s="85"/>
      <c r="AI335" s="85"/>
      <c r="AJ335" s="85"/>
      <c r="AK335" s="85"/>
      <c r="AL335" s="85"/>
    </row>
    <row r="336" spans="10:38" s="118" customFormat="1" x14ac:dyDescent="0.25">
      <c r="J336" s="118" t="e">
        <f t="shared" si="23"/>
        <v>#NUM!</v>
      </c>
      <c r="M336" s="119"/>
      <c r="N336" s="80"/>
      <c r="O336" s="80"/>
      <c r="P336" s="80"/>
      <c r="Q336" s="80"/>
      <c r="R336" s="80"/>
      <c r="S336" s="85"/>
      <c r="T336" s="85"/>
      <c r="U336" s="85"/>
      <c r="V336" s="85"/>
      <c r="W336" s="85"/>
      <c r="X336" s="85"/>
      <c r="Y336" s="85"/>
      <c r="Z336" s="85"/>
      <c r="AA336" s="85"/>
      <c r="AB336" s="85"/>
      <c r="AC336" s="85"/>
      <c r="AD336" s="85"/>
      <c r="AE336" s="85"/>
      <c r="AF336" s="85"/>
      <c r="AG336" s="85"/>
      <c r="AH336" s="85"/>
      <c r="AI336" s="85"/>
      <c r="AJ336" s="85"/>
      <c r="AK336" s="85"/>
      <c r="AL336" s="85"/>
    </row>
    <row r="337" spans="10:38" s="118" customFormat="1" x14ac:dyDescent="0.25">
      <c r="J337" s="118" t="e">
        <f t="shared" si="23"/>
        <v>#NUM!</v>
      </c>
      <c r="M337" s="119"/>
      <c r="N337" s="80"/>
      <c r="O337" s="80"/>
      <c r="P337" s="80"/>
      <c r="Q337" s="80"/>
      <c r="R337" s="80"/>
      <c r="S337" s="85"/>
      <c r="T337" s="85"/>
      <c r="U337" s="85"/>
      <c r="V337" s="85"/>
      <c r="W337" s="85"/>
      <c r="X337" s="85"/>
      <c r="Y337" s="85"/>
      <c r="Z337" s="85"/>
      <c r="AA337" s="85"/>
      <c r="AB337" s="85"/>
      <c r="AC337" s="85"/>
      <c r="AD337" s="85"/>
      <c r="AE337" s="85"/>
      <c r="AF337" s="85"/>
      <c r="AG337" s="85"/>
      <c r="AH337" s="85"/>
      <c r="AI337" s="85"/>
      <c r="AJ337" s="85"/>
      <c r="AK337" s="85"/>
      <c r="AL337" s="85"/>
    </row>
    <row r="338" spans="10:38" s="118" customFormat="1" x14ac:dyDescent="0.25">
      <c r="J338" s="118" t="e">
        <f t="shared" si="23"/>
        <v>#NUM!</v>
      </c>
      <c r="M338" s="119"/>
      <c r="N338" s="80"/>
      <c r="O338" s="80"/>
      <c r="P338" s="80"/>
      <c r="Q338" s="80"/>
      <c r="R338" s="80"/>
      <c r="S338" s="85"/>
      <c r="T338" s="85"/>
      <c r="U338" s="85"/>
      <c r="V338" s="85"/>
      <c r="W338" s="85"/>
      <c r="X338" s="85"/>
      <c r="Y338" s="85"/>
      <c r="Z338" s="85"/>
      <c r="AA338" s="85"/>
      <c r="AB338" s="85"/>
      <c r="AC338" s="85"/>
      <c r="AD338" s="85"/>
      <c r="AE338" s="85"/>
      <c r="AF338" s="85"/>
      <c r="AG338" s="85"/>
      <c r="AH338" s="85"/>
      <c r="AI338" s="85"/>
      <c r="AJ338" s="85"/>
      <c r="AK338" s="85"/>
      <c r="AL338" s="85"/>
    </row>
    <row r="339" spans="10:38" s="118" customFormat="1" x14ac:dyDescent="0.25">
      <c r="J339" s="118" t="e">
        <f t="shared" si="23"/>
        <v>#NUM!</v>
      </c>
      <c r="M339" s="119"/>
      <c r="N339" s="80"/>
      <c r="O339" s="80"/>
      <c r="P339" s="80"/>
      <c r="Q339" s="80"/>
      <c r="R339" s="80"/>
      <c r="S339" s="85"/>
      <c r="T339" s="85"/>
      <c r="U339" s="85"/>
      <c r="V339" s="85"/>
      <c r="W339" s="85"/>
      <c r="X339" s="85"/>
      <c r="Y339" s="85"/>
      <c r="Z339" s="85"/>
      <c r="AA339" s="85"/>
      <c r="AB339" s="85"/>
      <c r="AC339" s="85"/>
      <c r="AD339" s="85"/>
      <c r="AE339" s="85"/>
      <c r="AF339" s="85"/>
      <c r="AG339" s="85"/>
      <c r="AH339" s="85"/>
      <c r="AI339" s="85"/>
      <c r="AJ339" s="85"/>
      <c r="AK339" s="85"/>
      <c r="AL339" s="85"/>
    </row>
    <row r="340" spans="10:38" s="118" customFormat="1" x14ac:dyDescent="0.25">
      <c r="J340" s="118" t="e">
        <f t="shared" si="23"/>
        <v>#NUM!</v>
      </c>
      <c r="M340" s="119"/>
      <c r="N340" s="80"/>
      <c r="O340" s="80"/>
      <c r="P340" s="80"/>
      <c r="Q340" s="80"/>
      <c r="R340" s="80"/>
      <c r="S340" s="85"/>
      <c r="T340" s="85"/>
      <c r="U340" s="85"/>
      <c r="V340" s="85"/>
      <c r="W340" s="85"/>
      <c r="X340" s="85"/>
      <c r="Y340" s="85"/>
      <c r="Z340" s="85"/>
      <c r="AA340" s="85"/>
      <c r="AB340" s="85"/>
      <c r="AC340" s="85"/>
      <c r="AD340" s="85"/>
      <c r="AE340" s="85"/>
      <c r="AF340" s="85"/>
      <c r="AG340" s="85"/>
      <c r="AH340" s="85"/>
      <c r="AI340" s="85"/>
      <c r="AJ340" s="85"/>
      <c r="AK340" s="85"/>
      <c r="AL340" s="85"/>
    </row>
    <row r="341" spans="10:38" s="118" customFormat="1" x14ac:dyDescent="0.25">
      <c r="J341" s="118" t="e">
        <f t="shared" si="23"/>
        <v>#NUM!</v>
      </c>
      <c r="M341" s="119"/>
      <c r="N341" s="80"/>
      <c r="O341" s="80"/>
      <c r="P341" s="80"/>
      <c r="Q341" s="80"/>
      <c r="R341" s="80"/>
      <c r="S341" s="85"/>
      <c r="T341" s="85"/>
      <c r="U341" s="85"/>
      <c r="V341" s="85"/>
      <c r="W341" s="85"/>
      <c r="X341" s="85"/>
      <c r="Y341" s="85"/>
      <c r="Z341" s="85"/>
      <c r="AA341" s="85"/>
      <c r="AB341" s="85"/>
      <c r="AC341" s="85"/>
      <c r="AD341" s="85"/>
      <c r="AE341" s="85"/>
      <c r="AF341" s="85"/>
      <c r="AG341" s="85"/>
      <c r="AH341" s="85"/>
      <c r="AI341" s="85"/>
      <c r="AJ341" s="85"/>
      <c r="AK341" s="85"/>
      <c r="AL341" s="85"/>
    </row>
    <row r="342" spans="10:38" s="118" customFormat="1" x14ac:dyDescent="0.25">
      <c r="J342" s="118" t="e">
        <f t="shared" si="23"/>
        <v>#NUM!</v>
      </c>
      <c r="M342" s="119"/>
      <c r="N342" s="80"/>
      <c r="O342" s="80"/>
      <c r="P342" s="80"/>
      <c r="Q342" s="80"/>
      <c r="R342" s="80"/>
      <c r="S342" s="85"/>
      <c r="T342" s="85"/>
      <c r="U342" s="85"/>
      <c r="V342" s="85"/>
      <c r="W342" s="85"/>
      <c r="X342" s="85"/>
      <c r="Y342" s="85"/>
      <c r="Z342" s="85"/>
      <c r="AA342" s="85"/>
      <c r="AB342" s="85"/>
      <c r="AC342" s="85"/>
      <c r="AD342" s="85"/>
      <c r="AE342" s="85"/>
      <c r="AF342" s="85"/>
      <c r="AG342" s="85"/>
      <c r="AH342" s="85"/>
      <c r="AI342" s="85"/>
      <c r="AJ342" s="85"/>
      <c r="AK342" s="85"/>
      <c r="AL342" s="85"/>
    </row>
    <row r="343" spans="10:38" s="118" customFormat="1" x14ac:dyDescent="0.25">
      <c r="J343" s="118" t="e">
        <f t="shared" si="23"/>
        <v>#NUM!</v>
      </c>
      <c r="M343" s="119"/>
      <c r="N343" s="80"/>
      <c r="O343" s="80"/>
      <c r="P343" s="80"/>
      <c r="Q343" s="80"/>
      <c r="R343" s="80"/>
      <c r="S343" s="85"/>
      <c r="T343" s="85"/>
      <c r="U343" s="85"/>
      <c r="V343" s="85"/>
      <c r="W343" s="85"/>
      <c r="X343" s="85"/>
      <c r="Y343" s="85"/>
      <c r="Z343" s="85"/>
      <c r="AA343" s="85"/>
      <c r="AB343" s="85"/>
      <c r="AC343" s="85"/>
      <c r="AD343" s="85"/>
      <c r="AE343" s="85"/>
      <c r="AF343" s="85"/>
      <c r="AG343" s="85"/>
      <c r="AH343" s="85"/>
      <c r="AI343" s="85"/>
      <c r="AJ343" s="85"/>
      <c r="AK343" s="85"/>
      <c r="AL343" s="85"/>
    </row>
    <row r="344" spans="10:38" s="118" customFormat="1" x14ac:dyDescent="0.25">
      <c r="J344" s="118" t="e">
        <f t="shared" si="23"/>
        <v>#NUM!</v>
      </c>
      <c r="M344" s="119"/>
      <c r="N344" s="80"/>
      <c r="O344" s="80"/>
      <c r="P344" s="80"/>
      <c r="Q344" s="80"/>
      <c r="R344" s="80"/>
      <c r="S344" s="85"/>
      <c r="T344" s="85"/>
      <c r="U344" s="85"/>
      <c r="V344" s="85"/>
      <c r="W344" s="85"/>
      <c r="X344" s="85"/>
      <c r="Y344" s="85"/>
      <c r="Z344" s="85"/>
      <c r="AA344" s="85"/>
      <c r="AB344" s="85"/>
      <c r="AC344" s="85"/>
      <c r="AD344" s="85"/>
      <c r="AE344" s="85"/>
      <c r="AF344" s="85"/>
      <c r="AG344" s="85"/>
      <c r="AH344" s="85"/>
      <c r="AI344" s="85"/>
      <c r="AJ344" s="85"/>
      <c r="AK344" s="85"/>
      <c r="AL344" s="85"/>
    </row>
    <row r="345" spans="10:38" s="118" customFormat="1" x14ac:dyDescent="0.25">
      <c r="J345" s="118" t="e">
        <f t="shared" si="23"/>
        <v>#NUM!</v>
      </c>
      <c r="M345" s="119"/>
      <c r="N345" s="80"/>
      <c r="O345" s="80"/>
      <c r="P345" s="80"/>
      <c r="Q345" s="80"/>
      <c r="R345" s="80"/>
      <c r="S345" s="85"/>
      <c r="T345" s="85"/>
      <c r="U345" s="85"/>
      <c r="V345" s="85"/>
      <c r="W345" s="85"/>
      <c r="X345" s="85"/>
      <c r="Y345" s="85"/>
      <c r="Z345" s="85"/>
      <c r="AA345" s="85"/>
      <c r="AB345" s="85"/>
      <c r="AC345" s="85"/>
      <c r="AD345" s="85"/>
      <c r="AE345" s="85"/>
      <c r="AF345" s="85"/>
      <c r="AG345" s="85"/>
      <c r="AH345" s="85"/>
      <c r="AI345" s="85"/>
      <c r="AJ345" s="85"/>
      <c r="AK345" s="85"/>
      <c r="AL345" s="85"/>
    </row>
    <row r="346" spans="10:38" s="118" customFormat="1" x14ac:dyDescent="0.25">
      <c r="J346" s="118" t="e">
        <f t="shared" si="23"/>
        <v>#NUM!</v>
      </c>
      <c r="M346" s="119"/>
      <c r="N346" s="80"/>
      <c r="O346" s="80"/>
      <c r="P346" s="80"/>
      <c r="Q346" s="80"/>
      <c r="R346" s="80"/>
      <c r="S346" s="85"/>
      <c r="T346" s="85"/>
      <c r="U346" s="85"/>
      <c r="V346" s="85"/>
      <c r="W346" s="85"/>
      <c r="X346" s="85"/>
      <c r="Y346" s="85"/>
      <c r="Z346" s="85"/>
      <c r="AA346" s="85"/>
      <c r="AB346" s="85"/>
      <c r="AC346" s="85"/>
      <c r="AD346" s="85"/>
      <c r="AE346" s="85"/>
      <c r="AF346" s="85"/>
      <c r="AG346" s="85"/>
      <c r="AH346" s="85"/>
      <c r="AI346" s="85"/>
      <c r="AJ346" s="85"/>
      <c r="AK346" s="85"/>
      <c r="AL346" s="85"/>
    </row>
    <row r="347" spans="10:38" s="118" customFormat="1" x14ac:dyDescent="0.25">
      <c r="J347" s="118" t="e">
        <f t="shared" si="23"/>
        <v>#NUM!</v>
      </c>
      <c r="M347" s="119"/>
      <c r="N347" s="80"/>
      <c r="O347" s="80"/>
      <c r="P347" s="80"/>
      <c r="Q347" s="80"/>
      <c r="R347" s="80"/>
      <c r="S347" s="85"/>
      <c r="T347" s="85"/>
      <c r="U347" s="85"/>
      <c r="V347" s="85"/>
      <c r="W347" s="85"/>
      <c r="X347" s="85"/>
      <c r="Y347" s="85"/>
      <c r="Z347" s="85"/>
      <c r="AA347" s="85"/>
      <c r="AB347" s="85"/>
      <c r="AC347" s="85"/>
      <c r="AD347" s="85"/>
      <c r="AE347" s="85"/>
      <c r="AF347" s="85"/>
      <c r="AG347" s="85"/>
      <c r="AH347" s="85"/>
      <c r="AI347" s="85"/>
      <c r="AJ347" s="85"/>
      <c r="AK347" s="85"/>
      <c r="AL347" s="85"/>
    </row>
    <row r="348" spans="10:38" s="118" customFormat="1" x14ac:dyDescent="0.25">
      <c r="J348" s="118" t="e">
        <f t="shared" si="23"/>
        <v>#NUM!</v>
      </c>
      <c r="M348" s="119"/>
      <c r="N348" s="80"/>
      <c r="O348" s="80"/>
      <c r="P348" s="80"/>
      <c r="Q348" s="80"/>
      <c r="R348" s="80"/>
      <c r="S348" s="85"/>
      <c r="T348" s="85"/>
      <c r="U348" s="85"/>
      <c r="V348" s="85"/>
      <c r="W348" s="85"/>
      <c r="X348" s="85"/>
      <c r="Y348" s="85"/>
      <c r="Z348" s="85"/>
      <c r="AA348" s="85"/>
      <c r="AB348" s="85"/>
      <c r="AC348" s="85"/>
      <c r="AD348" s="85"/>
      <c r="AE348" s="85"/>
      <c r="AF348" s="85"/>
      <c r="AG348" s="85"/>
      <c r="AH348" s="85"/>
      <c r="AI348" s="85"/>
      <c r="AJ348" s="85"/>
      <c r="AK348" s="85"/>
      <c r="AL348" s="85"/>
    </row>
    <row r="349" spans="10:38" s="118" customFormat="1" x14ac:dyDescent="0.25">
      <c r="J349" s="118" t="e">
        <f t="shared" si="23"/>
        <v>#NUM!</v>
      </c>
      <c r="M349" s="119"/>
      <c r="N349" s="80"/>
      <c r="O349" s="80"/>
      <c r="P349" s="80"/>
      <c r="Q349" s="80"/>
      <c r="R349" s="80"/>
      <c r="S349" s="85"/>
      <c r="T349" s="85"/>
      <c r="U349" s="85"/>
      <c r="V349" s="85"/>
      <c r="W349" s="85"/>
      <c r="X349" s="85"/>
      <c r="Y349" s="85"/>
      <c r="Z349" s="85"/>
      <c r="AA349" s="85"/>
      <c r="AB349" s="85"/>
      <c r="AC349" s="85"/>
      <c r="AD349" s="85"/>
      <c r="AE349" s="85"/>
      <c r="AF349" s="85"/>
      <c r="AG349" s="85"/>
      <c r="AH349" s="85"/>
      <c r="AI349" s="85"/>
      <c r="AJ349" s="85"/>
      <c r="AK349" s="85"/>
      <c r="AL349" s="85"/>
    </row>
    <row r="350" spans="10:38" s="118" customFormat="1" x14ac:dyDescent="0.25">
      <c r="J350" s="118" t="e">
        <f t="shared" si="23"/>
        <v>#NUM!</v>
      </c>
      <c r="M350" s="119"/>
      <c r="N350" s="80"/>
      <c r="O350" s="80"/>
      <c r="P350" s="80"/>
      <c r="Q350" s="80"/>
      <c r="R350" s="80"/>
      <c r="S350" s="85"/>
      <c r="T350" s="85"/>
      <c r="U350" s="85"/>
      <c r="V350" s="85"/>
      <c r="W350" s="85"/>
      <c r="X350" s="85"/>
      <c r="Y350" s="85"/>
      <c r="Z350" s="85"/>
      <c r="AA350" s="85"/>
      <c r="AB350" s="85"/>
      <c r="AC350" s="85"/>
      <c r="AD350" s="85"/>
      <c r="AE350" s="85"/>
      <c r="AF350" s="85"/>
      <c r="AG350" s="85"/>
      <c r="AH350" s="85"/>
      <c r="AI350" s="85"/>
      <c r="AJ350" s="85"/>
      <c r="AK350" s="85"/>
      <c r="AL350" s="85"/>
    </row>
    <row r="351" spans="10:38" s="118" customFormat="1" x14ac:dyDescent="0.25">
      <c r="J351" s="118" t="e">
        <f t="shared" si="23"/>
        <v>#NUM!</v>
      </c>
      <c r="M351" s="119"/>
      <c r="N351" s="80"/>
      <c r="O351" s="80"/>
      <c r="P351" s="80"/>
      <c r="Q351" s="80"/>
      <c r="R351" s="80"/>
      <c r="S351" s="85"/>
      <c r="T351" s="85"/>
      <c r="U351" s="85"/>
      <c r="V351" s="85"/>
      <c r="W351" s="85"/>
      <c r="X351" s="85"/>
      <c r="Y351" s="85"/>
      <c r="Z351" s="85"/>
      <c r="AA351" s="85"/>
      <c r="AB351" s="85"/>
      <c r="AC351" s="85"/>
      <c r="AD351" s="85"/>
      <c r="AE351" s="85"/>
      <c r="AF351" s="85"/>
      <c r="AG351" s="85"/>
      <c r="AH351" s="85"/>
      <c r="AI351" s="85"/>
      <c r="AJ351" s="85"/>
      <c r="AK351" s="85"/>
      <c r="AL351" s="85"/>
    </row>
    <row r="352" spans="10:38" s="118" customFormat="1" x14ac:dyDescent="0.25">
      <c r="J352" s="118" t="e">
        <f t="shared" si="23"/>
        <v>#NUM!</v>
      </c>
      <c r="M352" s="119"/>
      <c r="N352" s="80"/>
      <c r="O352" s="80"/>
      <c r="P352" s="80"/>
      <c r="Q352" s="80"/>
      <c r="R352" s="80"/>
      <c r="S352" s="85"/>
      <c r="T352" s="85"/>
      <c r="U352" s="85"/>
      <c r="V352" s="85"/>
      <c r="W352" s="85"/>
      <c r="X352" s="85"/>
      <c r="Y352" s="85"/>
      <c r="Z352" s="85"/>
      <c r="AA352" s="85"/>
      <c r="AB352" s="85"/>
      <c r="AC352" s="85"/>
      <c r="AD352" s="85"/>
      <c r="AE352" s="85"/>
      <c r="AF352" s="85"/>
      <c r="AG352" s="85"/>
      <c r="AH352" s="85"/>
      <c r="AI352" s="85"/>
      <c r="AJ352" s="85"/>
      <c r="AK352" s="85"/>
      <c r="AL352" s="85"/>
    </row>
    <row r="353" spans="10:38" s="118" customFormat="1" x14ac:dyDescent="0.25">
      <c r="J353" s="118" t="e">
        <f t="shared" si="23"/>
        <v>#NUM!</v>
      </c>
      <c r="M353" s="119"/>
      <c r="N353" s="80"/>
      <c r="O353" s="80"/>
      <c r="P353" s="80"/>
      <c r="Q353" s="80"/>
      <c r="R353" s="80"/>
      <c r="S353" s="85"/>
      <c r="T353" s="85"/>
      <c r="U353" s="85"/>
      <c r="V353" s="85"/>
      <c r="W353" s="85"/>
      <c r="X353" s="85"/>
      <c r="Y353" s="85"/>
      <c r="Z353" s="85"/>
      <c r="AA353" s="85"/>
      <c r="AB353" s="85"/>
      <c r="AC353" s="85"/>
      <c r="AD353" s="85"/>
      <c r="AE353" s="85"/>
      <c r="AF353" s="85"/>
      <c r="AG353" s="85"/>
      <c r="AH353" s="85"/>
      <c r="AI353" s="85"/>
      <c r="AJ353" s="85"/>
      <c r="AK353" s="85"/>
      <c r="AL353" s="85"/>
    </row>
    <row r="354" spans="10:38" s="118" customFormat="1" x14ac:dyDescent="0.25">
      <c r="J354" s="118" t="e">
        <f t="shared" si="23"/>
        <v>#NUM!</v>
      </c>
      <c r="M354" s="119"/>
      <c r="N354" s="80"/>
      <c r="O354" s="80"/>
      <c r="P354" s="80"/>
      <c r="Q354" s="80"/>
      <c r="R354" s="80"/>
      <c r="S354" s="85"/>
      <c r="T354" s="85"/>
      <c r="U354" s="85"/>
      <c r="V354" s="85"/>
      <c r="W354" s="85"/>
      <c r="X354" s="85"/>
      <c r="Y354" s="85"/>
      <c r="Z354" s="85"/>
      <c r="AA354" s="85"/>
      <c r="AB354" s="85"/>
      <c r="AC354" s="85"/>
      <c r="AD354" s="85"/>
      <c r="AE354" s="85"/>
      <c r="AF354" s="85"/>
      <c r="AG354" s="85"/>
      <c r="AH354" s="85"/>
      <c r="AI354" s="85"/>
      <c r="AJ354" s="85"/>
      <c r="AK354" s="85"/>
      <c r="AL354" s="85"/>
    </row>
    <row r="355" spans="10:38" s="118" customFormat="1" x14ac:dyDescent="0.25">
      <c r="J355" s="118" t="e">
        <f t="shared" si="23"/>
        <v>#NUM!</v>
      </c>
      <c r="M355" s="119"/>
      <c r="N355" s="80"/>
      <c r="O355" s="80"/>
      <c r="P355" s="80"/>
      <c r="Q355" s="80"/>
      <c r="R355" s="80"/>
      <c r="S355" s="85"/>
      <c r="T355" s="85"/>
      <c r="U355" s="85"/>
      <c r="V355" s="85"/>
      <c r="W355" s="85"/>
      <c r="X355" s="85"/>
      <c r="Y355" s="85"/>
      <c r="Z355" s="85"/>
      <c r="AA355" s="85"/>
      <c r="AB355" s="85"/>
      <c r="AC355" s="85"/>
      <c r="AD355" s="85"/>
      <c r="AE355" s="85"/>
      <c r="AF355" s="85"/>
      <c r="AG355" s="85"/>
      <c r="AH355" s="85"/>
      <c r="AI355" s="85"/>
      <c r="AJ355" s="85"/>
      <c r="AK355" s="85"/>
      <c r="AL355" s="85"/>
    </row>
    <row r="356" spans="10:38" s="118" customFormat="1" x14ac:dyDescent="0.25">
      <c r="J356" s="118" t="e">
        <f t="shared" si="23"/>
        <v>#NUM!</v>
      </c>
      <c r="M356" s="119"/>
      <c r="N356" s="80"/>
      <c r="O356" s="80"/>
      <c r="P356" s="80"/>
      <c r="Q356" s="80"/>
      <c r="R356" s="80"/>
      <c r="S356" s="85"/>
      <c r="T356" s="85"/>
      <c r="U356" s="85"/>
      <c r="V356" s="85"/>
      <c r="W356" s="85"/>
      <c r="X356" s="85"/>
      <c r="Y356" s="85"/>
      <c r="Z356" s="85"/>
      <c r="AA356" s="85"/>
      <c r="AB356" s="85"/>
      <c r="AC356" s="85"/>
      <c r="AD356" s="85"/>
      <c r="AE356" s="85"/>
      <c r="AF356" s="85"/>
      <c r="AG356" s="85"/>
      <c r="AH356" s="85"/>
      <c r="AI356" s="85"/>
      <c r="AJ356" s="85"/>
      <c r="AK356" s="85"/>
      <c r="AL356" s="85"/>
    </row>
    <row r="357" spans="10:38" s="118" customFormat="1" x14ac:dyDescent="0.25">
      <c r="J357" s="118" t="e">
        <f t="shared" si="23"/>
        <v>#NUM!</v>
      </c>
      <c r="M357" s="119"/>
      <c r="N357" s="80"/>
      <c r="O357" s="80"/>
      <c r="P357" s="80"/>
      <c r="Q357" s="80"/>
      <c r="R357" s="80"/>
      <c r="S357" s="85"/>
      <c r="T357" s="85"/>
      <c r="U357" s="85"/>
      <c r="V357" s="85"/>
      <c r="W357" s="85"/>
      <c r="X357" s="85"/>
      <c r="Y357" s="85"/>
      <c r="Z357" s="85"/>
      <c r="AA357" s="85"/>
      <c r="AB357" s="85"/>
      <c r="AC357" s="85"/>
      <c r="AD357" s="85"/>
      <c r="AE357" s="85"/>
      <c r="AF357" s="85"/>
      <c r="AG357" s="85"/>
      <c r="AH357" s="85"/>
      <c r="AI357" s="85"/>
      <c r="AJ357" s="85"/>
      <c r="AK357" s="85"/>
      <c r="AL357" s="85"/>
    </row>
    <row r="358" spans="10:38" s="118" customFormat="1" x14ac:dyDescent="0.25">
      <c r="J358" s="118" t="e">
        <f t="shared" si="23"/>
        <v>#NUM!</v>
      </c>
      <c r="M358" s="119"/>
      <c r="N358" s="80"/>
      <c r="O358" s="80"/>
      <c r="P358" s="80"/>
      <c r="Q358" s="80"/>
      <c r="R358" s="80"/>
      <c r="S358" s="85"/>
      <c r="T358" s="85"/>
      <c r="U358" s="85"/>
      <c r="V358" s="85"/>
      <c r="W358" s="85"/>
      <c r="X358" s="85"/>
      <c r="Y358" s="85"/>
      <c r="Z358" s="85"/>
      <c r="AA358" s="85"/>
      <c r="AB358" s="85"/>
      <c r="AC358" s="85"/>
      <c r="AD358" s="85"/>
      <c r="AE358" s="85"/>
      <c r="AF358" s="85"/>
      <c r="AG358" s="85"/>
      <c r="AH358" s="85"/>
      <c r="AI358" s="85"/>
      <c r="AJ358" s="85"/>
      <c r="AK358" s="85"/>
      <c r="AL358" s="85"/>
    </row>
    <row r="359" spans="10:38" s="118" customFormat="1" x14ac:dyDescent="0.25">
      <c r="J359" s="118" t="e">
        <f t="shared" si="23"/>
        <v>#NUM!</v>
      </c>
      <c r="M359" s="119"/>
      <c r="N359" s="80"/>
      <c r="O359" s="80"/>
      <c r="P359" s="80"/>
      <c r="Q359" s="80"/>
      <c r="R359" s="80"/>
      <c r="S359" s="85"/>
      <c r="T359" s="85"/>
      <c r="U359" s="85"/>
      <c r="V359" s="85"/>
      <c r="W359" s="85"/>
      <c r="X359" s="85"/>
      <c r="Y359" s="85"/>
      <c r="Z359" s="85"/>
      <c r="AA359" s="85"/>
      <c r="AB359" s="85"/>
      <c r="AC359" s="85"/>
      <c r="AD359" s="85"/>
      <c r="AE359" s="85"/>
      <c r="AF359" s="85"/>
      <c r="AG359" s="85"/>
      <c r="AH359" s="85"/>
      <c r="AI359" s="85"/>
      <c r="AJ359" s="85"/>
      <c r="AK359" s="85"/>
      <c r="AL359" s="85"/>
    </row>
    <row r="360" spans="10:38" s="118" customFormat="1" x14ac:dyDescent="0.25">
      <c r="J360" s="118" t="e">
        <f t="shared" si="23"/>
        <v>#NUM!</v>
      </c>
      <c r="M360" s="119"/>
      <c r="N360" s="80"/>
      <c r="O360" s="80"/>
      <c r="P360" s="80"/>
      <c r="Q360" s="80"/>
      <c r="R360" s="80"/>
      <c r="S360" s="85"/>
      <c r="T360" s="85"/>
      <c r="U360" s="85"/>
      <c r="V360" s="85"/>
      <c r="W360" s="85"/>
      <c r="X360" s="85"/>
      <c r="Y360" s="85"/>
      <c r="Z360" s="85"/>
      <c r="AA360" s="85"/>
      <c r="AB360" s="85"/>
      <c r="AC360" s="85"/>
      <c r="AD360" s="85"/>
      <c r="AE360" s="85"/>
      <c r="AF360" s="85"/>
      <c r="AG360" s="85"/>
      <c r="AH360" s="85"/>
      <c r="AI360" s="85"/>
      <c r="AJ360" s="85"/>
      <c r="AK360" s="85"/>
      <c r="AL360" s="85"/>
    </row>
    <row r="361" spans="10:38" s="118" customFormat="1" x14ac:dyDescent="0.25">
      <c r="J361" s="118" t="e">
        <f t="shared" si="23"/>
        <v>#NUM!</v>
      </c>
      <c r="M361" s="119"/>
      <c r="N361" s="80"/>
      <c r="O361" s="80"/>
      <c r="P361" s="80"/>
      <c r="Q361" s="80"/>
      <c r="R361" s="80"/>
      <c r="S361" s="85"/>
      <c r="T361" s="85"/>
      <c r="U361" s="85"/>
      <c r="V361" s="85"/>
      <c r="W361" s="85"/>
      <c r="X361" s="85"/>
      <c r="Y361" s="85"/>
      <c r="Z361" s="85"/>
      <c r="AA361" s="85"/>
      <c r="AB361" s="85"/>
      <c r="AC361" s="85"/>
      <c r="AD361" s="85"/>
      <c r="AE361" s="85"/>
      <c r="AF361" s="85"/>
      <c r="AG361" s="85"/>
      <c r="AH361" s="85"/>
      <c r="AI361" s="85"/>
      <c r="AJ361" s="85"/>
      <c r="AK361" s="85"/>
      <c r="AL361" s="85"/>
    </row>
    <row r="362" spans="10:38" s="118" customFormat="1" x14ac:dyDescent="0.25">
      <c r="J362" s="118" t="e">
        <f t="shared" si="23"/>
        <v>#NUM!</v>
      </c>
      <c r="M362" s="119"/>
      <c r="N362" s="80"/>
      <c r="O362" s="80"/>
      <c r="P362" s="80"/>
      <c r="Q362" s="80"/>
      <c r="R362" s="80"/>
      <c r="S362" s="85"/>
      <c r="T362" s="85"/>
      <c r="U362" s="85"/>
      <c r="V362" s="85"/>
      <c r="W362" s="85"/>
      <c r="X362" s="85"/>
      <c r="Y362" s="85"/>
      <c r="Z362" s="85"/>
      <c r="AA362" s="85"/>
      <c r="AB362" s="85"/>
      <c r="AC362" s="85"/>
      <c r="AD362" s="85"/>
      <c r="AE362" s="85"/>
      <c r="AF362" s="85"/>
      <c r="AG362" s="85"/>
      <c r="AH362" s="85"/>
      <c r="AI362" s="85"/>
      <c r="AJ362" s="85"/>
      <c r="AK362" s="85"/>
      <c r="AL362" s="85"/>
    </row>
    <row r="363" spans="10:38" s="118" customFormat="1" x14ac:dyDescent="0.25">
      <c r="J363" s="118" t="e">
        <f t="shared" si="23"/>
        <v>#NUM!</v>
      </c>
      <c r="M363" s="119"/>
      <c r="N363" s="80"/>
      <c r="O363" s="80"/>
      <c r="P363" s="80"/>
      <c r="Q363" s="80"/>
      <c r="R363" s="80"/>
      <c r="S363" s="85"/>
      <c r="T363" s="85"/>
      <c r="U363" s="85"/>
      <c r="V363" s="85"/>
      <c r="W363" s="85"/>
      <c r="X363" s="85"/>
      <c r="Y363" s="85"/>
      <c r="Z363" s="85"/>
      <c r="AA363" s="85"/>
      <c r="AB363" s="85"/>
      <c r="AC363" s="85"/>
      <c r="AD363" s="85"/>
      <c r="AE363" s="85"/>
      <c r="AF363" s="85"/>
      <c r="AG363" s="85"/>
      <c r="AH363" s="85"/>
      <c r="AI363" s="85"/>
      <c r="AJ363" s="85"/>
      <c r="AK363" s="85"/>
      <c r="AL363" s="85"/>
    </row>
    <row r="364" spans="10:38" s="118" customFormat="1" x14ac:dyDescent="0.25">
      <c r="J364" s="118" t="e">
        <f t="shared" si="23"/>
        <v>#NUM!</v>
      </c>
      <c r="M364" s="119"/>
      <c r="N364" s="80"/>
      <c r="O364" s="80"/>
      <c r="P364" s="80"/>
      <c r="Q364" s="80"/>
      <c r="R364" s="80"/>
      <c r="S364" s="85"/>
      <c r="T364" s="85"/>
      <c r="U364" s="85"/>
      <c r="V364" s="85"/>
      <c r="W364" s="85"/>
      <c r="X364" s="85"/>
      <c r="Y364" s="85"/>
      <c r="Z364" s="85"/>
      <c r="AA364" s="85"/>
      <c r="AB364" s="85"/>
      <c r="AC364" s="85"/>
      <c r="AD364" s="85"/>
      <c r="AE364" s="85"/>
      <c r="AF364" s="85"/>
      <c r="AG364" s="85"/>
      <c r="AH364" s="85"/>
      <c r="AI364" s="85"/>
      <c r="AJ364" s="85"/>
      <c r="AK364" s="85"/>
      <c r="AL364" s="85"/>
    </row>
    <row r="365" spans="10:38" s="118" customFormat="1" x14ac:dyDescent="0.25">
      <c r="J365" s="118" t="e">
        <f t="shared" si="23"/>
        <v>#NUM!</v>
      </c>
      <c r="M365" s="119"/>
      <c r="N365" s="80"/>
      <c r="O365" s="80"/>
      <c r="P365" s="80"/>
      <c r="Q365" s="80"/>
      <c r="R365" s="80"/>
      <c r="S365" s="85"/>
      <c r="T365" s="85"/>
      <c r="U365" s="85"/>
      <c r="V365" s="85"/>
      <c r="W365" s="85"/>
      <c r="X365" s="85"/>
      <c r="Y365" s="85"/>
      <c r="Z365" s="85"/>
      <c r="AA365" s="85"/>
      <c r="AB365" s="85"/>
      <c r="AC365" s="85"/>
      <c r="AD365" s="85"/>
      <c r="AE365" s="85"/>
      <c r="AF365" s="85"/>
      <c r="AG365" s="85"/>
      <c r="AH365" s="85"/>
      <c r="AI365" s="85"/>
      <c r="AJ365" s="85"/>
      <c r="AK365" s="85"/>
      <c r="AL365" s="85"/>
    </row>
    <row r="366" spans="10:38" s="118" customFormat="1" x14ac:dyDescent="0.25">
      <c r="J366" s="118" t="e">
        <f t="shared" si="23"/>
        <v>#NUM!</v>
      </c>
      <c r="M366" s="119"/>
      <c r="N366" s="80"/>
      <c r="O366" s="80"/>
      <c r="P366" s="80"/>
      <c r="Q366" s="80"/>
      <c r="R366" s="80"/>
      <c r="S366" s="85"/>
      <c r="T366" s="85"/>
      <c r="U366" s="85"/>
      <c r="V366" s="85"/>
      <c r="W366" s="85"/>
      <c r="X366" s="85"/>
      <c r="Y366" s="85"/>
      <c r="Z366" s="85"/>
      <c r="AA366" s="85"/>
      <c r="AB366" s="85"/>
      <c r="AC366" s="85"/>
      <c r="AD366" s="85"/>
      <c r="AE366" s="85"/>
      <c r="AF366" s="85"/>
      <c r="AG366" s="85"/>
      <c r="AH366" s="85"/>
      <c r="AI366" s="85"/>
      <c r="AJ366" s="85"/>
      <c r="AK366" s="85"/>
      <c r="AL366" s="85"/>
    </row>
    <row r="367" spans="10:38" s="118" customFormat="1" x14ac:dyDescent="0.25">
      <c r="J367" s="118" t="e">
        <f t="shared" si="23"/>
        <v>#NUM!</v>
      </c>
      <c r="M367" s="119"/>
      <c r="N367" s="80"/>
      <c r="O367" s="80"/>
      <c r="P367" s="80"/>
      <c r="Q367" s="80"/>
      <c r="R367" s="80"/>
      <c r="S367" s="85"/>
      <c r="T367" s="85"/>
      <c r="U367" s="85"/>
      <c r="V367" s="85"/>
      <c r="W367" s="85"/>
      <c r="X367" s="85"/>
      <c r="Y367" s="85"/>
      <c r="Z367" s="85"/>
      <c r="AA367" s="85"/>
      <c r="AB367" s="85"/>
      <c r="AC367" s="85"/>
      <c r="AD367" s="85"/>
      <c r="AE367" s="85"/>
      <c r="AF367" s="85"/>
      <c r="AG367" s="85"/>
      <c r="AH367" s="85"/>
      <c r="AI367" s="85"/>
      <c r="AJ367" s="85"/>
      <c r="AK367" s="85"/>
      <c r="AL367" s="85"/>
    </row>
    <row r="368" spans="10:38" s="118" customFormat="1" x14ac:dyDescent="0.25">
      <c r="J368" s="118" t="e">
        <f t="shared" si="23"/>
        <v>#NUM!</v>
      </c>
      <c r="M368" s="119"/>
      <c r="N368" s="80"/>
      <c r="O368" s="80"/>
      <c r="P368" s="80"/>
      <c r="Q368" s="80"/>
      <c r="R368" s="80"/>
      <c r="S368" s="85"/>
      <c r="T368" s="85"/>
      <c r="U368" s="85"/>
      <c r="V368" s="85"/>
      <c r="W368" s="85"/>
      <c r="X368" s="85"/>
      <c r="Y368" s="85"/>
      <c r="Z368" s="85"/>
      <c r="AA368" s="85"/>
      <c r="AB368" s="85"/>
      <c r="AC368" s="85"/>
      <c r="AD368" s="85"/>
      <c r="AE368" s="85"/>
      <c r="AF368" s="85"/>
      <c r="AG368" s="85"/>
      <c r="AH368" s="85"/>
      <c r="AI368" s="85"/>
      <c r="AJ368" s="85"/>
      <c r="AK368" s="85"/>
      <c r="AL368" s="85"/>
    </row>
    <row r="369" spans="10:38" s="118" customFormat="1" x14ac:dyDescent="0.25">
      <c r="J369" s="118" t="e">
        <f t="shared" si="23"/>
        <v>#NUM!</v>
      </c>
      <c r="M369" s="119"/>
      <c r="N369" s="80"/>
      <c r="O369" s="80"/>
      <c r="P369" s="80"/>
      <c r="Q369" s="80"/>
      <c r="R369" s="80"/>
      <c r="S369" s="85"/>
      <c r="T369" s="85"/>
      <c r="U369" s="85"/>
      <c r="V369" s="85"/>
      <c r="W369" s="85"/>
      <c r="X369" s="85"/>
      <c r="Y369" s="85"/>
      <c r="Z369" s="85"/>
      <c r="AA369" s="85"/>
      <c r="AB369" s="85"/>
      <c r="AC369" s="85"/>
      <c r="AD369" s="85"/>
      <c r="AE369" s="85"/>
      <c r="AF369" s="85"/>
      <c r="AG369" s="85"/>
      <c r="AH369" s="85"/>
      <c r="AI369" s="85"/>
      <c r="AJ369" s="85"/>
      <c r="AK369" s="85"/>
      <c r="AL369" s="85"/>
    </row>
    <row r="370" spans="10:38" s="118" customFormat="1" x14ac:dyDescent="0.25">
      <c r="J370" s="118" t="e">
        <f t="shared" si="23"/>
        <v>#NUM!</v>
      </c>
      <c r="M370" s="119"/>
      <c r="N370" s="80"/>
      <c r="O370" s="80"/>
      <c r="P370" s="80"/>
      <c r="Q370" s="80"/>
      <c r="R370" s="80"/>
      <c r="S370" s="85"/>
      <c r="T370" s="85"/>
      <c r="U370" s="85"/>
      <c r="V370" s="85"/>
      <c r="W370" s="85"/>
      <c r="X370" s="85"/>
      <c r="Y370" s="85"/>
      <c r="Z370" s="85"/>
      <c r="AA370" s="85"/>
      <c r="AB370" s="85"/>
      <c r="AC370" s="85"/>
      <c r="AD370" s="85"/>
      <c r="AE370" s="85"/>
      <c r="AF370" s="85"/>
      <c r="AG370" s="85"/>
      <c r="AH370" s="85"/>
      <c r="AI370" s="85"/>
      <c r="AJ370" s="85"/>
      <c r="AK370" s="85"/>
      <c r="AL370" s="85"/>
    </row>
    <row r="371" spans="10:38" s="118" customFormat="1" x14ac:dyDescent="0.25">
      <c r="J371" s="118" t="e">
        <f t="shared" si="23"/>
        <v>#NUM!</v>
      </c>
      <c r="M371" s="119"/>
      <c r="N371" s="80"/>
      <c r="O371" s="80"/>
      <c r="P371" s="80"/>
      <c r="Q371" s="80"/>
      <c r="R371" s="80"/>
      <c r="S371" s="85"/>
      <c r="T371" s="85"/>
      <c r="U371" s="85"/>
      <c r="V371" s="85"/>
      <c r="W371" s="85"/>
      <c r="X371" s="85"/>
      <c r="Y371" s="85"/>
      <c r="Z371" s="85"/>
      <c r="AA371" s="85"/>
      <c r="AB371" s="85"/>
      <c r="AC371" s="85"/>
      <c r="AD371" s="85"/>
      <c r="AE371" s="85"/>
      <c r="AF371" s="85"/>
      <c r="AG371" s="85"/>
      <c r="AH371" s="85"/>
      <c r="AI371" s="85"/>
      <c r="AJ371" s="85"/>
      <c r="AK371" s="85"/>
      <c r="AL371" s="85"/>
    </row>
    <row r="372" spans="10:38" s="118" customFormat="1" x14ac:dyDescent="0.25">
      <c r="J372" s="118" t="e">
        <f t="shared" si="23"/>
        <v>#NUM!</v>
      </c>
      <c r="M372" s="119"/>
      <c r="N372" s="80"/>
      <c r="O372" s="80"/>
      <c r="P372" s="80"/>
      <c r="Q372" s="80"/>
      <c r="R372" s="80"/>
      <c r="S372" s="85"/>
      <c r="T372" s="85"/>
      <c r="U372" s="85"/>
      <c r="V372" s="85"/>
      <c r="W372" s="85"/>
      <c r="X372" s="85"/>
      <c r="Y372" s="85"/>
      <c r="Z372" s="85"/>
      <c r="AA372" s="85"/>
      <c r="AB372" s="85"/>
      <c r="AC372" s="85"/>
      <c r="AD372" s="85"/>
      <c r="AE372" s="85"/>
      <c r="AF372" s="85"/>
      <c r="AG372" s="85"/>
      <c r="AH372" s="85"/>
      <c r="AI372" s="85"/>
      <c r="AJ372" s="85"/>
      <c r="AK372" s="85"/>
      <c r="AL372" s="85"/>
    </row>
    <row r="373" spans="10:38" s="118" customFormat="1" x14ac:dyDescent="0.25">
      <c r="J373" s="118" t="e">
        <f t="shared" si="23"/>
        <v>#NUM!</v>
      </c>
      <c r="M373" s="119"/>
      <c r="N373" s="80"/>
      <c r="O373" s="80"/>
      <c r="P373" s="80"/>
      <c r="Q373" s="80"/>
      <c r="R373" s="80"/>
      <c r="S373" s="85"/>
      <c r="T373" s="85"/>
      <c r="U373" s="85"/>
      <c r="V373" s="85"/>
      <c r="W373" s="85"/>
      <c r="X373" s="85"/>
      <c r="Y373" s="85"/>
      <c r="Z373" s="85"/>
      <c r="AA373" s="85"/>
      <c r="AB373" s="85"/>
      <c r="AC373" s="85"/>
      <c r="AD373" s="85"/>
      <c r="AE373" s="85"/>
      <c r="AF373" s="85"/>
      <c r="AG373" s="85"/>
      <c r="AH373" s="85"/>
      <c r="AI373" s="85"/>
      <c r="AJ373" s="85"/>
      <c r="AK373" s="85"/>
      <c r="AL373" s="85"/>
    </row>
    <row r="374" spans="10:38" s="118" customFormat="1" x14ac:dyDescent="0.25">
      <c r="J374" s="118" t="e">
        <f t="shared" si="23"/>
        <v>#NUM!</v>
      </c>
      <c r="M374" s="119"/>
      <c r="N374" s="80"/>
      <c r="O374" s="80"/>
      <c r="P374" s="80"/>
      <c r="Q374" s="80"/>
      <c r="R374" s="80"/>
      <c r="S374" s="85"/>
      <c r="T374" s="85"/>
      <c r="U374" s="85"/>
      <c r="V374" s="85"/>
      <c r="W374" s="85"/>
      <c r="X374" s="85"/>
      <c r="Y374" s="85"/>
      <c r="Z374" s="85"/>
      <c r="AA374" s="85"/>
      <c r="AB374" s="85"/>
      <c r="AC374" s="85"/>
      <c r="AD374" s="85"/>
      <c r="AE374" s="85"/>
      <c r="AF374" s="85"/>
      <c r="AG374" s="85"/>
      <c r="AH374" s="85"/>
      <c r="AI374" s="85"/>
      <c r="AJ374" s="85"/>
      <c r="AK374" s="85"/>
      <c r="AL374" s="85"/>
    </row>
  </sheetData>
  <conditionalFormatting sqref="J9:K305">
    <cfRule type="cellIs" dxfId="19" priority="1" operator="lessThanOrEqual">
      <formula>0</formula>
    </cfRule>
  </conditionalFormatting>
  <hyperlinks>
    <hyperlink ref="C2" r:id="rId1" xr:uid="{191476DD-4E49-4922-90F0-843CBC8D7D4A}"/>
  </hyperlinks>
  <pageMargins left="0.7" right="0.7" top="0.75" bottom="0.75" header="0.3" footer="0.3"/>
  <pageSetup paperSize="9" orientation="portrait"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6EFCAE-41A3-4A47-A643-B7E726DD4C6A}">
  <sheetPr>
    <tabColor rgb="FF92D050"/>
  </sheetPr>
  <dimension ref="A1:AL374"/>
  <sheetViews>
    <sheetView zoomScaleNormal="100" workbookViewId="0">
      <selection activeCell="C3" sqref="C3"/>
    </sheetView>
  </sheetViews>
  <sheetFormatPr defaultColWidth="8.875" defaultRowHeight="14.3" x14ac:dyDescent="0.25"/>
  <cols>
    <col min="1" max="1" width="8" style="115" customWidth="1"/>
    <col min="2" max="2" width="8.25" style="115" customWidth="1"/>
    <col min="3" max="3" width="34.75" style="115" customWidth="1"/>
    <col min="4" max="4" width="11.25" style="115" customWidth="1"/>
    <col min="5" max="6" width="8.875" style="115"/>
    <col min="7" max="7" width="0.875" style="115" customWidth="1"/>
    <col min="8" max="8" width="8.875" style="118"/>
    <col min="9" max="9" width="11" style="118" customWidth="1"/>
    <col min="10" max="10" width="15.25" style="118" customWidth="1"/>
    <col min="11" max="11" width="8.75" style="118" customWidth="1"/>
    <col min="12" max="12" width="11" style="118" customWidth="1"/>
    <col min="13" max="13" width="12.25" style="119" customWidth="1"/>
    <col min="14" max="15" width="13.875" style="80" customWidth="1"/>
    <col min="16" max="18" width="8.875" style="80"/>
    <col min="19" max="20" width="8.875" style="85"/>
    <col min="21" max="21" width="12.125" style="85" customWidth="1"/>
    <col min="22" max="22" width="27.375" style="85" customWidth="1"/>
    <col min="23" max="38" width="8.875" style="85"/>
    <col min="39" max="16384" width="8.875" style="115"/>
  </cols>
  <sheetData>
    <row r="1" spans="1:36" s="85" customFormat="1" x14ac:dyDescent="0.25">
      <c r="A1" s="80"/>
      <c r="B1" s="80"/>
      <c r="C1" s="80"/>
      <c r="D1" s="80"/>
      <c r="E1" s="80"/>
      <c r="F1" s="80"/>
      <c r="G1" s="80"/>
      <c r="H1" s="81" t="s">
        <v>20</v>
      </c>
      <c r="I1" s="82" t="s">
        <v>21</v>
      </c>
      <c r="J1" s="82" t="s">
        <v>22</v>
      </c>
      <c r="K1" s="83" t="s">
        <v>84</v>
      </c>
      <c r="L1" s="84"/>
      <c r="M1" s="84"/>
      <c r="N1" s="80"/>
      <c r="O1" s="80"/>
      <c r="P1" s="80"/>
      <c r="Q1" s="80"/>
      <c r="R1" s="80"/>
    </row>
    <row r="2" spans="1:36" s="85" customFormat="1" x14ac:dyDescent="0.25">
      <c r="A2" s="80"/>
      <c r="B2" s="19" t="s">
        <v>24</v>
      </c>
      <c r="C2" s="68" t="s">
        <v>88</v>
      </c>
      <c r="D2" s="67"/>
      <c r="E2" s="20"/>
      <c r="F2" s="20"/>
      <c r="G2" s="20"/>
      <c r="H2" s="86">
        <v>0</v>
      </c>
      <c r="I2" s="87">
        <v>50</v>
      </c>
      <c r="J2" s="87">
        <v>10</v>
      </c>
      <c r="K2" s="88">
        <f>3*H2^(1/3)</f>
        <v>0</v>
      </c>
      <c r="L2" s="84"/>
      <c r="M2" s="84"/>
      <c r="N2" s="80"/>
      <c r="O2" s="80"/>
      <c r="P2" s="80"/>
      <c r="Q2" s="80"/>
      <c r="R2" s="80"/>
    </row>
    <row r="3" spans="1:36" s="85" customFormat="1" x14ac:dyDescent="0.25">
      <c r="A3" s="80"/>
      <c r="B3" s="89" t="s">
        <v>26</v>
      </c>
      <c r="C3" s="68" t="s">
        <v>89</v>
      </c>
      <c r="D3" s="68"/>
      <c r="E3" s="25"/>
      <c r="F3" s="25"/>
      <c r="G3" s="25"/>
      <c r="H3" s="84"/>
      <c r="I3" s="84"/>
      <c r="J3" s="90"/>
      <c r="K3" s="84"/>
      <c r="L3" s="84"/>
      <c r="M3" s="84"/>
      <c r="N3" s="80"/>
      <c r="O3" s="80"/>
      <c r="P3" s="80"/>
      <c r="Q3" s="80"/>
      <c r="R3" s="80"/>
    </row>
    <row r="4" spans="1:36" s="85" customFormat="1" ht="10.199999999999999" customHeight="1" x14ac:dyDescent="0.25">
      <c r="A4" s="27"/>
      <c r="B4" s="25"/>
      <c r="C4" s="27"/>
      <c r="D4" s="27"/>
      <c r="E4" s="27"/>
      <c r="F4" s="27"/>
      <c r="G4" s="27"/>
      <c r="H4" s="84"/>
      <c r="I4" s="84"/>
      <c r="J4" s="90"/>
      <c r="K4" s="84"/>
      <c r="L4" s="84"/>
      <c r="M4" s="84"/>
      <c r="N4" s="80"/>
      <c r="O4" s="80"/>
      <c r="P4" s="80"/>
      <c r="Q4" s="80"/>
      <c r="R4" s="80"/>
    </row>
    <row r="5" spans="1:36" s="85" customFormat="1" ht="34.65" x14ac:dyDescent="0.25">
      <c r="A5" s="1" t="s">
        <v>28</v>
      </c>
      <c r="B5" s="28" t="s">
        <v>29</v>
      </c>
      <c r="C5" s="1" t="s">
        <v>30</v>
      </c>
      <c r="D5" s="1" t="s">
        <v>31</v>
      </c>
      <c r="E5" s="1" t="s">
        <v>32</v>
      </c>
      <c r="F5" s="1" t="s">
        <v>33</v>
      </c>
      <c r="G5" s="27"/>
      <c r="H5" s="91" t="s">
        <v>34</v>
      </c>
      <c r="I5" s="92" t="s">
        <v>35</v>
      </c>
      <c r="J5" s="93" t="s">
        <v>36</v>
      </c>
      <c r="K5" s="92" t="s">
        <v>37</v>
      </c>
      <c r="L5" s="92" t="s">
        <v>38</v>
      </c>
      <c r="M5" s="91" t="s">
        <v>39</v>
      </c>
      <c r="N5" s="80"/>
      <c r="O5" s="80"/>
      <c r="P5" s="80"/>
      <c r="Q5" s="80"/>
      <c r="R5" s="80"/>
    </row>
    <row r="6" spans="1:36" s="85" customFormat="1" ht="14.45" customHeight="1" x14ac:dyDescent="0.25">
      <c r="A6" s="94">
        <f t="shared" ref="A6:A37" si="0">M6</f>
        <v>0</v>
      </c>
      <c r="B6" s="33" t="str">
        <f>IF(H6&gt;$H$2,"",(ROW()-5))</f>
        <v/>
      </c>
      <c r="C6" s="34"/>
      <c r="D6" s="34"/>
      <c r="E6" s="34"/>
      <c r="F6" s="34" t="s">
        <v>87</v>
      </c>
      <c r="G6" s="27"/>
      <c r="H6" s="95">
        <v>1</v>
      </c>
      <c r="I6" s="96" t="str">
        <f t="shared" ref="I6:I69" si="1">IF(H6&lt;$H$2+1,($I$2-($I$2-1)*(LOG(H6)/LOG($H$2))),"")</f>
        <v/>
      </c>
      <c r="J6" s="95" t="e">
        <f t="shared" ref="J6:J69" si="2">INT(LOG($H$2,2))-ROUNDUP(LOG(H6,2),0)+IF(OR($H$2=1,$H$2=2,$H$2=4,$H$2=8,$H$2=16,$H$2=32,$H$2=64,$H$2=128,$H$2=256),0,1)</f>
        <v>#NUM!</v>
      </c>
      <c r="K6" s="95" t="e">
        <f t="shared" ref="K6:K69" si="3">J6*$J$2</f>
        <v>#NUM!</v>
      </c>
      <c r="L6" s="97">
        <f>3*K2</f>
        <v>0</v>
      </c>
      <c r="M6" s="97">
        <f t="shared" ref="M6:M69" si="4">IF(I6&lt;&gt;"",K6+I6+L6,0)</f>
        <v>0</v>
      </c>
      <c r="N6" s="80"/>
      <c r="O6" s="80"/>
      <c r="P6" s="80"/>
      <c r="Q6" s="80"/>
      <c r="R6" s="80"/>
    </row>
    <row r="7" spans="1:36" s="85" customFormat="1" ht="14.45" customHeight="1" x14ac:dyDescent="0.25">
      <c r="A7" s="98">
        <f t="shared" si="0"/>
        <v>0</v>
      </c>
      <c r="B7" s="39" t="str">
        <f>IF(H7&gt;$H$2,"",(ROW()-5))</f>
        <v/>
      </c>
      <c r="C7" s="40"/>
      <c r="D7" s="40"/>
      <c r="E7" s="40"/>
      <c r="F7" s="40" t="s">
        <v>87</v>
      </c>
      <c r="G7" s="27"/>
      <c r="H7" s="99">
        <v>2</v>
      </c>
      <c r="I7" s="100" t="str">
        <f t="shared" si="1"/>
        <v/>
      </c>
      <c r="J7" s="99" t="e">
        <f t="shared" si="2"/>
        <v>#NUM!</v>
      </c>
      <c r="K7" s="99" t="e">
        <f t="shared" si="3"/>
        <v>#NUM!</v>
      </c>
      <c r="L7" s="101">
        <f>2*K2</f>
        <v>0</v>
      </c>
      <c r="M7" s="101">
        <f t="shared" si="4"/>
        <v>0</v>
      </c>
      <c r="N7" s="80"/>
      <c r="O7" s="80"/>
      <c r="P7" s="80"/>
      <c r="Q7" s="80"/>
      <c r="R7" s="80"/>
    </row>
    <row r="8" spans="1:36" s="85" customFormat="1" ht="14.45" customHeight="1" x14ac:dyDescent="0.25">
      <c r="A8" s="94">
        <f t="shared" si="0"/>
        <v>0</v>
      </c>
      <c r="B8" s="33" t="str">
        <f>IF(H8&gt;$H$2,"",(ROW()-5))</f>
        <v/>
      </c>
      <c r="C8" s="34"/>
      <c r="D8" s="34"/>
      <c r="E8" s="34"/>
      <c r="F8" s="34" t="s">
        <v>87</v>
      </c>
      <c r="G8" s="27"/>
      <c r="H8" s="95">
        <v>3</v>
      </c>
      <c r="I8" s="96" t="str">
        <f t="shared" si="1"/>
        <v/>
      </c>
      <c r="J8" s="95" t="e">
        <f t="shared" si="2"/>
        <v>#NUM!</v>
      </c>
      <c r="K8" s="95" t="e">
        <f t="shared" si="3"/>
        <v>#NUM!</v>
      </c>
      <c r="L8" s="97">
        <f>K2</f>
        <v>0</v>
      </c>
      <c r="M8" s="97">
        <f t="shared" si="4"/>
        <v>0</v>
      </c>
      <c r="N8" s="80"/>
      <c r="O8" s="80"/>
      <c r="P8" s="80"/>
      <c r="Q8" s="80"/>
      <c r="R8" s="80"/>
    </row>
    <row r="9" spans="1:36" s="85" customFormat="1" ht="14.45" customHeight="1" x14ac:dyDescent="0.25">
      <c r="A9" s="98">
        <f t="shared" si="0"/>
        <v>0</v>
      </c>
      <c r="B9" s="39" t="str">
        <f>IF(H9&gt;$H$2,"",3)</f>
        <v/>
      </c>
      <c r="C9" s="40"/>
      <c r="D9" s="40"/>
      <c r="E9" s="40"/>
      <c r="F9" s="40"/>
      <c r="G9" s="27"/>
      <c r="H9" s="99">
        <v>3</v>
      </c>
      <c r="I9" s="100" t="str">
        <f t="shared" si="1"/>
        <v/>
      </c>
      <c r="J9" s="99" t="e">
        <f t="shared" si="2"/>
        <v>#NUM!</v>
      </c>
      <c r="K9" s="99" t="e">
        <f t="shared" si="3"/>
        <v>#NUM!</v>
      </c>
      <c r="L9" s="101">
        <f>K2</f>
        <v>0</v>
      </c>
      <c r="M9" s="101">
        <f t="shared" si="4"/>
        <v>0</v>
      </c>
      <c r="N9" s="80"/>
      <c r="O9" s="80"/>
      <c r="P9" s="80"/>
      <c r="Q9" s="80"/>
      <c r="R9" s="80"/>
      <c r="V9" s="102"/>
      <c r="Z9" s="103"/>
      <c r="AA9" s="103"/>
      <c r="AG9" s="104"/>
      <c r="AH9" s="85" t="s">
        <v>40</v>
      </c>
      <c r="AI9" s="85">
        <v>23</v>
      </c>
    </row>
    <row r="10" spans="1:36" s="85" customFormat="1" ht="14.45" customHeight="1" x14ac:dyDescent="0.25">
      <c r="A10" s="94">
        <f t="shared" si="0"/>
        <v>0</v>
      </c>
      <c r="B10" s="33" t="str">
        <f t="shared" ref="B10:B41" si="5">IF(H10&gt;$H$2,"",(ROW()-5))</f>
        <v/>
      </c>
      <c r="C10" s="34"/>
      <c r="D10" s="34"/>
      <c r="E10" s="34"/>
      <c r="F10" s="34"/>
      <c r="G10" s="27"/>
      <c r="H10" s="95">
        <v>5</v>
      </c>
      <c r="I10" s="96" t="str">
        <f t="shared" si="1"/>
        <v/>
      </c>
      <c r="J10" s="95" t="e">
        <f t="shared" si="2"/>
        <v>#NUM!</v>
      </c>
      <c r="K10" s="95" t="e">
        <f t="shared" si="3"/>
        <v>#NUM!</v>
      </c>
      <c r="L10" s="95"/>
      <c r="M10" s="97">
        <f t="shared" si="4"/>
        <v>0</v>
      </c>
      <c r="N10" s="80"/>
      <c r="O10" s="80"/>
      <c r="P10" s="80"/>
      <c r="Q10" s="80"/>
      <c r="R10" s="80"/>
      <c r="V10" s="102"/>
      <c r="Z10" s="103"/>
      <c r="AA10" s="103"/>
      <c r="AG10" s="104"/>
      <c r="AH10" s="85" t="s">
        <v>41</v>
      </c>
      <c r="AI10" s="85">
        <v>45</v>
      </c>
    </row>
    <row r="11" spans="1:36" s="85" customFormat="1" ht="14.45" customHeight="1" x14ac:dyDescent="0.25">
      <c r="A11" s="98">
        <f t="shared" si="0"/>
        <v>0</v>
      </c>
      <c r="B11" s="39" t="str">
        <f t="shared" si="5"/>
        <v/>
      </c>
      <c r="C11" s="40"/>
      <c r="D11" s="40"/>
      <c r="E11" s="40"/>
      <c r="F11" s="40"/>
      <c r="G11" s="27"/>
      <c r="H11" s="99">
        <v>6</v>
      </c>
      <c r="I11" s="100" t="str">
        <f t="shared" si="1"/>
        <v/>
      </c>
      <c r="J11" s="99" t="e">
        <f t="shared" si="2"/>
        <v>#NUM!</v>
      </c>
      <c r="K11" s="99" t="e">
        <f t="shared" si="3"/>
        <v>#NUM!</v>
      </c>
      <c r="L11" s="99"/>
      <c r="M11" s="101">
        <f t="shared" si="4"/>
        <v>0</v>
      </c>
      <c r="N11" s="80"/>
      <c r="O11" s="80"/>
      <c r="P11" s="80"/>
      <c r="Q11" s="80"/>
      <c r="R11" s="80"/>
      <c r="V11" s="105"/>
      <c r="Z11" s="103"/>
      <c r="AA11" s="103"/>
      <c r="AG11" s="104"/>
      <c r="AH11" s="85" t="s">
        <v>42</v>
      </c>
      <c r="AI11" s="85">
        <v>50</v>
      </c>
    </row>
    <row r="12" spans="1:36" s="85" customFormat="1" ht="14.45" customHeight="1" x14ac:dyDescent="0.25">
      <c r="A12" s="94">
        <f t="shared" si="0"/>
        <v>0</v>
      </c>
      <c r="B12" s="33" t="str">
        <f t="shared" si="5"/>
        <v/>
      </c>
      <c r="C12" s="34"/>
      <c r="D12" s="34"/>
      <c r="E12" s="34"/>
      <c r="F12" s="34"/>
      <c r="G12" s="27"/>
      <c r="H12" s="95">
        <v>7</v>
      </c>
      <c r="I12" s="96" t="str">
        <f t="shared" si="1"/>
        <v/>
      </c>
      <c r="J12" s="95" t="e">
        <f t="shared" si="2"/>
        <v>#NUM!</v>
      </c>
      <c r="K12" s="95" t="e">
        <f t="shared" si="3"/>
        <v>#NUM!</v>
      </c>
      <c r="L12" s="95"/>
      <c r="M12" s="97">
        <f t="shared" si="4"/>
        <v>0</v>
      </c>
      <c r="N12" s="80"/>
      <c r="O12" s="80"/>
      <c r="P12" s="80"/>
      <c r="Q12" s="80"/>
      <c r="R12" s="80"/>
      <c r="Z12" s="103"/>
      <c r="AA12" s="103"/>
      <c r="AG12" s="104"/>
      <c r="AH12" s="85" t="s">
        <v>43</v>
      </c>
      <c r="AI12" s="85">
        <f>AI11-1</f>
        <v>49</v>
      </c>
    </row>
    <row r="13" spans="1:36" s="85" customFormat="1" ht="14.45" customHeight="1" x14ac:dyDescent="0.25">
      <c r="A13" s="98">
        <f t="shared" si="0"/>
        <v>0</v>
      </c>
      <c r="B13" s="39" t="str">
        <f t="shared" si="5"/>
        <v/>
      </c>
      <c r="C13" s="40"/>
      <c r="D13" s="40"/>
      <c r="E13" s="40"/>
      <c r="F13" s="40"/>
      <c r="G13" s="27"/>
      <c r="H13" s="99">
        <v>8</v>
      </c>
      <c r="I13" s="100" t="str">
        <f t="shared" si="1"/>
        <v/>
      </c>
      <c r="J13" s="99" t="e">
        <f t="shared" si="2"/>
        <v>#NUM!</v>
      </c>
      <c r="K13" s="99" t="e">
        <f t="shared" si="3"/>
        <v>#NUM!</v>
      </c>
      <c r="L13" s="99"/>
      <c r="M13" s="101">
        <f t="shared" si="4"/>
        <v>0</v>
      </c>
      <c r="N13" s="80"/>
      <c r="O13" s="80"/>
      <c r="P13" s="80"/>
      <c r="Q13" s="80"/>
      <c r="R13" s="80"/>
      <c r="X13" s="102"/>
      <c r="AG13" s="104"/>
      <c r="AH13" s="85" t="s">
        <v>44</v>
      </c>
      <c r="AI13" s="85">
        <f>LOG(AI9)</f>
        <v>1.3617278360175928</v>
      </c>
    </row>
    <row r="14" spans="1:36" s="85" customFormat="1" x14ac:dyDescent="0.25">
      <c r="A14" s="94">
        <f t="shared" si="0"/>
        <v>0</v>
      </c>
      <c r="B14" s="33" t="str">
        <f t="shared" si="5"/>
        <v/>
      </c>
      <c r="C14" s="34"/>
      <c r="D14" s="34"/>
      <c r="E14" s="34"/>
      <c r="F14" s="34"/>
      <c r="G14" s="27"/>
      <c r="H14" s="95">
        <v>9</v>
      </c>
      <c r="I14" s="96" t="str">
        <f t="shared" si="1"/>
        <v/>
      </c>
      <c r="J14" s="95" t="e">
        <f t="shared" si="2"/>
        <v>#NUM!</v>
      </c>
      <c r="K14" s="95" t="e">
        <f t="shared" si="3"/>
        <v>#NUM!</v>
      </c>
      <c r="L14" s="95"/>
      <c r="M14" s="97">
        <f t="shared" si="4"/>
        <v>0</v>
      </c>
      <c r="N14" s="80"/>
      <c r="O14" s="80"/>
      <c r="P14" s="80"/>
      <c r="Q14" s="80"/>
      <c r="R14" s="80"/>
      <c r="X14" s="106"/>
      <c r="Z14" s="103"/>
      <c r="AA14" s="103"/>
      <c r="AG14" s="104"/>
      <c r="AH14" s="85" t="s">
        <v>45</v>
      </c>
      <c r="AI14" s="85">
        <f>LOG(AI10)</f>
        <v>1.6532125137753437</v>
      </c>
    </row>
    <row r="15" spans="1:36" s="85" customFormat="1" x14ac:dyDescent="0.25">
      <c r="A15" s="98">
        <f t="shared" si="0"/>
        <v>0</v>
      </c>
      <c r="B15" s="39" t="str">
        <f t="shared" si="5"/>
        <v/>
      </c>
      <c r="C15" s="40"/>
      <c r="D15" s="40"/>
      <c r="E15" s="40"/>
      <c r="F15" s="40"/>
      <c r="G15" s="27"/>
      <c r="H15" s="99">
        <v>10</v>
      </c>
      <c r="I15" s="100" t="str">
        <f t="shared" si="1"/>
        <v/>
      </c>
      <c r="J15" s="99" t="e">
        <f t="shared" si="2"/>
        <v>#NUM!</v>
      </c>
      <c r="K15" s="99" t="e">
        <f t="shared" si="3"/>
        <v>#NUM!</v>
      </c>
      <c r="L15" s="99"/>
      <c r="M15" s="101">
        <f t="shared" si="4"/>
        <v>0</v>
      </c>
      <c r="N15" s="80"/>
      <c r="O15" s="80"/>
      <c r="P15" s="80"/>
      <c r="Q15" s="80"/>
      <c r="R15" s="80"/>
      <c r="X15" s="102"/>
      <c r="Z15" s="103"/>
      <c r="AA15" s="103"/>
    </row>
    <row r="16" spans="1:36" s="85" customFormat="1" x14ac:dyDescent="0.25">
      <c r="A16" s="94">
        <f t="shared" si="0"/>
        <v>0</v>
      </c>
      <c r="B16" s="33" t="str">
        <f t="shared" si="5"/>
        <v/>
      </c>
      <c r="C16" s="34"/>
      <c r="D16" s="34"/>
      <c r="E16" s="34"/>
      <c r="F16" s="34"/>
      <c r="G16" s="27"/>
      <c r="H16" s="95">
        <v>11</v>
      </c>
      <c r="I16" s="96" t="str">
        <f t="shared" si="1"/>
        <v/>
      </c>
      <c r="J16" s="95" t="e">
        <f t="shared" si="2"/>
        <v>#NUM!</v>
      </c>
      <c r="K16" s="95" t="e">
        <f t="shared" si="3"/>
        <v>#NUM!</v>
      </c>
      <c r="L16" s="95"/>
      <c r="M16" s="97">
        <f t="shared" si="4"/>
        <v>0</v>
      </c>
      <c r="N16" s="80"/>
      <c r="O16" s="80"/>
      <c r="P16" s="80"/>
      <c r="Q16" s="80"/>
      <c r="R16" s="107"/>
      <c r="Z16" s="103"/>
      <c r="AA16" s="103"/>
      <c r="AH16" s="108" t="s">
        <v>46</v>
      </c>
      <c r="AI16" s="85">
        <f>AI11-AI12*AI13/AI14</f>
        <v>9.6393909380186855</v>
      </c>
      <c r="AJ16" s="85" t="s">
        <v>47</v>
      </c>
    </row>
    <row r="17" spans="1:19" s="85" customFormat="1" x14ac:dyDescent="0.25">
      <c r="A17" s="98">
        <f t="shared" si="0"/>
        <v>0</v>
      </c>
      <c r="B17" s="39" t="str">
        <f t="shared" si="5"/>
        <v/>
      </c>
      <c r="C17" s="40"/>
      <c r="D17" s="40"/>
      <c r="E17" s="40"/>
      <c r="F17" s="40"/>
      <c r="G17" s="27"/>
      <c r="H17" s="99">
        <v>12</v>
      </c>
      <c r="I17" s="100" t="str">
        <f t="shared" si="1"/>
        <v/>
      </c>
      <c r="J17" s="99" t="e">
        <f t="shared" si="2"/>
        <v>#NUM!</v>
      </c>
      <c r="K17" s="99" t="e">
        <f t="shared" si="3"/>
        <v>#NUM!</v>
      </c>
      <c r="L17" s="99"/>
      <c r="M17" s="101">
        <f t="shared" si="4"/>
        <v>0</v>
      </c>
      <c r="N17" s="80"/>
      <c r="O17" s="80"/>
      <c r="P17" s="80"/>
      <c r="Q17" s="80"/>
      <c r="R17" s="80"/>
    </row>
    <row r="18" spans="1:19" s="85" customFormat="1" x14ac:dyDescent="0.25">
      <c r="A18" s="94">
        <f t="shared" si="0"/>
        <v>0</v>
      </c>
      <c r="B18" s="33" t="str">
        <f t="shared" si="5"/>
        <v/>
      </c>
      <c r="C18" s="34"/>
      <c r="D18" s="34"/>
      <c r="E18" s="34"/>
      <c r="F18" s="34"/>
      <c r="G18" s="27"/>
      <c r="H18" s="95">
        <v>13</v>
      </c>
      <c r="I18" s="96" t="str">
        <f t="shared" si="1"/>
        <v/>
      </c>
      <c r="J18" s="95" t="e">
        <f t="shared" si="2"/>
        <v>#NUM!</v>
      </c>
      <c r="K18" s="95" t="e">
        <f t="shared" si="3"/>
        <v>#NUM!</v>
      </c>
      <c r="L18" s="95"/>
      <c r="M18" s="97">
        <f t="shared" si="4"/>
        <v>0</v>
      </c>
      <c r="N18" s="80"/>
      <c r="O18" s="80"/>
      <c r="P18" s="80"/>
      <c r="Q18" s="80"/>
      <c r="R18" s="80"/>
    </row>
    <row r="19" spans="1:19" s="85" customFormat="1" x14ac:dyDescent="0.25">
      <c r="A19" s="98">
        <f t="shared" si="0"/>
        <v>0</v>
      </c>
      <c r="B19" s="39" t="str">
        <f t="shared" si="5"/>
        <v/>
      </c>
      <c r="C19" s="40"/>
      <c r="D19" s="40"/>
      <c r="E19" s="40"/>
      <c r="F19" s="40"/>
      <c r="G19" s="27"/>
      <c r="H19" s="99">
        <v>14</v>
      </c>
      <c r="I19" s="100" t="str">
        <f t="shared" si="1"/>
        <v/>
      </c>
      <c r="J19" s="99" t="e">
        <f t="shared" si="2"/>
        <v>#NUM!</v>
      </c>
      <c r="K19" s="99" t="e">
        <f t="shared" si="3"/>
        <v>#NUM!</v>
      </c>
      <c r="L19" s="99"/>
      <c r="M19" s="101">
        <f t="shared" si="4"/>
        <v>0</v>
      </c>
      <c r="N19" s="80"/>
      <c r="O19" s="80"/>
      <c r="P19" s="80"/>
      <c r="Q19" s="80"/>
      <c r="R19" s="80"/>
    </row>
    <row r="20" spans="1:19" s="85" customFormat="1" x14ac:dyDescent="0.25">
      <c r="A20" s="94">
        <f t="shared" si="0"/>
        <v>0</v>
      </c>
      <c r="B20" s="33" t="str">
        <f t="shared" si="5"/>
        <v/>
      </c>
      <c r="C20" s="34"/>
      <c r="D20" s="34"/>
      <c r="E20" s="34"/>
      <c r="F20" s="34"/>
      <c r="G20" s="27"/>
      <c r="H20" s="95">
        <v>15</v>
      </c>
      <c r="I20" s="96" t="str">
        <f t="shared" si="1"/>
        <v/>
      </c>
      <c r="J20" s="95" t="e">
        <f t="shared" si="2"/>
        <v>#NUM!</v>
      </c>
      <c r="K20" s="95" t="e">
        <f t="shared" si="3"/>
        <v>#NUM!</v>
      </c>
      <c r="L20" s="95"/>
      <c r="M20" s="97">
        <f t="shared" si="4"/>
        <v>0</v>
      </c>
      <c r="N20" s="80"/>
      <c r="O20" s="80"/>
      <c r="P20" s="80"/>
      <c r="Q20" s="80"/>
      <c r="R20" s="109"/>
      <c r="S20" s="110"/>
    </row>
    <row r="21" spans="1:19" s="85" customFormat="1" x14ac:dyDescent="0.25">
      <c r="A21" s="98">
        <f t="shared" si="0"/>
        <v>0</v>
      </c>
      <c r="B21" s="39" t="str">
        <f t="shared" si="5"/>
        <v/>
      </c>
      <c r="C21" s="40"/>
      <c r="D21" s="40"/>
      <c r="E21" s="40"/>
      <c r="F21" s="40"/>
      <c r="G21" s="27"/>
      <c r="H21" s="99">
        <v>16</v>
      </c>
      <c r="I21" s="100" t="str">
        <f t="shared" si="1"/>
        <v/>
      </c>
      <c r="J21" s="99" t="e">
        <f t="shared" si="2"/>
        <v>#NUM!</v>
      </c>
      <c r="K21" s="99" t="e">
        <f t="shared" si="3"/>
        <v>#NUM!</v>
      </c>
      <c r="L21" s="99"/>
      <c r="M21" s="101">
        <f t="shared" si="4"/>
        <v>0</v>
      </c>
      <c r="N21" s="80"/>
      <c r="O21" s="80"/>
      <c r="P21" s="80"/>
      <c r="Q21" s="80"/>
      <c r="R21" s="80"/>
    </row>
    <row r="22" spans="1:19" s="85" customFormat="1" x14ac:dyDescent="0.25">
      <c r="A22" s="94">
        <f t="shared" si="0"/>
        <v>0</v>
      </c>
      <c r="B22" s="33" t="str">
        <f t="shared" si="5"/>
        <v/>
      </c>
      <c r="C22" s="34"/>
      <c r="D22" s="34"/>
      <c r="E22" s="34"/>
      <c r="F22" s="34"/>
      <c r="G22" s="27"/>
      <c r="H22" s="95">
        <v>17</v>
      </c>
      <c r="I22" s="96" t="str">
        <f t="shared" si="1"/>
        <v/>
      </c>
      <c r="J22" s="95" t="e">
        <f t="shared" si="2"/>
        <v>#NUM!</v>
      </c>
      <c r="K22" s="95" t="e">
        <f t="shared" si="3"/>
        <v>#NUM!</v>
      </c>
      <c r="L22" s="95"/>
      <c r="M22" s="97">
        <f t="shared" si="4"/>
        <v>0</v>
      </c>
      <c r="N22" s="80"/>
      <c r="O22" s="80"/>
      <c r="P22" s="80"/>
      <c r="Q22" s="80"/>
      <c r="R22" s="80"/>
    </row>
    <row r="23" spans="1:19" s="85" customFormat="1" x14ac:dyDescent="0.25">
      <c r="A23" s="98">
        <f t="shared" si="0"/>
        <v>0</v>
      </c>
      <c r="B23" s="39" t="str">
        <f t="shared" si="5"/>
        <v/>
      </c>
      <c r="C23" s="40"/>
      <c r="D23" s="40"/>
      <c r="E23" s="40"/>
      <c r="F23" s="40"/>
      <c r="G23" s="27"/>
      <c r="H23" s="99">
        <v>18</v>
      </c>
      <c r="I23" s="100" t="str">
        <f t="shared" si="1"/>
        <v/>
      </c>
      <c r="J23" s="99" t="e">
        <f t="shared" si="2"/>
        <v>#NUM!</v>
      </c>
      <c r="K23" s="99" t="e">
        <f t="shared" si="3"/>
        <v>#NUM!</v>
      </c>
      <c r="L23" s="99"/>
      <c r="M23" s="101">
        <f t="shared" si="4"/>
        <v>0</v>
      </c>
      <c r="N23" s="80"/>
      <c r="O23" s="80"/>
      <c r="P23" s="80"/>
      <c r="Q23" s="80"/>
      <c r="R23" s="80"/>
    </row>
    <row r="24" spans="1:19" s="85" customFormat="1" x14ac:dyDescent="0.25">
      <c r="A24" s="94">
        <f t="shared" si="0"/>
        <v>0</v>
      </c>
      <c r="B24" s="33" t="str">
        <f t="shared" si="5"/>
        <v/>
      </c>
      <c r="C24" s="34"/>
      <c r="D24" s="34"/>
      <c r="E24" s="34"/>
      <c r="F24" s="34"/>
      <c r="G24" s="27"/>
      <c r="H24" s="95">
        <v>19</v>
      </c>
      <c r="I24" s="96" t="str">
        <f t="shared" si="1"/>
        <v/>
      </c>
      <c r="J24" s="95" t="e">
        <f t="shared" si="2"/>
        <v>#NUM!</v>
      </c>
      <c r="K24" s="95" t="e">
        <f t="shared" si="3"/>
        <v>#NUM!</v>
      </c>
      <c r="L24" s="95"/>
      <c r="M24" s="97">
        <f t="shared" si="4"/>
        <v>0</v>
      </c>
      <c r="N24" s="80"/>
      <c r="O24" s="80"/>
      <c r="P24" s="80"/>
      <c r="Q24" s="80"/>
      <c r="R24" s="109"/>
      <c r="S24" s="110"/>
    </row>
    <row r="25" spans="1:19" s="85" customFormat="1" x14ac:dyDescent="0.25">
      <c r="A25" s="98">
        <f t="shared" si="0"/>
        <v>0</v>
      </c>
      <c r="B25" s="39" t="str">
        <f t="shared" si="5"/>
        <v/>
      </c>
      <c r="C25" s="40"/>
      <c r="D25" s="40"/>
      <c r="E25" s="40"/>
      <c r="F25" s="40"/>
      <c r="G25" s="27"/>
      <c r="H25" s="99">
        <v>20</v>
      </c>
      <c r="I25" s="100" t="str">
        <f t="shared" si="1"/>
        <v/>
      </c>
      <c r="J25" s="99" t="e">
        <f t="shared" si="2"/>
        <v>#NUM!</v>
      </c>
      <c r="K25" s="99" t="e">
        <f t="shared" si="3"/>
        <v>#NUM!</v>
      </c>
      <c r="L25" s="99"/>
      <c r="M25" s="101">
        <f t="shared" si="4"/>
        <v>0</v>
      </c>
      <c r="N25" s="80"/>
      <c r="O25" s="80"/>
      <c r="P25" s="80"/>
      <c r="Q25" s="80"/>
      <c r="R25" s="80"/>
    </row>
    <row r="26" spans="1:19" s="85" customFormat="1" x14ac:dyDescent="0.25">
      <c r="A26" s="94">
        <f t="shared" si="0"/>
        <v>0</v>
      </c>
      <c r="B26" s="33" t="str">
        <f t="shared" si="5"/>
        <v/>
      </c>
      <c r="C26" s="34"/>
      <c r="D26" s="34"/>
      <c r="E26" s="34"/>
      <c r="F26" s="34"/>
      <c r="G26" s="27"/>
      <c r="H26" s="95">
        <v>21</v>
      </c>
      <c r="I26" s="96" t="str">
        <f t="shared" si="1"/>
        <v/>
      </c>
      <c r="J26" s="95" t="e">
        <f t="shared" si="2"/>
        <v>#NUM!</v>
      </c>
      <c r="K26" s="95" t="e">
        <f t="shared" si="3"/>
        <v>#NUM!</v>
      </c>
      <c r="L26" s="95"/>
      <c r="M26" s="97">
        <f t="shared" si="4"/>
        <v>0</v>
      </c>
      <c r="N26" s="80"/>
      <c r="O26" s="80"/>
      <c r="P26" s="80"/>
      <c r="Q26" s="80"/>
      <c r="R26" s="80"/>
    </row>
    <row r="27" spans="1:19" s="85" customFormat="1" x14ac:dyDescent="0.25">
      <c r="A27" s="98">
        <f t="shared" si="0"/>
        <v>0</v>
      </c>
      <c r="B27" s="39" t="str">
        <f t="shared" si="5"/>
        <v/>
      </c>
      <c r="C27" s="40"/>
      <c r="D27" s="40"/>
      <c r="E27" s="40"/>
      <c r="F27" s="40"/>
      <c r="G27" s="27"/>
      <c r="H27" s="99">
        <v>22</v>
      </c>
      <c r="I27" s="100" t="str">
        <f t="shared" si="1"/>
        <v/>
      </c>
      <c r="J27" s="99" t="e">
        <f t="shared" si="2"/>
        <v>#NUM!</v>
      </c>
      <c r="K27" s="99" t="e">
        <f t="shared" si="3"/>
        <v>#NUM!</v>
      </c>
      <c r="L27" s="99"/>
      <c r="M27" s="101">
        <f t="shared" si="4"/>
        <v>0</v>
      </c>
      <c r="N27" s="80"/>
      <c r="O27" s="80"/>
      <c r="P27" s="80"/>
      <c r="Q27" s="80"/>
      <c r="R27" s="80"/>
    </row>
    <row r="28" spans="1:19" s="85" customFormat="1" x14ac:dyDescent="0.25">
      <c r="A28" s="94">
        <f t="shared" si="0"/>
        <v>0</v>
      </c>
      <c r="B28" s="33" t="str">
        <f t="shared" si="5"/>
        <v/>
      </c>
      <c r="C28" s="34"/>
      <c r="D28" s="34"/>
      <c r="E28" s="34"/>
      <c r="F28" s="34"/>
      <c r="G28" s="27"/>
      <c r="H28" s="95">
        <v>23</v>
      </c>
      <c r="I28" s="96" t="str">
        <f t="shared" si="1"/>
        <v/>
      </c>
      <c r="J28" s="95" t="e">
        <f t="shared" si="2"/>
        <v>#NUM!</v>
      </c>
      <c r="K28" s="95" t="e">
        <f t="shared" si="3"/>
        <v>#NUM!</v>
      </c>
      <c r="L28" s="95"/>
      <c r="M28" s="97">
        <f t="shared" si="4"/>
        <v>0</v>
      </c>
      <c r="N28" s="80"/>
      <c r="O28" s="80"/>
      <c r="P28" s="80"/>
      <c r="Q28" s="80"/>
      <c r="R28" s="109"/>
      <c r="S28" s="110"/>
    </row>
    <row r="29" spans="1:19" s="85" customFormat="1" x14ac:dyDescent="0.25">
      <c r="A29" s="98">
        <f t="shared" si="0"/>
        <v>0</v>
      </c>
      <c r="B29" s="39" t="str">
        <f t="shared" si="5"/>
        <v/>
      </c>
      <c r="C29" s="40"/>
      <c r="D29" s="40"/>
      <c r="E29" s="40"/>
      <c r="F29" s="40"/>
      <c r="G29" s="80"/>
      <c r="H29" s="99">
        <v>24</v>
      </c>
      <c r="I29" s="100" t="str">
        <f t="shared" si="1"/>
        <v/>
      </c>
      <c r="J29" s="99" t="e">
        <f t="shared" si="2"/>
        <v>#NUM!</v>
      </c>
      <c r="K29" s="99" t="e">
        <f t="shared" si="3"/>
        <v>#NUM!</v>
      </c>
      <c r="L29" s="99"/>
      <c r="M29" s="101">
        <f t="shared" si="4"/>
        <v>0</v>
      </c>
      <c r="N29" s="80"/>
      <c r="O29" s="80"/>
      <c r="P29" s="80"/>
      <c r="Q29" s="80"/>
      <c r="R29" s="80"/>
    </row>
    <row r="30" spans="1:19" s="85" customFormat="1" x14ac:dyDescent="0.25">
      <c r="A30" s="94">
        <f t="shared" si="0"/>
        <v>0</v>
      </c>
      <c r="B30" s="33" t="str">
        <f t="shared" si="5"/>
        <v/>
      </c>
      <c r="C30" s="34"/>
      <c r="D30" s="34"/>
      <c r="E30" s="34"/>
      <c r="F30" s="34"/>
      <c r="G30" s="80"/>
      <c r="H30" s="95">
        <v>25</v>
      </c>
      <c r="I30" s="96" t="str">
        <f t="shared" si="1"/>
        <v/>
      </c>
      <c r="J30" s="95" t="e">
        <f t="shared" si="2"/>
        <v>#NUM!</v>
      </c>
      <c r="K30" s="95" t="e">
        <f t="shared" si="3"/>
        <v>#NUM!</v>
      </c>
      <c r="L30" s="95"/>
      <c r="M30" s="97">
        <f t="shared" si="4"/>
        <v>0</v>
      </c>
      <c r="N30" s="80"/>
      <c r="O30" s="80"/>
      <c r="P30" s="80"/>
      <c r="Q30" s="80"/>
      <c r="R30" s="80"/>
    </row>
    <row r="31" spans="1:19" s="85" customFormat="1" x14ac:dyDescent="0.25">
      <c r="A31" s="98">
        <f t="shared" si="0"/>
        <v>0</v>
      </c>
      <c r="B31" s="39" t="str">
        <f t="shared" si="5"/>
        <v/>
      </c>
      <c r="C31" s="40"/>
      <c r="D31" s="40"/>
      <c r="E31" s="40"/>
      <c r="F31" s="40"/>
      <c r="G31" s="80"/>
      <c r="H31" s="99">
        <v>26</v>
      </c>
      <c r="I31" s="100" t="str">
        <f t="shared" si="1"/>
        <v/>
      </c>
      <c r="J31" s="99" t="e">
        <f t="shared" si="2"/>
        <v>#NUM!</v>
      </c>
      <c r="K31" s="99" t="e">
        <f t="shared" si="3"/>
        <v>#NUM!</v>
      </c>
      <c r="L31" s="99"/>
      <c r="M31" s="101">
        <f t="shared" si="4"/>
        <v>0</v>
      </c>
      <c r="N31" s="80"/>
      <c r="O31" s="80"/>
      <c r="P31" s="80"/>
      <c r="Q31" s="80"/>
      <c r="R31" s="80"/>
    </row>
    <row r="32" spans="1:19" s="85" customFormat="1" x14ac:dyDescent="0.25">
      <c r="A32" s="94">
        <f t="shared" si="0"/>
        <v>0</v>
      </c>
      <c r="B32" s="33" t="str">
        <f t="shared" si="5"/>
        <v/>
      </c>
      <c r="C32" s="34"/>
      <c r="D32" s="34"/>
      <c r="E32" s="34"/>
      <c r="F32" s="34"/>
      <c r="G32" s="80"/>
      <c r="H32" s="95">
        <v>27</v>
      </c>
      <c r="I32" s="96" t="str">
        <f t="shared" si="1"/>
        <v/>
      </c>
      <c r="J32" s="95" t="e">
        <f t="shared" si="2"/>
        <v>#NUM!</v>
      </c>
      <c r="K32" s="95" t="e">
        <f t="shared" si="3"/>
        <v>#NUM!</v>
      </c>
      <c r="L32" s="95"/>
      <c r="M32" s="97">
        <f t="shared" si="4"/>
        <v>0</v>
      </c>
      <c r="N32" s="80"/>
      <c r="O32" s="80"/>
      <c r="P32" s="80"/>
      <c r="Q32" s="80"/>
      <c r="R32" s="109"/>
      <c r="S32" s="110"/>
    </row>
    <row r="33" spans="1:21" s="85" customFormat="1" x14ac:dyDescent="0.25">
      <c r="A33" s="98">
        <f t="shared" si="0"/>
        <v>0</v>
      </c>
      <c r="B33" s="39" t="str">
        <f t="shared" si="5"/>
        <v/>
      </c>
      <c r="C33" s="40"/>
      <c r="D33" s="40"/>
      <c r="E33" s="40"/>
      <c r="F33" s="40"/>
      <c r="G33" s="80"/>
      <c r="H33" s="99">
        <v>28</v>
      </c>
      <c r="I33" s="100" t="str">
        <f t="shared" si="1"/>
        <v/>
      </c>
      <c r="J33" s="99" t="e">
        <f t="shared" si="2"/>
        <v>#NUM!</v>
      </c>
      <c r="K33" s="99" t="e">
        <f t="shared" si="3"/>
        <v>#NUM!</v>
      </c>
      <c r="L33" s="99"/>
      <c r="M33" s="101">
        <f t="shared" si="4"/>
        <v>0</v>
      </c>
      <c r="N33" s="80"/>
      <c r="O33" s="80"/>
      <c r="P33" s="80"/>
      <c r="Q33" s="80"/>
      <c r="R33" s="80"/>
    </row>
    <row r="34" spans="1:21" s="85" customFormat="1" x14ac:dyDescent="0.25">
      <c r="A34" s="94">
        <f t="shared" si="0"/>
        <v>0</v>
      </c>
      <c r="B34" s="33" t="str">
        <f t="shared" si="5"/>
        <v/>
      </c>
      <c r="C34" s="34"/>
      <c r="D34" s="34"/>
      <c r="E34" s="34"/>
      <c r="F34" s="34"/>
      <c r="G34" s="80"/>
      <c r="H34" s="95">
        <v>29</v>
      </c>
      <c r="I34" s="96" t="str">
        <f t="shared" si="1"/>
        <v/>
      </c>
      <c r="J34" s="95" t="e">
        <f t="shared" si="2"/>
        <v>#NUM!</v>
      </c>
      <c r="K34" s="95" t="e">
        <f t="shared" si="3"/>
        <v>#NUM!</v>
      </c>
      <c r="L34" s="95"/>
      <c r="M34" s="97">
        <f t="shared" si="4"/>
        <v>0</v>
      </c>
      <c r="N34" s="80"/>
      <c r="O34" s="80"/>
      <c r="P34" s="80"/>
      <c r="Q34" s="80"/>
      <c r="R34" s="80"/>
    </row>
    <row r="35" spans="1:21" s="85" customFormat="1" x14ac:dyDescent="0.25">
      <c r="A35" s="98">
        <f t="shared" si="0"/>
        <v>0</v>
      </c>
      <c r="B35" s="39" t="str">
        <f t="shared" si="5"/>
        <v/>
      </c>
      <c r="C35" s="40"/>
      <c r="D35" s="40"/>
      <c r="E35" s="40"/>
      <c r="F35" s="40"/>
      <c r="G35" s="80"/>
      <c r="H35" s="99">
        <v>30</v>
      </c>
      <c r="I35" s="100" t="str">
        <f t="shared" si="1"/>
        <v/>
      </c>
      <c r="J35" s="99" t="e">
        <f t="shared" si="2"/>
        <v>#NUM!</v>
      </c>
      <c r="K35" s="99" t="e">
        <f t="shared" si="3"/>
        <v>#NUM!</v>
      </c>
      <c r="L35" s="99"/>
      <c r="M35" s="101">
        <f t="shared" si="4"/>
        <v>0</v>
      </c>
      <c r="N35" s="80"/>
      <c r="O35" s="80"/>
      <c r="P35" s="80"/>
      <c r="Q35" s="80"/>
      <c r="R35" s="80"/>
    </row>
    <row r="36" spans="1:21" s="85" customFormat="1" x14ac:dyDescent="0.25">
      <c r="A36" s="94">
        <f t="shared" si="0"/>
        <v>0</v>
      </c>
      <c r="B36" s="33" t="str">
        <f t="shared" si="5"/>
        <v/>
      </c>
      <c r="C36" s="34"/>
      <c r="D36" s="34"/>
      <c r="E36" s="34"/>
      <c r="F36" s="34"/>
      <c r="G36" s="80"/>
      <c r="H36" s="95">
        <v>31</v>
      </c>
      <c r="I36" s="96" t="str">
        <f t="shared" si="1"/>
        <v/>
      </c>
      <c r="J36" s="95" t="e">
        <f t="shared" si="2"/>
        <v>#NUM!</v>
      </c>
      <c r="K36" s="95" t="e">
        <f t="shared" si="3"/>
        <v>#NUM!</v>
      </c>
      <c r="L36" s="95"/>
      <c r="M36" s="97">
        <f t="shared" si="4"/>
        <v>0</v>
      </c>
      <c r="N36" s="80"/>
      <c r="O36" s="80"/>
      <c r="P36" s="80"/>
      <c r="Q36" s="80"/>
      <c r="R36" s="109"/>
      <c r="S36" s="110"/>
    </row>
    <row r="37" spans="1:21" s="85" customFormat="1" x14ac:dyDescent="0.25">
      <c r="A37" s="98">
        <f t="shared" si="0"/>
        <v>0</v>
      </c>
      <c r="B37" s="39" t="str">
        <f t="shared" si="5"/>
        <v/>
      </c>
      <c r="C37" s="40"/>
      <c r="D37" s="40"/>
      <c r="E37" s="40"/>
      <c r="F37" s="40"/>
      <c r="G37" s="80"/>
      <c r="H37" s="99">
        <v>32</v>
      </c>
      <c r="I37" s="100" t="str">
        <f t="shared" si="1"/>
        <v/>
      </c>
      <c r="J37" s="99" t="e">
        <f t="shared" si="2"/>
        <v>#NUM!</v>
      </c>
      <c r="K37" s="99" t="e">
        <f t="shared" si="3"/>
        <v>#NUM!</v>
      </c>
      <c r="L37" s="99"/>
      <c r="M37" s="101">
        <f t="shared" si="4"/>
        <v>0</v>
      </c>
      <c r="N37" s="80"/>
      <c r="O37" s="80"/>
      <c r="P37" s="80"/>
      <c r="Q37" s="80"/>
      <c r="R37" s="80"/>
    </row>
    <row r="38" spans="1:21" s="85" customFormat="1" x14ac:dyDescent="0.25">
      <c r="A38" s="94"/>
      <c r="B38" s="33" t="str">
        <f t="shared" si="5"/>
        <v/>
      </c>
      <c r="C38" s="34"/>
      <c r="D38" s="34"/>
      <c r="E38" s="34"/>
      <c r="F38" s="34"/>
      <c r="G38" s="80"/>
      <c r="H38" s="95">
        <v>33</v>
      </c>
      <c r="I38" s="96" t="str">
        <f t="shared" si="1"/>
        <v/>
      </c>
      <c r="J38" s="95" t="e">
        <f t="shared" si="2"/>
        <v>#NUM!</v>
      </c>
      <c r="K38" s="95" t="e">
        <f t="shared" si="3"/>
        <v>#NUM!</v>
      </c>
      <c r="L38" s="95"/>
      <c r="M38" s="97">
        <f t="shared" si="4"/>
        <v>0</v>
      </c>
      <c r="N38" s="80"/>
      <c r="O38" s="80"/>
      <c r="P38" s="80"/>
      <c r="Q38" s="80"/>
      <c r="R38" s="80"/>
    </row>
    <row r="39" spans="1:21" s="85" customFormat="1" x14ac:dyDescent="0.25">
      <c r="A39" s="98"/>
      <c r="B39" s="39" t="str">
        <f t="shared" si="5"/>
        <v/>
      </c>
      <c r="C39" s="40"/>
      <c r="D39" s="40"/>
      <c r="E39" s="40"/>
      <c r="F39" s="40"/>
      <c r="G39" s="80"/>
      <c r="H39" s="99">
        <v>34</v>
      </c>
      <c r="I39" s="100" t="str">
        <f t="shared" si="1"/>
        <v/>
      </c>
      <c r="J39" s="99" t="e">
        <f t="shared" si="2"/>
        <v>#NUM!</v>
      </c>
      <c r="K39" s="99" t="e">
        <f t="shared" si="3"/>
        <v>#NUM!</v>
      </c>
      <c r="L39" s="99"/>
      <c r="M39" s="101">
        <f t="shared" si="4"/>
        <v>0</v>
      </c>
      <c r="N39" s="80"/>
      <c r="O39" s="80"/>
      <c r="P39" s="80"/>
      <c r="Q39" s="80"/>
      <c r="R39" s="80"/>
    </row>
    <row r="40" spans="1:21" s="85" customFormat="1" x14ac:dyDescent="0.25">
      <c r="A40" s="94"/>
      <c r="B40" s="33" t="str">
        <f t="shared" si="5"/>
        <v/>
      </c>
      <c r="C40" s="34"/>
      <c r="D40" s="34"/>
      <c r="E40" s="34"/>
      <c r="F40" s="34"/>
      <c r="G40" s="80"/>
      <c r="H40" s="95">
        <v>35</v>
      </c>
      <c r="I40" s="96" t="str">
        <f t="shared" si="1"/>
        <v/>
      </c>
      <c r="J40" s="95" t="e">
        <f t="shared" si="2"/>
        <v>#NUM!</v>
      </c>
      <c r="K40" s="95" t="e">
        <f t="shared" si="3"/>
        <v>#NUM!</v>
      </c>
      <c r="L40" s="95"/>
      <c r="M40" s="97">
        <f t="shared" si="4"/>
        <v>0</v>
      </c>
      <c r="N40" s="80"/>
      <c r="O40" s="80"/>
      <c r="P40" s="80"/>
      <c r="Q40" s="80"/>
      <c r="R40" s="80"/>
    </row>
    <row r="41" spans="1:21" s="85" customFormat="1" x14ac:dyDescent="0.25">
      <c r="A41" s="98"/>
      <c r="B41" s="39" t="str">
        <f t="shared" si="5"/>
        <v/>
      </c>
      <c r="C41" s="40"/>
      <c r="D41" s="40"/>
      <c r="E41" s="40"/>
      <c r="F41" s="40"/>
      <c r="G41" s="80"/>
      <c r="H41" s="99">
        <v>36</v>
      </c>
      <c r="I41" s="100" t="str">
        <f t="shared" si="1"/>
        <v/>
      </c>
      <c r="J41" s="99" t="e">
        <f t="shared" si="2"/>
        <v>#NUM!</v>
      </c>
      <c r="K41" s="99" t="e">
        <f t="shared" si="3"/>
        <v>#NUM!</v>
      </c>
      <c r="L41" s="99"/>
      <c r="M41" s="101">
        <f t="shared" si="4"/>
        <v>0</v>
      </c>
      <c r="N41" s="80"/>
      <c r="O41" s="80"/>
      <c r="P41" s="80"/>
      <c r="Q41" s="80"/>
      <c r="R41" s="80"/>
      <c r="S41" s="111"/>
    </row>
    <row r="42" spans="1:21" s="85" customFormat="1" x14ac:dyDescent="0.25">
      <c r="A42" s="94"/>
      <c r="B42" s="33" t="str">
        <f t="shared" ref="B42:B65" si="6">IF(H42&gt;$H$2,"",(ROW()-5))</f>
        <v/>
      </c>
      <c r="C42" s="34"/>
      <c r="D42" s="34"/>
      <c r="E42" s="34"/>
      <c r="F42" s="34"/>
      <c r="G42" s="80"/>
      <c r="H42" s="95">
        <v>37</v>
      </c>
      <c r="I42" s="96" t="str">
        <f t="shared" si="1"/>
        <v/>
      </c>
      <c r="J42" s="95" t="e">
        <f t="shared" si="2"/>
        <v>#NUM!</v>
      </c>
      <c r="K42" s="95" t="e">
        <f t="shared" si="3"/>
        <v>#NUM!</v>
      </c>
      <c r="L42" s="95"/>
      <c r="M42" s="97">
        <f t="shared" si="4"/>
        <v>0</v>
      </c>
      <c r="N42" s="80"/>
      <c r="O42" s="80"/>
      <c r="P42" s="80"/>
      <c r="Q42" s="80"/>
      <c r="R42" s="80"/>
    </row>
    <row r="43" spans="1:21" s="85" customFormat="1" x14ac:dyDescent="0.25">
      <c r="A43" s="98"/>
      <c r="B43" s="39" t="str">
        <f t="shared" si="6"/>
        <v/>
      </c>
      <c r="C43" s="40"/>
      <c r="D43" s="40"/>
      <c r="E43" s="40"/>
      <c r="F43" s="40"/>
      <c r="G43" s="80"/>
      <c r="H43" s="99">
        <v>38</v>
      </c>
      <c r="I43" s="100" t="str">
        <f t="shared" si="1"/>
        <v/>
      </c>
      <c r="J43" s="99" t="e">
        <f t="shared" si="2"/>
        <v>#NUM!</v>
      </c>
      <c r="K43" s="99" t="e">
        <f t="shared" si="3"/>
        <v>#NUM!</v>
      </c>
      <c r="L43" s="99"/>
      <c r="M43" s="101">
        <f t="shared" si="4"/>
        <v>0</v>
      </c>
      <c r="N43" s="80"/>
      <c r="O43" s="80"/>
      <c r="P43" s="80"/>
      <c r="Q43" s="80"/>
      <c r="R43" s="80"/>
    </row>
    <row r="44" spans="1:21" s="85" customFormat="1" x14ac:dyDescent="0.25">
      <c r="A44" s="94"/>
      <c r="B44" s="33" t="str">
        <f t="shared" si="6"/>
        <v/>
      </c>
      <c r="C44" s="34"/>
      <c r="D44" s="34"/>
      <c r="E44" s="34"/>
      <c r="F44" s="34"/>
      <c r="G44" s="80"/>
      <c r="H44" s="95">
        <v>39</v>
      </c>
      <c r="I44" s="96" t="str">
        <f t="shared" si="1"/>
        <v/>
      </c>
      <c r="J44" s="95" t="e">
        <f t="shared" si="2"/>
        <v>#NUM!</v>
      </c>
      <c r="K44" s="95" t="e">
        <f t="shared" si="3"/>
        <v>#NUM!</v>
      </c>
      <c r="L44" s="95"/>
      <c r="M44" s="97">
        <f t="shared" si="4"/>
        <v>0</v>
      </c>
      <c r="N44" s="80"/>
      <c r="O44" s="80"/>
      <c r="P44" s="80"/>
      <c r="Q44" s="80"/>
      <c r="R44" s="80"/>
    </row>
    <row r="45" spans="1:21" s="85" customFormat="1" x14ac:dyDescent="0.25">
      <c r="A45" s="98"/>
      <c r="B45" s="39" t="str">
        <f t="shared" si="6"/>
        <v/>
      </c>
      <c r="C45" s="40"/>
      <c r="D45" s="40"/>
      <c r="E45" s="40"/>
      <c r="F45" s="40"/>
      <c r="G45" s="80"/>
      <c r="H45" s="99">
        <v>40</v>
      </c>
      <c r="I45" s="100" t="str">
        <f t="shared" si="1"/>
        <v/>
      </c>
      <c r="J45" s="99" t="e">
        <f t="shared" si="2"/>
        <v>#NUM!</v>
      </c>
      <c r="K45" s="99" t="e">
        <f t="shared" si="3"/>
        <v>#NUM!</v>
      </c>
      <c r="L45" s="99"/>
      <c r="M45" s="101">
        <f t="shared" si="4"/>
        <v>0</v>
      </c>
      <c r="N45" s="80"/>
      <c r="O45" s="80"/>
      <c r="P45" s="80"/>
      <c r="Q45" s="80"/>
      <c r="R45" s="80"/>
    </row>
    <row r="46" spans="1:21" s="85" customFormat="1" x14ac:dyDescent="0.25">
      <c r="A46" s="94"/>
      <c r="B46" s="33" t="str">
        <f t="shared" si="6"/>
        <v/>
      </c>
      <c r="C46" s="34"/>
      <c r="D46" s="34"/>
      <c r="E46" s="34"/>
      <c r="F46" s="34"/>
      <c r="G46" s="80"/>
      <c r="H46" s="95">
        <v>41</v>
      </c>
      <c r="I46" s="96" t="str">
        <f t="shared" si="1"/>
        <v/>
      </c>
      <c r="J46" s="95" t="e">
        <f t="shared" si="2"/>
        <v>#NUM!</v>
      </c>
      <c r="K46" s="95" t="e">
        <f t="shared" si="3"/>
        <v>#NUM!</v>
      </c>
      <c r="L46" s="95"/>
      <c r="M46" s="97">
        <f t="shared" si="4"/>
        <v>0</v>
      </c>
      <c r="N46" s="80"/>
      <c r="O46" s="80"/>
      <c r="P46" s="80"/>
      <c r="Q46" s="80"/>
      <c r="R46" s="80" t="e">
        <f>LOG($H$2,2)</f>
        <v>#NUM!</v>
      </c>
      <c r="T46" s="85">
        <f>LOG(H38,2)</f>
        <v>5.0443941193584534</v>
      </c>
      <c r="U46" s="85" t="e">
        <f>R46-T46</f>
        <v>#NUM!</v>
      </c>
    </row>
    <row r="47" spans="1:21" s="85" customFormat="1" x14ac:dyDescent="0.25">
      <c r="A47" s="98"/>
      <c r="B47" s="39" t="str">
        <f t="shared" si="6"/>
        <v/>
      </c>
      <c r="C47" s="40"/>
      <c r="D47" s="40"/>
      <c r="E47" s="40"/>
      <c r="F47" s="40"/>
      <c r="G47" s="80"/>
      <c r="H47" s="99">
        <v>42</v>
      </c>
      <c r="I47" s="100" t="str">
        <f t="shared" si="1"/>
        <v/>
      </c>
      <c r="J47" s="99" t="e">
        <f t="shared" si="2"/>
        <v>#NUM!</v>
      </c>
      <c r="K47" s="99" t="e">
        <f t="shared" si="3"/>
        <v>#NUM!</v>
      </c>
      <c r="L47" s="99"/>
      <c r="M47" s="101">
        <f t="shared" si="4"/>
        <v>0</v>
      </c>
      <c r="N47" s="80"/>
      <c r="O47" s="80"/>
      <c r="P47" s="80"/>
      <c r="Q47" s="80"/>
      <c r="R47" s="80"/>
    </row>
    <row r="48" spans="1:21" s="85" customFormat="1" x14ac:dyDescent="0.25">
      <c r="A48" s="94"/>
      <c r="B48" s="33" t="str">
        <f t="shared" si="6"/>
        <v/>
      </c>
      <c r="C48" s="34"/>
      <c r="D48" s="34"/>
      <c r="E48" s="34"/>
      <c r="F48" s="34"/>
      <c r="G48" s="80"/>
      <c r="H48" s="95">
        <v>43</v>
      </c>
      <c r="I48" s="96" t="str">
        <f t="shared" si="1"/>
        <v/>
      </c>
      <c r="J48" s="95" t="e">
        <f t="shared" si="2"/>
        <v>#NUM!</v>
      </c>
      <c r="K48" s="95" t="e">
        <f t="shared" si="3"/>
        <v>#NUM!</v>
      </c>
      <c r="L48" s="95"/>
      <c r="M48" s="97">
        <f t="shared" si="4"/>
        <v>0</v>
      </c>
      <c r="N48" s="80"/>
      <c r="O48" s="80"/>
      <c r="P48" s="80"/>
      <c r="Q48" s="80"/>
      <c r="R48" s="80"/>
    </row>
    <row r="49" spans="1:38" s="80" customFormat="1" x14ac:dyDescent="0.25">
      <c r="A49" s="98"/>
      <c r="B49" s="39" t="str">
        <f t="shared" si="6"/>
        <v/>
      </c>
      <c r="C49" s="40"/>
      <c r="D49" s="40"/>
      <c r="E49" s="40"/>
      <c r="F49" s="40"/>
      <c r="H49" s="99">
        <v>44</v>
      </c>
      <c r="I49" s="100" t="str">
        <f t="shared" si="1"/>
        <v/>
      </c>
      <c r="J49" s="99" t="e">
        <f t="shared" si="2"/>
        <v>#NUM!</v>
      </c>
      <c r="K49" s="99" t="e">
        <f t="shared" si="3"/>
        <v>#NUM!</v>
      </c>
      <c r="L49" s="99"/>
      <c r="M49" s="101">
        <f t="shared" si="4"/>
        <v>0</v>
      </c>
      <c r="S49" s="85"/>
      <c r="T49" s="85"/>
      <c r="U49" s="85"/>
      <c r="V49" s="85"/>
      <c r="W49" s="85"/>
      <c r="X49" s="85"/>
      <c r="Y49" s="85"/>
      <c r="Z49" s="85"/>
      <c r="AA49" s="85"/>
      <c r="AB49" s="85"/>
      <c r="AC49" s="85"/>
      <c r="AD49" s="85"/>
      <c r="AE49" s="85"/>
      <c r="AF49" s="85"/>
      <c r="AG49" s="85"/>
      <c r="AH49" s="85"/>
      <c r="AI49" s="85"/>
      <c r="AJ49" s="85"/>
      <c r="AK49" s="85"/>
      <c r="AL49" s="85"/>
    </row>
    <row r="50" spans="1:38" s="80" customFormat="1" x14ac:dyDescent="0.25">
      <c r="A50" s="94"/>
      <c r="B50" s="33" t="str">
        <f t="shared" si="6"/>
        <v/>
      </c>
      <c r="C50" s="34"/>
      <c r="D50" s="34"/>
      <c r="E50" s="34"/>
      <c r="F50" s="34"/>
      <c r="H50" s="95">
        <v>45</v>
      </c>
      <c r="I50" s="96" t="str">
        <f t="shared" si="1"/>
        <v/>
      </c>
      <c r="J50" s="95" t="e">
        <f t="shared" si="2"/>
        <v>#NUM!</v>
      </c>
      <c r="K50" s="95" t="e">
        <f t="shared" si="3"/>
        <v>#NUM!</v>
      </c>
      <c r="L50" s="95"/>
      <c r="M50" s="97">
        <f t="shared" si="4"/>
        <v>0</v>
      </c>
      <c r="S50" s="85"/>
      <c r="T50" s="85"/>
      <c r="U50" s="85"/>
      <c r="V50" s="85"/>
      <c r="W50" s="85"/>
      <c r="X50" s="85"/>
      <c r="Y50" s="85"/>
      <c r="Z50" s="85"/>
      <c r="AA50" s="85"/>
      <c r="AB50" s="85"/>
      <c r="AC50" s="85"/>
      <c r="AD50" s="85"/>
      <c r="AE50" s="85"/>
      <c r="AF50" s="85"/>
      <c r="AG50" s="85"/>
      <c r="AH50" s="85"/>
      <c r="AI50" s="85"/>
      <c r="AJ50" s="85"/>
      <c r="AK50" s="85"/>
      <c r="AL50" s="85"/>
    </row>
    <row r="51" spans="1:38" s="80" customFormat="1" x14ac:dyDescent="0.25">
      <c r="A51" s="98"/>
      <c r="B51" s="39" t="str">
        <f t="shared" si="6"/>
        <v/>
      </c>
      <c r="C51" s="40"/>
      <c r="D51" s="40"/>
      <c r="E51" s="40"/>
      <c r="F51" s="40"/>
      <c r="H51" s="99">
        <v>46</v>
      </c>
      <c r="I51" s="100" t="str">
        <f t="shared" si="1"/>
        <v/>
      </c>
      <c r="J51" s="99" t="e">
        <f t="shared" si="2"/>
        <v>#NUM!</v>
      </c>
      <c r="K51" s="99" t="e">
        <f t="shared" si="3"/>
        <v>#NUM!</v>
      </c>
      <c r="L51" s="99"/>
      <c r="M51" s="101">
        <f t="shared" si="4"/>
        <v>0</v>
      </c>
      <c r="S51" s="85"/>
      <c r="T51" s="85"/>
      <c r="U51" s="85"/>
      <c r="V51" s="85"/>
      <c r="W51" s="85"/>
      <c r="X51" s="85"/>
      <c r="Y51" s="85"/>
      <c r="Z51" s="85"/>
      <c r="AA51" s="85"/>
      <c r="AB51" s="85"/>
      <c r="AC51" s="85"/>
      <c r="AD51" s="85"/>
      <c r="AE51" s="85"/>
      <c r="AF51" s="85"/>
      <c r="AG51" s="85"/>
      <c r="AH51" s="85"/>
      <c r="AI51" s="85"/>
      <c r="AJ51" s="85"/>
      <c r="AK51" s="85"/>
      <c r="AL51" s="85"/>
    </row>
    <row r="52" spans="1:38" s="80" customFormat="1" x14ac:dyDescent="0.25">
      <c r="A52" s="94"/>
      <c r="B52" s="33" t="str">
        <f t="shared" si="6"/>
        <v/>
      </c>
      <c r="C52" s="34"/>
      <c r="D52" s="34"/>
      <c r="E52" s="34"/>
      <c r="F52" s="34"/>
      <c r="H52" s="95">
        <v>47</v>
      </c>
      <c r="I52" s="96" t="str">
        <f t="shared" si="1"/>
        <v/>
      </c>
      <c r="J52" s="95" t="e">
        <f t="shared" si="2"/>
        <v>#NUM!</v>
      </c>
      <c r="K52" s="95" t="e">
        <f t="shared" si="3"/>
        <v>#NUM!</v>
      </c>
      <c r="L52" s="95"/>
      <c r="M52" s="97">
        <f t="shared" si="4"/>
        <v>0</v>
      </c>
      <c r="S52" s="85"/>
      <c r="T52" s="85"/>
      <c r="U52" s="85"/>
      <c r="V52" s="85"/>
      <c r="W52" s="85"/>
      <c r="X52" s="85"/>
      <c r="Y52" s="85"/>
      <c r="Z52" s="85"/>
      <c r="AA52" s="85"/>
      <c r="AB52" s="85"/>
      <c r="AC52" s="85"/>
      <c r="AD52" s="85"/>
      <c r="AE52" s="85"/>
      <c r="AF52" s="85"/>
      <c r="AG52" s="85"/>
      <c r="AH52" s="85"/>
      <c r="AI52" s="85"/>
      <c r="AJ52" s="85"/>
      <c r="AK52" s="85"/>
      <c r="AL52" s="85"/>
    </row>
    <row r="53" spans="1:38" s="80" customFormat="1" x14ac:dyDescent="0.25">
      <c r="A53" s="98"/>
      <c r="B53" s="39" t="str">
        <f t="shared" si="6"/>
        <v/>
      </c>
      <c r="C53" s="40"/>
      <c r="D53" s="40"/>
      <c r="E53" s="40"/>
      <c r="F53" s="40"/>
      <c r="H53" s="99">
        <v>48</v>
      </c>
      <c r="I53" s="100" t="str">
        <f t="shared" si="1"/>
        <v/>
      </c>
      <c r="J53" s="99" t="e">
        <f t="shared" si="2"/>
        <v>#NUM!</v>
      </c>
      <c r="K53" s="99" t="e">
        <f t="shared" si="3"/>
        <v>#NUM!</v>
      </c>
      <c r="L53" s="99"/>
      <c r="M53" s="101">
        <f t="shared" si="4"/>
        <v>0</v>
      </c>
      <c r="S53" s="85"/>
      <c r="T53" s="85"/>
      <c r="U53" s="85"/>
      <c r="V53" s="85"/>
      <c r="W53" s="85"/>
      <c r="X53" s="85"/>
      <c r="Y53" s="85"/>
      <c r="Z53" s="85"/>
      <c r="AA53" s="85"/>
      <c r="AB53" s="85"/>
      <c r="AC53" s="85"/>
      <c r="AD53" s="85"/>
      <c r="AE53" s="85"/>
      <c r="AF53" s="85"/>
      <c r="AG53" s="85"/>
      <c r="AH53" s="85"/>
      <c r="AI53" s="85"/>
      <c r="AJ53" s="85"/>
      <c r="AK53" s="85"/>
      <c r="AL53" s="85"/>
    </row>
    <row r="54" spans="1:38" s="80" customFormat="1" x14ac:dyDescent="0.25">
      <c r="A54" s="94"/>
      <c r="B54" s="33" t="str">
        <f t="shared" si="6"/>
        <v/>
      </c>
      <c r="C54" s="34"/>
      <c r="D54" s="34"/>
      <c r="E54" s="34"/>
      <c r="F54" s="34"/>
      <c r="H54" s="95">
        <v>49</v>
      </c>
      <c r="I54" s="96" t="str">
        <f t="shared" si="1"/>
        <v/>
      </c>
      <c r="J54" s="95" t="e">
        <f t="shared" si="2"/>
        <v>#NUM!</v>
      </c>
      <c r="K54" s="95" t="e">
        <f t="shared" si="3"/>
        <v>#NUM!</v>
      </c>
      <c r="L54" s="95"/>
      <c r="M54" s="97">
        <f t="shared" si="4"/>
        <v>0</v>
      </c>
      <c r="S54" s="85"/>
      <c r="T54" s="85"/>
      <c r="U54" s="85"/>
      <c r="V54" s="85"/>
      <c r="W54" s="85"/>
      <c r="X54" s="85"/>
      <c r="Y54" s="85"/>
      <c r="Z54" s="85"/>
      <c r="AA54" s="85"/>
      <c r="AB54" s="85"/>
      <c r="AC54" s="85"/>
      <c r="AD54" s="85"/>
      <c r="AE54" s="85"/>
      <c r="AF54" s="85"/>
      <c r="AG54" s="85"/>
      <c r="AH54" s="85"/>
      <c r="AI54" s="85"/>
      <c r="AJ54" s="85"/>
      <c r="AK54" s="85"/>
      <c r="AL54" s="85"/>
    </row>
    <row r="55" spans="1:38" s="80" customFormat="1" x14ac:dyDescent="0.25">
      <c r="A55" s="98"/>
      <c r="B55" s="39" t="str">
        <f t="shared" si="6"/>
        <v/>
      </c>
      <c r="C55" s="40"/>
      <c r="D55" s="40"/>
      <c r="E55" s="40"/>
      <c r="F55" s="40"/>
      <c r="H55" s="99">
        <v>50</v>
      </c>
      <c r="I55" s="100" t="str">
        <f t="shared" si="1"/>
        <v/>
      </c>
      <c r="J55" s="99" t="e">
        <f t="shared" si="2"/>
        <v>#NUM!</v>
      </c>
      <c r="K55" s="99" t="e">
        <f t="shared" si="3"/>
        <v>#NUM!</v>
      </c>
      <c r="L55" s="99"/>
      <c r="M55" s="101">
        <f t="shared" si="4"/>
        <v>0</v>
      </c>
      <c r="S55" s="85"/>
      <c r="T55" s="85"/>
      <c r="U55" s="85"/>
      <c r="V55" s="85"/>
      <c r="W55" s="85"/>
      <c r="X55" s="85"/>
      <c r="Y55" s="85"/>
      <c r="Z55" s="85"/>
      <c r="AA55" s="85"/>
      <c r="AB55" s="85"/>
      <c r="AC55" s="85"/>
      <c r="AD55" s="85"/>
      <c r="AE55" s="85"/>
      <c r="AF55" s="85"/>
      <c r="AG55" s="85"/>
      <c r="AH55" s="85"/>
      <c r="AI55" s="85"/>
      <c r="AJ55" s="85"/>
      <c r="AK55" s="85"/>
      <c r="AL55" s="85"/>
    </row>
    <row r="56" spans="1:38" s="80" customFormat="1" x14ac:dyDescent="0.25">
      <c r="A56" s="94"/>
      <c r="B56" s="33" t="str">
        <f t="shared" si="6"/>
        <v/>
      </c>
      <c r="C56" s="34"/>
      <c r="D56" s="34"/>
      <c r="E56" s="34"/>
      <c r="F56" s="34"/>
      <c r="H56" s="95">
        <v>51</v>
      </c>
      <c r="I56" s="96" t="str">
        <f t="shared" si="1"/>
        <v/>
      </c>
      <c r="J56" s="95" t="e">
        <f t="shared" si="2"/>
        <v>#NUM!</v>
      </c>
      <c r="K56" s="95" t="e">
        <f t="shared" si="3"/>
        <v>#NUM!</v>
      </c>
      <c r="L56" s="95"/>
      <c r="M56" s="97">
        <f t="shared" si="4"/>
        <v>0</v>
      </c>
      <c r="S56" s="85"/>
      <c r="T56" s="85"/>
      <c r="U56" s="85"/>
      <c r="V56" s="85"/>
      <c r="W56" s="85"/>
      <c r="X56" s="85"/>
      <c r="Y56" s="85"/>
      <c r="Z56" s="85"/>
      <c r="AA56" s="85"/>
      <c r="AB56" s="85"/>
      <c r="AC56" s="85"/>
      <c r="AD56" s="85"/>
      <c r="AE56" s="85"/>
      <c r="AF56" s="85"/>
      <c r="AG56" s="85"/>
      <c r="AH56" s="85"/>
      <c r="AI56" s="85"/>
      <c r="AJ56" s="85"/>
      <c r="AK56" s="85"/>
      <c r="AL56" s="85"/>
    </row>
    <row r="57" spans="1:38" s="80" customFormat="1" x14ac:dyDescent="0.25">
      <c r="A57" s="98"/>
      <c r="B57" s="39" t="str">
        <f t="shared" si="6"/>
        <v/>
      </c>
      <c r="C57" s="40"/>
      <c r="D57" s="40"/>
      <c r="E57" s="40"/>
      <c r="F57" s="40"/>
      <c r="H57" s="99">
        <v>52</v>
      </c>
      <c r="I57" s="100" t="str">
        <f t="shared" si="1"/>
        <v/>
      </c>
      <c r="J57" s="99" t="e">
        <f t="shared" si="2"/>
        <v>#NUM!</v>
      </c>
      <c r="K57" s="99" t="e">
        <f t="shared" si="3"/>
        <v>#NUM!</v>
      </c>
      <c r="L57" s="99"/>
      <c r="M57" s="101">
        <f t="shared" si="4"/>
        <v>0</v>
      </c>
      <c r="S57" s="85"/>
      <c r="T57" s="85"/>
      <c r="U57" s="85"/>
      <c r="V57" s="85"/>
      <c r="W57" s="85"/>
      <c r="X57" s="85"/>
      <c r="Y57" s="85"/>
      <c r="Z57" s="85"/>
      <c r="AA57" s="85"/>
      <c r="AB57" s="85"/>
      <c r="AC57" s="85"/>
      <c r="AD57" s="85"/>
      <c r="AE57" s="85"/>
      <c r="AF57" s="85"/>
      <c r="AG57" s="85"/>
      <c r="AH57" s="85"/>
      <c r="AI57" s="85"/>
      <c r="AJ57" s="85"/>
      <c r="AK57" s="85"/>
      <c r="AL57" s="85"/>
    </row>
    <row r="58" spans="1:38" s="80" customFormat="1" x14ac:dyDescent="0.25">
      <c r="A58" s="94"/>
      <c r="B58" s="33" t="str">
        <f t="shared" si="6"/>
        <v/>
      </c>
      <c r="C58" s="34"/>
      <c r="D58" s="34"/>
      <c r="E58" s="34"/>
      <c r="F58" s="34"/>
      <c r="H58" s="95">
        <v>53</v>
      </c>
      <c r="I58" s="96" t="str">
        <f t="shared" si="1"/>
        <v/>
      </c>
      <c r="J58" s="95" t="e">
        <f t="shared" si="2"/>
        <v>#NUM!</v>
      </c>
      <c r="K58" s="95" t="e">
        <f t="shared" si="3"/>
        <v>#NUM!</v>
      </c>
      <c r="L58" s="95"/>
      <c r="M58" s="97">
        <f t="shared" si="4"/>
        <v>0</v>
      </c>
      <c r="S58" s="85"/>
      <c r="T58" s="85"/>
      <c r="U58" s="85"/>
      <c r="V58" s="85"/>
      <c r="W58" s="85"/>
      <c r="X58" s="85"/>
      <c r="Y58" s="85"/>
      <c r="Z58" s="85"/>
      <c r="AA58" s="85"/>
      <c r="AB58" s="85"/>
      <c r="AC58" s="85"/>
      <c r="AD58" s="85"/>
      <c r="AE58" s="85"/>
      <c r="AF58" s="85"/>
      <c r="AG58" s="85"/>
      <c r="AH58" s="85"/>
      <c r="AI58" s="85"/>
      <c r="AJ58" s="85"/>
      <c r="AK58" s="85"/>
      <c r="AL58" s="85"/>
    </row>
    <row r="59" spans="1:38" s="80" customFormat="1" x14ac:dyDescent="0.25">
      <c r="A59" s="98"/>
      <c r="B59" s="39" t="str">
        <f t="shared" si="6"/>
        <v/>
      </c>
      <c r="C59" s="40"/>
      <c r="D59" s="40"/>
      <c r="E59" s="40"/>
      <c r="F59" s="40"/>
      <c r="H59" s="99">
        <v>54</v>
      </c>
      <c r="I59" s="100" t="str">
        <f t="shared" si="1"/>
        <v/>
      </c>
      <c r="J59" s="99" t="e">
        <f t="shared" si="2"/>
        <v>#NUM!</v>
      </c>
      <c r="K59" s="99" t="e">
        <f t="shared" si="3"/>
        <v>#NUM!</v>
      </c>
      <c r="L59" s="99"/>
      <c r="M59" s="101">
        <f t="shared" si="4"/>
        <v>0</v>
      </c>
      <c r="S59" s="85"/>
      <c r="T59" s="85"/>
      <c r="U59" s="85"/>
      <c r="V59" s="85"/>
      <c r="W59" s="85"/>
      <c r="X59" s="85"/>
      <c r="Y59" s="85"/>
      <c r="Z59" s="85"/>
      <c r="AA59" s="85"/>
      <c r="AB59" s="85"/>
      <c r="AC59" s="85"/>
      <c r="AD59" s="85"/>
      <c r="AE59" s="85"/>
      <c r="AF59" s="85"/>
      <c r="AG59" s="85"/>
      <c r="AH59" s="85"/>
      <c r="AI59" s="85"/>
      <c r="AJ59" s="85"/>
      <c r="AK59" s="85"/>
      <c r="AL59" s="85"/>
    </row>
    <row r="60" spans="1:38" s="80" customFormat="1" x14ac:dyDescent="0.25">
      <c r="A60" s="94"/>
      <c r="B60" s="33" t="str">
        <f t="shared" si="6"/>
        <v/>
      </c>
      <c r="C60" s="34"/>
      <c r="D60" s="34"/>
      <c r="E60" s="34"/>
      <c r="F60" s="34"/>
      <c r="H60" s="95">
        <v>55</v>
      </c>
      <c r="I60" s="96" t="str">
        <f t="shared" si="1"/>
        <v/>
      </c>
      <c r="J60" s="95" t="e">
        <f t="shared" si="2"/>
        <v>#NUM!</v>
      </c>
      <c r="K60" s="95" t="e">
        <f t="shared" si="3"/>
        <v>#NUM!</v>
      </c>
      <c r="L60" s="95"/>
      <c r="M60" s="97">
        <f t="shared" si="4"/>
        <v>0</v>
      </c>
      <c r="S60" s="85"/>
      <c r="T60" s="85"/>
      <c r="U60" s="85"/>
      <c r="V60" s="85"/>
      <c r="W60" s="85"/>
      <c r="X60" s="85"/>
      <c r="Y60" s="85"/>
      <c r="Z60" s="85"/>
      <c r="AA60" s="85"/>
      <c r="AB60" s="85"/>
      <c r="AC60" s="85"/>
      <c r="AD60" s="85"/>
      <c r="AE60" s="85"/>
      <c r="AF60" s="85"/>
      <c r="AG60" s="85"/>
      <c r="AH60" s="85"/>
      <c r="AI60" s="85"/>
      <c r="AJ60" s="85"/>
      <c r="AK60" s="85"/>
      <c r="AL60" s="85"/>
    </row>
    <row r="61" spans="1:38" s="80" customFormat="1" x14ac:dyDescent="0.25">
      <c r="A61" s="98"/>
      <c r="B61" s="39" t="str">
        <f t="shared" si="6"/>
        <v/>
      </c>
      <c r="C61" s="40"/>
      <c r="D61" s="40"/>
      <c r="E61" s="40"/>
      <c r="F61" s="40"/>
      <c r="H61" s="99">
        <v>56</v>
      </c>
      <c r="I61" s="100" t="str">
        <f t="shared" si="1"/>
        <v/>
      </c>
      <c r="J61" s="99" t="e">
        <f t="shared" si="2"/>
        <v>#NUM!</v>
      </c>
      <c r="K61" s="99" t="e">
        <f t="shared" si="3"/>
        <v>#NUM!</v>
      </c>
      <c r="L61" s="99"/>
      <c r="M61" s="101">
        <f t="shared" si="4"/>
        <v>0</v>
      </c>
      <c r="S61" s="85"/>
      <c r="T61" s="85"/>
      <c r="U61" s="85"/>
      <c r="V61" s="85"/>
      <c r="W61" s="85"/>
      <c r="X61" s="85"/>
      <c r="Y61" s="85"/>
      <c r="Z61" s="85"/>
      <c r="AA61" s="85"/>
      <c r="AB61" s="85"/>
      <c r="AC61" s="85"/>
      <c r="AD61" s="85"/>
      <c r="AE61" s="85"/>
      <c r="AF61" s="85"/>
      <c r="AG61" s="85"/>
      <c r="AH61" s="85"/>
      <c r="AI61" s="85"/>
      <c r="AJ61" s="85"/>
      <c r="AK61" s="85"/>
      <c r="AL61" s="85"/>
    </row>
    <row r="62" spans="1:38" s="80" customFormat="1" x14ac:dyDescent="0.25">
      <c r="A62" s="94"/>
      <c r="B62" s="33" t="str">
        <f t="shared" si="6"/>
        <v/>
      </c>
      <c r="C62" s="34"/>
      <c r="D62" s="34"/>
      <c r="E62" s="34"/>
      <c r="F62" s="34"/>
      <c r="H62" s="95">
        <v>57</v>
      </c>
      <c r="I62" s="96" t="str">
        <f t="shared" si="1"/>
        <v/>
      </c>
      <c r="J62" s="95" t="e">
        <f t="shared" si="2"/>
        <v>#NUM!</v>
      </c>
      <c r="K62" s="95" t="e">
        <f t="shared" si="3"/>
        <v>#NUM!</v>
      </c>
      <c r="L62" s="95"/>
      <c r="M62" s="97">
        <f t="shared" si="4"/>
        <v>0</v>
      </c>
      <c r="S62" s="85"/>
      <c r="T62" s="85"/>
      <c r="U62" s="85"/>
      <c r="V62" s="85"/>
      <c r="W62" s="85"/>
      <c r="X62" s="85"/>
      <c r="Y62" s="85"/>
      <c r="Z62" s="85"/>
      <c r="AA62" s="85"/>
      <c r="AB62" s="85"/>
      <c r="AC62" s="85"/>
      <c r="AD62" s="85"/>
      <c r="AE62" s="85"/>
      <c r="AF62" s="85"/>
      <c r="AG62" s="85"/>
      <c r="AH62" s="85"/>
      <c r="AI62" s="85"/>
      <c r="AJ62" s="85"/>
      <c r="AK62" s="85"/>
      <c r="AL62" s="85"/>
    </row>
    <row r="63" spans="1:38" s="80" customFormat="1" x14ac:dyDescent="0.25">
      <c r="A63" s="98"/>
      <c r="B63" s="39" t="str">
        <f t="shared" si="6"/>
        <v/>
      </c>
      <c r="C63" s="40"/>
      <c r="D63" s="40"/>
      <c r="E63" s="40"/>
      <c r="F63" s="40"/>
      <c r="H63" s="99">
        <v>58</v>
      </c>
      <c r="I63" s="100" t="str">
        <f t="shared" si="1"/>
        <v/>
      </c>
      <c r="J63" s="99" t="e">
        <f t="shared" si="2"/>
        <v>#NUM!</v>
      </c>
      <c r="K63" s="99" t="e">
        <f t="shared" si="3"/>
        <v>#NUM!</v>
      </c>
      <c r="L63" s="99"/>
      <c r="M63" s="101">
        <f t="shared" si="4"/>
        <v>0</v>
      </c>
      <c r="S63" s="85"/>
      <c r="T63" s="85"/>
      <c r="U63" s="85"/>
      <c r="V63" s="85"/>
      <c r="W63" s="85"/>
      <c r="X63" s="85"/>
      <c r="Y63" s="85"/>
      <c r="Z63" s="85"/>
      <c r="AA63" s="85"/>
      <c r="AB63" s="85"/>
      <c r="AC63" s="85"/>
      <c r="AD63" s="85"/>
      <c r="AE63" s="85"/>
      <c r="AF63" s="85"/>
      <c r="AG63" s="85"/>
      <c r="AH63" s="85"/>
      <c r="AI63" s="85"/>
      <c r="AJ63" s="85"/>
      <c r="AK63" s="85"/>
      <c r="AL63" s="85"/>
    </row>
    <row r="64" spans="1:38" s="80" customFormat="1" x14ac:dyDescent="0.25">
      <c r="A64" s="94"/>
      <c r="B64" s="33" t="str">
        <f t="shared" si="6"/>
        <v/>
      </c>
      <c r="C64" s="34"/>
      <c r="D64" s="34"/>
      <c r="E64" s="34"/>
      <c r="F64" s="34"/>
      <c r="H64" s="95">
        <v>59</v>
      </c>
      <c r="I64" s="96" t="str">
        <f t="shared" si="1"/>
        <v/>
      </c>
      <c r="J64" s="95" t="e">
        <f t="shared" si="2"/>
        <v>#NUM!</v>
      </c>
      <c r="K64" s="95" t="e">
        <f t="shared" si="3"/>
        <v>#NUM!</v>
      </c>
      <c r="L64" s="95"/>
      <c r="M64" s="97">
        <f t="shared" si="4"/>
        <v>0</v>
      </c>
      <c r="S64" s="85"/>
      <c r="T64" s="85"/>
      <c r="U64" s="85"/>
      <c r="V64" s="85"/>
      <c r="W64" s="85"/>
      <c r="X64" s="85"/>
      <c r="Y64" s="85"/>
      <c r="Z64" s="85"/>
      <c r="AA64" s="85"/>
      <c r="AB64" s="85"/>
      <c r="AC64" s="85"/>
      <c r="AD64" s="85"/>
      <c r="AE64" s="85"/>
      <c r="AF64" s="85"/>
      <c r="AG64" s="85"/>
      <c r="AH64" s="85"/>
      <c r="AI64" s="85"/>
      <c r="AJ64" s="85"/>
      <c r="AK64" s="85"/>
      <c r="AL64" s="85"/>
    </row>
    <row r="65" spans="1:38" s="80" customFormat="1" x14ac:dyDescent="0.25">
      <c r="A65" s="98"/>
      <c r="B65" s="39" t="str">
        <f t="shared" si="6"/>
        <v/>
      </c>
      <c r="C65" s="40"/>
      <c r="D65" s="40"/>
      <c r="E65" s="40"/>
      <c r="F65" s="40"/>
      <c r="H65" s="99">
        <v>60</v>
      </c>
      <c r="I65" s="100" t="str">
        <f t="shared" si="1"/>
        <v/>
      </c>
      <c r="J65" s="99" t="e">
        <f t="shared" si="2"/>
        <v>#NUM!</v>
      </c>
      <c r="K65" s="99" t="e">
        <f t="shared" si="3"/>
        <v>#NUM!</v>
      </c>
      <c r="L65" s="99"/>
      <c r="M65" s="101">
        <f t="shared" si="4"/>
        <v>0</v>
      </c>
      <c r="S65" s="85"/>
      <c r="T65" s="85"/>
      <c r="U65" s="85"/>
      <c r="V65" s="85"/>
      <c r="W65" s="85"/>
      <c r="X65" s="85"/>
      <c r="Y65" s="85"/>
      <c r="Z65" s="85"/>
      <c r="AA65" s="85"/>
      <c r="AB65" s="85"/>
      <c r="AC65" s="85"/>
      <c r="AD65" s="85"/>
      <c r="AE65" s="85"/>
      <c r="AF65" s="85"/>
      <c r="AG65" s="85"/>
      <c r="AH65" s="85"/>
      <c r="AI65" s="85"/>
      <c r="AJ65" s="85"/>
      <c r="AK65" s="85"/>
      <c r="AL65" s="85"/>
    </row>
    <row r="66" spans="1:38" s="80" customFormat="1" x14ac:dyDescent="0.25">
      <c r="A66" s="114"/>
      <c r="B66" s="33"/>
      <c r="C66" s="115"/>
      <c r="D66" s="115"/>
      <c r="E66" s="115"/>
      <c r="F66" s="115"/>
      <c r="H66" s="95">
        <v>61</v>
      </c>
      <c r="I66" s="96" t="str">
        <f t="shared" si="1"/>
        <v/>
      </c>
      <c r="J66" s="95" t="e">
        <f t="shared" si="2"/>
        <v>#NUM!</v>
      </c>
      <c r="K66" s="95" t="e">
        <f t="shared" si="3"/>
        <v>#NUM!</v>
      </c>
      <c r="L66" s="95"/>
      <c r="M66" s="97">
        <f t="shared" si="4"/>
        <v>0</v>
      </c>
      <c r="S66" s="85"/>
      <c r="T66" s="85"/>
      <c r="U66" s="85"/>
      <c r="V66" s="85"/>
      <c r="W66" s="85"/>
      <c r="X66" s="85"/>
      <c r="Y66" s="85"/>
      <c r="Z66" s="85"/>
      <c r="AA66" s="85"/>
      <c r="AB66" s="85"/>
      <c r="AC66" s="85"/>
      <c r="AD66" s="85"/>
      <c r="AE66" s="85"/>
      <c r="AF66" s="85"/>
      <c r="AG66" s="85"/>
      <c r="AH66" s="85"/>
      <c r="AI66" s="85"/>
      <c r="AJ66" s="85"/>
      <c r="AK66" s="85"/>
      <c r="AL66" s="85"/>
    </row>
    <row r="67" spans="1:38" s="80" customFormat="1" x14ac:dyDescent="0.25">
      <c r="A67" s="114"/>
      <c r="B67" s="39"/>
      <c r="C67" s="115"/>
      <c r="D67" s="115"/>
      <c r="E67" s="115"/>
      <c r="F67" s="115"/>
      <c r="H67" s="95">
        <v>62</v>
      </c>
      <c r="I67" s="96" t="str">
        <f t="shared" si="1"/>
        <v/>
      </c>
      <c r="J67" s="95" t="e">
        <f t="shared" si="2"/>
        <v>#NUM!</v>
      </c>
      <c r="K67" s="95" t="e">
        <f t="shared" si="3"/>
        <v>#NUM!</v>
      </c>
      <c r="L67" s="95"/>
      <c r="M67" s="97">
        <f t="shared" si="4"/>
        <v>0</v>
      </c>
      <c r="S67" s="85"/>
      <c r="T67" s="85"/>
      <c r="U67" s="85"/>
      <c r="V67" s="85"/>
      <c r="W67" s="85"/>
      <c r="X67" s="85"/>
      <c r="Y67" s="85"/>
      <c r="Z67" s="85"/>
      <c r="AA67" s="85"/>
      <c r="AB67" s="85"/>
      <c r="AC67" s="85"/>
      <c r="AD67" s="85"/>
      <c r="AE67" s="85"/>
      <c r="AF67" s="85"/>
      <c r="AG67" s="85"/>
      <c r="AH67" s="85"/>
      <c r="AI67" s="85"/>
      <c r="AJ67" s="85"/>
      <c r="AK67" s="85"/>
      <c r="AL67" s="85"/>
    </row>
    <row r="68" spans="1:38" s="80" customFormat="1" x14ac:dyDescent="0.25">
      <c r="A68" s="114"/>
      <c r="B68" s="33"/>
      <c r="C68" s="115"/>
      <c r="D68" s="115"/>
      <c r="E68" s="115"/>
      <c r="F68" s="115"/>
      <c r="H68" s="95">
        <v>63</v>
      </c>
      <c r="I68" s="96" t="str">
        <f t="shared" si="1"/>
        <v/>
      </c>
      <c r="J68" s="95" t="e">
        <f t="shared" si="2"/>
        <v>#NUM!</v>
      </c>
      <c r="K68" s="95" t="e">
        <f t="shared" si="3"/>
        <v>#NUM!</v>
      </c>
      <c r="L68" s="95"/>
      <c r="M68" s="97">
        <f t="shared" si="4"/>
        <v>0</v>
      </c>
      <c r="S68" s="85"/>
      <c r="T68" s="85"/>
      <c r="U68" s="85"/>
      <c r="V68" s="85"/>
      <c r="W68" s="85"/>
      <c r="X68" s="85"/>
      <c r="Y68" s="85"/>
      <c r="Z68" s="85"/>
      <c r="AA68" s="85"/>
      <c r="AB68" s="85"/>
      <c r="AC68" s="85"/>
      <c r="AD68" s="85"/>
      <c r="AE68" s="85"/>
      <c r="AF68" s="85"/>
      <c r="AG68" s="85"/>
      <c r="AH68" s="85"/>
      <c r="AI68" s="85"/>
      <c r="AJ68" s="85"/>
      <c r="AK68" s="85"/>
      <c r="AL68" s="85"/>
    </row>
    <row r="69" spans="1:38" s="80" customFormat="1" x14ac:dyDescent="0.25">
      <c r="A69" s="114"/>
      <c r="B69" s="39"/>
      <c r="C69" s="115"/>
      <c r="D69" s="115"/>
      <c r="E69" s="115"/>
      <c r="F69" s="115"/>
      <c r="H69" s="95">
        <v>64</v>
      </c>
      <c r="I69" s="96" t="str">
        <f t="shared" si="1"/>
        <v/>
      </c>
      <c r="J69" s="95" t="e">
        <f t="shared" si="2"/>
        <v>#NUM!</v>
      </c>
      <c r="K69" s="95" t="e">
        <f t="shared" si="3"/>
        <v>#NUM!</v>
      </c>
      <c r="L69" s="95"/>
      <c r="M69" s="97">
        <f t="shared" si="4"/>
        <v>0</v>
      </c>
      <c r="S69" s="85"/>
      <c r="T69" s="85"/>
      <c r="U69" s="85"/>
      <c r="V69" s="85"/>
      <c r="W69" s="85"/>
      <c r="X69" s="85"/>
      <c r="Y69" s="85"/>
      <c r="Z69" s="85"/>
      <c r="AA69" s="85"/>
      <c r="AB69" s="85"/>
      <c r="AC69" s="85"/>
      <c r="AD69" s="85"/>
      <c r="AE69" s="85"/>
      <c r="AF69" s="85"/>
      <c r="AG69" s="85"/>
      <c r="AH69" s="85"/>
      <c r="AI69" s="85"/>
      <c r="AJ69" s="85"/>
      <c r="AK69" s="85"/>
      <c r="AL69" s="85"/>
    </row>
    <row r="70" spans="1:38" s="80" customFormat="1" x14ac:dyDescent="0.25">
      <c r="A70" s="114"/>
      <c r="B70" s="115"/>
      <c r="C70" s="115"/>
      <c r="D70" s="115"/>
      <c r="E70" s="115"/>
      <c r="F70" s="115"/>
      <c r="H70" s="95">
        <v>65</v>
      </c>
      <c r="I70" s="96" t="str">
        <f t="shared" ref="I70:I133" si="7">IF(H70&lt;$H$2+1,($I$2-($I$2-1)*(LOG(H70)/LOG($H$2))),"")</f>
        <v/>
      </c>
      <c r="J70" s="95" t="e">
        <f t="shared" ref="J70:J133" si="8">INT(LOG($H$2,2))-ROUNDUP(LOG(H70,2),0)+IF(OR($H$2=1,$H$2=2,$H$2=4,$H$2=8,$H$2=16,$H$2=32,$H$2=64,$H$2=128,$H$2=256),0,1)</f>
        <v>#NUM!</v>
      </c>
      <c r="K70" s="95" t="e">
        <f t="shared" ref="K70:K133" si="9">J70*$J$2</f>
        <v>#NUM!</v>
      </c>
      <c r="L70" s="95"/>
      <c r="M70" s="97">
        <f t="shared" ref="M70:M133" si="10">IF(I70&lt;&gt;"",K70+I70+L70,0)</f>
        <v>0</v>
      </c>
      <c r="S70" s="85"/>
      <c r="T70" s="85"/>
      <c r="U70" s="85"/>
      <c r="V70" s="85"/>
      <c r="W70" s="85"/>
      <c r="X70" s="85"/>
      <c r="Y70" s="85"/>
      <c r="Z70" s="85"/>
      <c r="AA70" s="85"/>
      <c r="AB70" s="85"/>
      <c r="AC70" s="85"/>
      <c r="AD70" s="85"/>
      <c r="AE70" s="85"/>
      <c r="AF70" s="85"/>
      <c r="AG70" s="85"/>
      <c r="AH70" s="85"/>
      <c r="AI70" s="85"/>
      <c r="AJ70" s="85"/>
      <c r="AK70" s="85"/>
      <c r="AL70" s="85"/>
    </row>
    <row r="71" spans="1:38" s="80" customFormat="1" x14ac:dyDescent="0.25">
      <c r="A71" s="114"/>
      <c r="B71" s="115"/>
      <c r="C71" s="115"/>
      <c r="D71" s="115"/>
      <c r="E71" s="115"/>
      <c r="F71" s="115"/>
      <c r="H71" s="95">
        <v>66</v>
      </c>
      <c r="I71" s="96" t="str">
        <f t="shared" si="7"/>
        <v/>
      </c>
      <c r="J71" s="95" t="e">
        <f t="shared" si="8"/>
        <v>#NUM!</v>
      </c>
      <c r="K71" s="95" t="e">
        <f t="shared" si="9"/>
        <v>#NUM!</v>
      </c>
      <c r="L71" s="95"/>
      <c r="M71" s="97">
        <f t="shared" si="10"/>
        <v>0</v>
      </c>
      <c r="S71" s="85"/>
      <c r="T71" s="85"/>
      <c r="U71" s="85"/>
      <c r="V71" s="85"/>
      <c r="W71" s="85"/>
      <c r="X71" s="85"/>
      <c r="Y71" s="85"/>
      <c r="Z71" s="85"/>
      <c r="AA71" s="85"/>
      <c r="AB71" s="85"/>
      <c r="AC71" s="85"/>
      <c r="AD71" s="85"/>
      <c r="AE71" s="85"/>
      <c r="AF71" s="85"/>
      <c r="AG71" s="85"/>
      <c r="AH71" s="85"/>
      <c r="AI71" s="85"/>
      <c r="AJ71" s="85"/>
      <c r="AK71" s="85"/>
      <c r="AL71" s="85"/>
    </row>
    <row r="72" spans="1:38" s="80" customFormat="1" x14ac:dyDescent="0.25">
      <c r="A72" s="114"/>
      <c r="B72" s="115"/>
      <c r="C72" s="115"/>
      <c r="D72" s="115"/>
      <c r="E72" s="115"/>
      <c r="F72" s="115"/>
      <c r="H72" s="95">
        <v>67</v>
      </c>
      <c r="I72" s="96" t="str">
        <f t="shared" si="7"/>
        <v/>
      </c>
      <c r="J72" s="95" t="e">
        <f t="shared" si="8"/>
        <v>#NUM!</v>
      </c>
      <c r="K72" s="95" t="e">
        <f t="shared" si="9"/>
        <v>#NUM!</v>
      </c>
      <c r="L72" s="95"/>
      <c r="M72" s="97">
        <f t="shared" si="10"/>
        <v>0</v>
      </c>
      <c r="S72" s="85"/>
      <c r="T72" s="85"/>
      <c r="U72" s="85"/>
      <c r="V72" s="85"/>
      <c r="W72" s="85"/>
      <c r="X72" s="85"/>
      <c r="Y72" s="85"/>
      <c r="Z72" s="85"/>
      <c r="AA72" s="85"/>
      <c r="AB72" s="85"/>
      <c r="AC72" s="85"/>
      <c r="AD72" s="85"/>
      <c r="AE72" s="85"/>
      <c r="AF72" s="85"/>
      <c r="AG72" s="85"/>
      <c r="AH72" s="85"/>
      <c r="AI72" s="85"/>
      <c r="AJ72" s="85"/>
      <c r="AK72" s="85"/>
      <c r="AL72" s="85"/>
    </row>
    <row r="73" spans="1:38" s="80" customFormat="1" x14ac:dyDescent="0.25">
      <c r="A73" s="114"/>
      <c r="B73" s="115"/>
      <c r="C73" s="115"/>
      <c r="D73" s="115"/>
      <c r="E73" s="115"/>
      <c r="F73" s="115"/>
      <c r="H73" s="95">
        <v>68</v>
      </c>
      <c r="I73" s="96" t="str">
        <f t="shared" si="7"/>
        <v/>
      </c>
      <c r="J73" s="95" t="e">
        <f t="shared" si="8"/>
        <v>#NUM!</v>
      </c>
      <c r="K73" s="95" t="e">
        <f t="shared" si="9"/>
        <v>#NUM!</v>
      </c>
      <c r="L73" s="95"/>
      <c r="M73" s="97">
        <f t="shared" si="10"/>
        <v>0</v>
      </c>
      <c r="S73" s="85"/>
      <c r="T73" s="85"/>
      <c r="U73" s="85"/>
      <c r="V73" s="85"/>
      <c r="W73" s="85"/>
      <c r="X73" s="85"/>
      <c r="Y73" s="85"/>
      <c r="Z73" s="85"/>
      <c r="AA73" s="85"/>
      <c r="AB73" s="85"/>
      <c r="AC73" s="85"/>
      <c r="AD73" s="85"/>
      <c r="AE73" s="85"/>
      <c r="AF73" s="85"/>
      <c r="AG73" s="85"/>
      <c r="AH73" s="85"/>
      <c r="AI73" s="85"/>
      <c r="AJ73" s="85"/>
      <c r="AK73" s="85"/>
      <c r="AL73" s="85"/>
    </row>
    <row r="74" spans="1:38" s="80" customFormat="1" x14ac:dyDescent="0.25">
      <c r="A74" s="114"/>
      <c r="B74" s="115"/>
      <c r="C74" s="115"/>
      <c r="D74" s="115"/>
      <c r="E74" s="115"/>
      <c r="F74" s="115"/>
      <c r="H74" s="95">
        <v>69</v>
      </c>
      <c r="I74" s="96" t="str">
        <f t="shared" si="7"/>
        <v/>
      </c>
      <c r="J74" s="95" t="e">
        <f t="shared" si="8"/>
        <v>#NUM!</v>
      </c>
      <c r="K74" s="95" t="e">
        <f t="shared" si="9"/>
        <v>#NUM!</v>
      </c>
      <c r="L74" s="95"/>
      <c r="M74" s="97">
        <f t="shared" si="10"/>
        <v>0</v>
      </c>
      <c r="S74" s="85"/>
      <c r="T74" s="85"/>
      <c r="U74" s="85"/>
      <c r="V74" s="85"/>
      <c r="W74" s="85"/>
      <c r="X74" s="85"/>
      <c r="Y74" s="85"/>
      <c r="Z74" s="85"/>
      <c r="AA74" s="85"/>
      <c r="AB74" s="85"/>
      <c r="AC74" s="85"/>
      <c r="AD74" s="85"/>
      <c r="AE74" s="85"/>
      <c r="AF74" s="85"/>
      <c r="AG74" s="85"/>
      <c r="AH74" s="85"/>
      <c r="AI74" s="85"/>
      <c r="AJ74" s="85"/>
      <c r="AK74" s="85"/>
      <c r="AL74" s="85"/>
    </row>
    <row r="75" spans="1:38" s="80" customFormat="1" x14ac:dyDescent="0.25">
      <c r="A75" s="114"/>
      <c r="B75" s="115"/>
      <c r="C75" s="115"/>
      <c r="D75" s="115"/>
      <c r="E75" s="115"/>
      <c r="F75" s="115"/>
      <c r="H75" s="95">
        <v>70</v>
      </c>
      <c r="I75" s="96" t="str">
        <f t="shared" si="7"/>
        <v/>
      </c>
      <c r="J75" s="95" t="e">
        <f t="shared" si="8"/>
        <v>#NUM!</v>
      </c>
      <c r="K75" s="95" t="e">
        <f t="shared" si="9"/>
        <v>#NUM!</v>
      </c>
      <c r="L75" s="95"/>
      <c r="M75" s="97">
        <f t="shared" si="10"/>
        <v>0</v>
      </c>
      <c r="S75" s="85"/>
      <c r="T75" s="85"/>
      <c r="U75" s="85"/>
      <c r="V75" s="85"/>
      <c r="W75" s="85"/>
      <c r="X75" s="85"/>
      <c r="Y75" s="85"/>
      <c r="Z75" s="85"/>
      <c r="AA75" s="85"/>
      <c r="AB75" s="85"/>
      <c r="AC75" s="85"/>
      <c r="AD75" s="85"/>
      <c r="AE75" s="85"/>
      <c r="AF75" s="85"/>
      <c r="AG75" s="85"/>
      <c r="AH75" s="85"/>
      <c r="AI75" s="85"/>
      <c r="AJ75" s="85"/>
      <c r="AK75" s="85"/>
      <c r="AL75" s="85"/>
    </row>
    <row r="76" spans="1:38" s="80" customFormat="1" x14ac:dyDescent="0.25">
      <c r="A76" s="114"/>
      <c r="B76" s="115"/>
      <c r="C76" s="115"/>
      <c r="D76" s="115"/>
      <c r="E76" s="115"/>
      <c r="F76" s="115"/>
      <c r="H76" s="95">
        <v>71</v>
      </c>
      <c r="I76" s="96" t="str">
        <f t="shared" si="7"/>
        <v/>
      </c>
      <c r="J76" s="95" t="e">
        <f t="shared" si="8"/>
        <v>#NUM!</v>
      </c>
      <c r="K76" s="95" t="e">
        <f t="shared" si="9"/>
        <v>#NUM!</v>
      </c>
      <c r="L76" s="95"/>
      <c r="M76" s="97">
        <f t="shared" si="10"/>
        <v>0</v>
      </c>
      <c r="S76" s="85"/>
      <c r="T76" s="85"/>
      <c r="U76" s="85"/>
      <c r="V76" s="85"/>
      <c r="W76" s="85"/>
      <c r="X76" s="85"/>
      <c r="Y76" s="85"/>
      <c r="Z76" s="85"/>
      <c r="AA76" s="85"/>
      <c r="AB76" s="85"/>
      <c r="AC76" s="85"/>
      <c r="AD76" s="85"/>
      <c r="AE76" s="85"/>
      <c r="AF76" s="85"/>
      <c r="AG76" s="85"/>
      <c r="AH76" s="85"/>
      <c r="AI76" s="85"/>
      <c r="AJ76" s="85"/>
      <c r="AK76" s="85"/>
      <c r="AL76" s="85"/>
    </row>
    <row r="77" spans="1:38" s="80" customFormat="1" x14ac:dyDescent="0.25">
      <c r="A77" s="114"/>
      <c r="B77" s="115"/>
      <c r="C77" s="115"/>
      <c r="D77" s="115"/>
      <c r="E77" s="115"/>
      <c r="F77" s="115"/>
      <c r="H77" s="95">
        <v>72</v>
      </c>
      <c r="I77" s="96" t="str">
        <f t="shared" si="7"/>
        <v/>
      </c>
      <c r="J77" s="95" t="e">
        <f t="shared" si="8"/>
        <v>#NUM!</v>
      </c>
      <c r="K77" s="95" t="e">
        <f t="shared" si="9"/>
        <v>#NUM!</v>
      </c>
      <c r="L77" s="95"/>
      <c r="M77" s="97">
        <f t="shared" si="10"/>
        <v>0</v>
      </c>
      <c r="S77" s="85"/>
      <c r="T77" s="85"/>
      <c r="U77" s="85"/>
      <c r="V77" s="85"/>
      <c r="W77" s="85"/>
      <c r="X77" s="85"/>
      <c r="Y77" s="85"/>
      <c r="Z77" s="85"/>
      <c r="AA77" s="85"/>
      <c r="AB77" s="85"/>
      <c r="AC77" s="85"/>
      <c r="AD77" s="85"/>
      <c r="AE77" s="85"/>
      <c r="AF77" s="85"/>
      <c r="AG77" s="85"/>
      <c r="AH77" s="85"/>
      <c r="AI77" s="85"/>
      <c r="AJ77" s="85"/>
      <c r="AK77" s="85"/>
      <c r="AL77" s="85"/>
    </row>
    <row r="78" spans="1:38" s="80" customFormat="1" x14ac:dyDescent="0.25">
      <c r="A78" s="114"/>
      <c r="B78" s="115"/>
      <c r="C78" s="115"/>
      <c r="D78" s="115"/>
      <c r="E78" s="115"/>
      <c r="F78" s="115"/>
      <c r="H78" s="95">
        <v>73</v>
      </c>
      <c r="I78" s="96" t="str">
        <f t="shared" si="7"/>
        <v/>
      </c>
      <c r="J78" s="95" t="e">
        <f t="shared" si="8"/>
        <v>#NUM!</v>
      </c>
      <c r="K78" s="95" t="e">
        <f t="shared" si="9"/>
        <v>#NUM!</v>
      </c>
      <c r="L78" s="95"/>
      <c r="M78" s="97">
        <f t="shared" si="10"/>
        <v>0</v>
      </c>
      <c r="S78" s="85"/>
      <c r="T78" s="85"/>
      <c r="U78" s="85"/>
      <c r="V78" s="85"/>
      <c r="W78" s="85"/>
      <c r="X78" s="85"/>
      <c r="Y78" s="85"/>
      <c r="Z78" s="85"/>
      <c r="AA78" s="85"/>
      <c r="AB78" s="85"/>
      <c r="AC78" s="85"/>
      <c r="AD78" s="85"/>
      <c r="AE78" s="85"/>
      <c r="AF78" s="85"/>
      <c r="AG78" s="85"/>
      <c r="AH78" s="85"/>
      <c r="AI78" s="85"/>
      <c r="AJ78" s="85"/>
      <c r="AK78" s="85"/>
      <c r="AL78" s="85"/>
    </row>
    <row r="79" spans="1:38" s="80" customFormat="1" x14ac:dyDescent="0.25">
      <c r="A79" s="114"/>
      <c r="B79" s="115"/>
      <c r="C79" s="115"/>
      <c r="D79" s="115"/>
      <c r="E79" s="115"/>
      <c r="F79" s="115"/>
      <c r="H79" s="95">
        <v>74</v>
      </c>
      <c r="I79" s="96" t="str">
        <f t="shared" si="7"/>
        <v/>
      </c>
      <c r="J79" s="95" t="e">
        <f t="shared" si="8"/>
        <v>#NUM!</v>
      </c>
      <c r="K79" s="95" t="e">
        <f t="shared" si="9"/>
        <v>#NUM!</v>
      </c>
      <c r="L79" s="95"/>
      <c r="M79" s="97">
        <f t="shared" si="10"/>
        <v>0</v>
      </c>
      <c r="S79" s="85"/>
      <c r="T79" s="85"/>
      <c r="U79" s="85"/>
      <c r="V79" s="85"/>
      <c r="W79" s="85"/>
      <c r="X79" s="85"/>
      <c r="Y79" s="85"/>
      <c r="Z79" s="85"/>
      <c r="AA79" s="85"/>
      <c r="AB79" s="85"/>
      <c r="AC79" s="85"/>
      <c r="AD79" s="85"/>
      <c r="AE79" s="85"/>
      <c r="AF79" s="85"/>
      <c r="AG79" s="85"/>
      <c r="AH79" s="85"/>
      <c r="AI79" s="85"/>
      <c r="AJ79" s="85"/>
      <c r="AK79" s="85"/>
      <c r="AL79" s="85"/>
    </row>
    <row r="80" spans="1:38" s="80" customFormat="1" x14ac:dyDescent="0.25">
      <c r="A80" s="114"/>
      <c r="B80" s="115"/>
      <c r="C80" s="115"/>
      <c r="D80" s="115"/>
      <c r="E80" s="115"/>
      <c r="F80" s="115"/>
      <c r="H80" s="95">
        <v>75</v>
      </c>
      <c r="I80" s="96" t="str">
        <f t="shared" si="7"/>
        <v/>
      </c>
      <c r="J80" s="95" t="e">
        <f t="shared" si="8"/>
        <v>#NUM!</v>
      </c>
      <c r="K80" s="95" t="e">
        <f t="shared" si="9"/>
        <v>#NUM!</v>
      </c>
      <c r="L80" s="95"/>
      <c r="M80" s="97">
        <f t="shared" si="10"/>
        <v>0</v>
      </c>
      <c r="S80" s="85"/>
      <c r="T80" s="85"/>
      <c r="U80" s="85"/>
      <c r="V80" s="85"/>
      <c r="W80" s="85"/>
      <c r="X80" s="85"/>
      <c r="Y80" s="85"/>
      <c r="Z80" s="85"/>
      <c r="AA80" s="85"/>
      <c r="AB80" s="85"/>
      <c r="AC80" s="85"/>
      <c r="AD80" s="85"/>
      <c r="AE80" s="85"/>
      <c r="AF80" s="85"/>
      <c r="AG80" s="85"/>
      <c r="AH80" s="85"/>
      <c r="AI80" s="85"/>
      <c r="AJ80" s="85"/>
      <c r="AK80" s="85"/>
      <c r="AL80" s="85"/>
    </row>
    <row r="81" spans="1:38" s="80" customFormat="1" x14ac:dyDescent="0.25">
      <c r="A81" s="114"/>
      <c r="B81" s="115"/>
      <c r="C81" s="115"/>
      <c r="D81" s="115"/>
      <c r="E81" s="115"/>
      <c r="F81" s="115"/>
      <c r="H81" s="95">
        <v>76</v>
      </c>
      <c r="I81" s="96" t="str">
        <f t="shared" si="7"/>
        <v/>
      </c>
      <c r="J81" s="95" t="e">
        <f t="shared" si="8"/>
        <v>#NUM!</v>
      </c>
      <c r="K81" s="95" t="e">
        <f t="shared" si="9"/>
        <v>#NUM!</v>
      </c>
      <c r="L81" s="95"/>
      <c r="M81" s="97">
        <f t="shared" si="10"/>
        <v>0</v>
      </c>
      <c r="S81" s="85"/>
      <c r="T81" s="85"/>
      <c r="U81" s="85"/>
      <c r="V81" s="85"/>
      <c r="W81" s="85"/>
      <c r="X81" s="85"/>
      <c r="Y81" s="85"/>
      <c r="Z81" s="85"/>
      <c r="AA81" s="85"/>
      <c r="AB81" s="85"/>
      <c r="AC81" s="85"/>
      <c r="AD81" s="85"/>
      <c r="AE81" s="85"/>
      <c r="AF81" s="85"/>
      <c r="AG81" s="85"/>
      <c r="AH81" s="85"/>
      <c r="AI81" s="85"/>
      <c r="AJ81" s="85"/>
      <c r="AK81" s="85"/>
      <c r="AL81" s="85"/>
    </row>
    <row r="82" spans="1:38" s="80" customFormat="1" x14ac:dyDescent="0.25">
      <c r="A82" s="114"/>
      <c r="B82" s="115"/>
      <c r="C82" s="115"/>
      <c r="D82" s="115"/>
      <c r="E82" s="115"/>
      <c r="F82" s="115"/>
      <c r="H82" s="95">
        <v>77</v>
      </c>
      <c r="I82" s="96" t="str">
        <f t="shared" si="7"/>
        <v/>
      </c>
      <c r="J82" s="95" t="e">
        <f t="shared" si="8"/>
        <v>#NUM!</v>
      </c>
      <c r="K82" s="95" t="e">
        <f t="shared" si="9"/>
        <v>#NUM!</v>
      </c>
      <c r="L82" s="95"/>
      <c r="M82" s="97">
        <f t="shared" si="10"/>
        <v>0</v>
      </c>
      <c r="S82" s="85"/>
      <c r="T82" s="85"/>
      <c r="U82" s="85"/>
      <c r="V82" s="85"/>
      <c r="W82" s="85"/>
      <c r="X82" s="85"/>
      <c r="Y82" s="85"/>
      <c r="Z82" s="85"/>
      <c r="AA82" s="85"/>
      <c r="AB82" s="85"/>
      <c r="AC82" s="85"/>
      <c r="AD82" s="85"/>
      <c r="AE82" s="85"/>
      <c r="AF82" s="85"/>
      <c r="AG82" s="85"/>
      <c r="AH82" s="85"/>
      <c r="AI82" s="85"/>
      <c r="AJ82" s="85"/>
      <c r="AK82" s="85"/>
      <c r="AL82" s="85"/>
    </row>
    <row r="83" spans="1:38" s="80" customFormat="1" x14ac:dyDescent="0.25">
      <c r="A83" s="114"/>
      <c r="B83" s="115"/>
      <c r="C83" s="115"/>
      <c r="D83" s="115"/>
      <c r="E83" s="115"/>
      <c r="F83" s="115"/>
      <c r="H83" s="95">
        <v>78</v>
      </c>
      <c r="I83" s="96" t="str">
        <f t="shared" si="7"/>
        <v/>
      </c>
      <c r="J83" s="95" t="e">
        <f t="shared" si="8"/>
        <v>#NUM!</v>
      </c>
      <c r="K83" s="95" t="e">
        <f t="shared" si="9"/>
        <v>#NUM!</v>
      </c>
      <c r="L83" s="95"/>
      <c r="M83" s="97">
        <f t="shared" si="10"/>
        <v>0</v>
      </c>
      <c r="S83" s="85"/>
      <c r="T83" s="85"/>
      <c r="U83" s="85"/>
      <c r="V83" s="85"/>
      <c r="W83" s="85"/>
      <c r="X83" s="85"/>
      <c r="Y83" s="85"/>
      <c r="Z83" s="85"/>
      <c r="AA83" s="85"/>
      <c r="AB83" s="85"/>
      <c r="AC83" s="85"/>
      <c r="AD83" s="85"/>
      <c r="AE83" s="85"/>
      <c r="AF83" s="85"/>
      <c r="AG83" s="85"/>
      <c r="AH83" s="85"/>
      <c r="AI83" s="85"/>
      <c r="AJ83" s="85"/>
      <c r="AK83" s="85"/>
      <c r="AL83" s="85"/>
    </row>
    <row r="84" spans="1:38" s="80" customFormat="1" x14ac:dyDescent="0.25">
      <c r="A84" s="114"/>
      <c r="B84" s="115"/>
      <c r="C84" s="115"/>
      <c r="D84" s="115"/>
      <c r="E84" s="115"/>
      <c r="F84" s="115"/>
      <c r="H84" s="95">
        <v>79</v>
      </c>
      <c r="I84" s="96" t="str">
        <f t="shared" si="7"/>
        <v/>
      </c>
      <c r="J84" s="95" t="e">
        <f t="shared" si="8"/>
        <v>#NUM!</v>
      </c>
      <c r="K84" s="95" t="e">
        <f t="shared" si="9"/>
        <v>#NUM!</v>
      </c>
      <c r="L84" s="95"/>
      <c r="M84" s="97">
        <f t="shared" si="10"/>
        <v>0</v>
      </c>
      <c r="S84" s="85"/>
      <c r="T84" s="85"/>
      <c r="U84" s="85"/>
      <c r="V84" s="85"/>
      <c r="W84" s="85"/>
      <c r="X84" s="85"/>
      <c r="Y84" s="85"/>
      <c r="Z84" s="85"/>
      <c r="AA84" s="85"/>
      <c r="AB84" s="85"/>
      <c r="AC84" s="85"/>
      <c r="AD84" s="85"/>
      <c r="AE84" s="85"/>
      <c r="AF84" s="85"/>
      <c r="AG84" s="85"/>
      <c r="AH84" s="85"/>
      <c r="AI84" s="85"/>
      <c r="AJ84" s="85"/>
      <c r="AK84" s="85"/>
      <c r="AL84" s="85"/>
    </row>
    <row r="85" spans="1:38" s="80" customFormat="1" x14ac:dyDescent="0.25">
      <c r="A85" s="114"/>
      <c r="B85" s="115"/>
      <c r="C85" s="115"/>
      <c r="D85" s="115"/>
      <c r="E85" s="115"/>
      <c r="F85" s="115"/>
      <c r="H85" s="95">
        <v>80</v>
      </c>
      <c r="I85" s="96" t="str">
        <f t="shared" si="7"/>
        <v/>
      </c>
      <c r="J85" s="95" t="e">
        <f t="shared" si="8"/>
        <v>#NUM!</v>
      </c>
      <c r="K85" s="95" t="e">
        <f t="shared" si="9"/>
        <v>#NUM!</v>
      </c>
      <c r="L85" s="95"/>
      <c r="M85" s="97">
        <f t="shared" si="10"/>
        <v>0</v>
      </c>
      <c r="S85" s="85"/>
      <c r="T85" s="85"/>
      <c r="U85" s="85"/>
      <c r="V85" s="85"/>
      <c r="W85" s="85"/>
      <c r="X85" s="85"/>
      <c r="Y85" s="85"/>
      <c r="Z85" s="85"/>
      <c r="AA85" s="85"/>
      <c r="AB85" s="85"/>
      <c r="AC85" s="85"/>
      <c r="AD85" s="85"/>
      <c r="AE85" s="85"/>
      <c r="AF85" s="85"/>
      <c r="AG85" s="85"/>
      <c r="AH85" s="85"/>
      <c r="AI85" s="85"/>
      <c r="AJ85" s="85"/>
      <c r="AK85" s="85"/>
      <c r="AL85" s="85"/>
    </row>
    <row r="86" spans="1:38" s="80" customFormat="1" x14ac:dyDescent="0.25">
      <c r="A86" s="114"/>
      <c r="B86" s="115"/>
      <c r="C86" s="115"/>
      <c r="D86" s="115"/>
      <c r="E86" s="115"/>
      <c r="F86" s="115"/>
      <c r="H86" s="95">
        <v>81</v>
      </c>
      <c r="I86" s="96" t="str">
        <f t="shared" si="7"/>
        <v/>
      </c>
      <c r="J86" s="95" t="e">
        <f t="shared" si="8"/>
        <v>#NUM!</v>
      </c>
      <c r="K86" s="95" t="e">
        <f t="shared" si="9"/>
        <v>#NUM!</v>
      </c>
      <c r="L86" s="95"/>
      <c r="M86" s="97">
        <f t="shared" si="10"/>
        <v>0</v>
      </c>
      <c r="S86" s="85"/>
      <c r="T86" s="85"/>
      <c r="U86" s="85"/>
      <c r="V86" s="85"/>
      <c r="W86" s="85"/>
      <c r="X86" s="85"/>
      <c r="Y86" s="85"/>
      <c r="Z86" s="85"/>
      <c r="AA86" s="85"/>
      <c r="AB86" s="85"/>
      <c r="AC86" s="85"/>
      <c r="AD86" s="85"/>
      <c r="AE86" s="85"/>
      <c r="AF86" s="85"/>
      <c r="AG86" s="85"/>
      <c r="AH86" s="85"/>
      <c r="AI86" s="85"/>
      <c r="AJ86" s="85"/>
      <c r="AK86" s="85"/>
      <c r="AL86" s="85"/>
    </row>
    <row r="87" spans="1:38" s="80" customFormat="1" x14ac:dyDescent="0.25">
      <c r="A87" s="114"/>
      <c r="B87" s="115"/>
      <c r="C87" s="115"/>
      <c r="D87" s="115"/>
      <c r="E87" s="115"/>
      <c r="F87" s="115"/>
      <c r="H87" s="95">
        <v>82</v>
      </c>
      <c r="I87" s="96" t="str">
        <f t="shared" si="7"/>
        <v/>
      </c>
      <c r="J87" s="95" t="e">
        <f t="shared" si="8"/>
        <v>#NUM!</v>
      </c>
      <c r="K87" s="95" t="e">
        <f t="shared" si="9"/>
        <v>#NUM!</v>
      </c>
      <c r="L87" s="95"/>
      <c r="M87" s="97">
        <f t="shared" si="10"/>
        <v>0</v>
      </c>
      <c r="S87" s="85"/>
      <c r="T87" s="85"/>
      <c r="U87" s="85"/>
      <c r="V87" s="85"/>
      <c r="W87" s="85"/>
      <c r="X87" s="85"/>
      <c r="Y87" s="85"/>
      <c r="Z87" s="85"/>
      <c r="AA87" s="85"/>
      <c r="AB87" s="85"/>
      <c r="AC87" s="85"/>
      <c r="AD87" s="85"/>
      <c r="AE87" s="85"/>
      <c r="AF87" s="85"/>
      <c r="AG87" s="85"/>
      <c r="AH87" s="85"/>
      <c r="AI87" s="85"/>
      <c r="AJ87" s="85"/>
      <c r="AK87" s="85"/>
      <c r="AL87" s="85"/>
    </row>
    <row r="88" spans="1:38" s="80" customFormat="1" x14ac:dyDescent="0.25">
      <c r="A88" s="114"/>
      <c r="B88" s="115"/>
      <c r="C88" s="115"/>
      <c r="D88" s="115"/>
      <c r="E88" s="115"/>
      <c r="F88" s="115"/>
      <c r="H88" s="95">
        <v>83</v>
      </c>
      <c r="I88" s="96" t="str">
        <f t="shared" si="7"/>
        <v/>
      </c>
      <c r="J88" s="95" t="e">
        <f t="shared" si="8"/>
        <v>#NUM!</v>
      </c>
      <c r="K88" s="95" t="e">
        <f t="shared" si="9"/>
        <v>#NUM!</v>
      </c>
      <c r="L88" s="95"/>
      <c r="M88" s="97">
        <f t="shared" si="10"/>
        <v>0</v>
      </c>
      <c r="S88" s="85"/>
      <c r="T88" s="85"/>
      <c r="U88" s="85"/>
      <c r="V88" s="85"/>
      <c r="W88" s="85"/>
      <c r="X88" s="85"/>
      <c r="Y88" s="85"/>
      <c r="Z88" s="85"/>
      <c r="AA88" s="85"/>
      <c r="AB88" s="85"/>
      <c r="AC88" s="85"/>
      <c r="AD88" s="85"/>
      <c r="AE88" s="85"/>
      <c r="AF88" s="85"/>
      <c r="AG88" s="85"/>
      <c r="AH88" s="85"/>
      <c r="AI88" s="85"/>
      <c r="AJ88" s="85"/>
      <c r="AK88" s="85"/>
      <c r="AL88" s="85"/>
    </row>
    <row r="89" spans="1:38" s="80" customFormat="1" x14ac:dyDescent="0.25">
      <c r="A89" s="114"/>
      <c r="B89" s="115"/>
      <c r="C89" s="115"/>
      <c r="D89" s="115"/>
      <c r="E89" s="115"/>
      <c r="F89" s="115"/>
      <c r="H89" s="95">
        <v>84</v>
      </c>
      <c r="I89" s="96" t="str">
        <f t="shared" si="7"/>
        <v/>
      </c>
      <c r="J89" s="95" t="e">
        <f t="shared" si="8"/>
        <v>#NUM!</v>
      </c>
      <c r="K89" s="95" t="e">
        <f t="shared" si="9"/>
        <v>#NUM!</v>
      </c>
      <c r="L89" s="95"/>
      <c r="M89" s="97">
        <f t="shared" si="10"/>
        <v>0</v>
      </c>
      <c r="S89" s="85"/>
      <c r="T89" s="85"/>
      <c r="U89" s="85"/>
      <c r="V89" s="85"/>
      <c r="W89" s="85"/>
      <c r="X89" s="85"/>
      <c r="Y89" s="85"/>
      <c r="Z89" s="85"/>
      <c r="AA89" s="85"/>
      <c r="AB89" s="85"/>
      <c r="AC89" s="85"/>
      <c r="AD89" s="85"/>
      <c r="AE89" s="85"/>
      <c r="AF89" s="85"/>
      <c r="AG89" s="85"/>
      <c r="AH89" s="85"/>
      <c r="AI89" s="85"/>
      <c r="AJ89" s="85"/>
      <c r="AK89" s="85"/>
      <c r="AL89" s="85"/>
    </row>
    <row r="90" spans="1:38" s="80" customFormat="1" x14ac:dyDescent="0.25">
      <c r="A90" s="114"/>
      <c r="B90" s="115"/>
      <c r="C90" s="115"/>
      <c r="D90" s="115"/>
      <c r="E90" s="115"/>
      <c r="F90" s="115"/>
      <c r="H90" s="95">
        <v>85</v>
      </c>
      <c r="I90" s="96" t="str">
        <f t="shared" si="7"/>
        <v/>
      </c>
      <c r="J90" s="95" t="e">
        <f t="shared" si="8"/>
        <v>#NUM!</v>
      </c>
      <c r="K90" s="95" t="e">
        <f t="shared" si="9"/>
        <v>#NUM!</v>
      </c>
      <c r="L90" s="95"/>
      <c r="M90" s="97">
        <f t="shared" si="10"/>
        <v>0</v>
      </c>
      <c r="S90" s="85"/>
      <c r="T90" s="85"/>
      <c r="U90" s="85"/>
      <c r="V90" s="85"/>
      <c r="W90" s="85"/>
      <c r="X90" s="85"/>
      <c r="Y90" s="85"/>
      <c r="Z90" s="85"/>
      <c r="AA90" s="85"/>
      <c r="AB90" s="85"/>
      <c r="AC90" s="85"/>
      <c r="AD90" s="85"/>
      <c r="AE90" s="85"/>
      <c r="AF90" s="85"/>
      <c r="AG90" s="85"/>
      <c r="AH90" s="85"/>
      <c r="AI90" s="85"/>
      <c r="AJ90" s="85"/>
      <c r="AK90" s="85"/>
      <c r="AL90" s="85"/>
    </row>
    <row r="91" spans="1:38" s="80" customFormat="1" x14ac:dyDescent="0.25">
      <c r="A91" s="114"/>
      <c r="B91" s="115"/>
      <c r="C91" s="115"/>
      <c r="D91" s="115"/>
      <c r="E91" s="115"/>
      <c r="F91" s="115"/>
      <c r="H91" s="95">
        <v>86</v>
      </c>
      <c r="I91" s="96" t="str">
        <f t="shared" si="7"/>
        <v/>
      </c>
      <c r="J91" s="95" t="e">
        <f t="shared" si="8"/>
        <v>#NUM!</v>
      </c>
      <c r="K91" s="95" t="e">
        <f t="shared" si="9"/>
        <v>#NUM!</v>
      </c>
      <c r="L91" s="95"/>
      <c r="M91" s="97">
        <f t="shared" si="10"/>
        <v>0</v>
      </c>
      <c r="S91" s="85"/>
      <c r="T91" s="85"/>
      <c r="U91" s="85"/>
      <c r="V91" s="85"/>
      <c r="W91" s="85"/>
      <c r="X91" s="85"/>
      <c r="Y91" s="85"/>
      <c r="Z91" s="85"/>
      <c r="AA91" s="85"/>
      <c r="AB91" s="85"/>
      <c r="AC91" s="85"/>
      <c r="AD91" s="85"/>
      <c r="AE91" s="85"/>
      <c r="AF91" s="85"/>
      <c r="AG91" s="85"/>
      <c r="AH91" s="85"/>
      <c r="AI91" s="85"/>
      <c r="AJ91" s="85"/>
      <c r="AK91" s="85"/>
      <c r="AL91" s="85"/>
    </row>
    <row r="92" spans="1:38" s="80" customFormat="1" x14ac:dyDescent="0.25">
      <c r="A92" s="114"/>
      <c r="B92" s="115"/>
      <c r="C92" s="115"/>
      <c r="D92" s="115"/>
      <c r="E92" s="115"/>
      <c r="F92" s="115"/>
      <c r="H92" s="95">
        <v>87</v>
      </c>
      <c r="I92" s="96" t="str">
        <f t="shared" si="7"/>
        <v/>
      </c>
      <c r="J92" s="95" t="e">
        <f t="shared" si="8"/>
        <v>#NUM!</v>
      </c>
      <c r="K92" s="95" t="e">
        <f t="shared" si="9"/>
        <v>#NUM!</v>
      </c>
      <c r="L92" s="95"/>
      <c r="M92" s="97">
        <f t="shared" si="10"/>
        <v>0</v>
      </c>
      <c r="S92" s="85"/>
      <c r="T92" s="85"/>
      <c r="U92" s="85"/>
      <c r="V92" s="85"/>
      <c r="W92" s="85"/>
      <c r="X92" s="85"/>
      <c r="Y92" s="85"/>
      <c r="Z92" s="85"/>
      <c r="AA92" s="85"/>
      <c r="AB92" s="85"/>
      <c r="AC92" s="85"/>
      <c r="AD92" s="85"/>
      <c r="AE92" s="85"/>
      <c r="AF92" s="85"/>
      <c r="AG92" s="85"/>
      <c r="AH92" s="85"/>
      <c r="AI92" s="85"/>
      <c r="AJ92" s="85"/>
      <c r="AK92" s="85"/>
      <c r="AL92" s="85"/>
    </row>
    <row r="93" spans="1:38" s="80" customFormat="1" x14ac:dyDescent="0.25">
      <c r="A93" s="114"/>
      <c r="B93" s="115"/>
      <c r="C93" s="115"/>
      <c r="D93" s="115"/>
      <c r="E93" s="115"/>
      <c r="F93" s="115"/>
      <c r="H93" s="95">
        <v>88</v>
      </c>
      <c r="I93" s="96" t="str">
        <f t="shared" si="7"/>
        <v/>
      </c>
      <c r="J93" s="95" t="e">
        <f t="shared" si="8"/>
        <v>#NUM!</v>
      </c>
      <c r="K93" s="95" t="e">
        <f t="shared" si="9"/>
        <v>#NUM!</v>
      </c>
      <c r="L93" s="95"/>
      <c r="M93" s="97">
        <f t="shared" si="10"/>
        <v>0</v>
      </c>
      <c r="S93" s="85"/>
      <c r="T93" s="85"/>
      <c r="U93" s="85"/>
      <c r="V93" s="85"/>
      <c r="W93" s="85"/>
      <c r="X93" s="85"/>
      <c r="Y93" s="85"/>
      <c r="Z93" s="85"/>
      <c r="AA93" s="85"/>
      <c r="AB93" s="85"/>
      <c r="AC93" s="85"/>
      <c r="AD93" s="85"/>
      <c r="AE93" s="85"/>
      <c r="AF93" s="85"/>
      <c r="AG93" s="85"/>
      <c r="AH93" s="85"/>
      <c r="AI93" s="85"/>
      <c r="AJ93" s="85"/>
      <c r="AK93" s="85"/>
      <c r="AL93" s="85"/>
    </row>
    <row r="94" spans="1:38" s="80" customFormat="1" x14ac:dyDescent="0.25">
      <c r="A94" s="114"/>
      <c r="B94" s="115"/>
      <c r="C94" s="115"/>
      <c r="D94" s="115"/>
      <c r="E94" s="115"/>
      <c r="F94" s="115"/>
      <c r="H94" s="95">
        <v>89</v>
      </c>
      <c r="I94" s="96" t="str">
        <f t="shared" si="7"/>
        <v/>
      </c>
      <c r="J94" s="95" t="e">
        <f t="shared" si="8"/>
        <v>#NUM!</v>
      </c>
      <c r="K94" s="95" t="e">
        <f t="shared" si="9"/>
        <v>#NUM!</v>
      </c>
      <c r="L94" s="95"/>
      <c r="M94" s="97">
        <f t="shared" si="10"/>
        <v>0</v>
      </c>
      <c r="S94" s="85"/>
      <c r="T94" s="85"/>
      <c r="U94" s="85"/>
      <c r="V94" s="85"/>
      <c r="W94" s="85"/>
      <c r="X94" s="85"/>
      <c r="Y94" s="85"/>
      <c r="Z94" s="85"/>
      <c r="AA94" s="85"/>
      <c r="AB94" s="85"/>
      <c r="AC94" s="85"/>
      <c r="AD94" s="85"/>
      <c r="AE94" s="85"/>
      <c r="AF94" s="85"/>
      <c r="AG94" s="85"/>
      <c r="AH94" s="85"/>
      <c r="AI94" s="85"/>
      <c r="AJ94" s="85"/>
      <c r="AK94" s="85"/>
      <c r="AL94" s="85"/>
    </row>
    <row r="95" spans="1:38" s="80" customFormat="1" x14ac:dyDescent="0.25">
      <c r="A95" s="114"/>
      <c r="B95" s="115"/>
      <c r="C95" s="115"/>
      <c r="D95" s="115"/>
      <c r="E95" s="115"/>
      <c r="F95" s="115"/>
      <c r="H95" s="95">
        <v>90</v>
      </c>
      <c r="I95" s="96" t="str">
        <f t="shared" si="7"/>
        <v/>
      </c>
      <c r="J95" s="95" t="e">
        <f t="shared" si="8"/>
        <v>#NUM!</v>
      </c>
      <c r="K95" s="95" t="e">
        <f t="shared" si="9"/>
        <v>#NUM!</v>
      </c>
      <c r="L95" s="95"/>
      <c r="M95" s="97">
        <f t="shared" si="10"/>
        <v>0</v>
      </c>
      <c r="S95" s="85"/>
      <c r="T95" s="85"/>
      <c r="U95" s="85"/>
      <c r="V95" s="85"/>
      <c r="W95" s="85"/>
      <c r="X95" s="85"/>
      <c r="Y95" s="85"/>
      <c r="Z95" s="85"/>
      <c r="AA95" s="85"/>
      <c r="AB95" s="85"/>
      <c r="AC95" s="85"/>
      <c r="AD95" s="85"/>
      <c r="AE95" s="85"/>
      <c r="AF95" s="85"/>
      <c r="AG95" s="85"/>
      <c r="AH95" s="85"/>
      <c r="AI95" s="85"/>
      <c r="AJ95" s="85"/>
      <c r="AK95" s="85"/>
      <c r="AL95" s="85"/>
    </row>
    <row r="96" spans="1:38" s="80" customFormat="1" x14ac:dyDescent="0.25">
      <c r="A96" s="114"/>
      <c r="B96" s="115"/>
      <c r="C96" s="115"/>
      <c r="D96" s="115"/>
      <c r="E96" s="115"/>
      <c r="F96" s="115"/>
      <c r="H96" s="95">
        <v>91</v>
      </c>
      <c r="I96" s="96" t="str">
        <f t="shared" si="7"/>
        <v/>
      </c>
      <c r="J96" s="95" t="e">
        <f t="shared" si="8"/>
        <v>#NUM!</v>
      </c>
      <c r="K96" s="95" t="e">
        <f t="shared" si="9"/>
        <v>#NUM!</v>
      </c>
      <c r="L96" s="95"/>
      <c r="M96" s="97">
        <f t="shared" si="10"/>
        <v>0</v>
      </c>
      <c r="S96" s="85"/>
      <c r="T96" s="85"/>
      <c r="U96" s="85"/>
      <c r="V96" s="85"/>
      <c r="W96" s="85"/>
      <c r="X96" s="85"/>
      <c r="Y96" s="85"/>
      <c r="Z96" s="85"/>
      <c r="AA96" s="85"/>
      <c r="AB96" s="85"/>
      <c r="AC96" s="85"/>
      <c r="AD96" s="85"/>
      <c r="AE96" s="85"/>
      <c r="AF96" s="85"/>
      <c r="AG96" s="85"/>
      <c r="AH96" s="85"/>
      <c r="AI96" s="85"/>
      <c r="AJ96" s="85"/>
      <c r="AK96" s="85"/>
      <c r="AL96" s="85"/>
    </row>
    <row r="97" spans="1:38" s="80" customFormat="1" x14ac:dyDescent="0.25">
      <c r="A97" s="114"/>
      <c r="B97" s="115"/>
      <c r="C97" s="115"/>
      <c r="D97" s="115"/>
      <c r="E97" s="115"/>
      <c r="F97" s="115"/>
      <c r="H97" s="95">
        <v>92</v>
      </c>
      <c r="I97" s="96" t="str">
        <f t="shared" si="7"/>
        <v/>
      </c>
      <c r="J97" s="95" t="e">
        <f t="shared" si="8"/>
        <v>#NUM!</v>
      </c>
      <c r="K97" s="95" t="e">
        <f t="shared" si="9"/>
        <v>#NUM!</v>
      </c>
      <c r="L97" s="95"/>
      <c r="M97" s="97">
        <f t="shared" si="10"/>
        <v>0</v>
      </c>
      <c r="S97" s="85"/>
      <c r="T97" s="85"/>
      <c r="U97" s="85"/>
      <c r="V97" s="85"/>
      <c r="W97" s="85"/>
      <c r="X97" s="85"/>
      <c r="Y97" s="85"/>
      <c r="Z97" s="85"/>
      <c r="AA97" s="85"/>
      <c r="AB97" s="85"/>
      <c r="AC97" s="85"/>
      <c r="AD97" s="85"/>
      <c r="AE97" s="85"/>
      <c r="AF97" s="85"/>
      <c r="AG97" s="85"/>
      <c r="AH97" s="85"/>
      <c r="AI97" s="85"/>
      <c r="AJ97" s="85"/>
      <c r="AK97" s="85"/>
      <c r="AL97" s="85"/>
    </row>
    <row r="98" spans="1:38" s="80" customFormat="1" x14ac:dyDescent="0.25">
      <c r="A98" s="114"/>
      <c r="B98" s="115"/>
      <c r="C98" s="115"/>
      <c r="D98" s="115"/>
      <c r="E98" s="115"/>
      <c r="F98" s="115"/>
      <c r="H98" s="95">
        <v>93</v>
      </c>
      <c r="I98" s="96" t="str">
        <f t="shared" si="7"/>
        <v/>
      </c>
      <c r="J98" s="95" t="e">
        <f t="shared" si="8"/>
        <v>#NUM!</v>
      </c>
      <c r="K98" s="95" t="e">
        <f t="shared" si="9"/>
        <v>#NUM!</v>
      </c>
      <c r="L98" s="95"/>
      <c r="M98" s="97">
        <f t="shared" si="10"/>
        <v>0</v>
      </c>
      <c r="S98" s="85"/>
      <c r="T98" s="85"/>
      <c r="U98" s="85"/>
      <c r="V98" s="85"/>
      <c r="W98" s="85"/>
      <c r="X98" s="85"/>
      <c r="Y98" s="85"/>
      <c r="Z98" s="85"/>
      <c r="AA98" s="85"/>
      <c r="AB98" s="85"/>
      <c r="AC98" s="85"/>
      <c r="AD98" s="85"/>
      <c r="AE98" s="85"/>
      <c r="AF98" s="85"/>
      <c r="AG98" s="85"/>
      <c r="AH98" s="85"/>
      <c r="AI98" s="85"/>
      <c r="AJ98" s="85"/>
      <c r="AK98" s="85"/>
      <c r="AL98" s="85"/>
    </row>
    <row r="99" spans="1:38" s="80" customFormat="1" x14ac:dyDescent="0.25">
      <c r="A99" s="114"/>
      <c r="B99" s="115"/>
      <c r="C99" s="115"/>
      <c r="D99" s="115"/>
      <c r="E99" s="115"/>
      <c r="F99" s="115"/>
      <c r="H99" s="95">
        <v>94</v>
      </c>
      <c r="I99" s="96" t="str">
        <f t="shared" si="7"/>
        <v/>
      </c>
      <c r="J99" s="95" t="e">
        <f t="shared" si="8"/>
        <v>#NUM!</v>
      </c>
      <c r="K99" s="95" t="e">
        <f t="shared" si="9"/>
        <v>#NUM!</v>
      </c>
      <c r="L99" s="95"/>
      <c r="M99" s="97">
        <f t="shared" si="10"/>
        <v>0</v>
      </c>
      <c r="S99" s="85"/>
      <c r="T99" s="85"/>
      <c r="U99" s="85"/>
      <c r="V99" s="85"/>
      <c r="W99" s="85"/>
      <c r="X99" s="85"/>
      <c r="Y99" s="85"/>
      <c r="Z99" s="85"/>
      <c r="AA99" s="85"/>
      <c r="AB99" s="85"/>
      <c r="AC99" s="85"/>
      <c r="AD99" s="85"/>
      <c r="AE99" s="85"/>
      <c r="AF99" s="85"/>
      <c r="AG99" s="85"/>
      <c r="AH99" s="85"/>
      <c r="AI99" s="85"/>
      <c r="AJ99" s="85"/>
      <c r="AK99" s="85"/>
      <c r="AL99" s="85"/>
    </row>
    <row r="100" spans="1:38" s="80" customFormat="1" x14ac:dyDescent="0.25">
      <c r="A100" s="114"/>
      <c r="B100" s="115"/>
      <c r="C100" s="115"/>
      <c r="D100" s="115"/>
      <c r="E100" s="115"/>
      <c r="F100" s="115"/>
      <c r="H100" s="95">
        <v>95</v>
      </c>
      <c r="I100" s="96" t="str">
        <f t="shared" si="7"/>
        <v/>
      </c>
      <c r="J100" s="95" t="e">
        <f t="shared" si="8"/>
        <v>#NUM!</v>
      </c>
      <c r="K100" s="95" t="e">
        <f t="shared" si="9"/>
        <v>#NUM!</v>
      </c>
      <c r="L100" s="95"/>
      <c r="M100" s="97">
        <f t="shared" si="10"/>
        <v>0</v>
      </c>
      <c r="S100" s="85"/>
      <c r="T100" s="85"/>
      <c r="U100" s="85"/>
      <c r="V100" s="85"/>
      <c r="W100" s="85"/>
      <c r="X100" s="85"/>
      <c r="Y100" s="85"/>
      <c r="Z100" s="85"/>
      <c r="AA100" s="85"/>
      <c r="AB100" s="85"/>
      <c r="AC100" s="85"/>
      <c r="AD100" s="85"/>
      <c r="AE100" s="85"/>
      <c r="AF100" s="85"/>
      <c r="AG100" s="85"/>
      <c r="AH100" s="85"/>
      <c r="AI100" s="85"/>
      <c r="AJ100" s="85"/>
      <c r="AK100" s="85"/>
      <c r="AL100" s="85"/>
    </row>
    <row r="101" spans="1:38" s="80" customFormat="1" x14ac:dyDescent="0.25">
      <c r="A101" s="116"/>
      <c r="B101" s="115"/>
      <c r="C101" s="115"/>
      <c r="D101" s="115"/>
      <c r="E101" s="115"/>
      <c r="F101" s="115"/>
      <c r="H101" s="95">
        <v>96</v>
      </c>
      <c r="I101" s="96" t="str">
        <f t="shared" si="7"/>
        <v/>
      </c>
      <c r="J101" s="95" t="e">
        <f t="shared" si="8"/>
        <v>#NUM!</v>
      </c>
      <c r="K101" s="95" t="e">
        <f t="shared" si="9"/>
        <v>#NUM!</v>
      </c>
      <c r="L101" s="95"/>
      <c r="M101" s="97">
        <f t="shared" si="10"/>
        <v>0</v>
      </c>
      <c r="S101" s="85"/>
      <c r="T101" s="85"/>
      <c r="U101" s="85"/>
      <c r="V101" s="85"/>
      <c r="W101" s="85"/>
      <c r="X101" s="85"/>
      <c r="Y101" s="85"/>
      <c r="Z101" s="85"/>
      <c r="AA101" s="85"/>
      <c r="AB101" s="85"/>
      <c r="AC101" s="85"/>
      <c r="AD101" s="85"/>
      <c r="AE101" s="85"/>
      <c r="AF101" s="85"/>
      <c r="AG101" s="85"/>
      <c r="AH101" s="85"/>
      <c r="AI101" s="85"/>
      <c r="AJ101" s="85"/>
      <c r="AK101" s="85"/>
      <c r="AL101" s="85"/>
    </row>
    <row r="102" spans="1:38" s="80" customFormat="1" x14ac:dyDescent="0.25">
      <c r="A102" s="116"/>
      <c r="B102" s="115"/>
      <c r="C102" s="115"/>
      <c r="D102" s="115"/>
      <c r="E102" s="115"/>
      <c r="F102" s="115"/>
      <c r="H102" s="95">
        <v>97</v>
      </c>
      <c r="I102" s="96" t="str">
        <f t="shared" si="7"/>
        <v/>
      </c>
      <c r="J102" s="95" t="e">
        <f t="shared" si="8"/>
        <v>#NUM!</v>
      </c>
      <c r="K102" s="95" t="e">
        <f t="shared" si="9"/>
        <v>#NUM!</v>
      </c>
      <c r="L102" s="95"/>
      <c r="M102" s="97">
        <f t="shared" si="10"/>
        <v>0</v>
      </c>
      <c r="S102" s="85"/>
      <c r="T102" s="85"/>
      <c r="U102" s="85"/>
      <c r="V102" s="85"/>
      <c r="W102" s="85"/>
      <c r="X102" s="85"/>
      <c r="Y102" s="85"/>
      <c r="Z102" s="85"/>
      <c r="AA102" s="85"/>
      <c r="AB102" s="85"/>
      <c r="AC102" s="85"/>
      <c r="AD102" s="85"/>
      <c r="AE102" s="85"/>
      <c r="AF102" s="85"/>
      <c r="AG102" s="85"/>
      <c r="AH102" s="85"/>
      <c r="AI102" s="85"/>
      <c r="AJ102" s="85"/>
      <c r="AK102" s="85"/>
      <c r="AL102" s="85"/>
    </row>
    <row r="103" spans="1:38" s="80" customFormat="1" x14ac:dyDescent="0.25">
      <c r="A103" s="116"/>
      <c r="B103" s="115"/>
      <c r="C103" s="115"/>
      <c r="D103" s="115"/>
      <c r="E103" s="115"/>
      <c r="F103" s="115"/>
      <c r="H103" s="95">
        <v>98</v>
      </c>
      <c r="I103" s="96" t="str">
        <f t="shared" si="7"/>
        <v/>
      </c>
      <c r="J103" s="95" t="e">
        <f t="shared" si="8"/>
        <v>#NUM!</v>
      </c>
      <c r="K103" s="95" t="e">
        <f t="shared" si="9"/>
        <v>#NUM!</v>
      </c>
      <c r="L103" s="95"/>
      <c r="M103" s="97">
        <f t="shared" si="10"/>
        <v>0</v>
      </c>
      <c r="S103" s="85"/>
      <c r="T103" s="85"/>
      <c r="U103" s="85"/>
      <c r="V103" s="85"/>
      <c r="W103" s="85"/>
      <c r="X103" s="85"/>
      <c r="Y103" s="85"/>
      <c r="Z103" s="85"/>
      <c r="AA103" s="85"/>
      <c r="AB103" s="85"/>
      <c r="AC103" s="85"/>
      <c r="AD103" s="85"/>
      <c r="AE103" s="85"/>
      <c r="AF103" s="85"/>
      <c r="AG103" s="85"/>
      <c r="AH103" s="85"/>
      <c r="AI103" s="85"/>
      <c r="AJ103" s="85"/>
      <c r="AK103" s="85"/>
      <c r="AL103" s="85"/>
    </row>
    <row r="104" spans="1:38" s="80" customFormat="1" x14ac:dyDescent="0.25">
      <c r="A104" s="116"/>
      <c r="B104" s="115"/>
      <c r="C104" s="115"/>
      <c r="D104" s="115"/>
      <c r="E104" s="115"/>
      <c r="F104" s="115"/>
      <c r="H104" s="95">
        <v>99</v>
      </c>
      <c r="I104" s="96" t="str">
        <f t="shared" si="7"/>
        <v/>
      </c>
      <c r="J104" s="95" t="e">
        <f t="shared" si="8"/>
        <v>#NUM!</v>
      </c>
      <c r="K104" s="95" t="e">
        <f t="shared" si="9"/>
        <v>#NUM!</v>
      </c>
      <c r="L104" s="95"/>
      <c r="M104" s="97">
        <f t="shared" si="10"/>
        <v>0</v>
      </c>
      <c r="S104" s="85"/>
      <c r="T104" s="85"/>
      <c r="U104" s="85"/>
      <c r="V104" s="85"/>
      <c r="W104" s="85"/>
      <c r="X104" s="85"/>
      <c r="Y104" s="85"/>
      <c r="Z104" s="85"/>
      <c r="AA104" s="85"/>
      <c r="AB104" s="85"/>
      <c r="AC104" s="85"/>
      <c r="AD104" s="85"/>
      <c r="AE104" s="85"/>
      <c r="AF104" s="85"/>
      <c r="AG104" s="85"/>
      <c r="AH104" s="85"/>
      <c r="AI104" s="85"/>
      <c r="AJ104" s="85"/>
      <c r="AK104" s="85"/>
      <c r="AL104" s="85"/>
    </row>
    <row r="105" spans="1:38" s="80" customFormat="1" x14ac:dyDescent="0.25">
      <c r="A105" s="116"/>
      <c r="B105" s="115"/>
      <c r="C105" s="115"/>
      <c r="D105" s="115"/>
      <c r="E105" s="115"/>
      <c r="F105" s="115"/>
      <c r="H105" s="95">
        <v>100</v>
      </c>
      <c r="I105" s="96" t="str">
        <f t="shared" si="7"/>
        <v/>
      </c>
      <c r="J105" s="95" t="e">
        <f t="shared" si="8"/>
        <v>#NUM!</v>
      </c>
      <c r="K105" s="95" t="e">
        <f t="shared" si="9"/>
        <v>#NUM!</v>
      </c>
      <c r="L105" s="95"/>
      <c r="M105" s="97">
        <f t="shared" si="10"/>
        <v>0</v>
      </c>
      <c r="S105" s="85"/>
      <c r="T105" s="85"/>
      <c r="U105" s="85"/>
      <c r="V105" s="85"/>
      <c r="W105" s="85"/>
      <c r="X105" s="85"/>
      <c r="Y105" s="85"/>
      <c r="Z105" s="85"/>
      <c r="AA105" s="85"/>
      <c r="AB105" s="85"/>
      <c r="AC105" s="85"/>
      <c r="AD105" s="85"/>
      <c r="AE105" s="85"/>
      <c r="AF105" s="85"/>
      <c r="AG105" s="85"/>
      <c r="AH105" s="85"/>
      <c r="AI105" s="85"/>
      <c r="AJ105" s="85"/>
      <c r="AK105" s="85"/>
      <c r="AL105" s="85"/>
    </row>
    <row r="106" spans="1:38" s="80" customFormat="1" x14ac:dyDescent="0.25">
      <c r="A106" s="116"/>
      <c r="B106" s="115"/>
      <c r="C106" s="115"/>
      <c r="D106" s="115"/>
      <c r="E106" s="115"/>
      <c r="F106" s="115"/>
      <c r="H106" s="95">
        <v>101</v>
      </c>
      <c r="I106" s="96" t="str">
        <f t="shared" si="7"/>
        <v/>
      </c>
      <c r="J106" s="95" t="e">
        <f t="shared" si="8"/>
        <v>#NUM!</v>
      </c>
      <c r="K106" s="95" t="e">
        <f t="shared" si="9"/>
        <v>#NUM!</v>
      </c>
      <c r="L106" s="95"/>
      <c r="M106" s="97">
        <f t="shared" si="10"/>
        <v>0</v>
      </c>
      <c r="S106" s="85"/>
      <c r="T106" s="85"/>
      <c r="U106" s="85"/>
      <c r="V106" s="85"/>
      <c r="W106" s="85"/>
      <c r="X106" s="85"/>
      <c r="Y106" s="85"/>
      <c r="Z106" s="85"/>
      <c r="AA106" s="85"/>
      <c r="AB106" s="85"/>
      <c r="AC106" s="85"/>
      <c r="AD106" s="85"/>
      <c r="AE106" s="85"/>
      <c r="AF106" s="85"/>
      <c r="AG106" s="85"/>
      <c r="AH106" s="85"/>
      <c r="AI106" s="85"/>
      <c r="AJ106" s="85"/>
      <c r="AK106" s="85"/>
      <c r="AL106" s="85"/>
    </row>
    <row r="107" spans="1:38" s="80" customFormat="1" x14ac:dyDescent="0.25">
      <c r="A107" s="116"/>
      <c r="B107" s="115"/>
      <c r="C107" s="115"/>
      <c r="D107" s="115"/>
      <c r="E107" s="115"/>
      <c r="F107" s="115"/>
      <c r="H107" s="95">
        <v>102</v>
      </c>
      <c r="I107" s="96" t="str">
        <f t="shared" si="7"/>
        <v/>
      </c>
      <c r="J107" s="95" t="e">
        <f t="shared" si="8"/>
        <v>#NUM!</v>
      </c>
      <c r="K107" s="95" t="e">
        <f t="shared" si="9"/>
        <v>#NUM!</v>
      </c>
      <c r="L107" s="95"/>
      <c r="M107" s="97">
        <f t="shared" si="10"/>
        <v>0</v>
      </c>
      <c r="S107" s="85"/>
      <c r="T107" s="85"/>
      <c r="U107" s="85"/>
      <c r="V107" s="85"/>
      <c r="W107" s="85"/>
      <c r="X107" s="85"/>
      <c r="Y107" s="85"/>
      <c r="Z107" s="85"/>
      <c r="AA107" s="85"/>
      <c r="AB107" s="85"/>
      <c r="AC107" s="85"/>
      <c r="AD107" s="85"/>
      <c r="AE107" s="85"/>
      <c r="AF107" s="85"/>
      <c r="AG107" s="85"/>
      <c r="AH107" s="85"/>
      <c r="AI107" s="85"/>
      <c r="AJ107" s="85"/>
      <c r="AK107" s="85"/>
      <c r="AL107" s="85"/>
    </row>
    <row r="108" spans="1:38" s="80" customFormat="1" x14ac:dyDescent="0.25">
      <c r="A108" s="116"/>
      <c r="B108" s="115"/>
      <c r="C108" s="115"/>
      <c r="D108" s="115"/>
      <c r="E108" s="115"/>
      <c r="F108" s="115"/>
      <c r="H108" s="95">
        <v>103</v>
      </c>
      <c r="I108" s="96" t="str">
        <f t="shared" si="7"/>
        <v/>
      </c>
      <c r="J108" s="95" t="e">
        <f t="shared" si="8"/>
        <v>#NUM!</v>
      </c>
      <c r="K108" s="95" t="e">
        <f t="shared" si="9"/>
        <v>#NUM!</v>
      </c>
      <c r="L108" s="95"/>
      <c r="M108" s="97">
        <f t="shared" si="10"/>
        <v>0</v>
      </c>
      <c r="S108" s="85"/>
      <c r="T108" s="85"/>
      <c r="U108" s="85"/>
      <c r="V108" s="85"/>
      <c r="W108" s="85"/>
      <c r="X108" s="85"/>
      <c r="Y108" s="85"/>
      <c r="Z108" s="85"/>
      <c r="AA108" s="85"/>
      <c r="AB108" s="85"/>
      <c r="AC108" s="85"/>
      <c r="AD108" s="85"/>
      <c r="AE108" s="85"/>
      <c r="AF108" s="85"/>
      <c r="AG108" s="85"/>
      <c r="AH108" s="85"/>
      <c r="AI108" s="85"/>
      <c r="AJ108" s="85"/>
      <c r="AK108" s="85"/>
      <c r="AL108" s="85"/>
    </row>
    <row r="109" spans="1:38" s="80" customFormat="1" x14ac:dyDescent="0.25">
      <c r="A109" s="116"/>
      <c r="B109" s="115"/>
      <c r="C109" s="115"/>
      <c r="D109" s="115"/>
      <c r="E109" s="115"/>
      <c r="F109" s="115"/>
      <c r="H109" s="95">
        <v>104</v>
      </c>
      <c r="I109" s="96" t="str">
        <f t="shared" si="7"/>
        <v/>
      </c>
      <c r="J109" s="95" t="e">
        <f t="shared" si="8"/>
        <v>#NUM!</v>
      </c>
      <c r="K109" s="95" t="e">
        <f t="shared" si="9"/>
        <v>#NUM!</v>
      </c>
      <c r="L109" s="95"/>
      <c r="M109" s="97">
        <f t="shared" si="10"/>
        <v>0</v>
      </c>
      <c r="S109" s="85"/>
      <c r="T109" s="85"/>
      <c r="U109" s="85"/>
      <c r="V109" s="85"/>
      <c r="W109" s="85"/>
      <c r="X109" s="85"/>
      <c r="Y109" s="85"/>
      <c r="Z109" s="85"/>
      <c r="AA109" s="85"/>
      <c r="AB109" s="85"/>
      <c r="AC109" s="85"/>
      <c r="AD109" s="85"/>
      <c r="AE109" s="85"/>
      <c r="AF109" s="85"/>
      <c r="AG109" s="85"/>
      <c r="AH109" s="85"/>
      <c r="AI109" s="85"/>
      <c r="AJ109" s="85"/>
      <c r="AK109" s="85"/>
      <c r="AL109" s="85"/>
    </row>
    <row r="110" spans="1:38" s="80" customFormat="1" x14ac:dyDescent="0.25">
      <c r="A110" s="116"/>
      <c r="B110" s="115"/>
      <c r="C110" s="115"/>
      <c r="D110" s="115"/>
      <c r="E110" s="115"/>
      <c r="F110" s="115"/>
      <c r="H110" s="95">
        <v>105</v>
      </c>
      <c r="I110" s="96" t="str">
        <f t="shared" si="7"/>
        <v/>
      </c>
      <c r="J110" s="95" t="e">
        <f t="shared" si="8"/>
        <v>#NUM!</v>
      </c>
      <c r="K110" s="95" t="e">
        <f t="shared" si="9"/>
        <v>#NUM!</v>
      </c>
      <c r="L110" s="95"/>
      <c r="M110" s="97">
        <f t="shared" si="10"/>
        <v>0</v>
      </c>
      <c r="S110" s="85"/>
      <c r="T110" s="85"/>
      <c r="U110" s="85"/>
      <c r="V110" s="85"/>
      <c r="W110" s="85"/>
      <c r="X110" s="85"/>
      <c r="Y110" s="85"/>
      <c r="Z110" s="85"/>
      <c r="AA110" s="85"/>
      <c r="AB110" s="85"/>
      <c r="AC110" s="85"/>
      <c r="AD110" s="85"/>
      <c r="AE110" s="85"/>
      <c r="AF110" s="85"/>
      <c r="AG110" s="85"/>
      <c r="AH110" s="85"/>
      <c r="AI110" s="85"/>
      <c r="AJ110" s="85"/>
      <c r="AK110" s="85"/>
      <c r="AL110" s="85"/>
    </row>
    <row r="111" spans="1:38" s="80" customFormat="1" x14ac:dyDescent="0.25">
      <c r="A111" s="116"/>
      <c r="B111" s="115"/>
      <c r="C111" s="115"/>
      <c r="D111" s="115"/>
      <c r="E111" s="115"/>
      <c r="F111" s="115"/>
      <c r="H111" s="95">
        <v>106</v>
      </c>
      <c r="I111" s="96" t="str">
        <f t="shared" si="7"/>
        <v/>
      </c>
      <c r="J111" s="95" t="e">
        <f t="shared" si="8"/>
        <v>#NUM!</v>
      </c>
      <c r="K111" s="95" t="e">
        <f t="shared" si="9"/>
        <v>#NUM!</v>
      </c>
      <c r="L111" s="95"/>
      <c r="M111" s="97">
        <f t="shared" si="10"/>
        <v>0</v>
      </c>
      <c r="S111" s="85"/>
      <c r="T111" s="85"/>
      <c r="U111" s="85"/>
      <c r="V111" s="85"/>
      <c r="W111" s="85"/>
      <c r="X111" s="85"/>
      <c r="Y111" s="85"/>
      <c r="Z111" s="85"/>
      <c r="AA111" s="85"/>
      <c r="AB111" s="85"/>
      <c r="AC111" s="85"/>
      <c r="AD111" s="85"/>
      <c r="AE111" s="85"/>
      <c r="AF111" s="85"/>
      <c r="AG111" s="85"/>
      <c r="AH111" s="85"/>
      <c r="AI111" s="85"/>
      <c r="AJ111" s="85"/>
      <c r="AK111" s="85"/>
      <c r="AL111" s="85"/>
    </row>
    <row r="112" spans="1:38" s="80" customFormat="1" x14ac:dyDescent="0.25">
      <c r="A112" s="116"/>
      <c r="B112" s="115"/>
      <c r="C112" s="115"/>
      <c r="D112" s="115"/>
      <c r="E112" s="115"/>
      <c r="F112" s="115"/>
      <c r="H112" s="95">
        <v>107</v>
      </c>
      <c r="I112" s="96" t="str">
        <f t="shared" si="7"/>
        <v/>
      </c>
      <c r="J112" s="95" t="e">
        <f t="shared" si="8"/>
        <v>#NUM!</v>
      </c>
      <c r="K112" s="95" t="e">
        <f t="shared" si="9"/>
        <v>#NUM!</v>
      </c>
      <c r="L112" s="95"/>
      <c r="M112" s="97">
        <f t="shared" si="10"/>
        <v>0</v>
      </c>
      <c r="S112" s="85"/>
      <c r="T112" s="85"/>
      <c r="U112" s="85"/>
      <c r="V112" s="85"/>
      <c r="W112" s="85"/>
      <c r="X112" s="85"/>
      <c r="Y112" s="85"/>
      <c r="Z112" s="85"/>
      <c r="AA112" s="85"/>
      <c r="AB112" s="85"/>
      <c r="AC112" s="85"/>
      <c r="AD112" s="85"/>
      <c r="AE112" s="85"/>
      <c r="AF112" s="85"/>
      <c r="AG112" s="85"/>
      <c r="AH112" s="85"/>
      <c r="AI112" s="85"/>
      <c r="AJ112" s="85"/>
      <c r="AK112" s="85"/>
      <c r="AL112" s="85"/>
    </row>
    <row r="113" spans="1:38" s="80" customFormat="1" x14ac:dyDescent="0.25">
      <c r="A113" s="116"/>
      <c r="B113" s="115"/>
      <c r="C113" s="115"/>
      <c r="D113" s="115"/>
      <c r="E113" s="115"/>
      <c r="F113" s="115"/>
      <c r="H113" s="95">
        <v>108</v>
      </c>
      <c r="I113" s="96" t="str">
        <f t="shared" si="7"/>
        <v/>
      </c>
      <c r="J113" s="95" t="e">
        <f t="shared" si="8"/>
        <v>#NUM!</v>
      </c>
      <c r="K113" s="95" t="e">
        <f t="shared" si="9"/>
        <v>#NUM!</v>
      </c>
      <c r="L113" s="95"/>
      <c r="M113" s="97">
        <f t="shared" si="10"/>
        <v>0</v>
      </c>
      <c r="S113" s="85"/>
      <c r="T113" s="85"/>
      <c r="U113" s="85"/>
      <c r="V113" s="85"/>
      <c r="W113" s="85"/>
      <c r="X113" s="85"/>
      <c r="Y113" s="85"/>
      <c r="Z113" s="85"/>
      <c r="AA113" s="85"/>
      <c r="AB113" s="85"/>
      <c r="AC113" s="85"/>
      <c r="AD113" s="85"/>
      <c r="AE113" s="85"/>
      <c r="AF113" s="85"/>
      <c r="AG113" s="85"/>
      <c r="AH113" s="85"/>
      <c r="AI113" s="85"/>
      <c r="AJ113" s="85"/>
      <c r="AK113" s="85"/>
      <c r="AL113" s="85"/>
    </row>
    <row r="114" spans="1:38" s="80" customFormat="1" x14ac:dyDescent="0.25">
      <c r="A114" s="116"/>
      <c r="B114" s="115"/>
      <c r="C114" s="115"/>
      <c r="D114" s="115"/>
      <c r="E114" s="115"/>
      <c r="F114" s="115"/>
      <c r="H114" s="95">
        <v>109</v>
      </c>
      <c r="I114" s="96" t="str">
        <f t="shared" si="7"/>
        <v/>
      </c>
      <c r="J114" s="95" t="e">
        <f t="shared" si="8"/>
        <v>#NUM!</v>
      </c>
      <c r="K114" s="95" t="e">
        <f t="shared" si="9"/>
        <v>#NUM!</v>
      </c>
      <c r="L114" s="95"/>
      <c r="M114" s="97">
        <f t="shared" si="10"/>
        <v>0</v>
      </c>
      <c r="S114" s="85"/>
      <c r="T114" s="85"/>
      <c r="U114" s="85"/>
      <c r="V114" s="85"/>
      <c r="W114" s="85"/>
      <c r="X114" s="85"/>
      <c r="Y114" s="85"/>
      <c r="Z114" s="85"/>
      <c r="AA114" s="85"/>
      <c r="AB114" s="85"/>
      <c r="AC114" s="85"/>
      <c r="AD114" s="85"/>
      <c r="AE114" s="85"/>
      <c r="AF114" s="85"/>
      <c r="AG114" s="85"/>
      <c r="AH114" s="85"/>
      <c r="AI114" s="85"/>
      <c r="AJ114" s="85"/>
      <c r="AK114" s="85"/>
      <c r="AL114" s="85"/>
    </row>
    <row r="115" spans="1:38" s="80" customFormat="1" x14ac:dyDescent="0.25">
      <c r="A115" s="116"/>
      <c r="B115" s="115"/>
      <c r="C115" s="115"/>
      <c r="D115" s="115"/>
      <c r="E115" s="115"/>
      <c r="F115" s="115"/>
      <c r="H115" s="95">
        <v>110</v>
      </c>
      <c r="I115" s="96" t="str">
        <f t="shared" si="7"/>
        <v/>
      </c>
      <c r="J115" s="95" t="e">
        <f t="shared" si="8"/>
        <v>#NUM!</v>
      </c>
      <c r="K115" s="95" t="e">
        <f t="shared" si="9"/>
        <v>#NUM!</v>
      </c>
      <c r="L115" s="95"/>
      <c r="M115" s="97">
        <f t="shared" si="10"/>
        <v>0</v>
      </c>
      <c r="S115" s="85"/>
      <c r="T115" s="85"/>
      <c r="U115" s="85"/>
      <c r="V115" s="85"/>
      <c r="W115" s="85"/>
      <c r="X115" s="85"/>
      <c r="Y115" s="85"/>
      <c r="Z115" s="85"/>
      <c r="AA115" s="85"/>
      <c r="AB115" s="85"/>
      <c r="AC115" s="85"/>
      <c r="AD115" s="85"/>
      <c r="AE115" s="85"/>
      <c r="AF115" s="85"/>
      <c r="AG115" s="85"/>
      <c r="AH115" s="85"/>
      <c r="AI115" s="85"/>
      <c r="AJ115" s="85"/>
      <c r="AK115" s="85"/>
      <c r="AL115" s="85"/>
    </row>
    <row r="116" spans="1:38" s="80" customFormat="1" x14ac:dyDescent="0.25">
      <c r="A116" s="116"/>
      <c r="B116" s="115"/>
      <c r="C116" s="115"/>
      <c r="D116" s="115"/>
      <c r="E116" s="115"/>
      <c r="F116" s="115"/>
      <c r="H116" s="95">
        <v>111</v>
      </c>
      <c r="I116" s="96" t="str">
        <f t="shared" si="7"/>
        <v/>
      </c>
      <c r="J116" s="95" t="e">
        <f t="shared" si="8"/>
        <v>#NUM!</v>
      </c>
      <c r="K116" s="95" t="e">
        <f t="shared" si="9"/>
        <v>#NUM!</v>
      </c>
      <c r="L116" s="95"/>
      <c r="M116" s="97">
        <f t="shared" si="10"/>
        <v>0</v>
      </c>
      <c r="S116" s="85"/>
      <c r="T116" s="85"/>
      <c r="U116" s="85"/>
      <c r="V116" s="85"/>
      <c r="W116" s="85"/>
      <c r="X116" s="85"/>
      <c r="Y116" s="85"/>
      <c r="Z116" s="85"/>
      <c r="AA116" s="85"/>
      <c r="AB116" s="85"/>
      <c r="AC116" s="85"/>
      <c r="AD116" s="85"/>
      <c r="AE116" s="85"/>
      <c r="AF116" s="85"/>
      <c r="AG116" s="85"/>
      <c r="AH116" s="85"/>
      <c r="AI116" s="85"/>
      <c r="AJ116" s="85"/>
      <c r="AK116" s="85"/>
      <c r="AL116" s="85"/>
    </row>
    <row r="117" spans="1:38" s="80" customFormat="1" x14ac:dyDescent="0.25">
      <c r="A117" s="116"/>
      <c r="B117" s="115"/>
      <c r="C117" s="115"/>
      <c r="D117" s="115"/>
      <c r="E117" s="115"/>
      <c r="F117" s="115"/>
      <c r="H117" s="95">
        <v>112</v>
      </c>
      <c r="I117" s="96" t="str">
        <f t="shared" si="7"/>
        <v/>
      </c>
      <c r="J117" s="95" t="e">
        <f t="shared" si="8"/>
        <v>#NUM!</v>
      </c>
      <c r="K117" s="95" t="e">
        <f t="shared" si="9"/>
        <v>#NUM!</v>
      </c>
      <c r="L117" s="95"/>
      <c r="M117" s="97">
        <f t="shared" si="10"/>
        <v>0</v>
      </c>
      <c r="S117" s="85"/>
      <c r="T117" s="85"/>
      <c r="U117" s="85"/>
      <c r="V117" s="85"/>
      <c r="W117" s="85"/>
      <c r="X117" s="85"/>
      <c r="Y117" s="85"/>
      <c r="Z117" s="85"/>
      <c r="AA117" s="85"/>
      <c r="AB117" s="85"/>
      <c r="AC117" s="85"/>
      <c r="AD117" s="85"/>
      <c r="AE117" s="85"/>
      <c r="AF117" s="85"/>
      <c r="AG117" s="85"/>
      <c r="AH117" s="85"/>
      <c r="AI117" s="85"/>
      <c r="AJ117" s="85"/>
      <c r="AK117" s="85"/>
      <c r="AL117" s="85"/>
    </row>
    <row r="118" spans="1:38" s="80" customFormat="1" x14ac:dyDescent="0.25">
      <c r="A118" s="116"/>
      <c r="B118" s="115"/>
      <c r="C118" s="115"/>
      <c r="D118" s="115"/>
      <c r="E118" s="115"/>
      <c r="F118" s="115"/>
      <c r="H118" s="95">
        <v>113</v>
      </c>
      <c r="I118" s="96" t="str">
        <f t="shared" si="7"/>
        <v/>
      </c>
      <c r="J118" s="95" t="e">
        <f t="shared" si="8"/>
        <v>#NUM!</v>
      </c>
      <c r="K118" s="95" t="e">
        <f t="shared" si="9"/>
        <v>#NUM!</v>
      </c>
      <c r="L118" s="95"/>
      <c r="M118" s="97">
        <f t="shared" si="10"/>
        <v>0</v>
      </c>
      <c r="S118" s="85"/>
      <c r="T118" s="85"/>
      <c r="U118" s="85"/>
      <c r="V118" s="85"/>
      <c r="W118" s="85"/>
      <c r="X118" s="85"/>
      <c r="Y118" s="85"/>
      <c r="Z118" s="85"/>
      <c r="AA118" s="85"/>
      <c r="AB118" s="85"/>
      <c r="AC118" s="85"/>
      <c r="AD118" s="85"/>
      <c r="AE118" s="85"/>
      <c r="AF118" s="85"/>
      <c r="AG118" s="85"/>
      <c r="AH118" s="85"/>
      <c r="AI118" s="85"/>
      <c r="AJ118" s="85"/>
      <c r="AK118" s="85"/>
      <c r="AL118" s="85"/>
    </row>
    <row r="119" spans="1:38" s="80" customFormat="1" x14ac:dyDescent="0.25">
      <c r="A119" s="116"/>
      <c r="B119" s="115"/>
      <c r="C119" s="115"/>
      <c r="D119" s="115"/>
      <c r="E119" s="115"/>
      <c r="F119" s="115"/>
      <c r="H119" s="95">
        <v>114</v>
      </c>
      <c r="I119" s="96" t="str">
        <f t="shared" si="7"/>
        <v/>
      </c>
      <c r="J119" s="95" t="e">
        <f t="shared" si="8"/>
        <v>#NUM!</v>
      </c>
      <c r="K119" s="95" t="e">
        <f t="shared" si="9"/>
        <v>#NUM!</v>
      </c>
      <c r="L119" s="95"/>
      <c r="M119" s="97">
        <f t="shared" si="10"/>
        <v>0</v>
      </c>
      <c r="S119" s="85"/>
      <c r="T119" s="85"/>
      <c r="U119" s="85"/>
      <c r="V119" s="85"/>
      <c r="W119" s="85"/>
      <c r="X119" s="85"/>
      <c r="Y119" s="85"/>
      <c r="Z119" s="85"/>
      <c r="AA119" s="85"/>
      <c r="AB119" s="85"/>
      <c r="AC119" s="85"/>
      <c r="AD119" s="85"/>
      <c r="AE119" s="85"/>
      <c r="AF119" s="85"/>
      <c r="AG119" s="85"/>
      <c r="AH119" s="85"/>
      <c r="AI119" s="85"/>
      <c r="AJ119" s="85"/>
      <c r="AK119" s="85"/>
      <c r="AL119" s="85"/>
    </row>
    <row r="120" spans="1:38" s="80" customFormat="1" x14ac:dyDescent="0.25">
      <c r="A120" s="116"/>
      <c r="B120" s="115"/>
      <c r="C120" s="115"/>
      <c r="D120" s="115"/>
      <c r="E120" s="115"/>
      <c r="F120" s="115"/>
      <c r="H120" s="95">
        <v>115</v>
      </c>
      <c r="I120" s="96" t="str">
        <f t="shared" si="7"/>
        <v/>
      </c>
      <c r="J120" s="95" t="e">
        <f t="shared" si="8"/>
        <v>#NUM!</v>
      </c>
      <c r="K120" s="95" t="e">
        <f t="shared" si="9"/>
        <v>#NUM!</v>
      </c>
      <c r="L120" s="95"/>
      <c r="M120" s="97">
        <f t="shared" si="10"/>
        <v>0</v>
      </c>
      <c r="S120" s="85"/>
      <c r="T120" s="85"/>
      <c r="U120" s="85"/>
      <c r="V120" s="85"/>
      <c r="W120" s="85"/>
      <c r="X120" s="85"/>
      <c r="Y120" s="85"/>
      <c r="Z120" s="85"/>
      <c r="AA120" s="85"/>
      <c r="AB120" s="85"/>
      <c r="AC120" s="85"/>
      <c r="AD120" s="85"/>
      <c r="AE120" s="85"/>
      <c r="AF120" s="85"/>
      <c r="AG120" s="85"/>
      <c r="AH120" s="85"/>
      <c r="AI120" s="85"/>
      <c r="AJ120" s="85"/>
      <c r="AK120" s="85"/>
      <c r="AL120" s="85"/>
    </row>
    <row r="121" spans="1:38" s="80" customFormat="1" x14ac:dyDescent="0.25">
      <c r="A121" s="116"/>
      <c r="B121" s="115"/>
      <c r="C121" s="115"/>
      <c r="D121" s="115"/>
      <c r="E121" s="115"/>
      <c r="F121" s="115"/>
      <c r="H121" s="95">
        <v>116</v>
      </c>
      <c r="I121" s="96" t="str">
        <f t="shared" si="7"/>
        <v/>
      </c>
      <c r="J121" s="95" t="e">
        <f t="shared" si="8"/>
        <v>#NUM!</v>
      </c>
      <c r="K121" s="95" t="e">
        <f t="shared" si="9"/>
        <v>#NUM!</v>
      </c>
      <c r="L121" s="95"/>
      <c r="M121" s="97">
        <f t="shared" si="10"/>
        <v>0</v>
      </c>
      <c r="S121" s="85"/>
      <c r="T121" s="85"/>
      <c r="U121" s="85"/>
      <c r="V121" s="85"/>
      <c r="W121" s="85"/>
      <c r="X121" s="85"/>
      <c r="Y121" s="85"/>
      <c r="Z121" s="85"/>
      <c r="AA121" s="85"/>
      <c r="AB121" s="85"/>
      <c r="AC121" s="85"/>
      <c r="AD121" s="85"/>
      <c r="AE121" s="85"/>
      <c r="AF121" s="85"/>
      <c r="AG121" s="85"/>
      <c r="AH121" s="85"/>
      <c r="AI121" s="85"/>
      <c r="AJ121" s="85"/>
      <c r="AK121" s="85"/>
      <c r="AL121" s="85"/>
    </row>
    <row r="122" spans="1:38" s="80" customFormat="1" x14ac:dyDescent="0.25">
      <c r="A122" s="116"/>
      <c r="B122" s="115"/>
      <c r="C122" s="115"/>
      <c r="D122" s="115"/>
      <c r="E122" s="115"/>
      <c r="F122" s="115"/>
      <c r="H122" s="95">
        <v>117</v>
      </c>
      <c r="I122" s="96" t="str">
        <f t="shared" si="7"/>
        <v/>
      </c>
      <c r="J122" s="95" t="e">
        <f t="shared" si="8"/>
        <v>#NUM!</v>
      </c>
      <c r="K122" s="95" t="e">
        <f t="shared" si="9"/>
        <v>#NUM!</v>
      </c>
      <c r="L122" s="95"/>
      <c r="M122" s="97">
        <f t="shared" si="10"/>
        <v>0</v>
      </c>
      <c r="S122" s="85"/>
      <c r="T122" s="85"/>
      <c r="U122" s="85"/>
      <c r="V122" s="85"/>
      <c r="W122" s="85"/>
      <c r="X122" s="85"/>
      <c r="Y122" s="85"/>
      <c r="Z122" s="85"/>
      <c r="AA122" s="85"/>
      <c r="AB122" s="85"/>
      <c r="AC122" s="85"/>
      <c r="AD122" s="85"/>
      <c r="AE122" s="85"/>
      <c r="AF122" s="85"/>
      <c r="AG122" s="85"/>
      <c r="AH122" s="85"/>
      <c r="AI122" s="85"/>
      <c r="AJ122" s="85"/>
      <c r="AK122" s="85"/>
      <c r="AL122" s="85"/>
    </row>
    <row r="123" spans="1:38" s="80" customFormat="1" x14ac:dyDescent="0.25">
      <c r="A123" s="116"/>
      <c r="B123" s="115"/>
      <c r="C123" s="115"/>
      <c r="D123" s="115"/>
      <c r="E123" s="115"/>
      <c r="F123" s="115"/>
      <c r="H123" s="95">
        <v>118</v>
      </c>
      <c r="I123" s="96" t="str">
        <f t="shared" si="7"/>
        <v/>
      </c>
      <c r="J123" s="95" t="e">
        <f t="shared" si="8"/>
        <v>#NUM!</v>
      </c>
      <c r="K123" s="95" t="e">
        <f t="shared" si="9"/>
        <v>#NUM!</v>
      </c>
      <c r="L123" s="95"/>
      <c r="M123" s="97">
        <f t="shared" si="10"/>
        <v>0</v>
      </c>
      <c r="S123" s="85"/>
      <c r="T123" s="85"/>
      <c r="U123" s="85"/>
      <c r="V123" s="85"/>
      <c r="W123" s="85"/>
      <c r="X123" s="85"/>
      <c r="Y123" s="85"/>
      <c r="Z123" s="85"/>
      <c r="AA123" s="85"/>
      <c r="AB123" s="85"/>
      <c r="AC123" s="85"/>
      <c r="AD123" s="85"/>
      <c r="AE123" s="85"/>
      <c r="AF123" s="85"/>
      <c r="AG123" s="85"/>
      <c r="AH123" s="85"/>
      <c r="AI123" s="85"/>
      <c r="AJ123" s="85"/>
      <c r="AK123" s="85"/>
      <c r="AL123" s="85"/>
    </row>
    <row r="124" spans="1:38" s="80" customFormat="1" x14ac:dyDescent="0.25">
      <c r="A124" s="116"/>
      <c r="B124" s="115"/>
      <c r="C124" s="115"/>
      <c r="D124" s="115"/>
      <c r="E124" s="115"/>
      <c r="F124" s="115"/>
      <c r="H124" s="95">
        <v>119</v>
      </c>
      <c r="I124" s="96" t="str">
        <f t="shared" si="7"/>
        <v/>
      </c>
      <c r="J124" s="95" t="e">
        <f t="shared" si="8"/>
        <v>#NUM!</v>
      </c>
      <c r="K124" s="95" t="e">
        <f t="shared" si="9"/>
        <v>#NUM!</v>
      </c>
      <c r="L124" s="95"/>
      <c r="M124" s="97">
        <f t="shared" si="10"/>
        <v>0</v>
      </c>
      <c r="S124" s="85"/>
      <c r="T124" s="85"/>
      <c r="U124" s="85"/>
      <c r="V124" s="85"/>
      <c r="W124" s="85"/>
      <c r="X124" s="85"/>
      <c r="Y124" s="85"/>
      <c r="Z124" s="85"/>
      <c r="AA124" s="85"/>
      <c r="AB124" s="85"/>
      <c r="AC124" s="85"/>
      <c r="AD124" s="85"/>
      <c r="AE124" s="85"/>
      <c r="AF124" s="85"/>
      <c r="AG124" s="85"/>
      <c r="AH124" s="85"/>
      <c r="AI124" s="85"/>
      <c r="AJ124" s="85"/>
      <c r="AK124" s="85"/>
      <c r="AL124" s="85"/>
    </row>
    <row r="125" spans="1:38" s="80" customFormat="1" x14ac:dyDescent="0.25">
      <c r="A125" s="116"/>
      <c r="B125" s="115"/>
      <c r="C125" s="115"/>
      <c r="D125" s="115"/>
      <c r="E125" s="115"/>
      <c r="F125" s="115"/>
      <c r="H125" s="95">
        <v>120</v>
      </c>
      <c r="I125" s="96" t="str">
        <f t="shared" si="7"/>
        <v/>
      </c>
      <c r="J125" s="95" t="e">
        <f t="shared" si="8"/>
        <v>#NUM!</v>
      </c>
      <c r="K125" s="95" t="e">
        <f t="shared" si="9"/>
        <v>#NUM!</v>
      </c>
      <c r="L125" s="95"/>
      <c r="M125" s="97">
        <f t="shared" si="10"/>
        <v>0</v>
      </c>
      <c r="S125" s="85"/>
      <c r="T125" s="85"/>
      <c r="U125" s="85"/>
      <c r="V125" s="85"/>
      <c r="W125" s="85"/>
      <c r="X125" s="85"/>
      <c r="Y125" s="85"/>
      <c r="Z125" s="85"/>
      <c r="AA125" s="85"/>
      <c r="AB125" s="85"/>
      <c r="AC125" s="85"/>
      <c r="AD125" s="85"/>
      <c r="AE125" s="85"/>
      <c r="AF125" s="85"/>
      <c r="AG125" s="85"/>
      <c r="AH125" s="85"/>
      <c r="AI125" s="85"/>
      <c r="AJ125" s="85"/>
      <c r="AK125" s="85"/>
      <c r="AL125" s="85"/>
    </row>
    <row r="126" spans="1:38" s="80" customFormat="1" x14ac:dyDescent="0.25">
      <c r="A126" s="116"/>
      <c r="B126" s="115"/>
      <c r="C126" s="115"/>
      <c r="D126" s="115"/>
      <c r="E126" s="115"/>
      <c r="F126" s="115"/>
      <c r="H126" s="95">
        <v>121</v>
      </c>
      <c r="I126" s="96" t="str">
        <f t="shared" si="7"/>
        <v/>
      </c>
      <c r="J126" s="95" t="e">
        <f t="shared" si="8"/>
        <v>#NUM!</v>
      </c>
      <c r="K126" s="95" t="e">
        <f t="shared" si="9"/>
        <v>#NUM!</v>
      </c>
      <c r="L126" s="95"/>
      <c r="M126" s="97">
        <f t="shared" si="10"/>
        <v>0</v>
      </c>
      <c r="S126" s="85"/>
      <c r="T126" s="85"/>
      <c r="U126" s="85"/>
      <c r="V126" s="85"/>
      <c r="W126" s="85"/>
      <c r="X126" s="85"/>
      <c r="Y126" s="85"/>
      <c r="Z126" s="85"/>
      <c r="AA126" s="85"/>
      <c r="AB126" s="85"/>
      <c r="AC126" s="85"/>
      <c r="AD126" s="85"/>
      <c r="AE126" s="85"/>
      <c r="AF126" s="85"/>
      <c r="AG126" s="85"/>
      <c r="AH126" s="85"/>
      <c r="AI126" s="85"/>
      <c r="AJ126" s="85"/>
      <c r="AK126" s="85"/>
      <c r="AL126" s="85"/>
    </row>
    <row r="127" spans="1:38" s="80" customFormat="1" x14ac:dyDescent="0.25">
      <c r="A127" s="116"/>
      <c r="B127" s="115"/>
      <c r="C127" s="115"/>
      <c r="D127" s="115"/>
      <c r="E127" s="115"/>
      <c r="F127" s="115"/>
      <c r="H127" s="95">
        <v>122</v>
      </c>
      <c r="I127" s="96" t="str">
        <f t="shared" si="7"/>
        <v/>
      </c>
      <c r="J127" s="95" t="e">
        <f t="shared" si="8"/>
        <v>#NUM!</v>
      </c>
      <c r="K127" s="95" t="e">
        <f t="shared" si="9"/>
        <v>#NUM!</v>
      </c>
      <c r="L127" s="95"/>
      <c r="M127" s="97">
        <f t="shared" si="10"/>
        <v>0</v>
      </c>
      <c r="S127" s="85"/>
      <c r="T127" s="85"/>
      <c r="U127" s="85"/>
      <c r="V127" s="85"/>
      <c r="W127" s="85"/>
      <c r="X127" s="85"/>
      <c r="Y127" s="85"/>
      <c r="Z127" s="85"/>
      <c r="AA127" s="85"/>
      <c r="AB127" s="85"/>
      <c r="AC127" s="85"/>
      <c r="AD127" s="85"/>
      <c r="AE127" s="85"/>
      <c r="AF127" s="85"/>
      <c r="AG127" s="85"/>
      <c r="AH127" s="85"/>
      <c r="AI127" s="85"/>
      <c r="AJ127" s="85"/>
      <c r="AK127" s="85"/>
      <c r="AL127" s="85"/>
    </row>
    <row r="128" spans="1:38" s="80" customFormat="1" x14ac:dyDescent="0.25">
      <c r="A128" s="116"/>
      <c r="B128" s="115"/>
      <c r="C128" s="115"/>
      <c r="D128" s="115"/>
      <c r="E128" s="115"/>
      <c r="F128" s="115"/>
      <c r="H128" s="95">
        <v>123</v>
      </c>
      <c r="I128" s="96" t="str">
        <f t="shared" si="7"/>
        <v/>
      </c>
      <c r="J128" s="95" t="e">
        <f t="shared" si="8"/>
        <v>#NUM!</v>
      </c>
      <c r="K128" s="95" t="e">
        <f t="shared" si="9"/>
        <v>#NUM!</v>
      </c>
      <c r="L128" s="95"/>
      <c r="M128" s="97">
        <f t="shared" si="10"/>
        <v>0</v>
      </c>
      <c r="S128" s="85"/>
      <c r="T128" s="85"/>
      <c r="U128" s="85"/>
      <c r="V128" s="85"/>
      <c r="W128" s="85"/>
      <c r="X128" s="85"/>
      <c r="Y128" s="85"/>
      <c r="Z128" s="85"/>
      <c r="AA128" s="85"/>
      <c r="AB128" s="85"/>
      <c r="AC128" s="85"/>
      <c r="AD128" s="85"/>
      <c r="AE128" s="85"/>
      <c r="AF128" s="85"/>
      <c r="AG128" s="85"/>
      <c r="AH128" s="85"/>
      <c r="AI128" s="85"/>
      <c r="AJ128" s="85"/>
      <c r="AK128" s="85"/>
      <c r="AL128" s="85"/>
    </row>
    <row r="129" spans="1:38" s="80" customFormat="1" x14ac:dyDescent="0.25">
      <c r="A129" s="116"/>
      <c r="B129" s="115"/>
      <c r="C129" s="115"/>
      <c r="D129" s="115"/>
      <c r="E129" s="115"/>
      <c r="F129" s="115"/>
      <c r="H129" s="95">
        <v>124</v>
      </c>
      <c r="I129" s="96" t="str">
        <f t="shared" si="7"/>
        <v/>
      </c>
      <c r="J129" s="95" t="e">
        <f t="shared" si="8"/>
        <v>#NUM!</v>
      </c>
      <c r="K129" s="95" t="e">
        <f t="shared" si="9"/>
        <v>#NUM!</v>
      </c>
      <c r="L129" s="95"/>
      <c r="M129" s="97">
        <f t="shared" si="10"/>
        <v>0</v>
      </c>
      <c r="S129" s="85"/>
      <c r="T129" s="85"/>
      <c r="U129" s="85"/>
      <c r="V129" s="85"/>
      <c r="W129" s="85"/>
      <c r="X129" s="85"/>
      <c r="Y129" s="85"/>
      <c r="Z129" s="85"/>
      <c r="AA129" s="85"/>
      <c r="AB129" s="85"/>
      <c r="AC129" s="85"/>
      <c r="AD129" s="85"/>
      <c r="AE129" s="85"/>
      <c r="AF129" s="85"/>
      <c r="AG129" s="85"/>
      <c r="AH129" s="85"/>
      <c r="AI129" s="85"/>
      <c r="AJ129" s="85"/>
      <c r="AK129" s="85"/>
      <c r="AL129" s="85"/>
    </row>
    <row r="130" spans="1:38" s="80" customFormat="1" x14ac:dyDescent="0.25">
      <c r="A130" s="116"/>
      <c r="B130" s="115"/>
      <c r="C130" s="115"/>
      <c r="D130" s="115"/>
      <c r="E130" s="115"/>
      <c r="F130" s="115"/>
      <c r="H130" s="95">
        <v>125</v>
      </c>
      <c r="I130" s="96" t="str">
        <f t="shared" si="7"/>
        <v/>
      </c>
      <c r="J130" s="95" t="e">
        <f t="shared" si="8"/>
        <v>#NUM!</v>
      </c>
      <c r="K130" s="95" t="e">
        <f t="shared" si="9"/>
        <v>#NUM!</v>
      </c>
      <c r="L130" s="95"/>
      <c r="M130" s="97">
        <f t="shared" si="10"/>
        <v>0</v>
      </c>
      <c r="S130" s="85"/>
      <c r="T130" s="85"/>
      <c r="U130" s="85"/>
      <c r="V130" s="85"/>
      <c r="W130" s="85"/>
      <c r="X130" s="85"/>
      <c r="Y130" s="85"/>
      <c r="Z130" s="85"/>
      <c r="AA130" s="85"/>
      <c r="AB130" s="85"/>
      <c r="AC130" s="85"/>
      <c r="AD130" s="85"/>
      <c r="AE130" s="85"/>
      <c r="AF130" s="85"/>
      <c r="AG130" s="85"/>
      <c r="AH130" s="85"/>
      <c r="AI130" s="85"/>
      <c r="AJ130" s="85"/>
      <c r="AK130" s="85"/>
      <c r="AL130" s="85"/>
    </row>
    <row r="131" spans="1:38" s="80" customFormat="1" x14ac:dyDescent="0.25">
      <c r="A131" s="116"/>
      <c r="B131" s="115"/>
      <c r="C131" s="115"/>
      <c r="D131" s="115"/>
      <c r="E131" s="115"/>
      <c r="F131" s="115"/>
      <c r="H131" s="95">
        <v>126</v>
      </c>
      <c r="I131" s="96" t="str">
        <f t="shared" si="7"/>
        <v/>
      </c>
      <c r="J131" s="95" t="e">
        <f t="shared" si="8"/>
        <v>#NUM!</v>
      </c>
      <c r="K131" s="95" t="e">
        <f t="shared" si="9"/>
        <v>#NUM!</v>
      </c>
      <c r="L131" s="95"/>
      <c r="M131" s="97">
        <f t="shared" si="10"/>
        <v>0</v>
      </c>
      <c r="S131" s="85"/>
      <c r="T131" s="85"/>
      <c r="U131" s="85"/>
      <c r="V131" s="85"/>
      <c r="W131" s="85"/>
      <c r="X131" s="85"/>
      <c r="Y131" s="85"/>
      <c r="Z131" s="85"/>
      <c r="AA131" s="85"/>
      <c r="AB131" s="85"/>
      <c r="AC131" s="85"/>
      <c r="AD131" s="85"/>
      <c r="AE131" s="85"/>
      <c r="AF131" s="85"/>
      <c r="AG131" s="85"/>
      <c r="AH131" s="85"/>
      <c r="AI131" s="85"/>
      <c r="AJ131" s="85"/>
      <c r="AK131" s="85"/>
      <c r="AL131" s="85"/>
    </row>
    <row r="132" spans="1:38" s="80" customFormat="1" x14ac:dyDescent="0.25">
      <c r="A132" s="116"/>
      <c r="B132" s="115"/>
      <c r="C132" s="115"/>
      <c r="D132" s="115"/>
      <c r="E132" s="115"/>
      <c r="F132" s="115"/>
      <c r="H132" s="95">
        <v>127</v>
      </c>
      <c r="I132" s="96" t="str">
        <f t="shared" si="7"/>
        <v/>
      </c>
      <c r="J132" s="95" t="e">
        <f t="shared" si="8"/>
        <v>#NUM!</v>
      </c>
      <c r="K132" s="95" t="e">
        <f t="shared" si="9"/>
        <v>#NUM!</v>
      </c>
      <c r="L132" s="95"/>
      <c r="M132" s="97">
        <f t="shared" si="10"/>
        <v>0</v>
      </c>
      <c r="S132" s="85"/>
      <c r="T132" s="85"/>
      <c r="U132" s="85"/>
      <c r="V132" s="85"/>
      <c r="W132" s="85"/>
      <c r="X132" s="85"/>
      <c r="Y132" s="85"/>
      <c r="Z132" s="85"/>
      <c r="AA132" s="85"/>
      <c r="AB132" s="85"/>
      <c r="AC132" s="85"/>
      <c r="AD132" s="85"/>
      <c r="AE132" s="85"/>
      <c r="AF132" s="85"/>
      <c r="AG132" s="85"/>
      <c r="AH132" s="85"/>
      <c r="AI132" s="85"/>
      <c r="AJ132" s="85"/>
      <c r="AK132" s="85"/>
      <c r="AL132" s="85"/>
    </row>
    <row r="133" spans="1:38" s="80" customFormat="1" x14ac:dyDescent="0.25">
      <c r="A133" s="116"/>
      <c r="B133" s="115"/>
      <c r="C133" s="115"/>
      <c r="D133" s="115"/>
      <c r="E133" s="115"/>
      <c r="F133" s="115"/>
      <c r="H133" s="95">
        <v>128</v>
      </c>
      <c r="I133" s="96" t="str">
        <f t="shared" si="7"/>
        <v/>
      </c>
      <c r="J133" s="95" t="e">
        <f t="shared" si="8"/>
        <v>#NUM!</v>
      </c>
      <c r="K133" s="95" t="e">
        <f t="shared" si="9"/>
        <v>#NUM!</v>
      </c>
      <c r="L133" s="95"/>
      <c r="M133" s="97">
        <f t="shared" si="10"/>
        <v>0</v>
      </c>
      <c r="S133" s="85"/>
      <c r="T133" s="85"/>
      <c r="U133" s="85"/>
      <c r="V133" s="85"/>
      <c r="W133" s="85"/>
      <c r="X133" s="85"/>
      <c r="Y133" s="85"/>
      <c r="Z133" s="85"/>
      <c r="AA133" s="85"/>
      <c r="AB133" s="85"/>
      <c r="AC133" s="85"/>
      <c r="AD133" s="85"/>
      <c r="AE133" s="85"/>
      <c r="AF133" s="85"/>
      <c r="AG133" s="85"/>
      <c r="AH133" s="85"/>
      <c r="AI133" s="85"/>
      <c r="AJ133" s="85"/>
      <c r="AK133" s="85"/>
      <c r="AL133" s="85"/>
    </row>
    <row r="134" spans="1:38" s="80" customFormat="1" x14ac:dyDescent="0.25">
      <c r="A134" s="116"/>
      <c r="B134" s="115"/>
      <c r="C134" s="115"/>
      <c r="D134" s="115"/>
      <c r="E134" s="115"/>
      <c r="F134" s="115"/>
      <c r="H134" s="95">
        <v>129</v>
      </c>
      <c r="I134" s="96" t="str">
        <f t="shared" ref="I134:I197" si="11">IF(H134&lt;$H$2+1,($I$2-($I$2-1)*(LOG(H134)/LOG($H$2))),"")</f>
        <v/>
      </c>
      <c r="J134" s="95" t="e">
        <f t="shared" ref="J134:J197" si="12">INT(LOG($H$2,2))-ROUNDUP(LOG(H134,2),0)+IF(OR($H$2=1,$H$2=2,$H$2=4,$H$2=8,$H$2=16,$H$2=32,$H$2=64,$H$2=128,$H$2=256),0,1)</f>
        <v>#NUM!</v>
      </c>
      <c r="K134" s="95" t="e">
        <f t="shared" ref="K134:K197" si="13">J134*$J$2</f>
        <v>#NUM!</v>
      </c>
      <c r="L134" s="95"/>
      <c r="M134" s="97">
        <f t="shared" ref="M134:M197" si="14">IF(I134&lt;&gt;"",K134+I134+L134,0)</f>
        <v>0</v>
      </c>
      <c r="S134" s="85"/>
      <c r="T134" s="85"/>
      <c r="U134" s="85"/>
      <c r="V134" s="85"/>
      <c r="W134" s="85"/>
      <c r="X134" s="85"/>
      <c r="Y134" s="85"/>
      <c r="Z134" s="85"/>
      <c r="AA134" s="85"/>
      <c r="AB134" s="85"/>
      <c r="AC134" s="85"/>
      <c r="AD134" s="85"/>
      <c r="AE134" s="85"/>
      <c r="AF134" s="85"/>
      <c r="AG134" s="85"/>
      <c r="AH134" s="85"/>
      <c r="AI134" s="85"/>
      <c r="AJ134" s="85"/>
      <c r="AK134" s="85"/>
      <c r="AL134" s="85"/>
    </row>
    <row r="135" spans="1:38" s="80" customFormat="1" x14ac:dyDescent="0.25">
      <c r="A135" s="116"/>
      <c r="B135" s="115"/>
      <c r="C135" s="115"/>
      <c r="D135" s="115"/>
      <c r="E135" s="115"/>
      <c r="F135" s="115"/>
      <c r="H135" s="95">
        <v>130</v>
      </c>
      <c r="I135" s="96" t="str">
        <f t="shared" si="11"/>
        <v/>
      </c>
      <c r="J135" s="95" t="e">
        <f t="shared" si="12"/>
        <v>#NUM!</v>
      </c>
      <c r="K135" s="95" t="e">
        <f t="shared" si="13"/>
        <v>#NUM!</v>
      </c>
      <c r="L135" s="95"/>
      <c r="M135" s="97">
        <f t="shared" si="14"/>
        <v>0</v>
      </c>
      <c r="S135" s="85"/>
      <c r="T135" s="85"/>
      <c r="U135" s="85"/>
      <c r="V135" s="85"/>
      <c r="W135" s="85"/>
      <c r="X135" s="85"/>
      <c r="Y135" s="85"/>
      <c r="Z135" s="85"/>
      <c r="AA135" s="85"/>
      <c r="AB135" s="85"/>
      <c r="AC135" s="85"/>
      <c r="AD135" s="85"/>
      <c r="AE135" s="85"/>
      <c r="AF135" s="85"/>
      <c r="AG135" s="85"/>
      <c r="AH135" s="85"/>
      <c r="AI135" s="85"/>
      <c r="AJ135" s="85"/>
      <c r="AK135" s="85"/>
      <c r="AL135" s="85"/>
    </row>
    <row r="136" spans="1:38" s="80" customFormat="1" x14ac:dyDescent="0.25">
      <c r="A136" s="116"/>
      <c r="B136" s="115"/>
      <c r="C136" s="115"/>
      <c r="D136" s="115"/>
      <c r="E136" s="115"/>
      <c r="F136" s="115"/>
      <c r="H136" s="95">
        <v>131</v>
      </c>
      <c r="I136" s="96" t="str">
        <f t="shared" si="11"/>
        <v/>
      </c>
      <c r="J136" s="95" t="e">
        <f t="shared" si="12"/>
        <v>#NUM!</v>
      </c>
      <c r="K136" s="95" t="e">
        <f t="shared" si="13"/>
        <v>#NUM!</v>
      </c>
      <c r="L136" s="95"/>
      <c r="M136" s="97">
        <f t="shared" si="14"/>
        <v>0</v>
      </c>
      <c r="S136" s="85"/>
      <c r="T136" s="85"/>
      <c r="U136" s="85"/>
      <c r="V136" s="85"/>
      <c r="W136" s="85"/>
      <c r="X136" s="85"/>
      <c r="Y136" s="85"/>
      <c r="Z136" s="85"/>
      <c r="AA136" s="85"/>
      <c r="AB136" s="85"/>
      <c r="AC136" s="85"/>
      <c r="AD136" s="85"/>
      <c r="AE136" s="85"/>
      <c r="AF136" s="85"/>
      <c r="AG136" s="85"/>
      <c r="AH136" s="85"/>
      <c r="AI136" s="85"/>
      <c r="AJ136" s="85"/>
      <c r="AK136" s="85"/>
      <c r="AL136" s="85"/>
    </row>
    <row r="137" spans="1:38" s="80" customFormat="1" x14ac:dyDescent="0.25">
      <c r="A137" s="116"/>
      <c r="B137" s="115"/>
      <c r="C137" s="115"/>
      <c r="D137" s="115"/>
      <c r="E137" s="115"/>
      <c r="F137" s="115"/>
      <c r="H137" s="95">
        <v>132</v>
      </c>
      <c r="I137" s="96" t="str">
        <f t="shared" si="11"/>
        <v/>
      </c>
      <c r="J137" s="95" t="e">
        <f t="shared" si="12"/>
        <v>#NUM!</v>
      </c>
      <c r="K137" s="95" t="e">
        <f t="shared" si="13"/>
        <v>#NUM!</v>
      </c>
      <c r="L137" s="95"/>
      <c r="M137" s="97">
        <f t="shared" si="14"/>
        <v>0</v>
      </c>
      <c r="S137" s="85"/>
      <c r="T137" s="85"/>
      <c r="U137" s="85"/>
      <c r="V137" s="85"/>
      <c r="W137" s="85"/>
      <c r="X137" s="85"/>
      <c r="Y137" s="85"/>
      <c r="Z137" s="85"/>
      <c r="AA137" s="85"/>
      <c r="AB137" s="85"/>
      <c r="AC137" s="85"/>
      <c r="AD137" s="85"/>
      <c r="AE137" s="85"/>
      <c r="AF137" s="85"/>
      <c r="AG137" s="85"/>
      <c r="AH137" s="85"/>
      <c r="AI137" s="85"/>
      <c r="AJ137" s="85"/>
      <c r="AK137" s="85"/>
      <c r="AL137" s="85"/>
    </row>
    <row r="138" spans="1:38" s="80" customFormat="1" x14ac:dyDescent="0.25">
      <c r="A138" s="116"/>
      <c r="B138" s="115"/>
      <c r="C138" s="115"/>
      <c r="D138" s="115"/>
      <c r="E138" s="115"/>
      <c r="F138" s="115"/>
      <c r="H138" s="95">
        <v>133</v>
      </c>
      <c r="I138" s="96" t="str">
        <f t="shared" si="11"/>
        <v/>
      </c>
      <c r="J138" s="95" t="e">
        <f t="shared" si="12"/>
        <v>#NUM!</v>
      </c>
      <c r="K138" s="95" t="e">
        <f t="shared" si="13"/>
        <v>#NUM!</v>
      </c>
      <c r="L138" s="95"/>
      <c r="M138" s="97">
        <f t="shared" si="14"/>
        <v>0</v>
      </c>
      <c r="S138" s="85"/>
      <c r="T138" s="85"/>
      <c r="U138" s="85"/>
      <c r="V138" s="85"/>
      <c r="W138" s="85"/>
      <c r="X138" s="85"/>
      <c r="Y138" s="85"/>
      <c r="Z138" s="85"/>
      <c r="AA138" s="85"/>
      <c r="AB138" s="85"/>
      <c r="AC138" s="85"/>
      <c r="AD138" s="85"/>
      <c r="AE138" s="85"/>
      <c r="AF138" s="85"/>
      <c r="AG138" s="85"/>
      <c r="AH138" s="85"/>
      <c r="AI138" s="85"/>
      <c r="AJ138" s="85"/>
      <c r="AK138" s="85"/>
      <c r="AL138" s="85"/>
    </row>
    <row r="139" spans="1:38" s="80" customFormat="1" x14ac:dyDescent="0.25">
      <c r="A139" s="116"/>
      <c r="B139" s="115"/>
      <c r="C139" s="115"/>
      <c r="D139" s="115"/>
      <c r="E139" s="115"/>
      <c r="F139" s="115"/>
      <c r="H139" s="95">
        <v>134</v>
      </c>
      <c r="I139" s="96" t="str">
        <f t="shared" si="11"/>
        <v/>
      </c>
      <c r="J139" s="95" t="e">
        <f t="shared" si="12"/>
        <v>#NUM!</v>
      </c>
      <c r="K139" s="95" t="e">
        <f t="shared" si="13"/>
        <v>#NUM!</v>
      </c>
      <c r="L139" s="95"/>
      <c r="M139" s="97">
        <f t="shared" si="14"/>
        <v>0</v>
      </c>
      <c r="S139" s="85"/>
      <c r="T139" s="85"/>
      <c r="U139" s="85"/>
      <c r="V139" s="85"/>
      <c r="W139" s="85"/>
      <c r="X139" s="85"/>
      <c r="Y139" s="85"/>
      <c r="Z139" s="85"/>
      <c r="AA139" s="85"/>
      <c r="AB139" s="85"/>
      <c r="AC139" s="85"/>
      <c r="AD139" s="85"/>
      <c r="AE139" s="85"/>
      <c r="AF139" s="85"/>
      <c r="AG139" s="85"/>
      <c r="AH139" s="85"/>
      <c r="AI139" s="85"/>
      <c r="AJ139" s="85"/>
      <c r="AK139" s="85"/>
      <c r="AL139" s="85"/>
    </row>
    <row r="140" spans="1:38" s="80" customFormat="1" x14ac:dyDescent="0.25">
      <c r="A140" s="116"/>
      <c r="B140" s="115"/>
      <c r="C140" s="115"/>
      <c r="D140" s="115"/>
      <c r="E140" s="115"/>
      <c r="F140" s="115"/>
      <c r="H140" s="95">
        <v>135</v>
      </c>
      <c r="I140" s="96" t="str">
        <f t="shared" si="11"/>
        <v/>
      </c>
      <c r="J140" s="95" t="e">
        <f t="shared" si="12"/>
        <v>#NUM!</v>
      </c>
      <c r="K140" s="95" t="e">
        <f t="shared" si="13"/>
        <v>#NUM!</v>
      </c>
      <c r="L140" s="95"/>
      <c r="M140" s="97">
        <f t="shared" si="14"/>
        <v>0</v>
      </c>
      <c r="S140" s="85"/>
      <c r="T140" s="85"/>
      <c r="U140" s="85"/>
      <c r="V140" s="85"/>
      <c r="W140" s="85"/>
      <c r="X140" s="85"/>
      <c r="Y140" s="85"/>
      <c r="Z140" s="85"/>
      <c r="AA140" s="85"/>
      <c r="AB140" s="85"/>
      <c r="AC140" s="85"/>
      <c r="AD140" s="85"/>
      <c r="AE140" s="85"/>
      <c r="AF140" s="85"/>
      <c r="AG140" s="85"/>
      <c r="AH140" s="85"/>
      <c r="AI140" s="85"/>
      <c r="AJ140" s="85"/>
      <c r="AK140" s="85"/>
      <c r="AL140" s="85"/>
    </row>
    <row r="141" spans="1:38" s="80" customFormat="1" x14ac:dyDescent="0.25">
      <c r="A141" s="116"/>
      <c r="B141" s="115"/>
      <c r="C141" s="115"/>
      <c r="D141" s="115"/>
      <c r="E141" s="115"/>
      <c r="F141" s="115"/>
      <c r="H141" s="95">
        <v>136</v>
      </c>
      <c r="I141" s="96" t="str">
        <f t="shared" si="11"/>
        <v/>
      </c>
      <c r="J141" s="95" t="e">
        <f t="shared" si="12"/>
        <v>#NUM!</v>
      </c>
      <c r="K141" s="95" t="e">
        <f t="shared" si="13"/>
        <v>#NUM!</v>
      </c>
      <c r="L141" s="95"/>
      <c r="M141" s="97">
        <f t="shared" si="14"/>
        <v>0</v>
      </c>
      <c r="S141" s="85"/>
      <c r="T141" s="85"/>
      <c r="U141" s="85"/>
      <c r="V141" s="85"/>
      <c r="W141" s="85"/>
      <c r="X141" s="85"/>
      <c r="Y141" s="85"/>
      <c r="Z141" s="85"/>
      <c r="AA141" s="85"/>
      <c r="AB141" s="85"/>
      <c r="AC141" s="85"/>
      <c r="AD141" s="85"/>
      <c r="AE141" s="85"/>
      <c r="AF141" s="85"/>
      <c r="AG141" s="85"/>
      <c r="AH141" s="85"/>
      <c r="AI141" s="85"/>
      <c r="AJ141" s="85"/>
      <c r="AK141" s="85"/>
      <c r="AL141" s="85"/>
    </row>
    <row r="142" spans="1:38" s="80" customFormat="1" x14ac:dyDescent="0.25">
      <c r="A142" s="116"/>
      <c r="B142" s="115"/>
      <c r="C142" s="115"/>
      <c r="D142" s="115"/>
      <c r="E142" s="115"/>
      <c r="F142" s="115"/>
      <c r="H142" s="95">
        <v>137</v>
      </c>
      <c r="I142" s="96" t="str">
        <f t="shared" si="11"/>
        <v/>
      </c>
      <c r="J142" s="95" t="e">
        <f t="shared" si="12"/>
        <v>#NUM!</v>
      </c>
      <c r="K142" s="95" t="e">
        <f t="shared" si="13"/>
        <v>#NUM!</v>
      </c>
      <c r="L142" s="95"/>
      <c r="M142" s="97">
        <f t="shared" si="14"/>
        <v>0</v>
      </c>
      <c r="S142" s="85"/>
      <c r="T142" s="85"/>
      <c r="U142" s="85"/>
      <c r="V142" s="85"/>
      <c r="W142" s="85"/>
      <c r="X142" s="85"/>
      <c r="Y142" s="85"/>
      <c r="Z142" s="85"/>
      <c r="AA142" s="85"/>
      <c r="AB142" s="85"/>
      <c r="AC142" s="85"/>
      <c r="AD142" s="85"/>
      <c r="AE142" s="85"/>
      <c r="AF142" s="85"/>
      <c r="AG142" s="85"/>
      <c r="AH142" s="85"/>
      <c r="AI142" s="85"/>
      <c r="AJ142" s="85"/>
      <c r="AK142" s="85"/>
      <c r="AL142" s="85"/>
    </row>
    <row r="143" spans="1:38" s="80" customFormat="1" x14ac:dyDescent="0.25">
      <c r="A143" s="116"/>
      <c r="B143" s="115"/>
      <c r="C143" s="115"/>
      <c r="D143" s="115"/>
      <c r="E143" s="115"/>
      <c r="F143" s="115"/>
      <c r="H143" s="95">
        <v>138</v>
      </c>
      <c r="I143" s="96" t="str">
        <f t="shared" si="11"/>
        <v/>
      </c>
      <c r="J143" s="95" t="e">
        <f t="shared" si="12"/>
        <v>#NUM!</v>
      </c>
      <c r="K143" s="95" t="e">
        <f t="shared" si="13"/>
        <v>#NUM!</v>
      </c>
      <c r="L143" s="95"/>
      <c r="M143" s="97">
        <f t="shared" si="14"/>
        <v>0</v>
      </c>
      <c r="S143" s="85"/>
      <c r="T143" s="85"/>
      <c r="U143" s="85"/>
      <c r="V143" s="85"/>
      <c r="W143" s="85"/>
      <c r="X143" s="85"/>
      <c r="Y143" s="85"/>
      <c r="Z143" s="85"/>
      <c r="AA143" s="85"/>
      <c r="AB143" s="85"/>
      <c r="AC143" s="85"/>
      <c r="AD143" s="85"/>
      <c r="AE143" s="85"/>
      <c r="AF143" s="85"/>
      <c r="AG143" s="85"/>
      <c r="AH143" s="85"/>
      <c r="AI143" s="85"/>
      <c r="AJ143" s="85"/>
      <c r="AK143" s="85"/>
      <c r="AL143" s="85"/>
    </row>
    <row r="144" spans="1:38" s="80" customFormat="1" x14ac:dyDescent="0.25">
      <c r="A144" s="116"/>
      <c r="B144" s="115"/>
      <c r="C144" s="115"/>
      <c r="D144" s="115"/>
      <c r="E144" s="115"/>
      <c r="F144" s="115"/>
      <c r="H144" s="95">
        <v>139</v>
      </c>
      <c r="I144" s="96" t="str">
        <f t="shared" si="11"/>
        <v/>
      </c>
      <c r="J144" s="95" t="e">
        <f t="shared" si="12"/>
        <v>#NUM!</v>
      </c>
      <c r="K144" s="95" t="e">
        <f t="shared" si="13"/>
        <v>#NUM!</v>
      </c>
      <c r="L144" s="95"/>
      <c r="M144" s="97">
        <f t="shared" si="14"/>
        <v>0</v>
      </c>
      <c r="S144" s="85"/>
      <c r="T144" s="85"/>
      <c r="U144" s="85"/>
      <c r="V144" s="85"/>
      <c r="W144" s="85"/>
      <c r="X144" s="85"/>
      <c r="Y144" s="85"/>
      <c r="Z144" s="85"/>
      <c r="AA144" s="85"/>
      <c r="AB144" s="85"/>
      <c r="AC144" s="85"/>
      <c r="AD144" s="85"/>
      <c r="AE144" s="85"/>
      <c r="AF144" s="85"/>
      <c r="AG144" s="85"/>
      <c r="AH144" s="85"/>
      <c r="AI144" s="85"/>
      <c r="AJ144" s="85"/>
      <c r="AK144" s="85"/>
      <c r="AL144" s="85"/>
    </row>
    <row r="145" spans="1:38" s="80" customFormat="1" x14ac:dyDescent="0.25">
      <c r="A145" s="116"/>
      <c r="B145" s="115"/>
      <c r="C145" s="115"/>
      <c r="D145" s="115"/>
      <c r="E145" s="115"/>
      <c r="F145" s="115"/>
      <c r="H145" s="95">
        <v>140</v>
      </c>
      <c r="I145" s="96" t="str">
        <f t="shared" si="11"/>
        <v/>
      </c>
      <c r="J145" s="95" t="e">
        <f t="shared" si="12"/>
        <v>#NUM!</v>
      </c>
      <c r="K145" s="95" t="e">
        <f t="shared" si="13"/>
        <v>#NUM!</v>
      </c>
      <c r="L145" s="95"/>
      <c r="M145" s="97">
        <f t="shared" si="14"/>
        <v>0</v>
      </c>
      <c r="S145" s="85"/>
      <c r="T145" s="85"/>
      <c r="U145" s="85"/>
      <c r="V145" s="85"/>
      <c r="W145" s="85"/>
      <c r="X145" s="85"/>
      <c r="Y145" s="85"/>
      <c r="Z145" s="85"/>
      <c r="AA145" s="85"/>
      <c r="AB145" s="85"/>
      <c r="AC145" s="85"/>
      <c r="AD145" s="85"/>
      <c r="AE145" s="85"/>
      <c r="AF145" s="85"/>
      <c r="AG145" s="85"/>
      <c r="AH145" s="85"/>
      <c r="AI145" s="85"/>
      <c r="AJ145" s="85"/>
      <c r="AK145" s="85"/>
      <c r="AL145" s="85"/>
    </row>
    <row r="146" spans="1:38" s="80" customFormat="1" x14ac:dyDescent="0.25">
      <c r="A146" s="116"/>
      <c r="B146" s="115"/>
      <c r="C146" s="115"/>
      <c r="D146" s="115"/>
      <c r="E146" s="115"/>
      <c r="F146" s="115"/>
      <c r="H146" s="95">
        <v>141</v>
      </c>
      <c r="I146" s="96" t="str">
        <f t="shared" si="11"/>
        <v/>
      </c>
      <c r="J146" s="95" t="e">
        <f t="shared" si="12"/>
        <v>#NUM!</v>
      </c>
      <c r="K146" s="95" t="e">
        <f t="shared" si="13"/>
        <v>#NUM!</v>
      </c>
      <c r="L146" s="95"/>
      <c r="M146" s="97">
        <f t="shared" si="14"/>
        <v>0</v>
      </c>
      <c r="S146" s="85"/>
      <c r="T146" s="85"/>
      <c r="U146" s="85"/>
      <c r="V146" s="85"/>
      <c r="W146" s="85"/>
      <c r="X146" s="85"/>
      <c r="Y146" s="85"/>
      <c r="Z146" s="85"/>
      <c r="AA146" s="85"/>
      <c r="AB146" s="85"/>
      <c r="AC146" s="85"/>
      <c r="AD146" s="85"/>
      <c r="AE146" s="85"/>
      <c r="AF146" s="85"/>
      <c r="AG146" s="85"/>
      <c r="AH146" s="85"/>
      <c r="AI146" s="85"/>
      <c r="AJ146" s="85"/>
      <c r="AK146" s="85"/>
      <c r="AL146" s="85"/>
    </row>
    <row r="147" spans="1:38" s="80" customFormat="1" x14ac:dyDescent="0.25">
      <c r="A147" s="116"/>
      <c r="B147" s="115"/>
      <c r="C147" s="115"/>
      <c r="D147" s="115"/>
      <c r="E147" s="115"/>
      <c r="F147" s="115"/>
      <c r="H147" s="95">
        <v>142</v>
      </c>
      <c r="I147" s="96" t="str">
        <f t="shared" si="11"/>
        <v/>
      </c>
      <c r="J147" s="95" t="e">
        <f t="shared" si="12"/>
        <v>#NUM!</v>
      </c>
      <c r="K147" s="95" t="e">
        <f t="shared" si="13"/>
        <v>#NUM!</v>
      </c>
      <c r="L147" s="95"/>
      <c r="M147" s="97">
        <f t="shared" si="14"/>
        <v>0</v>
      </c>
      <c r="S147" s="85"/>
      <c r="T147" s="85"/>
      <c r="U147" s="85"/>
      <c r="V147" s="85"/>
      <c r="W147" s="85"/>
      <c r="X147" s="85"/>
      <c r="Y147" s="85"/>
      <c r="Z147" s="85"/>
      <c r="AA147" s="85"/>
      <c r="AB147" s="85"/>
      <c r="AC147" s="85"/>
      <c r="AD147" s="85"/>
      <c r="AE147" s="85"/>
      <c r="AF147" s="85"/>
      <c r="AG147" s="85"/>
      <c r="AH147" s="85"/>
      <c r="AI147" s="85"/>
      <c r="AJ147" s="85"/>
      <c r="AK147" s="85"/>
      <c r="AL147" s="85"/>
    </row>
    <row r="148" spans="1:38" s="80" customFormat="1" x14ac:dyDescent="0.25">
      <c r="A148" s="116"/>
      <c r="B148" s="115"/>
      <c r="C148" s="115"/>
      <c r="D148" s="115"/>
      <c r="E148" s="115"/>
      <c r="F148" s="115"/>
      <c r="H148" s="95">
        <v>143</v>
      </c>
      <c r="I148" s="96" t="str">
        <f t="shared" si="11"/>
        <v/>
      </c>
      <c r="J148" s="95" t="e">
        <f t="shared" si="12"/>
        <v>#NUM!</v>
      </c>
      <c r="K148" s="95" t="e">
        <f t="shared" si="13"/>
        <v>#NUM!</v>
      </c>
      <c r="L148" s="95"/>
      <c r="M148" s="97">
        <f t="shared" si="14"/>
        <v>0</v>
      </c>
      <c r="S148" s="85"/>
      <c r="T148" s="85"/>
      <c r="U148" s="85"/>
      <c r="V148" s="85"/>
      <c r="W148" s="85"/>
      <c r="X148" s="85"/>
      <c r="Y148" s="85"/>
      <c r="Z148" s="85"/>
      <c r="AA148" s="85"/>
      <c r="AB148" s="85"/>
      <c r="AC148" s="85"/>
      <c r="AD148" s="85"/>
      <c r="AE148" s="85"/>
      <c r="AF148" s="85"/>
      <c r="AG148" s="85"/>
      <c r="AH148" s="85"/>
      <c r="AI148" s="85"/>
      <c r="AJ148" s="85"/>
      <c r="AK148" s="85"/>
      <c r="AL148" s="85"/>
    </row>
    <row r="149" spans="1:38" s="80" customFormat="1" x14ac:dyDescent="0.25">
      <c r="A149" s="116"/>
      <c r="B149" s="115"/>
      <c r="C149" s="115"/>
      <c r="D149" s="115"/>
      <c r="E149" s="115"/>
      <c r="F149" s="115"/>
      <c r="H149" s="95">
        <v>144</v>
      </c>
      <c r="I149" s="96" t="str">
        <f t="shared" si="11"/>
        <v/>
      </c>
      <c r="J149" s="95" t="e">
        <f t="shared" si="12"/>
        <v>#NUM!</v>
      </c>
      <c r="K149" s="95" t="e">
        <f t="shared" si="13"/>
        <v>#NUM!</v>
      </c>
      <c r="L149" s="95"/>
      <c r="M149" s="97">
        <f t="shared" si="14"/>
        <v>0</v>
      </c>
      <c r="S149" s="85"/>
      <c r="T149" s="85"/>
      <c r="U149" s="85"/>
      <c r="V149" s="85"/>
      <c r="W149" s="85"/>
      <c r="X149" s="85"/>
      <c r="Y149" s="85"/>
      <c r="Z149" s="85"/>
      <c r="AA149" s="85"/>
      <c r="AB149" s="85"/>
      <c r="AC149" s="85"/>
      <c r="AD149" s="85"/>
      <c r="AE149" s="85"/>
      <c r="AF149" s="85"/>
      <c r="AG149" s="85"/>
      <c r="AH149" s="85"/>
      <c r="AI149" s="85"/>
      <c r="AJ149" s="85"/>
      <c r="AK149" s="85"/>
      <c r="AL149" s="85"/>
    </row>
    <row r="150" spans="1:38" s="80" customFormat="1" x14ac:dyDescent="0.25">
      <c r="A150" s="116"/>
      <c r="B150" s="115"/>
      <c r="C150" s="115"/>
      <c r="D150" s="115"/>
      <c r="E150" s="115"/>
      <c r="F150" s="115"/>
      <c r="H150" s="95">
        <v>145</v>
      </c>
      <c r="I150" s="96" t="str">
        <f t="shared" si="11"/>
        <v/>
      </c>
      <c r="J150" s="95" t="e">
        <f t="shared" si="12"/>
        <v>#NUM!</v>
      </c>
      <c r="K150" s="95" t="e">
        <f t="shared" si="13"/>
        <v>#NUM!</v>
      </c>
      <c r="L150" s="95"/>
      <c r="M150" s="97">
        <f t="shared" si="14"/>
        <v>0</v>
      </c>
      <c r="S150" s="85"/>
      <c r="T150" s="85"/>
      <c r="U150" s="85"/>
      <c r="V150" s="85"/>
      <c r="W150" s="85"/>
      <c r="X150" s="85"/>
      <c r="Y150" s="85"/>
      <c r="Z150" s="85"/>
      <c r="AA150" s="85"/>
      <c r="AB150" s="85"/>
      <c r="AC150" s="85"/>
      <c r="AD150" s="85"/>
      <c r="AE150" s="85"/>
      <c r="AF150" s="85"/>
      <c r="AG150" s="85"/>
      <c r="AH150" s="85"/>
      <c r="AI150" s="85"/>
      <c r="AJ150" s="85"/>
      <c r="AK150" s="85"/>
      <c r="AL150" s="85"/>
    </row>
    <row r="151" spans="1:38" s="80" customFormat="1" x14ac:dyDescent="0.25">
      <c r="A151" s="116"/>
      <c r="B151" s="115"/>
      <c r="C151" s="115"/>
      <c r="D151" s="115"/>
      <c r="E151" s="115"/>
      <c r="F151" s="115"/>
      <c r="H151" s="95">
        <v>146</v>
      </c>
      <c r="I151" s="96" t="str">
        <f t="shared" si="11"/>
        <v/>
      </c>
      <c r="J151" s="95" t="e">
        <f t="shared" si="12"/>
        <v>#NUM!</v>
      </c>
      <c r="K151" s="95" t="e">
        <f t="shared" si="13"/>
        <v>#NUM!</v>
      </c>
      <c r="L151" s="95"/>
      <c r="M151" s="97">
        <f t="shared" si="14"/>
        <v>0</v>
      </c>
      <c r="S151" s="85"/>
      <c r="T151" s="85"/>
      <c r="U151" s="85"/>
      <c r="V151" s="85"/>
      <c r="W151" s="85"/>
      <c r="X151" s="85"/>
      <c r="Y151" s="85"/>
      <c r="Z151" s="85"/>
      <c r="AA151" s="85"/>
      <c r="AB151" s="85"/>
      <c r="AC151" s="85"/>
      <c r="AD151" s="85"/>
      <c r="AE151" s="85"/>
      <c r="AF151" s="85"/>
      <c r="AG151" s="85"/>
      <c r="AH151" s="85"/>
      <c r="AI151" s="85"/>
      <c r="AJ151" s="85"/>
      <c r="AK151" s="85"/>
      <c r="AL151" s="85"/>
    </row>
    <row r="152" spans="1:38" s="80" customFormat="1" x14ac:dyDescent="0.25">
      <c r="A152" s="116"/>
      <c r="B152" s="115"/>
      <c r="C152" s="115"/>
      <c r="D152" s="115"/>
      <c r="E152" s="115"/>
      <c r="F152" s="115"/>
      <c r="H152" s="95">
        <v>147</v>
      </c>
      <c r="I152" s="96" t="str">
        <f t="shared" si="11"/>
        <v/>
      </c>
      <c r="J152" s="95" t="e">
        <f t="shared" si="12"/>
        <v>#NUM!</v>
      </c>
      <c r="K152" s="95" t="e">
        <f t="shared" si="13"/>
        <v>#NUM!</v>
      </c>
      <c r="L152" s="95"/>
      <c r="M152" s="97">
        <f t="shared" si="14"/>
        <v>0</v>
      </c>
      <c r="S152" s="85"/>
      <c r="T152" s="85"/>
      <c r="U152" s="85"/>
      <c r="V152" s="85"/>
      <c r="W152" s="85"/>
      <c r="X152" s="85"/>
      <c r="Y152" s="85"/>
      <c r="Z152" s="85"/>
      <c r="AA152" s="85"/>
      <c r="AB152" s="85"/>
      <c r="AC152" s="85"/>
      <c r="AD152" s="85"/>
      <c r="AE152" s="85"/>
      <c r="AF152" s="85"/>
      <c r="AG152" s="85"/>
      <c r="AH152" s="85"/>
      <c r="AI152" s="85"/>
      <c r="AJ152" s="85"/>
      <c r="AK152" s="85"/>
      <c r="AL152" s="85"/>
    </row>
    <row r="153" spans="1:38" s="80" customFormat="1" x14ac:dyDescent="0.25">
      <c r="A153" s="116"/>
      <c r="B153" s="115"/>
      <c r="C153" s="115"/>
      <c r="D153" s="115"/>
      <c r="E153" s="115"/>
      <c r="F153" s="115"/>
      <c r="H153" s="95">
        <v>148</v>
      </c>
      <c r="I153" s="96" t="str">
        <f t="shared" si="11"/>
        <v/>
      </c>
      <c r="J153" s="95" t="e">
        <f t="shared" si="12"/>
        <v>#NUM!</v>
      </c>
      <c r="K153" s="95" t="e">
        <f t="shared" si="13"/>
        <v>#NUM!</v>
      </c>
      <c r="L153" s="95"/>
      <c r="M153" s="97">
        <f t="shared" si="14"/>
        <v>0</v>
      </c>
      <c r="S153" s="85"/>
      <c r="T153" s="85"/>
      <c r="U153" s="85"/>
      <c r="V153" s="85"/>
      <c r="W153" s="85"/>
      <c r="X153" s="85"/>
      <c r="Y153" s="85"/>
      <c r="Z153" s="85"/>
      <c r="AA153" s="85"/>
      <c r="AB153" s="85"/>
      <c r="AC153" s="85"/>
      <c r="AD153" s="85"/>
      <c r="AE153" s="85"/>
      <c r="AF153" s="85"/>
      <c r="AG153" s="85"/>
      <c r="AH153" s="85"/>
      <c r="AI153" s="85"/>
      <c r="AJ153" s="85"/>
      <c r="AK153" s="85"/>
      <c r="AL153" s="85"/>
    </row>
    <row r="154" spans="1:38" s="80" customFormat="1" x14ac:dyDescent="0.25">
      <c r="A154" s="116"/>
      <c r="B154" s="115"/>
      <c r="C154" s="115"/>
      <c r="D154" s="115"/>
      <c r="E154" s="115"/>
      <c r="F154" s="115"/>
      <c r="H154" s="95">
        <v>149</v>
      </c>
      <c r="I154" s="96" t="str">
        <f t="shared" si="11"/>
        <v/>
      </c>
      <c r="J154" s="95" t="e">
        <f t="shared" si="12"/>
        <v>#NUM!</v>
      </c>
      <c r="K154" s="95" t="e">
        <f t="shared" si="13"/>
        <v>#NUM!</v>
      </c>
      <c r="L154" s="95"/>
      <c r="M154" s="97">
        <f t="shared" si="14"/>
        <v>0</v>
      </c>
      <c r="S154" s="85"/>
      <c r="T154" s="85"/>
      <c r="U154" s="85"/>
      <c r="V154" s="85"/>
      <c r="W154" s="85"/>
      <c r="X154" s="85"/>
      <c r="Y154" s="85"/>
      <c r="Z154" s="85"/>
      <c r="AA154" s="85"/>
      <c r="AB154" s="85"/>
      <c r="AC154" s="85"/>
      <c r="AD154" s="85"/>
      <c r="AE154" s="85"/>
      <c r="AF154" s="85"/>
      <c r="AG154" s="85"/>
      <c r="AH154" s="85"/>
      <c r="AI154" s="85"/>
      <c r="AJ154" s="85"/>
      <c r="AK154" s="85"/>
      <c r="AL154" s="85"/>
    </row>
    <row r="155" spans="1:38" s="80" customFormat="1" x14ac:dyDescent="0.25">
      <c r="A155" s="116"/>
      <c r="B155" s="115"/>
      <c r="C155" s="115"/>
      <c r="D155" s="115"/>
      <c r="E155" s="115"/>
      <c r="F155" s="115"/>
      <c r="H155" s="95">
        <v>150</v>
      </c>
      <c r="I155" s="96" t="str">
        <f t="shared" si="11"/>
        <v/>
      </c>
      <c r="J155" s="95" t="e">
        <f t="shared" si="12"/>
        <v>#NUM!</v>
      </c>
      <c r="K155" s="95" t="e">
        <f t="shared" si="13"/>
        <v>#NUM!</v>
      </c>
      <c r="L155" s="95"/>
      <c r="M155" s="97">
        <f t="shared" si="14"/>
        <v>0</v>
      </c>
      <c r="S155" s="85"/>
      <c r="T155" s="85"/>
      <c r="U155" s="85"/>
      <c r="V155" s="85"/>
      <c r="W155" s="85"/>
      <c r="X155" s="85"/>
      <c r="Y155" s="85"/>
      <c r="Z155" s="85"/>
      <c r="AA155" s="85"/>
      <c r="AB155" s="85"/>
      <c r="AC155" s="85"/>
      <c r="AD155" s="85"/>
      <c r="AE155" s="85"/>
      <c r="AF155" s="85"/>
      <c r="AG155" s="85"/>
      <c r="AH155" s="85"/>
      <c r="AI155" s="85"/>
      <c r="AJ155" s="85"/>
      <c r="AK155" s="85"/>
      <c r="AL155" s="85"/>
    </row>
    <row r="156" spans="1:38" s="80" customFormat="1" x14ac:dyDescent="0.25">
      <c r="A156" s="116"/>
      <c r="B156" s="115"/>
      <c r="C156" s="115"/>
      <c r="D156" s="115"/>
      <c r="E156" s="115"/>
      <c r="F156" s="115"/>
      <c r="H156" s="95">
        <v>151</v>
      </c>
      <c r="I156" s="96" t="str">
        <f t="shared" si="11"/>
        <v/>
      </c>
      <c r="J156" s="95" t="e">
        <f t="shared" si="12"/>
        <v>#NUM!</v>
      </c>
      <c r="K156" s="95" t="e">
        <f t="shared" si="13"/>
        <v>#NUM!</v>
      </c>
      <c r="L156" s="95"/>
      <c r="M156" s="97">
        <f t="shared" si="14"/>
        <v>0</v>
      </c>
      <c r="S156" s="85"/>
      <c r="T156" s="85"/>
      <c r="U156" s="85"/>
      <c r="V156" s="85"/>
      <c r="W156" s="85"/>
      <c r="X156" s="85"/>
      <c r="Y156" s="85"/>
      <c r="Z156" s="85"/>
      <c r="AA156" s="85"/>
      <c r="AB156" s="85"/>
      <c r="AC156" s="85"/>
      <c r="AD156" s="85"/>
      <c r="AE156" s="85"/>
      <c r="AF156" s="85"/>
      <c r="AG156" s="85"/>
      <c r="AH156" s="85"/>
      <c r="AI156" s="85"/>
      <c r="AJ156" s="85"/>
      <c r="AK156" s="85"/>
      <c r="AL156" s="85"/>
    </row>
    <row r="157" spans="1:38" s="80" customFormat="1" x14ac:dyDescent="0.25">
      <c r="A157" s="116"/>
      <c r="B157" s="115"/>
      <c r="C157" s="115"/>
      <c r="D157" s="115"/>
      <c r="E157" s="115"/>
      <c r="F157" s="115"/>
      <c r="H157" s="95">
        <v>152</v>
      </c>
      <c r="I157" s="96" t="str">
        <f t="shared" si="11"/>
        <v/>
      </c>
      <c r="J157" s="95" t="e">
        <f t="shared" si="12"/>
        <v>#NUM!</v>
      </c>
      <c r="K157" s="95" t="e">
        <f t="shared" si="13"/>
        <v>#NUM!</v>
      </c>
      <c r="L157" s="95"/>
      <c r="M157" s="97">
        <f t="shared" si="14"/>
        <v>0</v>
      </c>
      <c r="S157" s="85"/>
      <c r="T157" s="85"/>
      <c r="U157" s="85"/>
      <c r="V157" s="85"/>
      <c r="W157" s="85"/>
      <c r="X157" s="85"/>
      <c r="Y157" s="85"/>
      <c r="Z157" s="85"/>
      <c r="AA157" s="85"/>
      <c r="AB157" s="85"/>
      <c r="AC157" s="85"/>
      <c r="AD157" s="85"/>
      <c r="AE157" s="85"/>
      <c r="AF157" s="85"/>
      <c r="AG157" s="85"/>
      <c r="AH157" s="85"/>
      <c r="AI157" s="85"/>
      <c r="AJ157" s="85"/>
      <c r="AK157" s="85"/>
      <c r="AL157" s="85"/>
    </row>
    <row r="158" spans="1:38" s="80" customFormat="1" x14ac:dyDescent="0.25">
      <c r="A158" s="116"/>
      <c r="B158" s="115"/>
      <c r="C158" s="115"/>
      <c r="D158" s="115"/>
      <c r="E158" s="115"/>
      <c r="F158" s="115"/>
      <c r="H158" s="95">
        <v>153</v>
      </c>
      <c r="I158" s="96" t="str">
        <f t="shared" si="11"/>
        <v/>
      </c>
      <c r="J158" s="95" t="e">
        <f t="shared" si="12"/>
        <v>#NUM!</v>
      </c>
      <c r="K158" s="95" t="e">
        <f t="shared" si="13"/>
        <v>#NUM!</v>
      </c>
      <c r="L158" s="95"/>
      <c r="M158" s="97">
        <f t="shared" si="14"/>
        <v>0</v>
      </c>
      <c r="S158" s="85"/>
      <c r="T158" s="85"/>
      <c r="U158" s="85"/>
      <c r="V158" s="85"/>
      <c r="W158" s="85"/>
      <c r="X158" s="85"/>
      <c r="Y158" s="85"/>
      <c r="Z158" s="85"/>
      <c r="AA158" s="85"/>
      <c r="AB158" s="85"/>
      <c r="AC158" s="85"/>
      <c r="AD158" s="85"/>
      <c r="AE158" s="85"/>
      <c r="AF158" s="85"/>
      <c r="AG158" s="85"/>
      <c r="AH158" s="85"/>
      <c r="AI158" s="85"/>
      <c r="AJ158" s="85"/>
      <c r="AK158" s="85"/>
      <c r="AL158" s="85"/>
    </row>
    <row r="159" spans="1:38" s="80" customFormat="1" x14ac:dyDescent="0.25">
      <c r="A159" s="116"/>
      <c r="B159" s="115"/>
      <c r="C159" s="115"/>
      <c r="D159" s="115"/>
      <c r="E159" s="115"/>
      <c r="F159" s="115"/>
      <c r="H159" s="95">
        <v>154</v>
      </c>
      <c r="I159" s="96" t="str">
        <f t="shared" si="11"/>
        <v/>
      </c>
      <c r="J159" s="95" t="e">
        <f t="shared" si="12"/>
        <v>#NUM!</v>
      </c>
      <c r="K159" s="95" t="e">
        <f t="shared" si="13"/>
        <v>#NUM!</v>
      </c>
      <c r="L159" s="95"/>
      <c r="M159" s="97">
        <f t="shared" si="14"/>
        <v>0</v>
      </c>
      <c r="S159" s="85"/>
      <c r="T159" s="85"/>
      <c r="U159" s="85"/>
      <c r="V159" s="85"/>
      <c r="W159" s="85"/>
      <c r="X159" s="85"/>
      <c r="Y159" s="85"/>
      <c r="Z159" s="85"/>
      <c r="AA159" s="85"/>
      <c r="AB159" s="85"/>
      <c r="AC159" s="85"/>
      <c r="AD159" s="85"/>
      <c r="AE159" s="85"/>
      <c r="AF159" s="85"/>
      <c r="AG159" s="85"/>
      <c r="AH159" s="85"/>
      <c r="AI159" s="85"/>
      <c r="AJ159" s="85"/>
      <c r="AK159" s="85"/>
      <c r="AL159" s="85"/>
    </row>
    <row r="160" spans="1:38" s="80" customFormat="1" x14ac:dyDescent="0.25">
      <c r="A160" s="116"/>
      <c r="B160" s="115"/>
      <c r="C160" s="115"/>
      <c r="D160" s="115"/>
      <c r="E160" s="115"/>
      <c r="F160" s="115"/>
      <c r="H160" s="95">
        <v>155</v>
      </c>
      <c r="I160" s="96" t="str">
        <f t="shared" si="11"/>
        <v/>
      </c>
      <c r="J160" s="95" t="e">
        <f t="shared" si="12"/>
        <v>#NUM!</v>
      </c>
      <c r="K160" s="95" t="e">
        <f t="shared" si="13"/>
        <v>#NUM!</v>
      </c>
      <c r="L160" s="95"/>
      <c r="M160" s="97">
        <f t="shared" si="14"/>
        <v>0</v>
      </c>
      <c r="S160" s="85"/>
      <c r="T160" s="85"/>
      <c r="U160" s="85"/>
      <c r="V160" s="85"/>
      <c r="W160" s="85"/>
      <c r="X160" s="85"/>
      <c r="Y160" s="85"/>
      <c r="Z160" s="85"/>
      <c r="AA160" s="85"/>
      <c r="AB160" s="85"/>
      <c r="AC160" s="85"/>
      <c r="AD160" s="85"/>
      <c r="AE160" s="85"/>
      <c r="AF160" s="85"/>
      <c r="AG160" s="85"/>
      <c r="AH160" s="85"/>
      <c r="AI160" s="85"/>
      <c r="AJ160" s="85"/>
      <c r="AK160" s="85"/>
      <c r="AL160" s="85"/>
    </row>
    <row r="161" spans="1:38" s="80" customFormat="1" x14ac:dyDescent="0.25">
      <c r="A161" s="116"/>
      <c r="B161" s="115"/>
      <c r="C161" s="115"/>
      <c r="D161" s="115"/>
      <c r="E161" s="115"/>
      <c r="F161" s="115"/>
      <c r="H161" s="95">
        <v>156</v>
      </c>
      <c r="I161" s="96" t="str">
        <f t="shared" si="11"/>
        <v/>
      </c>
      <c r="J161" s="95" t="e">
        <f t="shared" si="12"/>
        <v>#NUM!</v>
      </c>
      <c r="K161" s="95" t="e">
        <f t="shared" si="13"/>
        <v>#NUM!</v>
      </c>
      <c r="L161" s="95"/>
      <c r="M161" s="97">
        <f t="shared" si="14"/>
        <v>0</v>
      </c>
      <c r="S161" s="85"/>
      <c r="T161" s="85"/>
      <c r="U161" s="85"/>
      <c r="V161" s="85"/>
      <c r="W161" s="85"/>
      <c r="X161" s="85"/>
      <c r="Y161" s="85"/>
      <c r="Z161" s="85"/>
      <c r="AA161" s="85"/>
      <c r="AB161" s="85"/>
      <c r="AC161" s="85"/>
      <c r="AD161" s="85"/>
      <c r="AE161" s="85"/>
      <c r="AF161" s="85"/>
      <c r="AG161" s="85"/>
      <c r="AH161" s="85"/>
      <c r="AI161" s="85"/>
      <c r="AJ161" s="85"/>
      <c r="AK161" s="85"/>
      <c r="AL161" s="85"/>
    </row>
    <row r="162" spans="1:38" s="80" customFormat="1" x14ac:dyDescent="0.25">
      <c r="A162" s="116"/>
      <c r="B162" s="115"/>
      <c r="C162" s="115"/>
      <c r="D162" s="115"/>
      <c r="E162" s="115"/>
      <c r="F162" s="115"/>
      <c r="H162" s="95">
        <v>157</v>
      </c>
      <c r="I162" s="96" t="str">
        <f t="shared" si="11"/>
        <v/>
      </c>
      <c r="J162" s="95" t="e">
        <f t="shared" si="12"/>
        <v>#NUM!</v>
      </c>
      <c r="K162" s="95" t="e">
        <f t="shared" si="13"/>
        <v>#NUM!</v>
      </c>
      <c r="L162" s="95"/>
      <c r="M162" s="97">
        <f t="shared" si="14"/>
        <v>0</v>
      </c>
      <c r="S162" s="85"/>
      <c r="T162" s="85"/>
      <c r="U162" s="85"/>
      <c r="V162" s="85"/>
      <c r="W162" s="85"/>
      <c r="X162" s="85"/>
      <c r="Y162" s="85"/>
      <c r="Z162" s="85"/>
      <c r="AA162" s="85"/>
      <c r="AB162" s="85"/>
      <c r="AC162" s="85"/>
      <c r="AD162" s="85"/>
      <c r="AE162" s="85"/>
      <c r="AF162" s="85"/>
      <c r="AG162" s="85"/>
      <c r="AH162" s="85"/>
      <c r="AI162" s="85"/>
      <c r="AJ162" s="85"/>
      <c r="AK162" s="85"/>
      <c r="AL162" s="85"/>
    </row>
    <row r="163" spans="1:38" s="80" customFormat="1" x14ac:dyDescent="0.25">
      <c r="A163" s="116"/>
      <c r="B163" s="115"/>
      <c r="C163" s="115"/>
      <c r="D163" s="115"/>
      <c r="E163" s="115"/>
      <c r="F163" s="115"/>
      <c r="H163" s="95">
        <v>158</v>
      </c>
      <c r="I163" s="96" t="str">
        <f t="shared" si="11"/>
        <v/>
      </c>
      <c r="J163" s="95" t="e">
        <f t="shared" si="12"/>
        <v>#NUM!</v>
      </c>
      <c r="K163" s="95" t="e">
        <f t="shared" si="13"/>
        <v>#NUM!</v>
      </c>
      <c r="L163" s="95"/>
      <c r="M163" s="97">
        <f t="shared" si="14"/>
        <v>0</v>
      </c>
      <c r="S163" s="85"/>
      <c r="T163" s="85"/>
      <c r="U163" s="85"/>
      <c r="V163" s="85"/>
      <c r="W163" s="85"/>
      <c r="X163" s="85"/>
      <c r="Y163" s="85"/>
      <c r="Z163" s="85"/>
      <c r="AA163" s="85"/>
      <c r="AB163" s="85"/>
      <c r="AC163" s="85"/>
      <c r="AD163" s="85"/>
      <c r="AE163" s="85"/>
      <c r="AF163" s="85"/>
      <c r="AG163" s="85"/>
      <c r="AH163" s="85"/>
      <c r="AI163" s="85"/>
      <c r="AJ163" s="85"/>
      <c r="AK163" s="85"/>
      <c r="AL163" s="85"/>
    </row>
    <row r="164" spans="1:38" s="80" customFormat="1" x14ac:dyDescent="0.25">
      <c r="A164" s="116"/>
      <c r="B164" s="115"/>
      <c r="C164" s="115"/>
      <c r="D164" s="115"/>
      <c r="E164" s="115"/>
      <c r="F164" s="115"/>
      <c r="H164" s="95">
        <v>159</v>
      </c>
      <c r="I164" s="96" t="str">
        <f t="shared" si="11"/>
        <v/>
      </c>
      <c r="J164" s="95" t="e">
        <f t="shared" si="12"/>
        <v>#NUM!</v>
      </c>
      <c r="K164" s="95" t="e">
        <f t="shared" si="13"/>
        <v>#NUM!</v>
      </c>
      <c r="L164" s="95"/>
      <c r="M164" s="97">
        <f t="shared" si="14"/>
        <v>0</v>
      </c>
      <c r="S164" s="85"/>
      <c r="T164" s="85"/>
      <c r="U164" s="85"/>
      <c r="V164" s="85"/>
      <c r="W164" s="85"/>
      <c r="X164" s="85"/>
      <c r="Y164" s="85"/>
      <c r="Z164" s="85"/>
      <c r="AA164" s="85"/>
      <c r="AB164" s="85"/>
      <c r="AC164" s="85"/>
      <c r="AD164" s="85"/>
      <c r="AE164" s="85"/>
      <c r="AF164" s="85"/>
      <c r="AG164" s="85"/>
      <c r="AH164" s="85"/>
      <c r="AI164" s="85"/>
      <c r="AJ164" s="85"/>
      <c r="AK164" s="85"/>
      <c r="AL164" s="85"/>
    </row>
    <row r="165" spans="1:38" s="80" customFormat="1" x14ac:dyDescent="0.25">
      <c r="A165" s="116"/>
      <c r="B165" s="115"/>
      <c r="C165" s="115"/>
      <c r="D165" s="115"/>
      <c r="E165" s="115"/>
      <c r="F165" s="115"/>
      <c r="H165" s="95">
        <v>160</v>
      </c>
      <c r="I165" s="96" t="str">
        <f t="shared" si="11"/>
        <v/>
      </c>
      <c r="J165" s="95" t="e">
        <f t="shared" si="12"/>
        <v>#NUM!</v>
      </c>
      <c r="K165" s="95" t="e">
        <f t="shared" si="13"/>
        <v>#NUM!</v>
      </c>
      <c r="L165" s="95"/>
      <c r="M165" s="97">
        <f t="shared" si="14"/>
        <v>0</v>
      </c>
      <c r="S165" s="85"/>
      <c r="T165" s="85"/>
      <c r="U165" s="85"/>
      <c r="V165" s="85"/>
      <c r="W165" s="85"/>
      <c r="X165" s="85"/>
      <c r="Y165" s="85"/>
      <c r="Z165" s="85"/>
      <c r="AA165" s="85"/>
      <c r="AB165" s="85"/>
      <c r="AC165" s="85"/>
      <c r="AD165" s="85"/>
      <c r="AE165" s="85"/>
      <c r="AF165" s="85"/>
      <c r="AG165" s="85"/>
      <c r="AH165" s="85"/>
      <c r="AI165" s="85"/>
      <c r="AJ165" s="85"/>
      <c r="AK165" s="85"/>
      <c r="AL165" s="85"/>
    </row>
    <row r="166" spans="1:38" s="80" customFormat="1" x14ac:dyDescent="0.25">
      <c r="A166" s="116"/>
      <c r="B166" s="115"/>
      <c r="C166" s="115"/>
      <c r="D166" s="115"/>
      <c r="E166" s="115"/>
      <c r="F166" s="115"/>
      <c r="H166" s="95">
        <v>161</v>
      </c>
      <c r="I166" s="96" t="str">
        <f t="shared" si="11"/>
        <v/>
      </c>
      <c r="J166" s="95" t="e">
        <f t="shared" si="12"/>
        <v>#NUM!</v>
      </c>
      <c r="K166" s="95" t="e">
        <f t="shared" si="13"/>
        <v>#NUM!</v>
      </c>
      <c r="L166" s="95"/>
      <c r="M166" s="97">
        <f t="shared" si="14"/>
        <v>0</v>
      </c>
      <c r="S166" s="85"/>
      <c r="T166" s="85"/>
      <c r="U166" s="85"/>
      <c r="V166" s="85"/>
      <c r="W166" s="85"/>
      <c r="X166" s="85"/>
      <c r="Y166" s="85"/>
      <c r="Z166" s="85"/>
      <c r="AA166" s="85"/>
      <c r="AB166" s="85"/>
      <c r="AC166" s="85"/>
      <c r="AD166" s="85"/>
      <c r="AE166" s="85"/>
      <c r="AF166" s="85"/>
      <c r="AG166" s="85"/>
      <c r="AH166" s="85"/>
      <c r="AI166" s="85"/>
      <c r="AJ166" s="85"/>
      <c r="AK166" s="85"/>
      <c r="AL166" s="85"/>
    </row>
    <row r="167" spans="1:38" s="80" customFormat="1" x14ac:dyDescent="0.25">
      <c r="A167" s="116"/>
      <c r="B167" s="115"/>
      <c r="C167" s="115"/>
      <c r="D167" s="115"/>
      <c r="E167" s="115"/>
      <c r="F167" s="115"/>
      <c r="H167" s="95">
        <v>162</v>
      </c>
      <c r="I167" s="96" t="str">
        <f t="shared" si="11"/>
        <v/>
      </c>
      <c r="J167" s="95" t="e">
        <f t="shared" si="12"/>
        <v>#NUM!</v>
      </c>
      <c r="K167" s="95" t="e">
        <f t="shared" si="13"/>
        <v>#NUM!</v>
      </c>
      <c r="L167" s="95"/>
      <c r="M167" s="97">
        <f t="shared" si="14"/>
        <v>0</v>
      </c>
      <c r="S167" s="85"/>
      <c r="T167" s="85"/>
      <c r="U167" s="85"/>
      <c r="V167" s="85"/>
      <c r="W167" s="85"/>
      <c r="X167" s="85"/>
      <c r="Y167" s="85"/>
      <c r="Z167" s="85"/>
      <c r="AA167" s="85"/>
      <c r="AB167" s="85"/>
      <c r="AC167" s="85"/>
      <c r="AD167" s="85"/>
      <c r="AE167" s="85"/>
      <c r="AF167" s="85"/>
      <c r="AG167" s="85"/>
      <c r="AH167" s="85"/>
      <c r="AI167" s="85"/>
      <c r="AJ167" s="85"/>
      <c r="AK167" s="85"/>
      <c r="AL167" s="85"/>
    </row>
    <row r="168" spans="1:38" s="80" customFormat="1" x14ac:dyDescent="0.25">
      <c r="A168" s="116"/>
      <c r="B168" s="115"/>
      <c r="C168" s="115"/>
      <c r="D168" s="115"/>
      <c r="E168" s="115"/>
      <c r="F168" s="115"/>
      <c r="H168" s="95">
        <v>163</v>
      </c>
      <c r="I168" s="96" t="str">
        <f t="shared" si="11"/>
        <v/>
      </c>
      <c r="J168" s="95" t="e">
        <f t="shared" si="12"/>
        <v>#NUM!</v>
      </c>
      <c r="K168" s="95" t="e">
        <f t="shared" si="13"/>
        <v>#NUM!</v>
      </c>
      <c r="L168" s="95"/>
      <c r="M168" s="97">
        <f t="shared" si="14"/>
        <v>0</v>
      </c>
      <c r="S168" s="85"/>
      <c r="T168" s="85"/>
      <c r="U168" s="85"/>
      <c r="V168" s="85"/>
      <c r="W168" s="85"/>
      <c r="X168" s="85"/>
      <c r="Y168" s="85"/>
      <c r="Z168" s="85"/>
      <c r="AA168" s="85"/>
      <c r="AB168" s="85"/>
      <c r="AC168" s="85"/>
      <c r="AD168" s="85"/>
      <c r="AE168" s="85"/>
      <c r="AF168" s="85"/>
      <c r="AG168" s="85"/>
      <c r="AH168" s="85"/>
      <c r="AI168" s="85"/>
      <c r="AJ168" s="85"/>
      <c r="AK168" s="85"/>
      <c r="AL168" s="85"/>
    </row>
    <row r="169" spans="1:38" s="80" customFormat="1" x14ac:dyDescent="0.25">
      <c r="A169" s="116"/>
      <c r="B169" s="115"/>
      <c r="C169" s="115" t="s">
        <v>40</v>
      </c>
      <c r="D169" s="115"/>
      <c r="E169" s="115"/>
      <c r="F169" s="115"/>
      <c r="H169" s="95">
        <v>164</v>
      </c>
      <c r="I169" s="96" t="str">
        <f t="shared" si="11"/>
        <v/>
      </c>
      <c r="J169" s="95" t="e">
        <f t="shared" si="12"/>
        <v>#NUM!</v>
      </c>
      <c r="K169" s="95" t="e">
        <f t="shared" si="13"/>
        <v>#NUM!</v>
      </c>
      <c r="L169" s="95"/>
      <c r="M169" s="97">
        <f t="shared" si="14"/>
        <v>0</v>
      </c>
      <c r="S169" s="85"/>
      <c r="T169" s="85"/>
      <c r="U169" s="85"/>
      <c r="V169" s="85"/>
      <c r="W169" s="85"/>
      <c r="X169" s="85"/>
      <c r="Y169" s="85"/>
      <c r="Z169" s="85"/>
      <c r="AA169" s="85"/>
      <c r="AB169" s="85"/>
      <c r="AC169" s="85"/>
      <c r="AD169" s="85"/>
      <c r="AE169" s="85"/>
      <c r="AF169" s="85"/>
      <c r="AG169" s="85"/>
      <c r="AH169" s="85"/>
      <c r="AI169" s="85"/>
      <c r="AJ169" s="85"/>
      <c r="AK169" s="85"/>
      <c r="AL169" s="85"/>
    </row>
    <row r="170" spans="1:38" s="80" customFormat="1" x14ac:dyDescent="0.25">
      <c r="A170" s="116"/>
      <c r="B170" s="115"/>
      <c r="C170" s="115"/>
      <c r="D170" s="115"/>
      <c r="E170" s="115"/>
      <c r="F170" s="115"/>
      <c r="H170" s="95">
        <v>165</v>
      </c>
      <c r="I170" s="96" t="str">
        <f t="shared" si="11"/>
        <v/>
      </c>
      <c r="J170" s="95" t="e">
        <f t="shared" si="12"/>
        <v>#NUM!</v>
      </c>
      <c r="K170" s="95" t="e">
        <f t="shared" si="13"/>
        <v>#NUM!</v>
      </c>
      <c r="L170" s="95"/>
      <c r="M170" s="97">
        <f t="shared" si="14"/>
        <v>0</v>
      </c>
      <c r="S170" s="85"/>
      <c r="T170" s="85"/>
      <c r="U170" s="85"/>
      <c r="V170" s="85"/>
      <c r="W170" s="85"/>
      <c r="X170" s="85"/>
      <c r="Y170" s="85"/>
      <c r="Z170" s="85"/>
      <c r="AA170" s="85"/>
      <c r="AB170" s="85"/>
      <c r="AC170" s="85"/>
      <c r="AD170" s="85"/>
      <c r="AE170" s="85"/>
      <c r="AF170" s="85"/>
      <c r="AG170" s="85"/>
      <c r="AH170" s="85"/>
      <c r="AI170" s="85"/>
      <c r="AJ170" s="85"/>
      <c r="AK170" s="85"/>
      <c r="AL170" s="85"/>
    </row>
    <row r="171" spans="1:38" s="80" customFormat="1" x14ac:dyDescent="0.25">
      <c r="A171" s="116"/>
      <c r="B171" s="115"/>
      <c r="C171" s="115"/>
      <c r="D171" s="115"/>
      <c r="E171" s="115"/>
      <c r="F171" s="115"/>
      <c r="H171" s="95">
        <v>166</v>
      </c>
      <c r="I171" s="96" t="str">
        <f t="shared" si="11"/>
        <v/>
      </c>
      <c r="J171" s="95" t="e">
        <f t="shared" si="12"/>
        <v>#NUM!</v>
      </c>
      <c r="K171" s="95" t="e">
        <f t="shared" si="13"/>
        <v>#NUM!</v>
      </c>
      <c r="L171" s="95"/>
      <c r="M171" s="97">
        <f t="shared" si="14"/>
        <v>0</v>
      </c>
      <c r="S171" s="85"/>
      <c r="T171" s="85"/>
      <c r="U171" s="85"/>
      <c r="V171" s="85"/>
      <c r="W171" s="85"/>
      <c r="X171" s="85"/>
      <c r="Y171" s="85"/>
      <c r="Z171" s="85"/>
      <c r="AA171" s="85"/>
      <c r="AB171" s="85"/>
      <c r="AC171" s="85"/>
      <c r="AD171" s="85"/>
      <c r="AE171" s="85"/>
      <c r="AF171" s="85"/>
      <c r="AG171" s="85"/>
      <c r="AH171" s="85"/>
      <c r="AI171" s="85"/>
      <c r="AJ171" s="85"/>
      <c r="AK171" s="85"/>
      <c r="AL171" s="85"/>
    </row>
    <row r="172" spans="1:38" s="80" customFormat="1" x14ac:dyDescent="0.25">
      <c r="A172" s="116"/>
      <c r="B172" s="115"/>
      <c r="C172" s="115"/>
      <c r="D172" s="115"/>
      <c r="E172" s="115"/>
      <c r="F172" s="115"/>
      <c r="H172" s="95">
        <v>167</v>
      </c>
      <c r="I172" s="96" t="str">
        <f t="shared" si="11"/>
        <v/>
      </c>
      <c r="J172" s="95" t="e">
        <f t="shared" si="12"/>
        <v>#NUM!</v>
      </c>
      <c r="K172" s="95" t="e">
        <f t="shared" si="13"/>
        <v>#NUM!</v>
      </c>
      <c r="L172" s="95"/>
      <c r="M172" s="97">
        <f t="shared" si="14"/>
        <v>0</v>
      </c>
      <c r="S172" s="85"/>
      <c r="T172" s="85"/>
      <c r="U172" s="85"/>
      <c r="V172" s="85"/>
      <c r="W172" s="85"/>
      <c r="X172" s="85"/>
      <c r="Y172" s="85"/>
      <c r="Z172" s="85"/>
      <c r="AA172" s="85"/>
      <c r="AB172" s="85"/>
      <c r="AC172" s="85"/>
      <c r="AD172" s="85"/>
      <c r="AE172" s="85"/>
      <c r="AF172" s="85"/>
      <c r="AG172" s="85"/>
      <c r="AH172" s="85"/>
      <c r="AI172" s="85"/>
      <c r="AJ172" s="85"/>
      <c r="AK172" s="85"/>
      <c r="AL172" s="85"/>
    </row>
    <row r="173" spans="1:38" s="80" customFormat="1" x14ac:dyDescent="0.25">
      <c r="A173" s="116"/>
      <c r="B173" s="115"/>
      <c r="C173" s="115"/>
      <c r="D173" s="115"/>
      <c r="E173" s="115"/>
      <c r="F173" s="115"/>
      <c r="H173" s="95">
        <v>168</v>
      </c>
      <c r="I173" s="96" t="str">
        <f t="shared" si="11"/>
        <v/>
      </c>
      <c r="J173" s="95" t="e">
        <f t="shared" si="12"/>
        <v>#NUM!</v>
      </c>
      <c r="K173" s="95" t="e">
        <f t="shared" si="13"/>
        <v>#NUM!</v>
      </c>
      <c r="L173" s="95"/>
      <c r="M173" s="97">
        <f t="shared" si="14"/>
        <v>0</v>
      </c>
      <c r="S173" s="85"/>
      <c r="T173" s="85"/>
      <c r="U173" s="85"/>
      <c r="V173" s="85"/>
      <c r="W173" s="85"/>
      <c r="X173" s="85"/>
      <c r="Y173" s="85"/>
      <c r="Z173" s="85"/>
      <c r="AA173" s="85"/>
      <c r="AB173" s="85"/>
      <c r="AC173" s="85"/>
      <c r="AD173" s="85"/>
      <c r="AE173" s="85"/>
      <c r="AF173" s="85"/>
      <c r="AG173" s="85"/>
      <c r="AH173" s="85"/>
      <c r="AI173" s="85"/>
      <c r="AJ173" s="85"/>
      <c r="AK173" s="85"/>
      <c r="AL173" s="85"/>
    </row>
    <row r="174" spans="1:38" s="80" customFormat="1" x14ac:dyDescent="0.25">
      <c r="A174" s="116"/>
      <c r="B174" s="115"/>
      <c r="C174" s="115"/>
      <c r="D174" s="115"/>
      <c r="E174" s="115"/>
      <c r="F174" s="115"/>
      <c r="H174" s="95">
        <v>169</v>
      </c>
      <c r="I174" s="96" t="str">
        <f t="shared" si="11"/>
        <v/>
      </c>
      <c r="J174" s="95" t="e">
        <f t="shared" si="12"/>
        <v>#NUM!</v>
      </c>
      <c r="K174" s="95" t="e">
        <f t="shared" si="13"/>
        <v>#NUM!</v>
      </c>
      <c r="L174" s="95"/>
      <c r="M174" s="97">
        <f t="shared" si="14"/>
        <v>0</v>
      </c>
      <c r="S174" s="85"/>
      <c r="T174" s="85"/>
      <c r="U174" s="85"/>
      <c r="V174" s="85"/>
      <c r="W174" s="85"/>
      <c r="X174" s="85"/>
      <c r="Y174" s="85"/>
      <c r="Z174" s="85"/>
      <c r="AA174" s="85"/>
      <c r="AB174" s="85"/>
      <c r="AC174" s="85"/>
      <c r="AD174" s="85"/>
      <c r="AE174" s="85"/>
      <c r="AF174" s="85"/>
      <c r="AG174" s="85"/>
      <c r="AH174" s="85"/>
      <c r="AI174" s="85"/>
      <c r="AJ174" s="85"/>
      <c r="AK174" s="85"/>
      <c r="AL174" s="85"/>
    </row>
    <row r="175" spans="1:38" s="80" customFormat="1" x14ac:dyDescent="0.25">
      <c r="A175" s="116"/>
      <c r="B175" s="115"/>
      <c r="C175" s="115"/>
      <c r="D175" s="115"/>
      <c r="E175" s="115"/>
      <c r="F175" s="115"/>
      <c r="H175" s="95">
        <v>170</v>
      </c>
      <c r="I175" s="96" t="str">
        <f t="shared" si="11"/>
        <v/>
      </c>
      <c r="J175" s="95" t="e">
        <f t="shared" si="12"/>
        <v>#NUM!</v>
      </c>
      <c r="K175" s="95" t="e">
        <f t="shared" si="13"/>
        <v>#NUM!</v>
      </c>
      <c r="L175" s="95"/>
      <c r="M175" s="97">
        <f t="shared" si="14"/>
        <v>0</v>
      </c>
      <c r="S175" s="85"/>
      <c r="T175" s="85"/>
      <c r="U175" s="85"/>
      <c r="V175" s="85"/>
      <c r="W175" s="85"/>
      <c r="X175" s="85"/>
      <c r="Y175" s="85"/>
      <c r="Z175" s="85"/>
      <c r="AA175" s="85"/>
      <c r="AB175" s="85"/>
      <c r="AC175" s="85"/>
      <c r="AD175" s="85"/>
      <c r="AE175" s="85"/>
      <c r="AF175" s="85"/>
      <c r="AG175" s="85"/>
      <c r="AH175" s="85"/>
      <c r="AI175" s="85"/>
      <c r="AJ175" s="85"/>
      <c r="AK175" s="85"/>
      <c r="AL175" s="85"/>
    </row>
    <row r="176" spans="1:38" s="80" customFormat="1" x14ac:dyDescent="0.25">
      <c r="A176" s="116"/>
      <c r="B176" s="115"/>
      <c r="C176" s="115"/>
      <c r="D176" s="115"/>
      <c r="E176" s="115"/>
      <c r="F176" s="115"/>
      <c r="H176" s="95">
        <v>171</v>
      </c>
      <c r="I176" s="96" t="str">
        <f t="shared" si="11"/>
        <v/>
      </c>
      <c r="J176" s="95" t="e">
        <f t="shared" si="12"/>
        <v>#NUM!</v>
      </c>
      <c r="K176" s="95" t="e">
        <f t="shared" si="13"/>
        <v>#NUM!</v>
      </c>
      <c r="L176" s="95"/>
      <c r="M176" s="97">
        <f t="shared" si="14"/>
        <v>0</v>
      </c>
      <c r="S176" s="85"/>
      <c r="T176" s="85"/>
      <c r="U176" s="85"/>
      <c r="V176" s="85"/>
      <c r="W176" s="85"/>
      <c r="X176" s="85"/>
      <c r="Y176" s="85"/>
      <c r="Z176" s="85"/>
      <c r="AA176" s="85"/>
      <c r="AB176" s="85"/>
      <c r="AC176" s="85"/>
      <c r="AD176" s="85"/>
      <c r="AE176" s="85"/>
      <c r="AF176" s="85"/>
      <c r="AG176" s="85"/>
      <c r="AH176" s="85"/>
      <c r="AI176" s="85"/>
      <c r="AJ176" s="85"/>
      <c r="AK176" s="85"/>
      <c r="AL176" s="85"/>
    </row>
    <row r="177" spans="1:38" s="80" customFormat="1" x14ac:dyDescent="0.25">
      <c r="A177" s="116"/>
      <c r="B177" s="115"/>
      <c r="C177" s="115"/>
      <c r="D177" s="115"/>
      <c r="E177" s="115"/>
      <c r="F177" s="115"/>
      <c r="H177" s="95">
        <v>172</v>
      </c>
      <c r="I177" s="96" t="str">
        <f t="shared" si="11"/>
        <v/>
      </c>
      <c r="J177" s="95" t="e">
        <f t="shared" si="12"/>
        <v>#NUM!</v>
      </c>
      <c r="K177" s="95" t="e">
        <f t="shared" si="13"/>
        <v>#NUM!</v>
      </c>
      <c r="L177" s="95"/>
      <c r="M177" s="97">
        <f t="shared" si="14"/>
        <v>0</v>
      </c>
      <c r="S177" s="85"/>
      <c r="T177" s="85"/>
      <c r="U177" s="85"/>
      <c r="V177" s="85"/>
      <c r="W177" s="85"/>
      <c r="X177" s="85"/>
      <c r="Y177" s="85"/>
      <c r="Z177" s="85"/>
      <c r="AA177" s="85"/>
      <c r="AB177" s="85"/>
      <c r="AC177" s="85"/>
      <c r="AD177" s="85"/>
      <c r="AE177" s="85"/>
      <c r="AF177" s="85"/>
      <c r="AG177" s="85"/>
      <c r="AH177" s="85"/>
      <c r="AI177" s="85"/>
      <c r="AJ177" s="85"/>
      <c r="AK177" s="85"/>
      <c r="AL177" s="85"/>
    </row>
    <row r="178" spans="1:38" s="80" customFormat="1" x14ac:dyDescent="0.25">
      <c r="A178" s="116"/>
      <c r="B178" s="115"/>
      <c r="C178" s="115"/>
      <c r="D178" s="115"/>
      <c r="E178" s="115"/>
      <c r="F178" s="115"/>
      <c r="H178" s="95">
        <v>173</v>
      </c>
      <c r="I178" s="96" t="str">
        <f t="shared" si="11"/>
        <v/>
      </c>
      <c r="J178" s="95" t="e">
        <f t="shared" si="12"/>
        <v>#NUM!</v>
      </c>
      <c r="K178" s="95" t="e">
        <f t="shared" si="13"/>
        <v>#NUM!</v>
      </c>
      <c r="L178" s="95"/>
      <c r="M178" s="97">
        <f t="shared" si="14"/>
        <v>0</v>
      </c>
      <c r="S178" s="85"/>
      <c r="T178" s="85"/>
      <c r="U178" s="85"/>
      <c r="V178" s="85"/>
      <c r="W178" s="85"/>
      <c r="X178" s="85"/>
      <c r="Y178" s="85"/>
      <c r="Z178" s="85"/>
      <c r="AA178" s="85"/>
      <c r="AB178" s="85"/>
      <c r="AC178" s="85"/>
      <c r="AD178" s="85"/>
      <c r="AE178" s="85"/>
      <c r="AF178" s="85"/>
      <c r="AG178" s="85"/>
      <c r="AH178" s="85"/>
      <c r="AI178" s="85"/>
      <c r="AJ178" s="85"/>
      <c r="AK178" s="85"/>
      <c r="AL178" s="85"/>
    </row>
    <row r="179" spans="1:38" s="80" customFormat="1" x14ac:dyDescent="0.25">
      <c r="A179" s="116"/>
      <c r="B179" s="115"/>
      <c r="C179" s="115"/>
      <c r="D179" s="115"/>
      <c r="E179" s="115"/>
      <c r="F179" s="115"/>
      <c r="H179" s="95">
        <v>174</v>
      </c>
      <c r="I179" s="96" t="str">
        <f t="shared" si="11"/>
        <v/>
      </c>
      <c r="J179" s="95" t="e">
        <f t="shared" si="12"/>
        <v>#NUM!</v>
      </c>
      <c r="K179" s="95" t="e">
        <f t="shared" si="13"/>
        <v>#NUM!</v>
      </c>
      <c r="L179" s="95"/>
      <c r="M179" s="97">
        <f t="shared" si="14"/>
        <v>0</v>
      </c>
      <c r="S179" s="85"/>
      <c r="T179" s="85"/>
      <c r="U179" s="85"/>
      <c r="V179" s="85"/>
      <c r="W179" s="85"/>
      <c r="X179" s="85"/>
      <c r="Y179" s="85"/>
      <c r="Z179" s="85"/>
      <c r="AA179" s="85"/>
      <c r="AB179" s="85"/>
      <c r="AC179" s="85"/>
      <c r="AD179" s="85"/>
      <c r="AE179" s="85"/>
      <c r="AF179" s="85"/>
      <c r="AG179" s="85"/>
      <c r="AH179" s="85"/>
      <c r="AI179" s="85"/>
      <c r="AJ179" s="85"/>
      <c r="AK179" s="85"/>
      <c r="AL179" s="85"/>
    </row>
    <row r="180" spans="1:38" s="80" customFormat="1" x14ac:dyDescent="0.25">
      <c r="A180" s="116"/>
      <c r="B180" s="115"/>
      <c r="C180" s="115"/>
      <c r="D180" s="115"/>
      <c r="E180" s="115"/>
      <c r="F180" s="115"/>
      <c r="H180" s="95">
        <v>175</v>
      </c>
      <c r="I180" s="96" t="str">
        <f t="shared" si="11"/>
        <v/>
      </c>
      <c r="J180" s="95" t="e">
        <f t="shared" si="12"/>
        <v>#NUM!</v>
      </c>
      <c r="K180" s="95" t="e">
        <f t="shared" si="13"/>
        <v>#NUM!</v>
      </c>
      <c r="L180" s="95"/>
      <c r="M180" s="97">
        <f t="shared" si="14"/>
        <v>0</v>
      </c>
      <c r="S180" s="85"/>
      <c r="T180" s="85"/>
      <c r="U180" s="85"/>
      <c r="V180" s="85"/>
      <c r="W180" s="85"/>
      <c r="X180" s="85"/>
      <c r="Y180" s="85"/>
      <c r="Z180" s="85"/>
      <c r="AA180" s="85"/>
      <c r="AB180" s="85"/>
      <c r="AC180" s="85"/>
      <c r="AD180" s="85"/>
      <c r="AE180" s="85"/>
      <c r="AF180" s="85"/>
      <c r="AG180" s="85"/>
      <c r="AH180" s="85"/>
      <c r="AI180" s="85"/>
      <c r="AJ180" s="85"/>
      <c r="AK180" s="85"/>
      <c r="AL180" s="85"/>
    </row>
    <row r="181" spans="1:38" s="80" customFormat="1" x14ac:dyDescent="0.25">
      <c r="A181" s="116"/>
      <c r="B181" s="115"/>
      <c r="C181" s="115"/>
      <c r="D181" s="115"/>
      <c r="E181" s="115"/>
      <c r="F181" s="115"/>
      <c r="H181" s="95">
        <v>176</v>
      </c>
      <c r="I181" s="96" t="str">
        <f t="shared" si="11"/>
        <v/>
      </c>
      <c r="J181" s="95" t="e">
        <f t="shared" si="12"/>
        <v>#NUM!</v>
      </c>
      <c r="K181" s="95" t="e">
        <f t="shared" si="13"/>
        <v>#NUM!</v>
      </c>
      <c r="L181" s="95"/>
      <c r="M181" s="97">
        <f t="shared" si="14"/>
        <v>0</v>
      </c>
      <c r="S181" s="85"/>
      <c r="T181" s="85"/>
      <c r="U181" s="85"/>
      <c r="V181" s="85"/>
      <c r="W181" s="85"/>
      <c r="X181" s="85"/>
      <c r="Y181" s="85"/>
      <c r="Z181" s="85"/>
      <c r="AA181" s="85"/>
      <c r="AB181" s="85"/>
      <c r="AC181" s="85"/>
      <c r="AD181" s="85"/>
      <c r="AE181" s="85"/>
      <c r="AF181" s="85"/>
      <c r="AG181" s="85"/>
      <c r="AH181" s="85"/>
      <c r="AI181" s="85"/>
      <c r="AJ181" s="85"/>
      <c r="AK181" s="85"/>
      <c r="AL181" s="85"/>
    </row>
    <row r="182" spans="1:38" s="80" customFormat="1" x14ac:dyDescent="0.25">
      <c r="A182" s="116"/>
      <c r="B182" s="115"/>
      <c r="C182" s="115"/>
      <c r="D182" s="115"/>
      <c r="E182" s="115"/>
      <c r="F182" s="115"/>
      <c r="H182" s="95">
        <v>177</v>
      </c>
      <c r="I182" s="96" t="str">
        <f t="shared" si="11"/>
        <v/>
      </c>
      <c r="J182" s="95" t="e">
        <f t="shared" si="12"/>
        <v>#NUM!</v>
      </c>
      <c r="K182" s="95" t="e">
        <f t="shared" si="13"/>
        <v>#NUM!</v>
      </c>
      <c r="L182" s="95"/>
      <c r="M182" s="97">
        <f t="shared" si="14"/>
        <v>0</v>
      </c>
      <c r="S182" s="85"/>
      <c r="T182" s="85"/>
      <c r="U182" s="85"/>
      <c r="V182" s="85"/>
      <c r="W182" s="85"/>
      <c r="X182" s="85"/>
      <c r="Y182" s="85"/>
      <c r="Z182" s="85"/>
      <c r="AA182" s="85"/>
      <c r="AB182" s="85"/>
      <c r="AC182" s="85"/>
      <c r="AD182" s="85"/>
      <c r="AE182" s="85"/>
      <c r="AF182" s="85"/>
      <c r="AG182" s="85"/>
      <c r="AH182" s="85"/>
      <c r="AI182" s="85"/>
      <c r="AJ182" s="85"/>
      <c r="AK182" s="85"/>
      <c r="AL182" s="85"/>
    </row>
    <row r="183" spans="1:38" s="80" customFormat="1" x14ac:dyDescent="0.25">
      <c r="A183" s="116"/>
      <c r="B183" s="115"/>
      <c r="C183" s="115"/>
      <c r="D183" s="115"/>
      <c r="E183" s="115"/>
      <c r="F183" s="115"/>
      <c r="H183" s="95">
        <v>178</v>
      </c>
      <c r="I183" s="96" t="str">
        <f t="shared" si="11"/>
        <v/>
      </c>
      <c r="J183" s="95" t="e">
        <f t="shared" si="12"/>
        <v>#NUM!</v>
      </c>
      <c r="K183" s="95" t="e">
        <f t="shared" si="13"/>
        <v>#NUM!</v>
      </c>
      <c r="L183" s="95"/>
      <c r="M183" s="97">
        <f t="shared" si="14"/>
        <v>0</v>
      </c>
      <c r="S183" s="85"/>
      <c r="T183" s="85"/>
      <c r="U183" s="85"/>
      <c r="V183" s="85"/>
      <c r="W183" s="85"/>
      <c r="X183" s="85"/>
      <c r="Y183" s="85"/>
      <c r="Z183" s="85"/>
      <c r="AA183" s="85"/>
      <c r="AB183" s="85"/>
      <c r="AC183" s="85"/>
      <c r="AD183" s="85"/>
      <c r="AE183" s="85"/>
      <c r="AF183" s="85"/>
      <c r="AG183" s="85"/>
      <c r="AH183" s="85"/>
      <c r="AI183" s="85"/>
      <c r="AJ183" s="85"/>
      <c r="AK183" s="85"/>
      <c r="AL183" s="85"/>
    </row>
    <row r="184" spans="1:38" s="80" customFormat="1" x14ac:dyDescent="0.25">
      <c r="A184" s="116"/>
      <c r="B184" s="115"/>
      <c r="C184" s="115"/>
      <c r="D184" s="115"/>
      <c r="E184" s="115"/>
      <c r="F184" s="115"/>
      <c r="H184" s="95">
        <v>179</v>
      </c>
      <c r="I184" s="96" t="str">
        <f t="shared" si="11"/>
        <v/>
      </c>
      <c r="J184" s="95" t="e">
        <f t="shared" si="12"/>
        <v>#NUM!</v>
      </c>
      <c r="K184" s="95" t="e">
        <f t="shared" si="13"/>
        <v>#NUM!</v>
      </c>
      <c r="L184" s="95"/>
      <c r="M184" s="97">
        <f t="shared" si="14"/>
        <v>0</v>
      </c>
      <c r="S184" s="85"/>
      <c r="T184" s="85"/>
      <c r="U184" s="85"/>
      <c r="V184" s="85"/>
      <c r="W184" s="85"/>
      <c r="X184" s="85"/>
      <c r="Y184" s="85"/>
      <c r="Z184" s="85"/>
      <c r="AA184" s="85"/>
      <c r="AB184" s="85"/>
      <c r="AC184" s="85"/>
      <c r="AD184" s="85"/>
      <c r="AE184" s="85"/>
      <c r="AF184" s="85"/>
      <c r="AG184" s="85"/>
      <c r="AH184" s="85"/>
      <c r="AI184" s="85"/>
      <c r="AJ184" s="85"/>
      <c r="AK184" s="85"/>
      <c r="AL184" s="85"/>
    </row>
    <row r="185" spans="1:38" s="80" customFormat="1" x14ac:dyDescent="0.25">
      <c r="A185" s="116"/>
      <c r="B185" s="115"/>
      <c r="C185" s="115"/>
      <c r="D185" s="115"/>
      <c r="E185" s="115"/>
      <c r="F185" s="115"/>
      <c r="H185" s="95">
        <v>180</v>
      </c>
      <c r="I185" s="96" t="str">
        <f t="shared" si="11"/>
        <v/>
      </c>
      <c r="J185" s="95" t="e">
        <f t="shared" si="12"/>
        <v>#NUM!</v>
      </c>
      <c r="K185" s="95" t="e">
        <f t="shared" si="13"/>
        <v>#NUM!</v>
      </c>
      <c r="L185" s="95"/>
      <c r="M185" s="97">
        <f t="shared" si="14"/>
        <v>0</v>
      </c>
      <c r="S185" s="85"/>
      <c r="T185" s="85"/>
      <c r="U185" s="85"/>
      <c r="V185" s="85"/>
      <c r="W185" s="85"/>
      <c r="X185" s="85"/>
      <c r="Y185" s="85"/>
      <c r="Z185" s="85"/>
      <c r="AA185" s="85"/>
      <c r="AB185" s="85"/>
      <c r="AC185" s="85"/>
      <c r="AD185" s="85"/>
      <c r="AE185" s="85"/>
      <c r="AF185" s="85"/>
      <c r="AG185" s="85"/>
      <c r="AH185" s="85"/>
      <c r="AI185" s="85"/>
      <c r="AJ185" s="85"/>
      <c r="AK185" s="85"/>
      <c r="AL185" s="85"/>
    </row>
    <row r="186" spans="1:38" s="80" customFormat="1" x14ac:dyDescent="0.25">
      <c r="A186" s="116"/>
      <c r="B186" s="115"/>
      <c r="C186" s="115"/>
      <c r="D186" s="115"/>
      <c r="E186" s="115"/>
      <c r="F186" s="115"/>
      <c r="H186" s="95">
        <v>181</v>
      </c>
      <c r="I186" s="96" t="str">
        <f t="shared" si="11"/>
        <v/>
      </c>
      <c r="J186" s="95" t="e">
        <f t="shared" si="12"/>
        <v>#NUM!</v>
      </c>
      <c r="K186" s="95" t="e">
        <f t="shared" si="13"/>
        <v>#NUM!</v>
      </c>
      <c r="L186" s="95"/>
      <c r="M186" s="97">
        <f t="shared" si="14"/>
        <v>0</v>
      </c>
      <c r="S186" s="85"/>
      <c r="T186" s="85"/>
      <c r="U186" s="85"/>
      <c r="V186" s="85"/>
      <c r="W186" s="85"/>
      <c r="X186" s="85"/>
      <c r="Y186" s="85"/>
      <c r="Z186" s="85"/>
      <c r="AA186" s="85"/>
      <c r="AB186" s="85"/>
      <c r="AC186" s="85"/>
      <c r="AD186" s="85"/>
      <c r="AE186" s="85"/>
      <c r="AF186" s="85"/>
      <c r="AG186" s="85"/>
      <c r="AH186" s="85"/>
      <c r="AI186" s="85"/>
      <c r="AJ186" s="85"/>
      <c r="AK186" s="85"/>
      <c r="AL186" s="85"/>
    </row>
    <row r="187" spans="1:38" s="80" customFormat="1" x14ac:dyDescent="0.25">
      <c r="A187" s="116"/>
      <c r="B187" s="115"/>
      <c r="C187" s="115"/>
      <c r="D187" s="115"/>
      <c r="E187" s="115"/>
      <c r="F187" s="115"/>
      <c r="H187" s="95">
        <v>182</v>
      </c>
      <c r="I187" s="96" t="str">
        <f t="shared" si="11"/>
        <v/>
      </c>
      <c r="J187" s="95" t="e">
        <f t="shared" si="12"/>
        <v>#NUM!</v>
      </c>
      <c r="K187" s="95" t="e">
        <f t="shared" si="13"/>
        <v>#NUM!</v>
      </c>
      <c r="L187" s="95"/>
      <c r="M187" s="97">
        <f t="shared" si="14"/>
        <v>0</v>
      </c>
      <c r="S187" s="85"/>
      <c r="T187" s="85"/>
      <c r="U187" s="85"/>
      <c r="V187" s="85"/>
      <c r="W187" s="85"/>
      <c r="X187" s="85"/>
      <c r="Y187" s="85"/>
      <c r="Z187" s="85"/>
      <c r="AA187" s="85"/>
      <c r="AB187" s="85"/>
      <c r="AC187" s="85"/>
      <c r="AD187" s="85"/>
      <c r="AE187" s="85"/>
      <c r="AF187" s="85"/>
      <c r="AG187" s="85"/>
      <c r="AH187" s="85"/>
      <c r="AI187" s="85"/>
      <c r="AJ187" s="85"/>
      <c r="AK187" s="85"/>
      <c r="AL187" s="85"/>
    </row>
    <row r="188" spans="1:38" s="80" customFormat="1" x14ac:dyDescent="0.25">
      <c r="A188" s="116"/>
      <c r="B188" s="115"/>
      <c r="C188" s="115"/>
      <c r="D188" s="115"/>
      <c r="E188" s="115"/>
      <c r="F188" s="115"/>
      <c r="H188" s="95">
        <v>183</v>
      </c>
      <c r="I188" s="96" t="str">
        <f t="shared" si="11"/>
        <v/>
      </c>
      <c r="J188" s="95" t="e">
        <f t="shared" si="12"/>
        <v>#NUM!</v>
      </c>
      <c r="K188" s="95" t="e">
        <f t="shared" si="13"/>
        <v>#NUM!</v>
      </c>
      <c r="L188" s="95"/>
      <c r="M188" s="97">
        <f t="shared" si="14"/>
        <v>0</v>
      </c>
      <c r="S188" s="85"/>
      <c r="T188" s="85"/>
      <c r="U188" s="85"/>
      <c r="V188" s="85"/>
      <c r="W188" s="85"/>
      <c r="X188" s="85"/>
      <c r="Y188" s="85"/>
      <c r="Z188" s="85"/>
      <c r="AA188" s="85"/>
      <c r="AB188" s="85"/>
      <c r="AC188" s="85"/>
      <c r="AD188" s="85"/>
      <c r="AE188" s="85"/>
      <c r="AF188" s="85"/>
      <c r="AG188" s="85"/>
      <c r="AH188" s="85"/>
      <c r="AI188" s="85"/>
      <c r="AJ188" s="85"/>
      <c r="AK188" s="85"/>
      <c r="AL188" s="85"/>
    </row>
    <row r="189" spans="1:38" s="80" customFormat="1" x14ac:dyDescent="0.25">
      <c r="A189" s="116"/>
      <c r="B189" s="115"/>
      <c r="C189" s="115"/>
      <c r="D189" s="115"/>
      <c r="E189" s="115"/>
      <c r="F189" s="115"/>
      <c r="H189" s="95">
        <v>184</v>
      </c>
      <c r="I189" s="96" t="str">
        <f t="shared" si="11"/>
        <v/>
      </c>
      <c r="J189" s="95" t="e">
        <f t="shared" si="12"/>
        <v>#NUM!</v>
      </c>
      <c r="K189" s="95" t="e">
        <f t="shared" si="13"/>
        <v>#NUM!</v>
      </c>
      <c r="L189" s="95"/>
      <c r="M189" s="97">
        <f t="shared" si="14"/>
        <v>0</v>
      </c>
      <c r="S189" s="85"/>
      <c r="T189" s="85"/>
      <c r="U189" s="85"/>
      <c r="V189" s="85"/>
      <c r="W189" s="85"/>
      <c r="X189" s="85"/>
      <c r="Y189" s="85"/>
      <c r="Z189" s="85"/>
      <c r="AA189" s="85"/>
      <c r="AB189" s="85"/>
      <c r="AC189" s="85"/>
      <c r="AD189" s="85"/>
      <c r="AE189" s="85"/>
      <c r="AF189" s="85"/>
      <c r="AG189" s="85"/>
      <c r="AH189" s="85"/>
      <c r="AI189" s="85"/>
      <c r="AJ189" s="85"/>
      <c r="AK189" s="85"/>
      <c r="AL189" s="85"/>
    </row>
    <row r="190" spans="1:38" s="80" customFormat="1" x14ac:dyDescent="0.25">
      <c r="A190" s="116"/>
      <c r="B190" s="115"/>
      <c r="C190" s="115"/>
      <c r="D190" s="115"/>
      <c r="E190" s="115"/>
      <c r="F190" s="115"/>
      <c r="H190" s="95">
        <v>185</v>
      </c>
      <c r="I190" s="96" t="str">
        <f t="shared" si="11"/>
        <v/>
      </c>
      <c r="J190" s="95" t="e">
        <f t="shared" si="12"/>
        <v>#NUM!</v>
      </c>
      <c r="K190" s="95" t="e">
        <f t="shared" si="13"/>
        <v>#NUM!</v>
      </c>
      <c r="L190" s="95"/>
      <c r="M190" s="97">
        <f t="shared" si="14"/>
        <v>0</v>
      </c>
      <c r="S190" s="85"/>
      <c r="T190" s="85"/>
      <c r="U190" s="85"/>
      <c r="V190" s="85"/>
      <c r="W190" s="85"/>
      <c r="X190" s="85"/>
      <c r="Y190" s="85"/>
      <c r="Z190" s="85"/>
      <c r="AA190" s="85"/>
      <c r="AB190" s="85"/>
      <c r="AC190" s="85"/>
      <c r="AD190" s="85"/>
      <c r="AE190" s="85"/>
      <c r="AF190" s="85"/>
      <c r="AG190" s="85"/>
      <c r="AH190" s="85"/>
      <c r="AI190" s="85"/>
      <c r="AJ190" s="85"/>
      <c r="AK190" s="85"/>
      <c r="AL190" s="85"/>
    </row>
    <row r="191" spans="1:38" s="80" customFormat="1" x14ac:dyDescent="0.25">
      <c r="A191" s="116"/>
      <c r="B191" s="115"/>
      <c r="C191" s="115"/>
      <c r="D191" s="115"/>
      <c r="E191" s="115"/>
      <c r="F191" s="115"/>
      <c r="H191" s="95">
        <v>186</v>
      </c>
      <c r="I191" s="96" t="str">
        <f t="shared" si="11"/>
        <v/>
      </c>
      <c r="J191" s="95" t="e">
        <f t="shared" si="12"/>
        <v>#NUM!</v>
      </c>
      <c r="K191" s="95" t="e">
        <f t="shared" si="13"/>
        <v>#NUM!</v>
      </c>
      <c r="L191" s="95"/>
      <c r="M191" s="97">
        <f t="shared" si="14"/>
        <v>0</v>
      </c>
      <c r="S191" s="85"/>
      <c r="T191" s="85"/>
      <c r="U191" s="85"/>
      <c r="V191" s="85"/>
      <c r="W191" s="85"/>
      <c r="X191" s="85"/>
      <c r="Y191" s="85"/>
      <c r="Z191" s="85"/>
      <c r="AA191" s="85"/>
      <c r="AB191" s="85"/>
      <c r="AC191" s="85"/>
      <c r="AD191" s="85"/>
      <c r="AE191" s="85"/>
      <c r="AF191" s="85"/>
      <c r="AG191" s="85"/>
      <c r="AH191" s="85"/>
      <c r="AI191" s="85"/>
      <c r="AJ191" s="85"/>
      <c r="AK191" s="85"/>
      <c r="AL191" s="85"/>
    </row>
    <row r="192" spans="1:38" s="80" customFormat="1" x14ac:dyDescent="0.25">
      <c r="A192" s="116"/>
      <c r="B192" s="115"/>
      <c r="C192" s="115"/>
      <c r="D192" s="115"/>
      <c r="E192" s="115"/>
      <c r="F192" s="115"/>
      <c r="H192" s="95">
        <v>187</v>
      </c>
      <c r="I192" s="96" t="str">
        <f t="shared" si="11"/>
        <v/>
      </c>
      <c r="J192" s="95" t="e">
        <f t="shared" si="12"/>
        <v>#NUM!</v>
      </c>
      <c r="K192" s="95" t="e">
        <f t="shared" si="13"/>
        <v>#NUM!</v>
      </c>
      <c r="L192" s="95"/>
      <c r="M192" s="97">
        <f t="shared" si="14"/>
        <v>0</v>
      </c>
      <c r="S192" s="85"/>
      <c r="T192" s="85"/>
      <c r="U192" s="85"/>
      <c r="V192" s="85"/>
      <c r="W192" s="85"/>
      <c r="X192" s="85"/>
      <c r="Y192" s="85"/>
      <c r="Z192" s="85"/>
      <c r="AA192" s="85"/>
      <c r="AB192" s="85"/>
      <c r="AC192" s="85"/>
      <c r="AD192" s="85"/>
      <c r="AE192" s="85"/>
      <c r="AF192" s="85"/>
      <c r="AG192" s="85"/>
      <c r="AH192" s="85"/>
      <c r="AI192" s="85"/>
      <c r="AJ192" s="85"/>
      <c r="AK192" s="85"/>
      <c r="AL192" s="85"/>
    </row>
    <row r="193" spans="1:38" s="80" customFormat="1" x14ac:dyDescent="0.25">
      <c r="A193" s="116"/>
      <c r="B193" s="115"/>
      <c r="C193" s="115"/>
      <c r="D193" s="115"/>
      <c r="E193" s="115"/>
      <c r="F193" s="115"/>
      <c r="H193" s="95">
        <v>188</v>
      </c>
      <c r="I193" s="96" t="str">
        <f t="shared" si="11"/>
        <v/>
      </c>
      <c r="J193" s="95" t="e">
        <f t="shared" si="12"/>
        <v>#NUM!</v>
      </c>
      <c r="K193" s="95" t="e">
        <f t="shared" si="13"/>
        <v>#NUM!</v>
      </c>
      <c r="L193" s="95"/>
      <c r="M193" s="97">
        <f t="shared" si="14"/>
        <v>0</v>
      </c>
      <c r="S193" s="85"/>
      <c r="T193" s="85"/>
      <c r="U193" s="85"/>
      <c r="V193" s="85"/>
      <c r="W193" s="85"/>
      <c r="X193" s="85"/>
      <c r="Y193" s="85"/>
      <c r="Z193" s="85"/>
      <c r="AA193" s="85"/>
      <c r="AB193" s="85"/>
      <c r="AC193" s="85"/>
      <c r="AD193" s="85"/>
      <c r="AE193" s="85"/>
      <c r="AF193" s="85"/>
      <c r="AG193" s="85"/>
      <c r="AH193" s="85"/>
      <c r="AI193" s="85"/>
      <c r="AJ193" s="85"/>
      <c r="AK193" s="85"/>
      <c r="AL193" s="85"/>
    </row>
    <row r="194" spans="1:38" s="80" customFormat="1" x14ac:dyDescent="0.25">
      <c r="A194" s="116"/>
      <c r="B194" s="115"/>
      <c r="C194" s="115"/>
      <c r="D194" s="115"/>
      <c r="E194" s="115"/>
      <c r="F194" s="115"/>
      <c r="H194" s="95">
        <v>189</v>
      </c>
      <c r="I194" s="96" t="str">
        <f t="shared" si="11"/>
        <v/>
      </c>
      <c r="J194" s="95" t="e">
        <f t="shared" si="12"/>
        <v>#NUM!</v>
      </c>
      <c r="K194" s="95" t="e">
        <f t="shared" si="13"/>
        <v>#NUM!</v>
      </c>
      <c r="L194" s="95"/>
      <c r="M194" s="97">
        <f t="shared" si="14"/>
        <v>0</v>
      </c>
      <c r="S194" s="85"/>
      <c r="T194" s="85"/>
      <c r="U194" s="85"/>
      <c r="V194" s="85"/>
      <c r="W194" s="85"/>
      <c r="X194" s="85"/>
      <c r="Y194" s="85"/>
      <c r="Z194" s="85"/>
      <c r="AA194" s="85"/>
      <c r="AB194" s="85"/>
      <c r="AC194" s="85"/>
      <c r="AD194" s="85"/>
      <c r="AE194" s="85"/>
      <c r="AF194" s="85"/>
      <c r="AG194" s="85"/>
      <c r="AH194" s="85"/>
      <c r="AI194" s="85"/>
      <c r="AJ194" s="85"/>
      <c r="AK194" s="85"/>
      <c r="AL194" s="85"/>
    </row>
    <row r="195" spans="1:38" s="80" customFormat="1" x14ac:dyDescent="0.25">
      <c r="A195" s="116"/>
      <c r="B195" s="115"/>
      <c r="C195" s="115"/>
      <c r="D195" s="115"/>
      <c r="E195" s="115"/>
      <c r="F195" s="115"/>
      <c r="H195" s="95">
        <v>190</v>
      </c>
      <c r="I195" s="96" t="str">
        <f t="shared" si="11"/>
        <v/>
      </c>
      <c r="J195" s="95" t="e">
        <f t="shared" si="12"/>
        <v>#NUM!</v>
      </c>
      <c r="K195" s="95" t="e">
        <f t="shared" si="13"/>
        <v>#NUM!</v>
      </c>
      <c r="L195" s="95"/>
      <c r="M195" s="97">
        <f t="shared" si="14"/>
        <v>0</v>
      </c>
      <c r="S195" s="85"/>
      <c r="T195" s="85"/>
      <c r="U195" s="85"/>
      <c r="V195" s="85"/>
      <c r="W195" s="85"/>
      <c r="X195" s="85"/>
      <c r="Y195" s="85"/>
      <c r="Z195" s="85"/>
      <c r="AA195" s="85"/>
      <c r="AB195" s="85"/>
      <c r="AC195" s="85"/>
      <c r="AD195" s="85"/>
      <c r="AE195" s="85"/>
      <c r="AF195" s="85"/>
      <c r="AG195" s="85"/>
      <c r="AH195" s="85"/>
      <c r="AI195" s="85"/>
      <c r="AJ195" s="85"/>
      <c r="AK195" s="85"/>
      <c r="AL195" s="85"/>
    </row>
    <row r="196" spans="1:38" s="80" customFormat="1" x14ac:dyDescent="0.25">
      <c r="A196" s="116"/>
      <c r="B196" s="115"/>
      <c r="C196" s="115"/>
      <c r="D196" s="115"/>
      <c r="E196" s="115"/>
      <c r="F196" s="115"/>
      <c r="H196" s="95">
        <v>191</v>
      </c>
      <c r="I196" s="96" t="str">
        <f t="shared" si="11"/>
        <v/>
      </c>
      <c r="J196" s="95" t="e">
        <f t="shared" si="12"/>
        <v>#NUM!</v>
      </c>
      <c r="K196" s="95" t="e">
        <f t="shared" si="13"/>
        <v>#NUM!</v>
      </c>
      <c r="L196" s="95"/>
      <c r="M196" s="97">
        <f t="shared" si="14"/>
        <v>0</v>
      </c>
      <c r="S196" s="85"/>
      <c r="T196" s="85"/>
      <c r="U196" s="85"/>
      <c r="V196" s="85"/>
      <c r="W196" s="85"/>
      <c r="X196" s="85"/>
      <c r="Y196" s="85"/>
      <c r="Z196" s="85"/>
      <c r="AA196" s="85"/>
      <c r="AB196" s="85"/>
      <c r="AC196" s="85"/>
      <c r="AD196" s="85"/>
      <c r="AE196" s="85"/>
      <c r="AF196" s="85"/>
      <c r="AG196" s="85"/>
      <c r="AH196" s="85"/>
      <c r="AI196" s="85"/>
      <c r="AJ196" s="85"/>
      <c r="AK196" s="85"/>
      <c r="AL196" s="85"/>
    </row>
    <row r="197" spans="1:38" s="80" customFormat="1" x14ac:dyDescent="0.25">
      <c r="A197" s="116"/>
      <c r="B197" s="115"/>
      <c r="C197" s="115"/>
      <c r="D197" s="115"/>
      <c r="E197" s="115"/>
      <c r="F197" s="115"/>
      <c r="H197" s="95">
        <v>192</v>
      </c>
      <c r="I197" s="96" t="str">
        <f t="shared" si="11"/>
        <v/>
      </c>
      <c r="J197" s="95" t="e">
        <f t="shared" si="12"/>
        <v>#NUM!</v>
      </c>
      <c r="K197" s="95" t="e">
        <f t="shared" si="13"/>
        <v>#NUM!</v>
      </c>
      <c r="L197" s="95"/>
      <c r="M197" s="97">
        <f t="shared" si="14"/>
        <v>0</v>
      </c>
      <c r="S197" s="85"/>
      <c r="T197" s="85"/>
      <c r="U197" s="85"/>
      <c r="V197" s="85"/>
      <c r="W197" s="85"/>
      <c r="X197" s="85"/>
      <c r="Y197" s="85"/>
      <c r="Z197" s="85"/>
      <c r="AA197" s="85"/>
      <c r="AB197" s="85"/>
      <c r="AC197" s="85"/>
      <c r="AD197" s="85"/>
      <c r="AE197" s="85"/>
      <c r="AF197" s="85"/>
      <c r="AG197" s="85"/>
      <c r="AH197" s="85"/>
      <c r="AI197" s="85"/>
      <c r="AJ197" s="85"/>
      <c r="AK197" s="85"/>
      <c r="AL197" s="85"/>
    </row>
    <row r="198" spans="1:38" s="80" customFormat="1" x14ac:dyDescent="0.25">
      <c r="A198" s="116"/>
      <c r="B198" s="115"/>
      <c r="C198" s="115"/>
      <c r="D198" s="115"/>
      <c r="E198" s="115"/>
      <c r="F198" s="115"/>
      <c r="H198" s="95">
        <v>193</v>
      </c>
      <c r="I198" s="96" t="str">
        <f t="shared" ref="I198:I261" si="15">IF(H198&lt;$H$2+1,($I$2-($I$2-1)*(LOG(H198)/LOG($H$2))),"")</f>
        <v/>
      </c>
      <c r="J198" s="95" t="e">
        <f t="shared" ref="J198:J261" si="16">INT(LOG($H$2,2))-ROUNDUP(LOG(H198,2),0)+IF(OR($H$2=1,$H$2=2,$H$2=4,$H$2=8,$H$2=16,$H$2=32,$H$2=64,$H$2=128,$H$2=256),0,1)</f>
        <v>#NUM!</v>
      </c>
      <c r="K198" s="95" t="e">
        <f t="shared" ref="K198:K261" si="17">J198*$J$2</f>
        <v>#NUM!</v>
      </c>
      <c r="L198" s="95"/>
      <c r="M198" s="97">
        <f t="shared" ref="M198:M261" si="18">IF(I198&lt;&gt;"",K198+I198+L198,0)</f>
        <v>0</v>
      </c>
      <c r="S198" s="85"/>
      <c r="T198" s="85"/>
      <c r="U198" s="85"/>
      <c r="V198" s="85"/>
      <c r="W198" s="85"/>
      <c r="X198" s="85"/>
      <c r="Y198" s="85"/>
      <c r="Z198" s="85"/>
      <c r="AA198" s="85"/>
      <c r="AB198" s="85"/>
      <c r="AC198" s="85"/>
      <c r="AD198" s="85"/>
      <c r="AE198" s="85"/>
      <c r="AF198" s="85"/>
      <c r="AG198" s="85"/>
      <c r="AH198" s="85"/>
      <c r="AI198" s="85"/>
      <c r="AJ198" s="85"/>
      <c r="AK198" s="85"/>
      <c r="AL198" s="85"/>
    </row>
    <row r="199" spans="1:38" s="80" customFormat="1" x14ac:dyDescent="0.25">
      <c r="A199" s="116"/>
      <c r="B199" s="115"/>
      <c r="C199" s="115"/>
      <c r="D199" s="115"/>
      <c r="E199" s="115"/>
      <c r="F199" s="115"/>
      <c r="H199" s="95">
        <v>194</v>
      </c>
      <c r="I199" s="96" t="str">
        <f t="shared" si="15"/>
        <v/>
      </c>
      <c r="J199" s="95" t="e">
        <f t="shared" si="16"/>
        <v>#NUM!</v>
      </c>
      <c r="K199" s="95" t="e">
        <f t="shared" si="17"/>
        <v>#NUM!</v>
      </c>
      <c r="L199" s="95"/>
      <c r="M199" s="97">
        <f t="shared" si="18"/>
        <v>0</v>
      </c>
      <c r="S199" s="85"/>
      <c r="T199" s="85"/>
      <c r="U199" s="85"/>
      <c r="V199" s="85"/>
      <c r="W199" s="85"/>
      <c r="X199" s="85"/>
      <c r="Y199" s="85"/>
      <c r="Z199" s="85"/>
      <c r="AA199" s="85"/>
      <c r="AB199" s="85"/>
      <c r="AC199" s="85"/>
      <c r="AD199" s="85"/>
      <c r="AE199" s="85"/>
      <c r="AF199" s="85"/>
      <c r="AG199" s="85"/>
      <c r="AH199" s="85"/>
      <c r="AI199" s="85"/>
      <c r="AJ199" s="85"/>
      <c r="AK199" s="85"/>
      <c r="AL199" s="85"/>
    </row>
    <row r="200" spans="1:38" s="80" customFormat="1" x14ac:dyDescent="0.25">
      <c r="A200" s="116"/>
      <c r="B200" s="115"/>
      <c r="C200" s="115"/>
      <c r="D200" s="115"/>
      <c r="E200" s="115"/>
      <c r="F200" s="115"/>
      <c r="H200" s="95">
        <v>195</v>
      </c>
      <c r="I200" s="96" t="str">
        <f t="shared" si="15"/>
        <v/>
      </c>
      <c r="J200" s="95" t="e">
        <f t="shared" si="16"/>
        <v>#NUM!</v>
      </c>
      <c r="K200" s="95" t="e">
        <f t="shared" si="17"/>
        <v>#NUM!</v>
      </c>
      <c r="L200" s="95"/>
      <c r="M200" s="97">
        <f t="shared" si="18"/>
        <v>0</v>
      </c>
      <c r="S200" s="85"/>
      <c r="T200" s="85"/>
      <c r="U200" s="85"/>
      <c r="V200" s="85"/>
      <c r="W200" s="85"/>
      <c r="X200" s="85"/>
      <c r="Y200" s="85"/>
      <c r="Z200" s="85"/>
      <c r="AA200" s="85"/>
      <c r="AB200" s="85"/>
      <c r="AC200" s="85"/>
      <c r="AD200" s="85"/>
      <c r="AE200" s="85"/>
      <c r="AF200" s="85"/>
      <c r="AG200" s="85"/>
      <c r="AH200" s="85"/>
      <c r="AI200" s="85"/>
      <c r="AJ200" s="85"/>
      <c r="AK200" s="85"/>
      <c r="AL200" s="85"/>
    </row>
    <row r="201" spans="1:38" s="80" customFormat="1" x14ac:dyDescent="0.25">
      <c r="A201" s="116"/>
      <c r="B201" s="115"/>
      <c r="C201" s="115"/>
      <c r="D201" s="115"/>
      <c r="E201" s="115"/>
      <c r="F201" s="115"/>
      <c r="H201" s="95">
        <v>196</v>
      </c>
      <c r="I201" s="96" t="str">
        <f t="shared" si="15"/>
        <v/>
      </c>
      <c r="J201" s="95" t="e">
        <f t="shared" si="16"/>
        <v>#NUM!</v>
      </c>
      <c r="K201" s="95" t="e">
        <f t="shared" si="17"/>
        <v>#NUM!</v>
      </c>
      <c r="L201" s="95"/>
      <c r="M201" s="97">
        <f t="shared" si="18"/>
        <v>0</v>
      </c>
      <c r="S201" s="85"/>
      <c r="T201" s="85"/>
      <c r="U201" s="85"/>
      <c r="V201" s="85"/>
      <c r="W201" s="85"/>
      <c r="X201" s="85"/>
      <c r="Y201" s="85"/>
      <c r="Z201" s="85"/>
      <c r="AA201" s="85"/>
      <c r="AB201" s="85"/>
      <c r="AC201" s="85"/>
      <c r="AD201" s="85"/>
      <c r="AE201" s="85"/>
      <c r="AF201" s="85"/>
      <c r="AG201" s="85"/>
      <c r="AH201" s="85"/>
      <c r="AI201" s="85"/>
      <c r="AJ201" s="85"/>
      <c r="AK201" s="85"/>
      <c r="AL201" s="85"/>
    </row>
    <row r="202" spans="1:38" s="80" customFormat="1" x14ac:dyDescent="0.25">
      <c r="A202" s="116"/>
      <c r="B202" s="115"/>
      <c r="C202" s="115"/>
      <c r="D202" s="115"/>
      <c r="E202" s="115"/>
      <c r="F202" s="115"/>
      <c r="H202" s="95">
        <v>197</v>
      </c>
      <c r="I202" s="96" t="str">
        <f t="shared" si="15"/>
        <v/>
      </c>
      <c r="J202" s="95" t="e">
        <f t="shared" si="16"/>
        <v>#NUM!</v>
      </c>
      <c r="K202" s="95" t="e">
        <f t="shared" si="17"/>
        <v>#NUM!</v>
      </c>
      <c r="L202" s="95"/>
      <c r="M202" s="97">
        <f t="shared" si="18"/>
        <v>0</v>
      </c>
      <c r="S202" s="85"/>
      <c r="T202" s="85"/>
      <c r="U202" s="85"/>
      <c r="V202" s="85"/>
      <c r="W202" s="85"/>
      <c r="X202" s="85"/>
      <c r="Y202" s="85"/>
      <c r="Z202" s="85"/>
      <c r="AA202" s="85"/>
      <c r="AB202" s="85"/>
      <c r="AC202" s="85"/>
      <c r="AD202" s="85"/>
      <c r="AE202" s="85"/>
      <c r="AF202" s="85"/>
      <c r="AG202" s="85"/>
      <c r="AH202" s="85"/>
      <c r="AI202" s="85"/>
      <c r="AJ202" s="85"/>
      <c r="AK202" s="85"/>
      <c r="AL202" s="85"/>
    </row>
    <row r="203" spans="1:38" s="80" customFormat="1" x14ac:dyDescent="0.25">
      <c r="A203" s="116"/>
      <c r="B203" s="115"/>
      <c r="C203" s="115"/>
      <c r="D203" s="115"/>
      <c r="E203" s="115"/>
      <c r="F203" s="115"/>
      <c r="H203" s="95">
        <v>198</v>
      </c>
      <c r="I203" s="96" t="str">
        <f t="shared" si="15"/>
        <v/>
      </c>
      <c r="J203" s="95" t="e">
        <f t="shared" si="16"/>
        <v>#NUM!</v>
      </c>
      <c r="K203" s="95" t="e">
        <f t="shared" si="17"/>
        <v>#NUM!</v>
      </c>
      <c r="L203" s="95"/>
      <c r="M203" s="97">
        <f t="shared" si="18"/>
        <v>0</v>
      </c>
      <c r="S203" s="85"/>
      <c r="T203" s="85"/>
      <c r="U203" s="85"/>
      <c r="V203" s="85"/>
      <c r="W203" s="85"/>
      <c r="X203" s="85"/>
      <c r="Y203" s="85"/>
      <c r="Z203" s="85"/>
      <c r="AA203" s="85"/>
      <c r="AB203" s="85"/>
      <c r="AC203" s="85"/>
      <c r="AD203" s="85"/>
      <c r="AE203" s="85"/>
      <c r="AF203" s="85"/>
      <c r="AG203" s="85"/>
      <c r="AH203" s="85"/>
      <c r="AI203" s="85"/>
      <c r="AJ203" s="85"/>
      <c r="AK203" s="85"/>
      <c r="AL203" s="85"/>
    </row>
    <row r="204" spans="1:38" s="80" customFormat="1" x14ac:dyDescent="0.25">
      <c r="A204" s="116"/>
      <c r="B204" s="115"/>
      <c r="C204" s="115"/>
      <c r="D204" s="115"/>
      <c r="E204" s="115"/>
      <c r="F204" s="115"/>
      <c r="H204" s="95">
        <v>199</v>
      </c>
      <c r="I204" s="96" t="str">
        <f t="shared" si="15"/>
        <v/>
      </c>
      <c r="J204" s="95" t="e">
        <f t="shared" si="16"/>
        <v>#NUM!</v>
      </c>
      <c r="K204" s="95" t="e">
        <f t="shared" si="17"/>
        <v>#NUM!</v>
      </c>
      <c r="L204" s="95"/>
      <c r="M204" s="97">
        <f t="shared" si="18"/>
        <v>0</v>
      </c>
      <c r="S204" s="85"/>
      <c r="T204" s="85"/>
      <c r="U204" s="85"/>
      <c r="V204" s="85"/>
      <c r="W204" s="85"/>
      <c r="X204" s="85"/>
      <c r="Y204" s="85"/>
      <c r="Z204" s="85"/>
      <c r="AA204" s="85"/>
      <c r="AB204" s="85"/>
      <c r="AC204" s="85"/>
      <c r="AD204" s="85"/>
      <c r="AE204" s="85"/>
      <c r="AF204" s="85"/>
      <c r="AG204" s="85"/>
      <c r="AH204" s="85"/>
      <c r="AI204" s="85"/>
      <c r="AJ204" s="85"/>
      <c r="AK204" s="85"/>
      <c r="AL204" s="85"/>
    </row>
    <row r="205" spans="1:38" s="80" customFormat="1" x14ac:dyDescent="0.25">
      <c r="A205" s="116"/>
      <c r="B205" s="115"/>
      <c r="C205" s="115"/>
      <c r="D205" s="115"/>
      <c r="E205" s="115"/>
      <c r="F205" s="115"/>
      <c r="H205" s="95">
        <v>200</v>
      </c>
      <c r="I205" s="96" t="str">
        <f t="shared" si="15"/>
        <v/>
      </c>
      <c r="J205" s="95" t="e">
        <f t="shared" si="16"/>
        <v>#NUM!</v>
      </c>
      <c r="K205" s="95" t="e">
        <f t="shared" si="17"/>
        <v>#NUM!</v>
      </c>
      <c r="L205" s="95"/>
      <c r="M205" s="97">
        <f t="shared" si="18"/>
        <v>0</v>
      </c>
      <c r="S205" s="85"/>
      <c r="T205" s="85"/>
      <c r="U205" s="85"/>
      <c r="V205" s="85"/>
      <c r="W205" s="85"/>
      <c r="X205" s="85"/>
      <c r="Y205" s="85"/>
      <c r="Z205" s="85"/>
      <c r="AA205" s="85"/>
      <c r="AB205" s="85"/>
      <c r="AC205" s="85"/>
      <c r="AD205" s="85"/>
      <c r="AE205" s="85"/>
      <c r="AF205" s="85"/>
      <c r="AG205" s="85"/>
      <c r="AH205" s="85"/>
      <c r="AI205" s="85"/>
      <c r="AJ205" s="85"/>
      <c r="AK205" s="85"/>
      <c r="AL205" s="85"/>
    </row>
    <row r="206" spans="1:38" s="80" customFormat="1" x14ac:dyDescent="0.25">
      <c r="A206" s="116"/>
      <c r="B206" s="115"/>
      <c r="C206" s="115"/>
      <c r="D206" s="115"/>
      <c r="E206" s="115"/>
      <c r="F206" s="115"/>
      <c r="H206" s="95">
        <v>201</v>
      </c>
      <c r="I206" s="96" t="str">
        <f t="shared" si="15"/>
        <v/>
      </c>
      <c r="J206" s="95" t="e">
        <f t="shared" si="16"/>
        <v>#NUM!</v>
      </c>
      <c r="K206" s="95" t="e">
        <f t="shared" si="17"/>
        <v>#NUM!</v>
      </c>
      <c r="L206" s="95"/>
      <c r="M206" s="97">
        <f t="shared" si="18"/>
        <v>0</v>
      </c>
      <c r="S206" s="85"/>
      <c r="T206" s="85"/>
      <c r="U206" s="85"/>
      <c r="V206" s="85"/>
      <c r="W206" s="85"/>
      <c r="X206" s="85"/>
      <c r="Y206" s="85"/>
      <c r="Z206" s="85"/>
      <c r="AA206" s="85"/>
      <c r="AB206" s="85"/>
      <c r="AC206" s="85"/>
      <c r="AD206" s="85"/>
      <c r="AE206" s="85"/>
      <c r="AF206" s="85"/>
      <c r="AG206" s="85"/>
      <c r="AH206" s="85"/>
      <c r="AI206" s="85"/>
      <c r="AJ206" s="85"/>
      <c r="AK206" s="85"/>
      <c r="AL206" s="85"/>
    </row>
    <row r="207" spans="1:38" s="80" customFormat="1" x14ac:dyDescent="0.25">
      <c r="A207" s="116"/>
      <c r="B207" s="115"/>
      <c r="C207" s="115"/>
      <c r="D207" s="115"/>
      <c r="E207" s="115"/>
      <c r="F207" s="115"/>
      <c r="H207" s="95">
        <v>202</v>
      </c>
      <c r="I207" s="96" t="str">
        <f t="shared" si="15"/>
        <v/>
      </c>
      <c r="J207" s="95" t="e">
        <f t="shared" si="16"/>
        <v>#NUM!</v>
      </c>
      <c r="K207" s="95" t="e">
        <f t="shared" si="17"/>
        <v>#NUM!</v>
      </c>
      <c r="L207" s="95"/>
      <c r="M207" s="97">
        <f t="shared" si="18"/>
        <v>0</v>
      </c>
      <c r="S207" s="85"/>
      <c r="T207" s="85"/>
      <c r="U207" s="85"/>
      <c r="V207" s="85"/>
      <c r="W207" s="85"/>
      <c r="X207" s="85"/>
      <c r="Y207" s="85"/>
      <c r="Z207" s="85"/>
      <c r="AA207" s="85"/>
      <c r="AB207" s="85"/>
      <c r="AC207" s="85"/>
      <c r="AD207" s="85"/>
      <c r="AE207" s="85"/>
      <c r="AF207" s="85"/>
      <c r="AG207" s="85"/>
      <c r="AH207" s="85"/>
      <c r="AI207" s="85"/>
      <c r="AJ207" s="85"/>
      <c r="AK207" s="85"/>
      <c r="AL207" s="85"/>
    </row>
    <row r="208" spans="1:38" s="80" customFormat="1" x14ac:dyDescent="0.25">
      <c r="A208" s="116"/>
      <c r="B208" s="115"/>
      <c r="C208" s="115"/>
      <c r="D208" s="115"/>
      <c r="E208" s="115"/>
      <c r="F208" s="115"/>
      <c r="H208" s="95">
        <v>203</v>
      </c>
      <c r="I208" s="96" t="str">
        <f t="shared" si="15"/>
        <v/>
      </c>
      <c r="J208" s="95" t="e">
        <f t="shared" si="16"/>
        <v>#NUM!</v>
      </c>
      <c r="K208" s="95" t="e">
        <f t="shared" si="17"/>
        <v>#NUM!</v>
      </c>
      <c r="L208" s="95"/>
      <c r="M208" s="97">
        <f t="shared" si="18"/>
        <v>0</v>
      </c>
      <c r="S208" s="85"/>
      <c r="T208" s="85"/>
      <c r="U208" s="85"/>
      <c r="V208" s="85"/>
      <c r="W208" s="85"/>
      <c r="X208" s="85"/>
      <c r="Y208" s="85"/>
      <c r="Z208" s="85"/>
      <c r="AA208" s="85"/>
      <c r="AB208" s="85"/>
      <c r="AC208" s="85"/>
      <c r="AD208" s="85"/>
      <c r="AE208" s="85"/>
      <c r="AF208" s="85"/>
      <c r="AG208" s="85"/>
      <c r="AH208" s="85"/>
      <c r="AI208" s="85"/>
      <c r="AJ208" s="85"/>
      <c r="AK208" s="85"/>
      <c r="AL208" s="85"/>
    </row>
    <row r="209" spans="1:38" s="80" customFormat="1" x14ac:dyDescent="0.25">
      <c r="A209" s="116"/>
      <c r="B209" s="115"/>
      <c r="C209" s="115"/>
      <c r="D209" s="115"/>
      <c r="E209" s="115"/>
      <c r="F209" s="115"/>
      <c r="H209" s="95">
        <v>204</v>
      </c>
      <c r="I209" s="96" t="str">
        <f t="shared" si="15"/>
        <v/>
      </c>
      <c r="J209" s="95" t="e">
        <f t="shared" si="16"/>
        <v>#NUM!</v>
      </c>
      <c r="K209" s="95" t="e">
        <f t="shared" si="17"/>
        <v>#NUM!</v>
      </c>
      <c r="L209" s="95"/>
      <c r="M209" s="97">
        <f t="shared" si="18"/>
        <v>0</v>
      </c>
      <c r="S209" s="85"/>
      <c r="T209" s="85"/>
      <c r="U209" s="85"/>
      <c r="V209" s="85"/>
      <c r="W209" s="85"/>
      <c r="X209" s="85"/>
      <c r="Y209" s="85"/>
      <c r="Z209" s="85"/>
      <c r="AA209" s="85"/>
      <c r="AB209" s="85"/>
      <c r="AC209" s="85"/>
      <c r="AD209" s="85"/>
      <c r="AE209" s="85"/>
      <c r="AF209" s="85"/>
      <c r="AG209" s="85"/>
      <c r="AH209" s="85"/>
      <c r="AI209" s="85"/>
      <c r="AJ209" s="85"/>
      <c r="AK209" s="85"/>
      <c r="AL209" s="85"/>
    </row>
    <row r="210" spans="1:38" s="80" customFormat="1" x14ac:dyDescent="0.25">
      <c r="A210" s="116"/>
      <c r="B210" s="115"/>
      <c r="C210" s="115"/>
      <c r="D210" s="115"/>
      <c r="E210" s="115"/>
      <c r="F210" s="115"/>
      <c r="H210" s="95">
        <v>205</v>
      </c>
      <c r="I210" s="96" t="str">
        <f t="shared" si="15"/>
        <v/>
      </c>
      <c r="J210" s="95" t="e">
        <f t="shared" si="16"/>
        <v>#NUM!</v>
      </c>
      <c r="K210" s="95" t="e">
        <f t="shared" si="17"/>
        <v>#NUM!</v>
      </c>
      <c r="L210" s="95"/>
      <c r="M210" s="97">
        <f t="shared" si="18"/>
        <v>0</v>
      </c>
      <c r="S210" s="85"/>
      <c r="T210" s="85"/>
      <c r="U210" s="85"/>
      <c r="V210" s="85"/>
      <c r="W210" s="85"/>
      <c r="X210" s="85"/>
      <c r="Y210" s="85"/>
      <c r="Z210" s="85"/>
      <c r="AA210" s="85"/>
      <c r="AB210" s="85"/>
      <c r="AC210" s="85"/>
      <c r="AD210" s="85"/>
      <c r="AE210" s="85"/>
      <c r="AF210" s="85"/>
      <c r="AG210" s="85"/>
      <c r="AH210" s="85"/>
      <c r="AI210" s="85"/>
      <c r="AJ210" s="85"/>
      <c r="AK210" s="85"/>
      <c r="AL210" s="85"/>
    </row>
    <row r="211" spans="1:38" s="80" customFormat="1" x14ac:dyDescent="0.25">
      <c r="A211" s="116"/>
      <c r="B211" s="115"/>
      <c r="C211" s="115"/>
      <c r="D211" s="115"/>
      <c r="E211" s="115"/>
      <c r="F211" s="115"/>
      <c r="H211" s="95">
        <v>206</v>
      </c>
      <c r="I211" s="96" t="str">
        <f t="shared" si="15"/>
        <v/>
      </c>
      <c r="J211" s="95" t="e">
        <f t="shared" si="16"/>
        <v>#NUM!</v>
      </c>
      <c r="K211" s="95" t="e">
        <f t="shared" si="17"/>
        <v>#NUM!</v>
      </c>
      <c r="L211" s="95"/>
      <c r="M211" s="97">
        <f t="shared" si="18"/>
        <v>0</v>
      </c>
      <c r="S211" s="85"/>
      <c r="T211" s="85"/>
      <c r="U211" s="85"/>
      <c r="V211" s="85"/>
      <c r="W211" s="85"/>
      <c r="X211" s="85"/>
      <c r="Y211" s="85"/>
      <c r="Z211" s="85"/>
      <c r="AA211" s="85"/>
      <c r="AB211" s="85"/>
      <c r="AC211" s="85"/>
      <c r="AD211" s="85"/>
      <c r="AE211" s="85"/>
      <c r="AF211" s="85"/>
      <c r="AG211" s="85"/>
      <c r="AH211" s="85"/>
      <c r="AI211" s="85"/>
      <c r="AJ211" s="85"/>
      <c r="AK211" s="85"/>
      <c r="AL211" s="85"/>
    </row>
    <row r="212" spans="1:38" s="80" customFormat="1" x14ac:dyDescent="0.25">
      <c r="A212" s="116"/>
      <c r="B212" s="115"/>
      <c r="C212" s="115"/>
      <c r="D212" s="115"/>
      <c r="E212" s="115"/>
      <c r="F212" s="115"/>
      <c r="H212" s="95">
        <v>207</v>
      </c>
      <c r="I212" s="96" t="str">
        <f t="shared" si="15"/>
        <v/>
      </c>
      <c r="J212" s="95" t="e">
        <f t="shared" si="16"/>
        <v>#NUM!</v>
      </c>
      <c r="K212" s="95" t="e">
        <f t="shared" si="17"/>
        <v>#NUM!</v>
      </c>
      <c r="L212" s="95"/>
      <c r="M212" s="97">
        <f t="shared" si="18"/>
        <v>0</v>
      </c>
      <c r="S212" s="85"/>
      <c r="T212" s="85"/>
      <c r="U212" s="85"/>
      <c r="V212" s="85"/>
      <c r="W212" s="85"/>
      <c r="X212" s="85"/>
      <c r="Y212" s="85"/>
      <c r="Z212" s="85"/>
      <c r="AA212" s="85"/>
      <c r="AB212" s="85"/>
      <c r="AC212" s="85"/>
      <c r="AD212" s="85"/>
      <c r="AE212" s="85"/>
      <c r="AF212" s="85"/>
      <c r="AG212" s="85"/>
      <c r="AH212" s="85"/>
      <c r="AI212" s="85"/>
      <c r="AJ212" s="85"/>
      <c r="AK212" s="85"/>
      <c r="AL212" s="85"/>
    </row>
    <row r="213" spans="1:38" s="80" customFormat="1" x14ac:dyDescent="0.25">
      <c r="A213" s="116"/>
      <c r="B213" s="115"/>
      <c r="C213" s="115"/>
      <c r="D213" s="115"/>
      <c r="E213" s="115"/>
      <c r="F213" s="115"/>
      <c r="H213" s="95">
        <v>208</v>
      </c>
      <c r="I213" s="96" t="str">
        <f t="shared" si="15"/>
        <v/>
      </c>
      <c r="J213" s="95" t="e">
        <f t="shared" si="16"/>
        <v>#NUM!</v>
      </c>
      <c r="K213" s="95" t="e">
        <f t="shared" si="17"/>
        <v>#NUM!</v>
      </c>
      <c r="L213" s="95"/>
      <c r="M213" s="97">
        <f t="shared" si="18"/>
        <v>0</v>
      </c>
      <c r="S213" s="85"/>
      <c r="T213" s="85"/>
      <c r="U213" s="85"/>
      <c r="V213" s="85"/>
      <c r="W213" s="85"/>
      <c r="X213" s="85"/>
      <c r="Y213" s="85"/>
      <c r="Z213" s="85"/>
      <c r="AA213" s="85"/>
      <c r="AB213" s="85"/>
      <c r="AC213" s="85"/>
      <c r="AD213" s="85"/>
      <c r="AE213" s="85"/>
      <c r="AF213" s="85"/>
      <c r="AG213" s="85"/>
      <c r="AH213" s="85"/>
      <c r="AI213" s="85"/>
      <c r="AJ213" s="85"/>
      <c r="AK213" s="85"/>
      <c r="AL213" s="85"/>
    </row>
    <row r="214" spans="1:38" s="80" customFormat="1" x14ac:dyDescent="0.25">
      <c r="A214" s="116"/>
      <c r="B214" s="115"/>
      <c r="C214" s="115"/>
      <c r="D214" s="115"/>
      <c r="E214" s="115"/>
      <c r="F214" s="115"/>
      <c r="H214" s="95">
        <v>209</v>
      </c>
      <c r="I214" s="96" t="str">
        <f t="shared" si="15"/>
        <v/>
      </c>
      <c r="J214" s="95" t="e">
        <f t="shared" si="16"/>
        <v>#NUM!</v>
      </c>
      <c r="K214" s="95" t="e">
        <f t="shared" si="17"/>
        <v>#NUM!</v>
      </c>
      <c r="L214" s="95"/>
      <c r="M214" s="97">
        <f t="shared" si="18"/>
        <v>0</v>
      </c>
      <c r="S214" s="85"/>
      <c r="T214" s="85"/>
      <c r="U214" s="85"/>
      <c r="V214" s="85"/>
      <c r="W214" s="85"/>
      <c r="X214" s="85"/>
      <c r="Y214" s="85"/>
      <c r="Z214" s="85"/>
      <c r="AA214" s="85"/>
      <c r="AB214" s="85"/>
      <c r="AC214" s="85"/>
      <c r="AD214" s="85"/>
      <c r="AE214" s="85"/>
      <c r="AF214" s="85"/>
      <c r="AG214" s="85"/>
      <c r="AH214" s="85"/>
      <c r="AI214" s="85"/>
      <c r="AJ214" s="85"/>
      <c r="AK214" s="85"/>
      <c r="AL214" s="85"/>
    </row>
    <row r="215" spans="1:38" s="80" customFormat="1" x14ac:dyDescent="0.25">
      <c r="A215" s="116"/>
      <c r="B215" s="115"/>
      <c r="C215" s="115"/>
      <c r="D215" s="115"/>
      <c r="E215" s="115"/>
      <c r="F215" s="115"/>
      <c r="H215" s="95">
        <v>210</v>
      </c>
      <c r="I215" s="96" t="str">
        <f t="shared" si="15"/>
        <v/>
      </c>
      <c r="J215" s="95" t="e">
        <f t="shared" si="16"/>
        <v>#NUM!</v>
      </c>
      <c r="K215" s="95" t="e">
        <f t="shared" si="17"/>
        <v>#NUM!</v>
      </c>
      <c r="L215" s="95"/>
      <c r="M215" s="97">
        <f t="shared" si="18"/>
        <v>0</v>
      </c>
      <c r="S215" s="85"/>
      <c r="T215" s="85"/>
      <c r="U215" s="85"/>
      <c r="V215" s="85"/>
      <c r="W215" s="85"/>
      <c r="X215" s="85"/>
      <c r="Y215" s="85"/>
      <c r="Z215" s="85"/>
      <c r="AA215" s="85"/>
      <c r="AB215" s="85"/>
      <c r="AC215" s="85"/>
      <c r="AD215" s="85"/>
      <c r="AE215" s="85"/>
      <c r="AF215" s="85"/>
      <c r="AG215" s="85"/>
      <c r="AH215" s="85"/>
      <c r="AI215" s="85"/>
      <c r="AJ215" s="85"/>
      <c r="AK215" s="85"/>
      <c r="AL215" s="85"/>
    </row>
    <row r="216" spans="1:38" s="80" customFormat="1" x14ac:dyDescent="0.25">
      <c r="A216" s="116"/>
      <c r="B216" s="115"/>
      <c r="C216" s="115"/>
      <c r="D216" s="115"/>
      <c r="E216" s="115"/>
      <c r="F216" s="115"/>
      <c r="H216" s="95">
        <v>211</v>
      </c>
      <c r="I216" s="96" t="str">
        <f t="shared" si="15"/>
        <v/>
      </c>
      <c r="J216" s="95" t="e">
        <f t="shared" si="16"/>
        <v>#NUM!</v>
      </c>
      <c r="K216" s="95" t="e">
        <f t="shared" si="17"/>
        <v>#NUM!</v>
      </c>
      <c r="L216" s="95"/>
      <c r="M216" s="97">
        <f t="shared" si="18"/>
        <v>0</v>
      </c>
      <c r="S216" s="85"/>
      <c r="T216" s="85"/>
      <c r="U216" s="85"/>
      <c r="V216" s="85"/>
      <c r="W216" s="85"/>
      <c r="X216" s="85"/>
      <c r="Y216" s="85"/>
      <c r="Z216" s="85"/>
      <c r="AA216" s="85"/>
      <c r="AB216" s="85"/>
      <c r="AC216" s="85"/>
      <c r="AD216" s="85"/>
      <c r="AE216" s="85"/>
      <c r="AF216" s="85"/>
      <c r="AG216" s="85"/>
      <c r="AH216" s="85"/>
      <c r="AI216" s="85"/>
      <c r="AJ216" s="85"/>
      <c r="AK216" s="85"/>
      <c r="AL216" s="85"/>
    </row>
    <row r="217" spans="1:38" s="80" customFormat="1" x14ac:dyDescent="0.25">
      <c r="A217" s="116"/>
      <c r="B217" s="115"/>
      <c r="C217" s="115"/>
      <c r="D217" s="115"/>
      <c r="E217" s="115"/>
      <c r="F217" s="115"/>
      <c r="H217" s="95">
        <v>212</v>
      </c>
      <c r="I217" s="96" t="str">
        <f t="shared" si="15"/>
        <v/>
      </c>
      <c r="J217" s="95" t="e">
        <f t="shared" si="16"/>
        <v>#NUM!</v>
      </c>
      <c r="K217" s="95" t="e">
        <f t="shared" si="17"/>
        <v>#NUM!</v>
      </c>
      <c r="L217" s="95"/>
      <c r="M217" s="97">
        <f t="shared" si="18"/>
        <v>0</v>
      </c>
      <c r="S217" s="85"/>
      <c r="T217" s="85"/>
      <c r="U217" s="85"/>
      <c r="V217" s="85"/>
      <c r="W217" s="85"/>
      <c r="X217" s="85"/>
      <c r="Y217" s="85"/>
      <c r="Z217" s="85"/>
      <c r="AA217" s="85"/>
      <c r="AB217" s="85"/>
      <c r="AC217" s="85"/>
      <c r="AD217" s="85"/>
      <c r="AE217" s="85"/>
      <c r="AF217" s="85"/>
      <c r="AG217" s="85"/>
      <c r="AH217" s="85"/>
      <c r="AI217" s="85"/>
      <c r="AJ217" s="85"/>
      <c r="AK217" s="85"/>
      <c r="AL217" s="85"/>
    </row>
    <row r="218" spans="1:38" s="80" customFormat="1" x14ac:dyDescent="0.25">
      <c r="A218" s="116"/>
      <c r="B218" s="115"/>
      <c r="C218" s="115"/>
      <c r="D218" s="115"/>
      <c r="E218" s="115"/>
      <c r="F218" s="115"/>
      <c r="H218" s="95">
        <v>213</v>
      </c>
      <c r="I218" s="96" t="str">
        <f t="shared" si="15"/>
        <v/>
      </c>
      <c r="J218" s="95" t="e">
        <f t="shared" si="16"/>
        <v>#NUM!</v>
      </c>
      <c r="K218" s="95" t="e">
        <f t="shared" si="17"/>
        <v>#NUM!</v>
      </c>
      <c r="L218" s="95"/>
      <c r="M218" s="97">
        <f t="shared" si="18"/>
        <v>0</v>
      </c>
      <c r="S218" s="85"/>
      <c r="T218" s="85"/>
      <c r="U218" s="85"/>
      <c r="V218" s="85"/>
      <c r="W218" s="85"/>
      <c r="X218" s="85"/>
      <c r="Y218" s="85"/>
      <c r="Z218" s="85"/>
      <c r="AA218" s="85"/>
      <c r="AB218" s="85"/>
      <c r="AC218" s="85"/>
      <c r="AD218" s="85"/>
      <c r="AE218" s="85"/>
      <c r="AF218" s="85"/>
      <c r="AG218" s="85"/>
      <c r="AH218" s="85"/>
      <c r="AI218" s="85"/>
      <c r="AJ218" s="85"/>
      <c r="AK218" s="85"/>
      <c r="AL218" s="85"/>
    </row>
    <row r="219" spans="1:38" s="80" customFormat="1" x14ac:dyDescent="0.25">
      <c r="A219" s="116"/>
      <c r="B219" s="115"/>
      <c r="C219" s="115"/>
      <c r="D219" s="115"/>
      <c r="E219" s="115"/>
      <c r="F219" s="115"/>
      <c r="H219" s="95">
        <v>214</v>
      </c>
      <c r="I219" s="96" t="str">
        <f t="shared" si="15"/>
        <v/>
      </c>
      <c r="J219" s="95" t="e">
        <f t="shared" si="16"/>
        <v>#NUM!</v>
      </c>
      <c r="K219" s="95" t="e">
        <f t="shared" si="17"/>
        <v>#NUM!</v>
      </c>
      <c r="L219" s="95"/>
      <c r="M219" s="97">
        <f t="shared" si="18"/>
        <v>0</v>
      </c>
      <c r="S219" s="85"/>
      <c r="T219" s="85"/>
      <c r="U219" s="85"/>
      <c r="V219" s="85"/>
      <c r="W219" s="85"/>
      <c r="X219" s="85"/>
      <c r="Y219" s="85"/>
      <c r="Z219" s="85"/>
      <c r="AA219" s="85"/>
      <c r="AB219" s="85"/>
      <c r="AC219" s="85"/>
      <c r="AD219" s="85"/>
      <c r="AE219" s="85"/>
      <c r="AF219" s="85"/>
      <c r="AG219" s="85"/>
      <c r="AH219" s="85"/>
      <c r="AI219" s="85"/>
      <c r="AJ219" s="85"/>
      <c r="AK219" s="85"/>
      <c r="AL219" s="85"/>
    </row>
    <row r="220" spans="1:38" s="80" customFormat="1" x14ac:dyDescent="0.25">
      <c r="A220" s="116"/>
      <c r="B220" s="115"/>
      <c r="C220" s="115"/>
      <c r="D220" s="115"/>
      <c r="E220" s="115"/>
      <c r="F220" s="115"/>
      <c r="H220" s="95">
        <v>215</v>
      </c>
      <c r="I220" s="96" t="str">
        <f t="shared" si="15"/>
        <v/>
      </c>
      <c r="J220" s="95" t="e">
        <f t="shared" si="16"/>
        <v>#NUM!</v>
      </c>
      <c r="K220" s="95" t="e">
        <f t="shared" si="17"/>
        <v>#NUM!</v>
      </c>
      <c r="L220" s="95"/>
      <c r="M220" s="97">
        <f t="shared" si="18"/>
        <v>0</v>
      </c>
      <c r="S220" s="85"/>
      <c r="T220" s="85"/>
      <c r="U220" s="85"/>
      <c r="V220" s="85"/>
      <c r="W220" s="85"/>
      <c r="X220" s="85"/>
      <c r="Y220" s="85"/>
      <c r="Z220" s="85"/>
      <c r="AA220" s="85"/>
      <c r="AB220" s="85"/>
      <c r="AC220" s="85"/>
      <c r="AD220" s="85"/>
      <c r="AE220" s="85"/>
      <c r="AF220" s="85"/>
      <c r="AG220" s="85"/>
      <c r="AH220" s="85"/>
      <c r="AI220" s="85"/>
      <c r="AJ220" s="85"/>
      <c r="AK220" s="85"/>
      <c r="AL220" s="85"/>
    </row>
    <row r="221" spans="1:38" s="80" customFormat="1" x14ac:dyDescent="0.25">
      <c r="A221" s="116"/>
      <c r="B221" s="115"/>
      <c r="C221" s="115"/>
      <c r="D221" s="115"/>
      <c r="E221" s="115"/>
      <c r="F221" s="115"/>
      <c r="H221" s="95">
        <v>216</v>
      </c>
      <c r="I221" s="96" t="str">
        <f t="shared" si="15"/>
        <v/>
      </c>
      <c r="J221" s="95" t="e">
        <f t="shared" si="16"/>
        <v>#NUM!</v>
      </c>
      <c r="K221" s="95" t="e">
        <f t="shared" si="17"/>
        <v>#NUM!</v>
      </c>
      <c r="L221" s="95"/>
      <c r="M221" s="97">
        <f t="shared" si="18"/>
        <v>0</v>
      </c>
      <c r="S221" s="85"/>
      <c r="T221" s="85"/>
      <c r="U221" s="85"/>
      <c r="V221" s="85"/>
      <c r="W221" s="85"/>
      <c r="X221" s="85"/>
      <c r="Y221" s="85"/>
      <c r="Z221" s="85"/>
      <c r="AA221" s="85"/>
      <c r="AB221" s="85"/>
      <c r="AC221" s="85"/>
      <c r="AD221" s="85"/>
      <c r="AE221" s="85"/>
      <c r="AF221" s="85"/>
      <c r="AG221" s="85"/>
      <c r="AH221" s="85"/>
      <c r="AI221" s="85"/>
      <c r="AJ221" s="85"/>
      <c r="AK221" s="85"/>
      <c r="AL221" s="85"/>
    </row>
    <row r="222" spans="1:38" s="80" customFormat="1" x14ac:dyDescent="0.25">
      <c r="A222" s="116"/>
      <c r="B222" s="115"/>
      <c r="C222" s="115"/>
      <c r="D222" s="115"/>
      <c r="E222" s="115"/>
      <c r="F222" s="115"/>
      <c r="H222" s="95">
        <v>217</v>
      </c>
      <c r="I222" s="96" t="str">
        <f t="shared" si="15"/>
        <v/>
      </c>
      <c r="J222" s="95" t="e">
        <f t="shared" si="16"/>
        <v>#NUM!</v>
      </c>
      <c r="K222" s="95" t="e">
        <f t="shared" si="17"/>
        <v>#NUM!</v>
      </c>
      <c r="L222" s="95"/>
      <c r="M222" s="97">
        <f t="shared" si="18"/>
        <v>0</v>
      </c>
      <c r="S222" s="85"/>
      <c r="T222" s="85"/>
      <c r="U222" s="85"/>
      <c r="V222" s="85"/>
      <c r="W222" s="85"/>
      <c r="X222" s="85"/>
      <c r="Y222" s="85"/>
      <c r="Z222" s="85"/>
      <c r="AA222" s="85"/>
      <c r="AB222" s="85"/>
      <c r="AC222" s="85"/>
      <c r="AD222" s="85"/>
      <c r="AE222" s="85"/>
      <c r="AF222" s="85"/>
      <c r="AG222" s="85"/>
      <c r="AH222" s="85"/>
      <c r="AI222" s="85"/>
      <c r="AJ222" s="85"/>
      <c r="AK222" s="85"/>
      <c r="AL222" s="85"/>
    </row>
    <row r="223" spans="1:38" s="80" customFormat="1" x14ac:dyDescent="0.25">
      <c r="A223" s="116"/>
      <c r="B223" s="115"/>
      <c r="C223" s="115"/>
      <c r="D223" s="115"/>
      <c r="E223" s="115"/>
      <c r="F223" s="115"/>
      <c r="H223" s="95">
        <v>218</v>
      </c>
      <c r="I223" s="96" t="str">
        <f t="shared" si="15"/>
        <v/>
      </c>
      <c r="J223" s="95" t="e">
        <f t="shared" si="16"/>
        <v>#NUM!</v>
      </c>
      <c r="K223" s="95" t="e">
        <f t="shared" si="17"/>
        <v>#NUM!</v>
      </c>
      <c r="L223" s="95"/>
      <c r="M223" s="97">
        <f t="shared" si="18"/>
        <v>0</v>
      </c>
      <c r="S223" s="85"/>
      <c r="T223" s="85"/>
      <c r="U223" s="85"/>
      <c r="V223" s="85"/>
      <c r="W223" s="85"/>
      <c r="X223" s="85"/>
      <c r="Y223" s="85"/>
      <c r="Z223" s="85"/>
      <c r="AA223" s="85"/>
      <c r="AB223" s="85"/>
      <c r="AC223" s="85"/>
      <c r="AD223" s="85"/>
      <c r="AE223" s="85"/>
      <c r="AF223" s="85"/>
      <c r="AG223" s="85"/>
      <c r="AH223" s="85"/>
      <c r="AI223" s="85"/>
      <c r="AJ223" s="85"/>
      <c r="AK223" s="85"/>
      <c r="AL223" s="85"/>
    </row>
    <row r="224" spans="1:38" s="80" customFormat="1" x14ac:dyDescent="0.25">
      <c r="A224" s="116"/>
      <c r="B224" s="115"/>
      <c r="C224" s="115"/>
      <c r="D224" s="115"/>
      <c r="E224" s="115"/>
      <c r="F224" s="115"/>
      <c r="H224" s="95">
        <v>219</v>
      </c>
      <c r="I224" s="96" t="str">
        <f t="shared" si="15"/>
        <v/>
      </c>
      <c r="J224" s="95" t="e">
        <f t="shared" si="16"/>
        <v>#NUM!</v>
      </c>
      <c r="K224" s="95" t="e">
        <f t="shared" si="17"/>
        <v>#NUM!</v>
      </c>
      <c r="L224" s="95"/>
      <c r="M224" s="97">
        <f t="shared" si="18"/>
        <v>0</v>
      </c>
      <c r="S224" s="85"/>
      <c r="T224" s="85"/>
      <c r="U224" s="85"/>
      <c r="V224" s="85"/>
      <c r="W224" s="85"/>
      <c r="X224" s="85"/>
      <c r="Y224" s="85"/>
      <c r="Z224" s="85"/>
      <c r="AA224" s="85"/>
      <c r="AB224" s="85"/>
      <c r="AC224" s="85"/>
      <c r="AD224" s="85"/>
      <c r="AE224" s="85"/>
      <c r="AF224" s="85"/>
      <c r="AG224" s="85"/>
      <c r="AH224" s="85"/>
      <c r="AI224" s="85"/>
      <c r="AJ224" s="85"/>
      <c r="AK224" s="85"/>
      <c r="AL224" s="85"/>
    </row>
    <row r="225" spans="1:38" s="80" customFormat="1" x14ac:dyDescent="0.25">
      <c r="A225" s="116"/>
      <c r="B225" s="115"/>
      <c r="C225" s="115"/>
      <c r="D225" s="115"/>
      <c r="E225" s="115"/>
      <c r="F225" s="115"/>
      <c r="H225" s="95">
        <v>220</v>
      </c>
      <c r="I225" s="96" t="str">
        <f t="shared" si="15"/>
        <v/>
      </c>
      <c r="J225" s="95" t="e">
        <f t="shared" si="16"/>
        <v>#NUM!</v>
      </c>
      <c r="K225" s="95" t="e">
        <f t="shared" si="17"/>
        <v>#NUM!</v>
      </c>
      <c r="L225" s="95"/>
      <c r="M225" s="97">
        <f t="shared" si="18"/>
        <v>0</v>
      </c>
      <c r="S225" s="85"/>
      <c r="T225" s="85"/>
      <c r="U225" s="85"/>
      <c r="V225" s="85"/>
      <c r="W225" s="85"/>
      <c r="X225" s="85"/>
      <c r="Y225" s="85"/>
      <c r="Z225" s="85"/>
      <c r="AA225" s="85"/>
      <c r="AB225" s="85"/>
      <c r="AC225" s="85"/>
      <c r="AD225" s="85"/>
      <c r="AE225" s="85"/>
      <c r="AF225" s="85"/>
      <c r="AG225" s="85"/>
      <c r="AH225" s="85"/>
      <c r="AI225" s="85"/>
      <c r="AJ225" s="85"/>
      <c r="AK225" s="85"/>
      <c r="AL225" s="85"/>
    </row>
    <row r="226" spans="1:38" s="80" customFormat="1" x14ac:dyDescent="0.25">
      <c r="A226" s="116"/>
      <c r="B226" s="115"/>
      <c r="C226" s="115"/>
      <c r="D226" s="115"/>
      <c r="E226" s="115"/>
      <c r="F226" s="115"/>
      <c r="H226" s="95">
        <v>221</v>
      </c>
      <c r="I226" s="96" t="str">
        <f t="shared" si="15"/>
        <v/>
      </c>
      <c r="J226" s="95" t="e">
        <f t="shared" si="16"/>
        <v>#NUM!</v>
      </c>
      <c r="K226" s="95" t="e">
        <f t="shared" si="17"/>
        <v>#NUM!</v>
      </c>
      <c r="L226" s="95"/>
      <c r="M226" s="97">
        <f t="shared" si="18"/>
        <v>0</v>
      </c>
      <c r="S226" s="85"/>
      <c r="T226" s="85"/>
      <c r="U226" s="85"/>
      <c r="V226" s="85"/>
      <c r="W226" s="85"/>
      <c r="X226" s="85"/>
      <c r="Y226" s="85"/>
      <c r="Z226" s="85"/>
      <c r="AA226" s="85"/>
      <c r="AB226" s="85"/>
      <c r="AC226" s="85"/>
      <c r="AD226" s="85"/>
      <c r="AE226" s="85"/>
      <c r="AF226" s="85"/>
      <c r="AG226" s="85"/>
      <c r="AH226" s="85"/>
      <c r="AI226" s="85"/>
      <c r="AJ226" s="85"/>
      <c r="AK226" s="85"/>
      <c r="AL226" s="85"/>
    </row>
    <row r="227" spans="1:38" s="80" customFormat="1" x14ac:dyDescent="0.25">
      <c r="A227" s="116"/>
      <c r="B227" s="115"/>
      <c r="C227" s="115"/>
      <c r="D227" s="115"/>
      <c r="E227" s="115"/>
      <c r="F227" s="115"/>
      <c r="H227" s="95">
        <v>222</v>
      </c>
      <c r="I227" s="96" t="str">
        <f t="shared" si="15"/>
        <v/>
      </c>
      <c r="J227" s="95" t="e">
        <f t="shared" si="16"/>
        <v>#NUM!</v>
      </c>
      <c r="K227" s="95" t="e">
        <f t="shared" si="17"/>
        <v>#NUM!</v>
      </c>
      <c r="L227" s="95"/>
      <c r="M227" s="97">
        <f t="shared" si="18"/>
        <v>0</v>
      </c>
      <c r="S227" s="85"/>
      <c r="T227" s="85"/>
      <c r="U227" s="85"/>
      <c r="V227" s="85"/>
      <c r="W227" s="85"/>
      <c r="X227" s="85"/>
      <c r="Y227" s="85"/>
      <c r="Z227" s="85"/>
      <c r="AA227" s="85"/>
      <c r="AB227" s="85"/>
      <c r="AC227" s="85"/>
      <c r="AD227" s="85"/>
      <c r="AE227" s="85"/>
      <c r="AF227" s="85"/>
      <c r="AG227" s="85"/>
      <c r="AH227" s="85"/>
      <c r="AI227" s="85"/>
      <c r="AJ227" s="85"/>
      <c r="AK227" s="85"/>
      <c r="AL227" s="85"/>
    </row>
    <row r="228" spans="1:38" s="80" customFormat="1" x14ac:dyDescent="0.25">
      <c r="A228" s="116"/>
      <c r="B228" s="115"/>
      <c r="C228" s="115"/>
      <c r="D228" s="115"/>
      <c r="E228" s="115"/>
      <c r="F228" s="115"/>
      <c r="H228" s="95">
        <v>223</v>
      </c>
      <c r="I228" s="96" t="str">
        <f t="shared" si="15"/>
        <v/>
      </c>
      <c r="J228" s="95" t="e">
        <f t="shared" si="16"/>
        <v>#NUM!</v>
      </c>
      <c r="K228" s="95" t="e">
        <f t="shared" si="17"/>
        <v>#NUM!</v>
      </c>
      <c r="L228" s="95"/>
      <c r="M228" s="97">
        <f t="shared" si="18"/>
        <v>0</v>
      </c>
      <c r="S228" s="85"/>
      <c r="T228" s="85"/>
      <c r="U228" s="85"/>
      <c r="V228" s="85"/>
      <c r="W228" s="85"/>
      <c r="X228" s="85"/>
      <c r="Y228" s="85"/>
      <c r="Z228" s="85"/>
      <c r="AA228" s="85"/>
      <c r="AB228" s="85"/>
      <c r="AC228" s="85"/>
      <c r="AD228" s="85"/>
      <c r="AE228" s="85"/>
      <c r="AF228" s="85"/>
      <c r="AG228" s="85"/>
      <c r="AH228" s="85"/>
      <c r="AI228" s="85"/>
      <c r="AJ228" s="85"/>
      <c r="AK228" s="85"/>
      <c r="AL228" s="85"/>
    </row>
    <row r="229" spans="1:38" s="80" customFormat="1" x14ac:dyDescent="0.25">
      <c r="A229" s="116"/>
      <c r="B229" s="115"/>
      <c r="C229" s="115"/>
      <c r="D229" s="115"/>
      <c r="E229" s="115"/>
      <c r="F229" s="115"/>
      <c r="H229" s="95">
        <v>224</v>
      </c>
      <c r="I229" s="96" t="str">
        <f t="shared" si="15"/>
        <v/>
      </c>
      <c r="J229" s="95" t="e">
        <f t="shared" si="16"/>
        <v>#NUM!</v>
      </c>
      <c r="K229" s="95" t="e">
        <f t="shared" si="17"/>
        <v>#NUM!</v>
      </c>
      <c r="L229" s="95"/>
      <c r="M229" s="97">
        <f t="shared" si="18"/>
        <v>0</v>
      </c>
      <c r="S229" s="85"/>
      <c r="T229" s="85"/>
      <c r="U229" s="85"/>
      <c r="V229" s="85"/>
      <c r="W229" s="85"/>
      <c r="X229" s="85"/>
      <c r="Y229" s="85"/>
      <c r="Z229" s="85"/>
      <c r="AA229" s="85"/>
      <c r="AB229" s="85"/>
      <c r="AC229" s="85"/>
      <c r="AD229" s="85"/>
      <c r="AE229" s="85"/>
      <c r="AF229" s="85"/>
      <c r="AG229" s="85"/>
      <c r="AH229" s="85"/>
      <c r="AI229" s="85"/>
      <c r="AJ229" s="85"/>
      <c r="AK229" s="85"/>
      <c r="AL229" s="85"/>
    </row>
    <row r="230" spans="1:38" s="80" customFormat="1" x14ac:dyDescent="0.25">
      <c r="A230" s="116"/>
      <c r="B230" s="115"/>
      <c r="C230" s="115"/>
      <c r="D230" s="115"/>
      <c r="E230" s="115"/>
      <c r="F230" s="115"/>
      <c r="H230" s="95">
        <v>225</v>
      </c>
      <c r="I230" s="96" t="str">
        <f t="shared" si="15"/>
        <v/>
      </c>
      <c r="J230" s="95" t="e">
        <f t="shared" si="16"/>
        <v>#NUM!</v>
      </c>
      <c r="K230" s="95" t="e">
        <f t="shared" si="17"/>
        <v>#NUM!</v>
      </c>
      <c r="L230" s="95"/>
      <c r="M230" s="97">
        <f t="shared" si="18"/>
        <v>0</v>
      </c>
      <c r="S230" s="85"/>
      <c r="T230" s="85"/>
      <c r="U230" s="85"/>
      <c r="V230" s="85"/>
      <c r="W230" s="85"/>
      <c r="X230" s="85"/>
      <c r="Y230" s="85"/>
      <c r="Z230" s="85"/>
      <c r="AA230" s="85"/>
      <c r="AB230" s="85"/>
      <c r="AC230" s="85"/>
      <c r="AD230" s="85"/>
      <c r="AE230" s="85"/>
      <c r="AF230" s="85"/>
      <c r="AG230" s="85"/>
      <c r="AH230" s="85"/>
      <c r="AI230" s="85"/>
      <c r="AJ230" s="85"/>
      <c r="AK230" s="85"/>
      <c r="AL230" s="85"/>
    </row>
    <row r="231" spans="1:38" s="80" customFormat="1" x14ac:dyDescent="0.25">
      <c r="A231" s="116"/>
      <c r="B231" s="115"/>
      <c r="C231" s="115"/>
      <c r="D231" s="115"/>
      <c r="E231" s="115"/>
      <c r="F231" s="115"/>
      <c r="H231" s="95">
        <v>226</v>
      </c>
      <c r="I231" s="96" t="str">
        <f t="shared" si="15"/>
        <v/>
      </c>
      <c r="J231" s="95" t="e">
        <f t="shared" si="16"/>
        <v>#NUM!</v>
      </c>
      <c r="K231" s="95" t="e">
        <f t="shared" si="17"/>
        <v>#NUM!</v>
      </c>
      <c r="L231" s="95"/>
      <c r="M231" s="97">
        <f t="shared" si="18"/>
        <v>0</v>
      </c>
      <c r="S231" s="85"/>
      <c r="T231" s="85"/>
      <c r="U231" s="85"/>
      <c r="V231" s="85"/>
      <c r="W231" s="85"/>
      <c r="X231" s="85"/>
      <c r="Y231" s="85"/>
      <c r="Z231" s="85"/>
      <c r="AA231" s="85"/>
      <c r="AB231" s="85"/>
      <c r="AC231" s="85"/>
      <c r="AD231" s="85"/>
      <c r="AE231" s="85"/>
      <c r="AF231" s="85"/>
      <c r="AG231" s="85"/>
      <c r="AH231" s="85"/>
      <c r="AI231" s="85"/>
      <c r="AJ231" s="85"/>
      <c r="AK231" s="85"/>
      <c r="AL231" s="85"/>
    </row>
    <row r="232" spans="1:38" s="80" customFormat="1" x14ac:dyDescent="0.25">
      <c r="A232" s="116"/>
      <c r="B232" s="115"/>
      <c r="C232" s="115"/>
      <c r="D232" s="115"/>
      <c r="E232" s="115"/>
      <c r="F232" s="115"/>
      <c r="H232" s="95">
        <v>227</v>
      </c>
      <c r="I232" s="96" t="str">
        <f t="shared" si="15"/>
        <v/>
      </c>
      <c r="J232" s="95" t="e">
        <f t="shared" si="16"/>
        <v>#NUM!</v>
      </c>
      <c r="K232" s="95" t="e">
        <f t="shared" si="17"/>
        <v>#NUM!</v>
      </c>
      <c r="L232" s="95"/>
      <c r="M232" s="97">
        <f t="shared" si="18"/>
        <v>0</v>
      </c>
      <c r="S232" s="85"/>
      <c r="T232" s="85"/>
      <c r="U232" s="85"/>
      <c r="V232" s="85"/>
      <c r="W232" s="85"/>
      <c r="X232" s="85"/>
      <c r="Y232" s="85"/>
      <c r="Z232" s="85"/>
      <c r="AA232" s="85"/>
      <c r="AB232" s="85"/>
      <c r="AC232" s="85"/>
      <c r="AD232" s="85"/>
      <c r="AE232" s="85"/>
      <c r="AF232" s="85"/>
      <c r="AG232" s="85"/>
      <c r="AH232" s="85"/>
      <c r="AI232" s="85"/>
      <c r="AJ232" s="85"/>
      <c r="AK232" s="85"/>
      <c r="AL232" s="85"/>
    </row>
    <row r="233" spans="1:38" s="80" customFormat="1" x14ac:dyDescent="0.25">
      <c r="A233" s="116"/>
      <c r="B233" s="115"/>
      <c r="C233" s="115"/>
      <c r="D233" s="115"/>
      <c r="E233" s="115"/>
      <c r="F233" s="115"/>
      <c r="H233" s="95">
        <v>228</v>
      </c>
      <c r="I233" s="96" t="str">
        <f t="shared" si="15"/>
        <v/>
      </c>
      <c r="J233" s="95" t="e">
        <f t="shared" si="16"/>
        <v>#NUM!</v>
      </c>
      <c r="K233" s="95" t="e">
        <f t="shared" si="17"/>
        <v>#NUM!</v>
      </c>
      <c r="L233" s="95"/>
      <c r="M233" s="97">
        <f t="shared" si="18"/>
        <v>0</v>
      </c>
      <c r="S233" s="85"/>
      <c r="T233" s="85"/>
      <c r="U233" s="85"/>
      <c r="V233" s="85"/>
      <c r="W233" s="85"/>
      <c r="X233" s="85"/>
      <c r="Y233" s="85"/>
      <c r="Z233" s="85"/>
      <c r="AA233" s="85"/>
      <c r="AB233" s="85"/>
      <c r="AC233" s="85"/>
      <c r="AD233" s="85"/>
      <c r="AE233" s="85"/>
      <c r="AF233" s="85"/>
      <c r="AG233" s="85"/>
      <c r="AH233" s="85"/>
      <c r="AI233" s="85"/>
      <c r="AJ233" s="85"/>
      <c r="AK233" s="85"/>
      <c r="AL233" s="85"/>
    </row>
    <row r="234" spans="1:38" s="80" customFormat="1" x14ac:dyDescent="0.25">
      <c r="A234" s="116"/>
      <c r="B234" s="115"/>
      <c r="C234" s="115"/>
      <c r="D234" s="115"/>
      <c r="E234" s="115"/>
      <c r="F234" s="115"/>
      <c r="H234" s="95">
        <v>229</v>
      </c>
      <c r="I234" s="96" t="str">
        <f t="shared" si="15"/>
        <v/>
      </c>
      <c r="J234" s="95" t="e">
        <f t="shared" si="16"/>
        <v>#NUM!</v>
      </c>
      <c r="K234" s="95" t="e">
        <f t="shared" si="17"/>
        <v>#NUM!</v>
      </c>
      <c r="L234" s="95"/>
      <c r="M234" s="97">
        <f t="shared" si="18"/>
        <v>0</v>
      </c>
      <c r="S234" s="85"/>
      <c r="T234" s="85"/>
      <c r="U234" s="85"/>
      <c r="V234" s="85"/>
      <c r="W234" s="85"/>
      <c r="X234" s="85"/>
      <c r="Y234" s="85"/>
      <c r="Z234" s="85"/>
      <c r="AA234" s="85"/>
      <c r="AB234" s="85"/>
      <c r="AC234" s="85"/>
      <c r="AD234" s="85"/>
      <c r="AE234" s="85"/>
      <c r="AF234" s="85"/>
      <c r="AG234" s="85"/>
      <c r="AH234" s="85"/>
      <c r="AI234" s="85"/>
      <c r="AJ234" s="85"/>
      <c r="AK234" s="85"/>
      <c r="AL234" s="85"/>
    </row>
    <row r="235" spans="1:38" s="80" customFormat="1" x14ac:dyDescent="0.25">
      <c r="A235" s="116"/>
      <c r="B235" s="115"/>
      <c r="C235" s="115"/>
      <c r="D235" s="115"/>
      <c r="E235" s="115"/>
      <c r="F235" s="115"/>
      <c r="H235" s="95">
        <v>230</v>
      </c>
      <c r="I235" s="96" t="str">
        <f t="shared" si="15"/>
        <v/>
      </c>
      <c r="J235" s="95" t="e">
        <f t="shared" si="16"/>
        <v>#NUM!</v>
      </c>
      <c r="K235" s="95" t="e">
        <f t="shared" si="17"/>
        <v>#NUM!</v>
      </c>
      <c r="L235" s="95"/>
      <c r="M235" s="97">
        <f t="shared" si="18"/>
        <v>0</v>
      </c>
      <c r="S235" s="85"/>
      <c r="T235" s="85"/>
      <c r="U235" s="85"/>
      <c r="V235" s="85"/>
      <c r="W235" s="85"/>
      <c r="X235" s="85"/>
      <c r="Y235" s="85"/>
      <c r="Z235" s="85"/>
      <c r="AA235" s="85"/>
      <c r="AB235" s="85"/>
      <c r="AC235" s="85"/>
      <c r="AD235" s="85"/>
      <c r="AE235" s="85"/>
      <c r="AF235" s="85"/>
      <c r="AG235" s="85"/>
      <c r="AH235" s="85"/>
      <c r="AI235" s="85"/>
      <c r="AJ235" s="85"/>
      <c r="AK235" s="85"/>
      <c r="AL235" s="85"/>
    </row>
    <row r="236" spans="1:38" s="80" customFormat="1" x14ac:dyDescent="0.25">
      <c r="A236" s="116"/>
      <c r="B236" s="115"/>
      <c r="C236" s="115"/>
      <c r="D236" s="115"/>
      <c r="E236" s="115"/>
      <c r="F236" s="115"/>
      <c r="H236" s="95">
        <v>231</v>
      </c>
      <c r="I236" s="96" t="str">
        <f t="shared" si="15"/>
        <v/>
      </c>
      <c r="J236" s="95" t="e">
        <f t="shared" si="16"/>
        <v>#NUM!</v>
      </c>
      <c r="K236" s="95" t="e">
        <f t="shared" si="17"/>
        <v>#NUM!</v>
      </c>
      <c r="L236" s="95"/>
      <c r="M236" s="97">
        <f t="shared" si="18"/>
        <v>0</v>
      </c>
      <c r="S236" s="85"/>
      <c r="T236" s="85"/>
      <c r="U236" s="85"/>
      <c r="V236" s="85"/>
      <c r="W236" s="85"/>
      <c r="X236" s="85"/>
      <c r="Y236" s="85"/>
      <c r="Z236" s="85"/>
      <c r="AA236" s="85"/>
      <c r="AB236" s="85"/>
      <c r="AC236" s="85"/>
      <c r="AD236" s="85"/>
      <c r="AE236" s="85"/>
      <c r="AF236" s="85"/>
      <c r="AG236" s="85"/>
      <c r="AH236" s="85"/>
      <c r="AI236" s="85"/>
      <c r="AJ236" s="85"/>
      <c r="AK236" s="85"/>
      <c r="AL236" s="85"/>
    </row>
    <row r="237" spans="1:38" s="80" customFormat="1" x14ac:dyDescent="0.25">
      <c r="A237" s="116"/>
      <c r="B237" s="115"/>
      <c r="C237" s="115"/>
      <c r="D237" s="115"/>
      <c r="E237" s="115"/>
      <c r="F237" s="115"/>
      <c r="H237" s="95">
        <v>232</v>
      </c>
      <c r="I237" s="96" t="str">
        <f t="shared" si="15"/>
        <v/>
      </c>
      <c r="J237" s="95" t="e">
        <f t="shared" si="16"/>
        <v>#NUM!</v>
      </c>
      <c r="K237" s="95" t="e">
        <f t="shared" si="17"/>
        <v>#NUM!</v>
      </c>
      <c r="L237" s="95"/>
      <c r="M237" s="97">
        <f t="shared" si="18"/>
        <v>0</v>
      </c>
      <c r="S237" s="85"/>
      <c r="T237" s="85"/>
      <c r="U237" s="85"/>
      <c r="V237" s="85"/>
      <c r="W237" s="85"/>
      <c r="X237" s="85"/>
      <c r="Y237" s="85"/>
      <c r="Z237" s="85"/>
      <c r="AA237" s="85"/>
      <c r="AB237" s="85"/>
      <c r="AC237" s="85"/>
      <c r="AD237" s="85"/>
      <c r="AE237" s="85"/>
      <c r="AF237" s="85"/>
      <c r="AG237" s="85"/>
      <c r="AH237" s="85"/>
      <c r="AI237" s="85"/>
      <c r="AJ237" s="85"/>
      <c r="AK237" s="85"/>
      <c r="AL237" s="85"/>
    </row>
    <row r="238" spans="1:38" s="80" customFormat="1" x14ac:dyDescent="0.25">
      <c r="A238" s="116"/>
      <c r="B238" s="115"/>
      <c r="C238" s="115"/>
      <c r="D238" s="115"/>
      <c r="E238" s="115"/>
      <c r="F238" s="115"/>
      <c r="H238" s="95">
        <v>233</v>
      </c>
      <c r="I238" s="96" t="str">
        <f t="shared" si="15"/>
        <v/>
      </c>
      <c r="J238" s="95" t="e">
        <f t="shared" si="16"/>
        <v>#NUM!</v>
      </c>
      <c r="K238" s="95" t="e">
        <f t="shared" si="17"/>
        <v>#NUM!</v>
      </c>
      <c r="L238" s="95"/>
      <c r="M238" s="97">
        <f t="shared" si="18"/>
        <v>0</v>
      </c>
      <c r="S238" s="85"/>
      <c r="T238" s="85"/>
      <c r="U238" s="85"/>
      <c r="V238" s="85"/>
      <c r="W238" s="85"/>
      <c r="X238" s="85"/>
      <c r="Y238" s="85"/>
      <c r="Z238" s="85"/>
      <c r="AA238" s="85"/>
      <c r="AB238" s="85"/>
      <c r="AC238" s="85"/>
      <c r="AD238" s="85"/>
      <c r="AE238" s="85"/>
      <c r="AF238" s="85"/>
      <c r="AG238" s="85"/>
      <c r="AH238" s="85"/>
      <c r="AI238" s="85"/>
      <c r="AJ238" s="85"/>
      <c r="AK238" s="85"/>
      <c r="AL238" s="85"/>
    </row>
    <row r="239" spans="1:38" s="80" customFormat="1" x14ac:dyDescent="0.25">
      <c r="A239" s="116"/>
      <c r="B239" s="115"/>
      <c r="C239" s="115"/>
      <c r="D239" s="115"/>
      <c r="E239" s="115"/>
      <c r="F239" s="115"/>
      <c r="H239" s="95">
        <v>234</v>
      </c>
      <c r="I239" s="96" t="str">
        <f t="shared" si="15"/>
        <v/>
      </c>
      <c r="J239" s="95" t="e">
        <f t="shared" si="16"/>
        <v>#NUM!</v>
      </c>
      <c r="K239" s="95" t="e">
        <f t="shared" si="17"/>
        <v>#NUM!</v>
      </c>
      <c r="L239" s="95"/>
      <c r="M239" s="97">
        <f t="shared" si="18"/>
        <v>0</v>
      </c>
      <c r="S239" s="85"/>
      <c r="T239" s="85"/>
      <c r="U239" s="85"/>
      <c r="V239" s="85"/>
      <c r="W239" s="85"/>
      <c r="X239" s="85"/>
      <c r="Y239" s="85"/>
      <c r="Z239" s="85"/>
      <c r="AA239" s="85"/>
      <c r="AB239" s="85"/>
      <c r="AC239" s="85"/>
      <c r="AD239" s="85"/>
      <c r="AE239" s="85"/>
      <c r="AF239" s="85"/>
      <c r="AG239" s="85"/>
      <c r="AH239" s="85"/>
      <c r="AI239" s="85"/>
      <c r="AJ239" s="85"/>
      <c r="AK239" s="85"/>
      <c r="AL239" s="85"/>
    </row>
    <row r="240" spans="1:38" s="80" customFormat="1" x14ac:dyDescent="0.25">
      <c r="A240" s="116"/>
      <c r="B240" s="115"/>
      <c r="C240" s="115"/>
      <c r="D240" s="115"/>
      <c r="E240" s="115"/>
      <c r="F240" s="115"/>
      <c r="H240" s="95">
        <v>235</v>
      </c>
      <c r="I240" s="96" t="str">
        <f t="shared" si="15"/>
        <v/>
      </c>
      <c r="J240" s="95" t="e">
        <f t="shared" si="16"/>
        <v>#NUM!</v>
      </c>
      <c r="K240" s="95" t="e">
        <f t="shared" si="17"/>
        <v>#NUM!</v>
      </c>
      <c r="L240" s="95"/>
      <c r="M240" s="97">
        <f t="shared" si="18"/>
        <v>0</v>
      </c>
      <c r="S240" s="85"/>
      <c r="T240" s="85"/>
      <c r="U240" s="85"/>
      <c r="V240" s="85"/>
      <c r="W240" s="85"/>
      <c r="X240" s="85"/>
      <c r="Y240" s="85"/>
      <c r="Z240" s="85"/>
      <c r="AA240" s="85"/>
      <c r="AB240" s="85"/>
      <c r="AC240" s="85"/>
      <c r="AD240" s="85"/>
      <c r="AE240" s="85"/>
      <c r="AF240" s="85"/>
      <c r="AG240" s="85"/>
      <c r="AH240" s="85"/>
      <c r="AI240" s="85"/>
      <c r="AJ240" s="85"/>
      <c r="AK240" s="85"/>
      <c r="AL240" s="85"/>
    </row>
    <row r="241" spans="1:38" s="80" customFormat="1" x14ac:dyDescent="0.25">
      <c r="A241" s="116"/>
      <c r="B241" s="115"/>
      <c r="C241" s="115"/>
      <c r="D241" s="115"/>
      <c r="E241" s="115"/>
      <c r="F241" s="115"/>
      <c r="H241" s="95">
        <v>236</v>
      </c>
      <c r="I241" s="96" t="str">
        <f t="shared" si="15"/>
        <v/>
      </c>
      <c r="J241" s="95" t="e">
        <f t="shared" si="16"/>
        <v>#NUM!</v>
      </c>
      <c r="K241" s="95" t="e">
        <f t="shared" si="17"/>
        <v>#NUM!</v>
      </c>
      <c r="L241" s="95"/>
      <c r="M241" s="97">
        <f t="shared" si="18"/>
        <v>0</v>
      </c>
      <c r="S241" s="85"/>
      <c r="T241" s="85"/>
      <c r="U241" s="85"/>
      <c r="V241" s="85"/>
      <c r="W241" s="85"/>
      <c r="X241" s="85"/>
      <c r="Y241" s="85"/>
      <c r="Z241" s="85"/>
      <c r="AA241" s="85"/>
      <c r="AB241" s="85"/>
      <c r="AC241" s="85"/>
      <c r="AD241" s="85"/>
      <c r="AE241" s="85"/>
      <c r="AF241" s="85"/>
      <c r="AG241" s="85"/>
      <c r="AH241" s="85"/>
      <c r="AI241" s="85"/>
      <c r="AJ241" s="85"/>
      <c r="AK241" s="85"/>
      <c r="AL241" s="85"/>
    </row>
    <row r="242" spans="1:38" s="80" customFormat="1" x14ac:dyDescent="0.25">
      <c r="A242" s="116"/>
      <c r="B242" s="115"/>
      <c r="C242" s="115"/>
      <c r="D242" s="115"/>
      <c r="E242" s="115"/>
      <c r="F242" s="115"/>
      <c r="H242" s="95">
        <v>237</v>
      </c>
      <c r="I242" s="96" t="str">
        <f t="shared" si="15"/>
        <v/>
      </c>
      <c r="J242" s="95" t="e">
        <f t="shared" si="16"/>
        <v>#NUM!</v>
      </c>
      <c r="K242" s="95" t="e">
        <f t="shared" si="17"/>
        <v>#NUM!</v>
      </c>
      <c r="L242" s="95"/>
      <c r="M242" s="97">
        <f t="shared" si="18"/>
        <v>0</v>
      </c>
      <c r="S242" s="85"/>
      <c r="T242" s="85"/>
      <c r="U242" s="85"/>
      <c r="V242" s="85"/>
      <c r="W242" s="85"/>
      <c r="X242" s="85"/>
      <c r="Y242" s="85"/>
      <c r="Z242" s="85"/>
      <c r="AA242" s="85"/>
      <c r="AB242" s="85"/>
      <c r="AC242" s="85"/>
      <c r="AD242" s="85"/>
      <c r="AE242" s="85"/>
      <c r="AF242" s="85"/>
      <c r="AG242" s="85"/>
      <c r="AH242" s="85"/>
      <c r="AI242" s="85"/>
      <c r="AJ242" s="85"/>
      <c r="AK242" s="85"/>
      <c r="AL242" s="85"/>
    </row>
    <row r="243" spans="1:38" s="80" customFormat="1" x14ac:dyDescent="0.25">
      <c r="A243" s="116"/>
      <c r="B243" s="115"/>
      <c r="C243" s="115"/>
      <c r="D243" s="115"/>
      <c r="E243" s="115"/>
      <c r="F243" s="115"/>
      <c r="H243" s="95">
        <v>238</v>
      </c>
      <c r="I243" s="96" t="str">
        <f t="shared" si="15"/>
        <v/>
      </c>
      <c r="J243" s="95" t="e">
        <f t="shared" si="16"/>
        <v>#NUM!</v>
      </c>
      <c r="K243" s="95" t="e">
        <f t="shared" si="17"/>
        <v>#NUM!</v>
      </c>
      <c r="L243" s="95"/>
      <c r="M243" s="97">
        <f t="shared" si="18"/>
        <v>0</v>
      </c>
      <c r="S243" s="85"/>
      <c r="T243" s="85"/>
      <c r="U243" s="85"/>
      <c r="V243" s="85"/>
      <c r="W243" s="85"/>
      <c r="X243" s="85"/>
      <c r="Y243" s="85"/>
      <c r="Z243" s="85"/>
      <c r="AA243" s="85"/>
      <c r="AB243" s="85"/>
      <c r="AC243" s="85"/>
      <c r="AD243" s="85"/>
      <c r="AE243" s="85"/>
      <c r="AF243" s="85"/>
      <c r="AG243" s="85"/>
      <c r="AH243" s="85"/>
      <c r="AI243" s="85"/>
      <c r="AJ243" s="85"/>
      <c r="AK243" s="85"/>
      <c r="AL243" s="85"/>
    </row>
    <row r="244" spans="1:38" s="80" customFormat="1" x14ac:dyDescent="0.25">
      <c r="A244" s="116"/>
      <c r="B244" s="115"/>
      <c r="C244" s="115"/>
      <c r="D244" s="115"/>
      <c r="E244" s="115"/>
      <c r="F244" s="115"/>
      <c r="H244" s="95">
        <v>239</v>
      </c>
      <c r="I244" s="96" t="str">
        <f t="shared" si="15"/>
        <v/>
      </c>
      <c r="J244" s="95" t="e">
        <f t="shared" si="16"/>
        <v>#NUM!</v>
      </c>
      <c r="K244" s="95" t="e">
        <f t="shared" si="17"/>
        <v>#NUM!</v>
      </c>
      <c r="L244" s="95"/>
      <c r="M244" s="97">
        <f t="shared" si="18"/>
        <v>0</v>
      </c>
      <c r="S244" s="85"/>
      <c r="T244" s="85"/>
      <c r="U244" s="85"/>
      <c r="V244" s="85"/>
      <c r="W244" s="85"/>
      <c r="X244" s="85"/>
      <c r="Y244" s="85"/>
      <c r="Z244" s="85"/>
      <c r="AA244" s="85"/>
      <c r="AB244" s="85"/>
      <c r="AC244" s="85"/>
      <c r="AD244" s="85"/>
      <c r="AE244" s="85"/>
      <c r="AF244" s="85"/>
      <c r="AG244" s="85"/>
      <c r="AH244" s="85"/>
      <c r="AI244" s="85"/>
      <c r="AJ244" s="85"/>
      <c r="AK244" s="85"/>
      <c r="AL244" s="85"/>
    </row>
    <row r="245" spans="1:38" s="80" customFormat="1" x14ac:dyDescent="0.25">
      <c r="A245" s="116"/>
      <c r="B245" s="115"/>
      <c r="C245" s="115"/>
      <c r="D245" s="115"/>
      <c r="E245" s="115"/>
      <c r="F245" s="115"/>
      <c r="H245" s="95">
        <v>240</v>
      </c>
      <c r="I245" s="96" t="str">
        <f t="shared" si="15"/>
        <v/>
      </c>
      <c r="J245" s="95" t="e">
        <f t="shared" si="16"/>
        <v>#NUM!</v>
      </c>
      <c r="K245" s="95" t="e">
        <f t="shared" si="17"/>
        <v>#NUM!</v>
      </c>
      <c r="L245" s="95"/>
      <c r="M245" s="97">
        <f t="shared" si="18"/>
        <v>0</v>
      </c>
      <c r="S245" s="85"/>
      <c r="T245" s="85"/>
      <c r="U245" s="85"/>
      <c r="V245" s="85"/>
      <c r="W245" s="85"/>
      <c r="X245" s="85"/>
      <c r="Y245" s="85"/>
      <c r="Z245" s="85"/>
      <c r="AA245" s="85"/>
      <c r="AB245" s="85"/>
      <c r="AC245" s="85"/>
      <c r="AD245" s="85"/>
      <c r="AE245" s="85"/>
      <c r="AF245" s="85"/>
      <c r="AG245" s="85"/>
      <c r="AH245" s="85"/>
      <c r="AI245" s="85"/>
      <c r="AJ245" s="85"/>
      <c r="AK245" s="85"/>
      <c r="AL245" s="85"/>
    </row>
    <row r="246" spans="1:38" s="80" customFormat="1" x14ac:dyDescent="0.25">
      <c r="A246" s="116"/>
      <c r="B246" s="115"/>
      <c r="C246" s="115"/>
      <c r="D246" s="115"/>
      <c r="E246" s="115"/>
      <c r="F246" s="115"/>
      <c r="H246" s="95">
        <v>241</v>
      </c>
      <c r="I246" s="96" t="str">
        <f t="shared" si="15"/>
        <v/>
      </c>
      <c r="J246" s="95" t="e">
        <f t="shared" si="16"/>
        <v>#NUM!</v>
      </c>
      <c r="K246" s="95" t="e">
        <f t="shared" si="17"/>
        <v>#NUM!</v>
      </c>
      <c r="L246" s="95"/>
      <c r="M246" s="97">
        <f t="shared" si="18"/>
        <v>0</v>
      </c>
      <c r="S246" s="85"/>
      <c r="T246" s="85"/>
      <c r="U246" s="85"/>
      <c r="V246" s="85"/>
      <c r="W246" s="85"/>
      <c r="X246" s="85"/>
      <c r="Y246" s="85"/>
      <c r="Z246" s="85"/>
      <c r="AA246" s="85"/>
      <c r="AB246" s="85"/>
      <c r="AC246" s="85"/>
      <c r="AD246" s="85"/>
      <c r="AE246" s="85"/>
      <c r="AF246" s="85"/>
      <c r="AG246" s="85"/>
      <c r="AH246" s="85"/>
      <c r="AI246" s="85"/>
      <c r="AJ246" s="85"/>
      <c r="AK246" s="85"/>
      <c r="AL246" s="85"/>
    </row>
    <row r="247" spans="1:38" s="80" customFormat="1" x14ac:dyDescent="0.25">
      <c r="A247" s="116"/>
      <c r="B247" s="115"/>
      <c r="C247" s="115"/>
      <c r="D247" s="115"/>
      <c r="E247" s="115"/>
      <c r="F247" s="115"/>
      <c r="H247" s="95">
        <v>242</v>
      </c>
      <c r="I247" s="96" t="str">
        <f t="shared" si="15"/>
        <v/>
      </c>
      <c r="J247" s="95" t="e">
        <f t="shared" si="16"/>
        <v>#NUM!</v>
      </c>
      <c r="K247" s="95" t="e">
        <f t="shared" si="17"/>
        <v>#NUM!</v>
      </c>
      <c r="L247" s="95"/>
      <c r="M247" s="97">
        <f t="shared" si="18"/>
        <v>0</v>
      </c>
      <c r="S247" s="85"/>
      <c r="T247" s="85"/>
      <c r="U247" s="85"/>
      <c r="V247" s="85"/>
      <c r="W247" s="85"/>
      <c r="X247" s="85"/>
      <c r="Y247" s="85"/>
      <c r="Z247" s="85"/>
      <c r="AA247" s="85"/>
      <c r="AB247" s="85"/>
      <c r="AC247" s="85"/>
      <c r="AD247" s="85"/>
      <c r="AE247" s="85"/>
      <c r="AF247" s="85"/>
      <c r="AG247" s="85"/>
      <c r="AH247" s="85"/>
      <c r="AI247" s="85"/>
      <c r="AJ247" s="85"/>
      <c r="AK247" s="85"/>
      <c r="AL247" s="85"/>
    </row>
    <row r="248" spans="1:38" s="80" customFormat="1" x14ac:dyDescent="0.25">
      <c r="A248" s="116"/>
      <c r="B248" s="115"/>
      <c r="C248" s="115"/>
      <c r="D248" s="115"/>
      <c r="E248" s="115"/>
      <c r="F248" s="115"/>
      <c r="H248" s="95">
        <v>243</v>
      </c>
      <c r="I248" s="96" t="str">
        <f t="shared" si="15"/>
        <v/>
      </c>
      <c r="J248" s="95" t="e">
        <f t="shared" si="16"/>
        <v>#NUM!</v>
      </c>
      <c r="K248" s="95" t="e">
        <f t="shared" si="17"/>
        <v>#NUM!</v>
      </c>
      <c r="L248" s="95"/>
      <c r="M248" s="97">
        <f t="shared" si="18"/>
        <v>0</v>
      </c>
      <c r="S248" s="85"/>
      <c r="T248" s="85"/>
      <c r="U248" s="85"/>
      <c r="V248" s="85"/>
      <c r="W248" s="85"/>
      <c r="X248" s="85"/>
      <c r="Y248" s="85"/>
      <c r="Z248" s="85"/>
      <c r="AA248" s="85"/>
      <c r="AB248" s="85"/>
      <c r="AC248" s="85"/>
      <c r="AD248" s="85"/>
      <c r="AE248" s="85"/>
      <c r="AF248" s="85"/>
      <c r="AG248" s="85"/>
      <c r="AH248" s="85"/>
      <c r="AI248" s="85"/>
      <c r="AJ248" s="85"/>
      <c r="AK248" s="85"/>
      <c r="AL248" s="85"/>
    </row>
    <row r="249" spans="1:38" s="80" customFormat="1" x14ac:dyDescent="0.25">
      <c r="A249" s="116"/>
      <c r="B249" s="115"/>
      <c r="C249" s="115"/>
      <c r="D249" s="115"/>
      <c r="E249" s="115"/>
      <c r="F249" s="115"/>
      <c r="H249" s="95">
        <v>244</v>
      </c>
      <c r="I249" s="96" t="str">
        <f t="shared" si="15"/>
        <v/>
      </c>
      <c r="J249" s="95" t="e">
        <f t="shared" si="16"/>
        <v>#NUM!</v>
      </c>
      <c r="K249" s="95" t="e">
        <f t="shared" si="17"/>
        <v>#NUM!</v>
      </c>
      <c r="L249" s="95"/>
      <c r="M249" s="97">
        <f t="shared" si="18"/>
        <v>0</v>
      </c>
      <c r="S249" s="85"/>
      <c r="T249" s="85"/>
      <c r="U249" s="85"/>
      <c r="V249" s="85"/>
      <c r="W249" s="85"/>
      <c r="X249" s="85"/>
      <c r="Y249" s="85"/>
      <c r="Z249" s="85"/>
      <c r="AA249" s="85"/>
      <c r="AB249" s="85"/>
      <c r="AC249" s="85"/>
      <c r="AD249" s="85"/>
      <c r="AE249" s="85"/>
      <c r="AF249" s="85"/>
      <c r="AG249" s="85"/>
      <c r="AH249" s="85"/>
      <c r="AI249" s="85"/>
      <c r="AJ249" s="85"/>
      <c r="AK249" s="85"/>
      <c r="AL249" s="85"/>
    </row>
    <row r="250" spans="1:38" s="80" customFormat="1" x14ac:dyDescent="0.25">
      <c r="A250" s="116"/>
      <c r="B250" s="115"/>
      <c r="C250" s="115"/>
      <c r="D250" s="115"/>
      <c r="E250" s="115"/>
      <c r="F250" s="115"/>
      <c r="H250" s="95">
        <v>245</v>
      </c>
      <c r="I250" s="96" t="str">
        <f t="shared" si="15"/>
        <v/>
      </c>
      <c r="J250" s="95" t="e">
        <f t="shared" si="16"/>
        <v>#NUM!</v>
      </c>
      <c r="K250" s="95" t="e">
        <f t="shared" si="17"/>
        <v>#NUM!</v>
      </c>
      <c r="L250" s="95"/>
      <c r="M250" s="97">
        <f t="shared" si="18"/>
        <v>0</v>
      </c>
      <c r="S250" s="85"/>
      <c r="T250" s="85"/>
      <c r="U250" s="85"/>
      <c r="V250" s="85"/>
      <c r="W250" s="85"/>
      <c r="X250" s="85"/>
      <c r="Y250" s="85"/>
      <c r="Z250" s="85"/>
      <c r="AA250" s="85"/>
      <c r="AB250" s="85"/>
      <c r="AC250" s="85"/>
      <c r="AD250" s="85"/>
      <c r="AE250" s="85"/>
      <c r="AF250" s="85"/>
      <c r="AG250" s="85"/>
      <c r="AH250" s="85"/>
      <c r="AI250" s="85"/>
      <c r="AJ250" s="85"/>
      <c r="AK250" s="85"/>
      <c r="AL250" s="85"/>
    </row>
    <row r="251" spans="1:38" s="80" customFormat="1" x14ac:dyDescent="0.25">
      <c r="A251" s="116"/>
      <c r="B251" s="115"/>
      <c r="C251" s="115"/>
      <c r="D251" s="115"/>
      <c r="E251" s="115"/>
      <c r="F251" s="115"/>
      <c r="H251" s="95">
        <v>246</v>
      </c>
      <c r="I251" s="96" t="str">
        <f t="shared" si="15"/>
        <v/>
      </c>
      <c r="J251" s="95" t="e">
        <f t="shared" si="16"/>
        <v>#NUM!</v>
      </c>
      <c r="K251" s="95" t="e">
        <f t="shared" si="17"/>
        <v>#NUM!</v>
      </c>
      <c r="L251" s="95"/>
      <c r="M251" s="97">
        <f t="shared" si="18"/>
        <v>0</v>
      </c>
      <c r="S251" s="85"/>
      <c r="T251" s="85"/>
      <c r="U251" s="85"/>
      <c r="V251" s="85"/>
      <c r="W251" s="85"/>
      <c r="X251" s="85"/>
      <c r="Y251" s="85"/>
      <c r="Z251" s="85"/>
      <c r="AA251" s="85"/>
      <c r="AB251" s="85"/>
      <c r="AC251" s="85"/>
      <c r="AD251" s="85"/>
      <c r="AE251" s="85"/>
      <c r="AF251" s="85"/>
      <c r="AG251" s="85"/>
      <c r="AH251" s="85"/>
      <c r="AI251" s="85"/>
      <c r="AJ251" s="85"/>
      <c r="AK251" s="85"/>
      <c r="AL251" s="85"/>
    </row>
    <row r="252" spans="1:38" s="80" customFormat="1" x14ac:dyDescent="0.25">
      <c r="A252" s="116"/>
      <c r="B252" s="115"/>
      <c r="C252" s="115"/>
      <c r="D252" s="115"/>
      <c r="E252" s="115"/>
      <c r="F252" s="115"/>
      <c r="H252" s="95">
        <v>247</v>
      </c>
      <c r="I252" s="96" t="str">
        <f t="shared" si="15"/>
        <v/>
      </c>
      <c r="J252" s="95" t="e">
        <f t="shared" si="16"/>
        <v>#NUM!</v>
      </c>
      <c r="K252" s="95" t="e">
        <f t="shared" si="17"/>
        <v>#NUM!</v>
      </c>
      <c r="L252" s="95"/>
      <c r="M252" s="97">
        <f t="shared" si="18"/>
        <v>0</v>
      </c>
      <c r="S252" s="85"/>
      <c r="T252" s="85"/>
      <c r="U252" s="85"/>
      <c r="V252" s="85"/>
      <c r="W252" s="85"/>
      <c r="X252" s="85"/>
      <c r="Y252" s="85"/>
      <c r="Z252" s="85"/>
      <c r="AA252" s="85"/>
      <c r="AB252" s="85"/>
      <c r="AC252" s="85"/>
      <c r="AD252" s="85"/>
      <c r="AE252" s="85"/>
      <c r="AF252" s="85"/>
      <c r="AG252" s="85"/>
      <c r="AH252" s="85"/>
      <c r="AI252" s="85"/>
      <c r="AJ252" s="85"/>
      <c r="AK252" s="85"/>
      <c r="AL252" s="85"/>
    </row>
    <row r="253" spans="1:38" s="80" customFormat="1" x14ac:dyDescent="0.25">
      <c r="A253" s="116"/>
      <c r="B253" s="115"/>
      <c r="C253" s="115"/>
      <c r="D253" s="115"/>
      <c r="E253" s="115"/>
      <c r="F253" s="115"/>
      <c r="H253" s="95">
        <v>248</v>
      </c>
      <c r="I253" s="96" t="str">
        <f t="shared" si="15"/>
        <v/>
      </c>
      <c r="J253" s="95" t="e">
        <f t="shared" si="16"/>
        <v>#NUM!</v>
      </c>
      <c r="K253" s="95" t="e">
        <f t="shared" si="17"/>
        <v>#NUM!</v>
      </c>
      <c r="L253" s="95"/>
      <c r="M253" s="97">
        <f t="shared" si="18"/>
        <v>0</v>
      </c>
      <c r="S253" s="85"/>
      <c r="T253" s="85"/>
      <c r="U253" s="85"/>
      <c r="V253" s="85"/>
      <c r="W253" s="85"/>
      <c r="X253" s="85"/>
      <c r="Y253" s="85"/>
      <c r="Z253" s="85"/>
      <c r="AA253" s="85"/>
      <c r="AB253" s="85"/>
      <c r="AC253" s="85"/>
      <c r="AD253" s="85"/>
      <c r="AE253" s="85"/>
      <c r="AF253" s="85"/>
      <c r="AG253" s="85"/>
      <c r="AH253" s="85"/>
      <c r="AI253" s="85"/>
      <c r="AJ253" s="85"/>
      <c r="AK253" s="85"/>
      <c r="AL253" s="85"/>
    </row>
    <row r="254" spans="1:38" s="80" customFormat="1" x14ac:dyDescent="0.25">
      <c r="A254" s="116"/>
      <c r="B254" s="115"/>
      <c r="C254" s="115"/>
      <c r="D254" s="115"/>
      <c r="E254" s="115"/>
      <c r="F254" s="115"/>
      <c r="H254" s="95">
        <v>249</v>
      </c>
      <c r="I254" s="96" t="str">
        <f t="shared" si="15"/>
        <v/>
      </c>
      <c r="J254" s="95" t="e">
        <f t="shared" si="16"/>
        <v>#NUM!</v>
      </c>
      <c r="K254" s="95" t="e">
        <f t="shared" si="17"/>
        <v>#NUM!</v>
      </c>
      <c r="L254" s="95"/>
      <c r="M254" s="97">
        <f t="shared" si="18"/>
        <v>0</v>
      </c>
      <c r="S254" s="85"/>
      <c r="T254" s="85"/>
      <c r="U254" s="85"/>
      <c r="V254" s="85"/>
      <c r="W254" s="85"/>
      <c r="X254" s="85"/>
      <c r="Y254" s="85"/>
      <c r="Z254" s="85"/>
      <c r="AA254" s="85"/>
      <c r="AB254" s="85"/>
      <c r="AC254" s="85"/>
      <c r="AD254" s="85"/>
      <c r="AE254" s="85"/>
      <c r="AF254" s="85"/>
      <c r="AG254" s="85"/>
      <c r="AH254" s="85"/>
      <c r="AI254" s="85"/>
      <c r="AJ254" s="85"/>
      <c r="AK254" s="85"/>
      <c r="AL254" s="85"/>
    </row>
    <row r="255" spans="1:38" s="80" customFormat="1" x14ac:dyDescent="0.25">
      <c r="A255" s="116"/>
      <c r="B255" s="115"/>
      <c r="C255" s="115"/>
      <c r="D255" s="115"/>
      <c r="E255" s="115"/>
      <c r="F255" s="115"/>
      <c r="H255" s="95">
        <v>250</v>
      </c>
      <c r="I255" s="96" t="str">
        <f t="shared" si="15"/>
        <v/>
      </c>
      <c r="J255" s="95" t="e">
        <f t="shared" si="16"/>
        <v>#NUM!</v>
      </c>
      <c r="K255" s="95" t="e">
        <f t="shared" si="17"/>
        <v>#NUM!</v>
      </c>
      <c r="L255" s="95"/>
      <c r="M255" s="97">
        <f t="shared" si="18"/>
        <v>0</v>
      </c>
      <c r="S255" s="85"/>
      <c r="T255" s="85"/>
      <c r="U255" s="85"/>
      <c r="V255" s="85"/>
      <c r="W255" s="85"/>
      <c r="X255" s="85"/>
      <c r="Y255" s="85"/>
      <c r="Z255" s="85"/>
      <c r="AA255" s="85"/>
      <c r="AB255" s="85"/>
      <c r="AC255" s="85"/>
      <c r="AD255" s="85"/>
      <c r="AE255" s="85"/>
      <c r="AF255" s="85"/>
      <c r="AG255" s="85"/>
      <c r="AH255" s="85"/>
      <c r="AI255" s="85"/>
      <c r="AJ255" s="85"/>
      <c r="AK255" s="85"/>
      <c r="AL255" s="85"/>
    </row>
    <row r="256" spans="1:38" s="80" customFormat="1" x14ac:dyDescent="0.25">
      <c r="A256" s="116"/>
      <c r="B256" s="115"/>
      <c r="C256" s="115"/>
      <c r="D256" s="115"/>
      <c r="E256" s="115"/>
      <c r="F256" s="115"/>
      <c r="H256" s="95">
        <v>251</v>
      </c>
      <c r="I256" s="96" t="str">
        <f t="shared" si="15"/>
        <v/>
      </c>
      <c r="J256" s="95" t="e">
        <f t="shared" si="16"/>
        <v>#NUM!</v>
      </c>
      <c r="K256" s="95" t="e">
        <f t="shared" si="17"/>
        <v>#NUM!</v>
      </c>
      <c r="L256" s="95"/>
      <c r="M256" s="97">
        <f t="shared" si="18"/>
        <v>0</v>
      </c>
      <c r="S256" s="85"/>
      <c r="T256" s="85"/>
      <c r="U256" s="85"/>
      <c r="V256" s="85"/>
      <c r="W256" s="85"/>
      <c r="X256" s="85"/>
      <c r="Y256" s="85"/>
      <c r="Z256" s="85"/>
      <c r="AA256" s="85"/>
      <c r="AB256" s="85"/>
      <c r="AC256" s="85"/>
      <c r="AD256" s="85"/>
      <c r="AE256" s="85"/>
      <c r="AF256" s="85"/>
      <c r="AG256" s="85"/>
      <c r="AH256" s="85"/>
      <c r="AI256" s="85"/>
      <c r="AJ256" s="85"/>
      <c r="AK256" s="85"/>
      <c r="AL256" s="85"/>
    </row>
    <row r="257" spans="1:38" s="80" customFormat="1" x14ac:dyDescent="0.25">
      <c r="A257" s="116"/>
      <c r="B257" s="115"/>
      <c r="C257" s="115"/>
      <c r="D257" s="115"/>
      <c r="E257" s="115"/>
      <c r="F257" s="115"/>
      <c r="H257" s="95">
        <v>252</v>
      </c>
      <c r="I257" s="96" t="str">
        <f t="shared" si="15"/>
        <v/>
      </c>
      <c r="J257" s="95" t="e">
        <f t="shared" si="16"/>
        <v>#NUM!</v>
      </c>
      <c r="K257" s="95" t="e">
        <f t="shared" si="17"/>
        <v>#NUM!</v>
      </c>
      <c r="L257" s="95"/>
      <c r="M257" s="97">
        <f t="shared" si="18"/>
        <v>0</v>
      </c>
      <c r="S257" s="85"/>
      <c r="T257" s="85"/>
      <c r="U257" s="85"/>
      <c r="V257" s="85"/>
      <c r="W257" s="85"/>
      <c r="X257" s="85"/>
      <c r="Y257" s="85"/>
      <c r="Z257" s="85"/>
      <c r="AA257" s="85"/>
      <c r="AB257" s="85"/>
      <c r="AC257" s="85"/>
      <c r="AD257" s="85"/>
      <c r="AE257" s="85"/>
      <c r="AF257" s="85"/>
      <c r="AG257" s="85"/>
      <c r="AH257" s="85"/>
      <c r="AI257" s="85"/>
      <c r="AJ257" s="85"/>
      <c r="AK257" s="85"/>
      <c r="AL257" s="85"/>
    </row>
    <row r="258" spans="1:38" s="80" customFormat="1" x14ac:dyDescent="0.25">
      <c r="A258" s="116"/>
      <c r="B258" s="115"/>
      <c r="C258" s="115"/>
      <c r="D258" s="115"/>
      <c r="E258" s="115"/>
      <c r="F258" s="115"/>
      <c r="H258" s="95">
        <v>253</v>
      </c>
      <c r="I258" s="96" t="str">
        <f t="shared" si="15"/>
        <v/>
      </c>
      <c r="J258" s="95" t="e">
        <f t="shared" si="16"/>
        <v>#NUM!</v>
      </c>
      <c r="K258" s="95" t="e">
        <f t="shared" si="17"/>
        <v>#NUM!</v>
      </c>
      <c r="L258" s="95"/>
      <c r="M258" s="97">
        <f t="shared" si="18"/>
        <v>0</v>
      </c>
      <c r="S258" s="85"/>
      <c r="T258" s="85"/>
      <c r="U258" s="85"/>
      <c r="V258" s="85"/>
      <c r="W258" s="85"/>
      <c r="X258" s="85"/>
      <c r="Y258" s="85"/>
      <c r="Z258" s="85"/>
      <c r="AA258" s="85"/>
      <c r="AB258" s="85"/>
      <c r="AC258" s="85"/>
      <c r="AD258" s="85"/>
      <c r="AE258" s="85"/>
      <c r="AF258" s="85"/>
      <c r="AG258" s="85"/>
      <c r="AH258" s="85"/>
      <c r="AI258" s="85"/>
      <c r="AJ258" s="85"/>
      <c r="AK258" s="85"/>
      <c r="AL258" s="85"/>
    </row>
    <row r="259" spans="1:38" s="80" customFormat="1" x14ac:dyDescent="0.25">
      <c r="A259" s="116"/>
      <c r="B259" s="115"/>
      <c r="C259" s="115"/>
      <c r="D259" s="115"/>
      <c r="E259" s="115"/>
      <c r="F259" s="115"/>
      <c r="H259" s="95">
        <v>254</v>
      </c>
      <c r="I259" s="96" t="str">
        <f t="shared" si="15"/>
        <v/>
      </c>
      <c r="J259" s="95" t="e">
        <f t="shared" si="16"/>
        <v>#NUM!</v>
      </c>
      <c r="K259" s="95" t="e">
        <f t="shared" si="17"/>
        <v>#NUM!</v>
      </c>
      <c r="L259" s="95"/>
      <c r="M259" s="97">
        <f t="shared" si="18"/>
        <v>0</v>
      </c>
      <c r="S259" s="85"/>
      <c r="T259" s="85"/>
      <c r="U259" s="85"/>
      <c r="V259" s="85"/>
      <c r="W259" s="85"/>
      <c r="X259" s="85"/>
      <c r="Y259" s="85"/>
      <c r="Z259" s="85"/>
      <c r="AA259" s="85"/>
      <c r="AB259" s="85"/>
      <c r="AC259" s="85"/>
      <c r="AD259" s="85"/>
      <c r="AE259" s="85"/>
      <c r="AF259" s="85"/>
      <c r="AG259" s="85"/>
      <c r="AH259" s="85"/>
      <c r="AI259" s="85"/>
      <c r="AJ259" s="85"/>
      <c r="AK259" s="85"/>
      <c r="AL259" s="85"/>
    </row>
    <row r="260" spans="1:38" s="80" customFormat="1" x14ac:dyDescent="0.25">
      <c r="A260" s="116"/>
      <c r="B260" s="115"/>
      <c r="C260" s="115"/>
      <c r="D260" s="115"/>
      <c r="E260" s="115"/>
      <c r="F260" s="115"/>
      <c r="H260" s="95">
        <v>255</v>
      </c>
      <c r="I260" s="96" t="str">
        <f t="shared" si="15"/>
        <v/>
      </c>
      <c r="J260" s="95" t="e">
        <f t="shared" si="16"/>
        <v>#NUM!</v>
      </c>
      <c r="K260" s="95" t="e">
        <f t="shared" si="17"/>
        <v>#NUM!</v>
      </c>
      <c r="L260" s="95"/>
      <c r="M260" s="97">
        <f t="shared" si="18"/>
        <v>0</v>
      </c>
      <c r="S260" s="85"/>
      <c r="T260" s="85"/>
      <c r="U260" s="85"/>
      <c r="V260" s="85"/>
      <c r="W260" s="85"/>
      <c r="X260" s="85"/>
      <c r="Y260" s="85"/>
      <c r="Z260" s="85"/>
      <c r="AA260" s="85"/>
      <c r="AB260" s="85"/>
      <c r="AC260" s="85"/>
      <c r="AD260" s="85"/>
      <c r="AE260" s="85"/>
      <c r="AF260" s="85"/>
      <c r="AG260" s="85"/>
      <c r="AH260" s="85"/>
      <c r="AI260" s="85"/>
      <c r="AJ260" s="85"/>
      <c r="AK260" s="85"/>
      <c r="AL260" s="85"/>
    </row>
    <row r="261" spans="1:38" s="80" customFormat="1" x14ac:dyDescent="0.25">
      <c r="A261" s="116"/>
      <c r="B261" s="115"/>
      <c r="C261" s="115"/>
      <c r="D261" s="115"/>
      <c r="E261" s="115"/>
      <c r="F261" s="115"/>
      <c r="H261" s="95">
        <v>256</v>
      </c>
      <c r="I261" s="96" t="str">
        <f t="shared" si="15"/>
        <v/>
      </c>
      <c r="J261" s="95" t="e">
        <f t="shared" si="16"/>
        <v>#NUM!</v>
      </c>
      <c r="K261" s="95" t="e">
        <f t="shared" si="17"/>
        <v>#NUM!</v>
      </c>
      <c r="L261" s="95"/>
      <c r="M261" s="97">
        <f t="shared" si="18"/>
        <v>0</v>
      </c>
      <c r="S261" s="85"/>
      <c r="T261" s="85"/>
      <c r="U261" s="85"/>
      <c r="V261" s="85"/>
      <c r="W261" s="85"/>
      <c r="X261" s="85"/>
      <c r="Y261" s="85"/>
      <c r="Z261" s="85"/>
      <c r="AA261" s="85"/>
      <c r="AB261" s="85"/>
      <c r="AC261" s="85"/>
      <c r="AD261" s="85"/>
      <c r="AE261" s="85"/>
      <c r="AF261" s="85"/>
      <c r="AG261" s="85"/>
      <c r="AH261" s="85"/>
      <c r="AI261" s="85"/>
      <c r="AJ261" s="85"/>
      <c r="AK261" s="85"/>
      <c r="AL261" s="85"/>
    </row>
    <row r="262" spans="1:38" s="80" customFormat="1" x14ac:dyDescent="0.25">
      <c r="A262" s="116"/>
      <c r="B262" s="115"/>
      <c r="C262" s="115"/>
      <c r="D262" s="115"/>
      <c r="E262" s="115"/>
      <c r="F262" s="115"/>
      <c r="H262" s="95">
        <v>257</v>
      </c>
      <c r="I262" s="96" t="str">
        <f t="shared" ref="I262:I305" si="19">IF(H262&lt;$H$2+1,($I$2-($I$2-1)*(LOG(H262)/LOG($H$2))),"")</f>
        <v/>
      </c>
      <c r="J262" s="95" t="e">
        <f t="shared" ref="J262:J325" si="20">INT(LOG($H$2,2))-ROUNDUP(LOG(H262,2),0)+IF(OR($H$2=1,$H$2=2,$H$2=4,$H$2=8,$H$2=16,$H$2=32,$H$2=64,$H$2=128,$H$2=256),0,1)</f>
        <v>#NUM!</v>
      </c>
      <c r="K262" s="95" t="e">
        <f t="shared" ref="K262:K305" si="21">J262*$J$2</f>
        <v>#NUM!</v>
      </c>
      <c r="L262" s="95"/>
      <c r="M262" s="97">
        <f t="shared" ref="M262:M305" si="22">IF(I262&lt;&gt;"",K262+I262+L262,0)</f>
        <v>0</v>
      </c>
      <c r="S262" s="85"/>
      <c r="T262" s="85"/>
      <c r="U262" s="85"/>
      <c r="V262" s="85"/>
      <c r="W262" s="85"/>
      <c r="X262" s="85"/>
      <c r="Y262" s="85"/>
      <c r="Z262" s="85"/>
      <c r="AA262" s="85"/>
      <c r="AB262" s="85"/>
      <c r="AC262" s="85"/>
      <c r="AD262" s="85"/>
      <c r="AE262" s="85"/>
      <c r="AF262" s="85"/>
      <c r="AG262" s="85"/>
      <c r="AH262" s="85"/>
      <c r="AI262" s="85"/>
      <c r="AJ262" s="85"/>
      <c r="AK262" s="85"/>
      <c r="AL262" s="85"/>
    </row>
    <row r="263" spans="1:38" s="80" customFormat="1" x14ac:dyDescent="0.25">
      <c r="A263" s="116"/>
      <c r="B263" s="115"/>
      <c r="C263" s="115"/>
      <c r="D263" s="115"/>
      <c r="E263" s="115"/>
      <c r="F263" s="115"/>
      <c r="H263" s="95">
        <v>258</v>
      </c>
      <c r="I263" s="96" t="str">
        <f t="shared" si="19"/>
        <v/>
      </c>
      <c r="J263" s="95" t="e">
        <f t="shared" si="20"/>
        <v>#NUM!</v>
      </c>
      <c r="K263" s="95" t="e">
        <f t="shared" si="21"/>
        <v>#NUM!</v>
      </c>
      <c r="L263" s="95"/>
      <c r="M263" s="97">
        <f t="shared" si="22"/>
        <v>0</v>
      </c>
      <c r="S263" s="85"/>
      <c r="T263" s="85"/>
      <c r="U263" s="85"/>
      <c r="V263" s="85"/>
      <c r="W263" s="85"/>
      <c r="X263" s="85"/>
      <c r="Y263" s="85"/>
      <c r="Z263" s="85"/>
      <c r="AA263" s="85"/>
      <c r="AB263" s="85"/>
      <c r="AC263" s="85"/>
      <c r="AD263" s="85"/>
      <c r="AE263" s="85"/>
      <c r="AF263" s="85"/>
      <c r="AG263" s="85"/>
      <c r="AH263" s="85"/>
      <c r="AI263" s="85"/>
      <c r="AJ263" s="85"/>
      <c r="AK263" s="85"/>
      <c r="AL263" s="85"/>
    </row>
    <row r="264" spans="1:38" s="80" customFormat="1" x14ac:dyDescent="0.25">
      <c r="A264" s="116"/>
      <c r="B264" s="115"/>
      <c r="C264" s="115"/>
      <c r="D264" s="115"/>
      <c r="E264" s="115"/>
      <c r="F264" s="115"/>
      <c r="H264" s="95">
        <v>259</v>
      </c>
      <c r="I264" s="96" t="str">
        <f t="shared" si="19"/>
        <v/>
      </c>
      <c r="J264" s="95" t="e">
        <f t="shared" si="20"/>
        <v>#NUM!</v>
      </c>
      <c r="K264" s="95" t="e">
        <f t="shared" si="21"/>
        <v>#NUM!</v>
      </c>
      <c r="L264" s="95"/>
      <c r="M264" s="97">
        <f t="shared" si="22"/>
        <v>0</v>
      </c>
      <c r="S264" s="85"/>
      <c r="T264" s="85"/>
      <c r="U264" s="85"/>
      <c r="V264" s="85"/>
      <c r="W264" s="85"/>
      <c r="X264" s="85"/>
      <c r="Y264" s="85"/>
      <c r="Z264" s="85"/>
      <c r="AA264" s="85"/>
      <c r="AB264" s="85"/>
      <c r="AC264" s="85"/>
      <c r="AD264" s="85"/>
      <c r="AE264" s="85"/>
      <c r="AF264" s="85"/>
      <c r="AG264" s="85"/>
      <c r="AH264" s="85"/>
      <c r="AI264" s="85"/>
      <c r="AJ264" s="85"/>
      <c r="AK264" s="85"/>
      <c r="AL264" s="85"/>
    </row>
    <row r="265" spans="1:38" s="80" customFormat="1" x14ac:dyDescent="0.25">
      <c r="A265" s="116"/>
      <c r="B265" s="115"/>
      <c r="C265" s="115"/>
      <c r="D265" s="115"/>
      <c r="E265" s="115"/>
      <c r="F265" s="115"/>
      <c r="H265" s="95">
        <v>260</v>
      </c>
      <c r="I265" s="96" t="str">
        <f t="shared" si="19"/>
        <v/>
      </c>
      <c r="J265" s="95" t="e">
        <f t="shared" si="20"/>
        <v>#NUM!</v>
      </c>
      <c r="K265" s="95" t="e">
        <f t="shared" si="21"/>
        <v>#NUM!</v>
      </c>
      <c r="L265" s="95"/>
      <c r="M265" s="97">
        <f t="shared" si="22"/>
        <v>0</v>
      </c>
      <c r="S265" s="85"/>
      <c r="T265" s="85"/>
      <c r="U265" s="85"/>
      <c r="V265" s="85"/>
      <c r="W265" s="85"/>
      <c r="X265" s="85"/>
      <c r="Y265" s="85"/>
      <c r="Z265" s="85"/>
      <c r="AA265" s="85"/>
      <c r="AB265" s="85"/>
      <c r="AC265" s="85"/>
      <c r="AD265" s="85"/>
      <c r="AE265" s="85"/>
      <c r="AF265" s="85"/>
      <c r="AG265" s="85"/>
      <c r="AH265" s="85"/>
      <c r="AI265" s="85"/>
      <c r="AJ265" s="85"/>
      <c r="AK265" s="85"/>
      <c r="AL265" s="85"/>
    </row>
    <row r="266" spans="1:38" s="80" customFormat="1" x14ac:dyDescent="0.25">
      <c r="A266" s="116"/>
      <c r="B266" s="115"/>
      <c r="C266" s="115"/>
      <c r="D266" s="115"/>
      <c r="E266" s="115"/>
      <c r="F266" s="115"/>
      <c r="H266" s="95">
        <v>261</v>
      </c>
      <c r="I266" s="96" t="str">
        <f t="shared" si="19"/>
        <v/>
      </c>
      <c r="J266" s="95" t="e">
        <f t="shared" si="20"/>
        <v>#NUM!</v>
      </c>
      <c r="K266" s="95" t="e">
        <f t="shared" si="21"/>
        <v>#NUM!</v>
      </c>
      <c r="L266" s="95"/>
      <c r="M266" s="97">
        <f t="shared" si="22"/>
        <v>0</v>
      </c>
      <c r="S266" s="85"/>
      <c r="T266" s="85"/>
      <c r="U266" s="85"/>
      <c r="V266" s="85"/>
      <c r="W266" s="85"/>
      <c r="X266" s="85"/>
      <c r="Y266" s="85"/>
      <c r="Z266" s="85"/>
      <c r="AA266" s="85"/>
      <c r="AB266" s="85"/>
      <c r="AC266" s="85"/>
      <c r="AD266" s="85"/>
      <c r="AE266" s="85"/>
      <c r="AF266" s="85"/>
      <c r="AG266" s="85"/>
      <c r="AH266" s="85"/>
      <c r="AI266" s="85"/>
      <c r="AJ266" s="85"/>
      <c r="AK266" s="85"/>
      <c r="AL266" s="85"/>
    </row>
    <row r="267" spans="1:38" s="80" customFormat="1" x14ac:dyDescent="0.25">
      <c r="A267" s="116"/>
      <c r="B267" s="115"/>
      <c r="C267" s="115"/>
      <c r="D267" s="115"/>
      <c r="E267" s="115"/>
      <c r="F267" s="115"/>
      <c r="H267" s="95">
        <v>262</v>
      </c>
      <c r="I267" s="96" t="str">
        <f t="shared" si="19"/>
        <v/>
      </c>
      <c r="J267" s="95" t="e">
        <f t="shared" si="20"/>
        <v>#NUM!</v>
      </c>
      <c r="K267" s="95" t="e">
        <f t="shared" si="21"/>
        <v>#NUM!</v>
      </c>
      <c r="L267" s="95"/>
      <c r="M267" s="97">
        <f t="shared" si="22"/>
        <v>0</v>
      </c>
      <c r="S267" s="85"/>
      <c r="T267" s="85"/>
      <c r="U267" s="85"/>
      <c r="V267" s="85"/>
      <c r="W267" s="85"/>
      <c r="X267" s="85"/>
      <c r="Y267" s="85"/>
      <c r="Z267" s="85"/>
      <c r="AA267" s="85"/>
      <c r="AB267" s="85"/>
      <c r="AC267" s="85"/>
      <c r="AD267" s="85"/>
      <c r="AE267" s="85"/>
      <c r="AF267" s="85"/>
      <c r="AG267" s="85"/>
      <c r="AH267" s="85"/>
      <c r="AI267" s="85"/>
      <c r="AJ267" s="85"/>
      <c r="AK267" s="85"/>
      <c r="AL267" s="85"/>
    </row>
    <row r="268" spans="1:38" s="80" customFormat="1" x14ac:dyDescent="0.25">
      <c r="A268" s="116"/>
      <c r="B268" s="115"/>
      <c r="C268" s="115"/>
      <c r="D268" s="115"/>
      <c r="E268" s="115"/>
      <c r="F268" s="115"/>
      <c r="H268" s="95">
        <v>263</v>
      </c>
      <c r="I268" s="96" t="str">
        <f t="shared" si="19"/>
        <v/>
      </c>
      <c r="J268" s="95" t="e">
        <f t="shared" si="20"/>
        <v>#NUM!</v>
      </c>
      <c r="K268" s="95" t="e">
        <f t="shared" si="21"/>
        <v>#NUM!</v>
      </c>
      <c r="L268" s="95"/>
      <c r="M268" s="97">
        <f t="shared" si="22"/>
        <v>0</v>
      </c>
      <c r="S268" s="85"/>
      <c r="T268" s="85"/>
      <c r="U268" s="85"/>
      <c r="V268" s="85"/>
      <c r="W268" s="85"/>
      <c r="X268" s="85"/>
      <c r="Y268" s="85"/>
      <c r="Z268" s="85"/>
      <c r="AA268" s="85"/>
      <c r="AB268" s="85"/>
      <c r="AC268" s="85"/>
      <c r="AD268" s="85"/>
      <c r="AE268" s="85"/>
      <c r="AF268" s="85"/>
      <c r="AG268" s="85"/>
      <c r="AH268" s="85"/>
      <c r="AI268" s="85"/>
      <c r="AJ268" s="85"/>
      <c r="AK268" s="85"/>
      <c r="AL268" s="85"/>
    </row>
    <row r="269" spans="1:38" s="80" customFormat="1" x14ac:dyDescent="0.25">
      <c r="A269" s="116"/>
      <c r="B269" s="115"/>
      <c r="C269" s="115"/>
      <c r="D269" s="115"/>
      <c r="E269" s="115"/>
      <c r="F269" s="115"/>
      <c r="H269" s="95">
        <v>264</v>
      </c>
      <c r="I269" s="96" t="str">
        <f t="shared" si="19"/>
        <v/>
      </c>
      <c r="J269" s="95" t="e">
        <f t="shared" si="20"/>
        <v>#NUM!</v>
      </c>
      <c r="K269" s="95" t="e">
        <f t="shared" si="21"/>
        <v>#NUM!</v>
      </c>
      <c r="L269" s="95"/>
      <c r="M269" s="97">
        <f t="shared" si="22"/>
        <v>0</v>
      </c>
      <c r="S269" s="85"/>
      <c r="T269" s="85"/>
      <c r="U269" s="85"/>
      <c r="V269" s="85"/>
      <c r="W269" s="85"/>
      <c r="X269" s="85"/>
      <c r="Y269" s="85"/>
      <c r="Z269" s="85"/>
      <c r="AA269" s="85"/>
      <c r="AB269" s="85"/>
      <c r="AC269" s="85"/>
      <c r="AD269" s="85"/>
      <c r="AE269" s="85"/>
      <c r="AF269" s="85"/>
      <c r="AG269" s="85"/>
      <c r="AH269" s="85"/>
      <c r="AI269" s="85"/>
      <c r="AJ269" s="85"/>
      <c r="AK269" s="85"/>
      <c r="AL269" s="85"/>
    </row>
    <row r="270" spans="1:38" s="80" customFormat="1" x14ac:dyDescent="0.25">
      <c r="A270" s="116"/>
      <c r="B270" s="115"/>
      <c r="C270" s="115"/>
      <c r="D270" s="115"/>
      <c r="E270" s="115"/>
      <c r="F270" s="115"/>
      <c r="H270" s="95">
        <v>265</v>
      </c>
      <c r="I270" s="96" t="str">
        <f t="shared" si="19"/>
        <v/>
      </c>
      <c r="J270" s="95" t="e">
        <f t="shared" si="20"/>
        <v>#NUM!</v>
      </c>
      <c r="K270" s="95" t="e">
        <f t="shared" si="21"/>
        <v>#NUM!</v>
      </c>
      <c r="L270" s="95"/>
      <c r="M270" s="97">
        <f t="shared" si="22"/>
        <v>0</v>
      </c>
      <c r="S270" s="85"/>
      <c r="T270" s="85"/>
      <c r="U270" s="85"/>
      <c r="V270" s="85"/>
      <c r="W270" s="85"/>
      <c r="X270" s="85"/>
      <c r="Y270" s="85"/>
      <c r="Z270" s="85"/>
      <c r="AA270" s="85"/>
      <c r="AB270" s="85"/>
      <c r="AC270" s="85"/>
      <c r="AD270" s="85"/>
      <c r="AE270" s="85"/>
      <c r="AF270" s="85"/>
      <c r="AG270" s="85"/>
      <c r="AH270" s="85"/>
      <c r="AI270" s="85"/>
      <c r="AJ270" s="85"/>
      <c r="AK270" s="85"/>
      <c r="AL270" s="85"/>
    </row>
    <row r="271" spans="1:38" s="80" customFormat="1" x14ac:dyDescent="0.25">
      <c r="A271" s="116"/>
      <c r="B271" s="115"/>
      <c r="C271" s="115"/>
      <c r="D271" s="115"/>
      <c r="E271" s="115"/>
      <c r="F271" s="115"/>
      <c r="H271" s="95">
        <v>266</v>
      </c>
      <c r="I271" s="96" t="str">
        <f t="shared" si="19"/>
        <v/>
      </c>
      <c r="J271" s="95" t="e">
        <f t="shared" si="20"/>
        <v>#NUM!</v>
      </c>
      <c r="K271" s="95" t="e">
        <f t="shared" si="21"/>
        <v>#NUM!</v>
      </c>
      <c r="L271" s="95"/>
      <c r="M271" s="97">
        <f t="shared" si="22"/>
        <v>0</v>
      </c>
      <c r="S271" s="85"/>
      <c r="T271" s="85"/>
      <c r="U271" s="85"/>
      <c r="V271" s="85"/>
      <c r="W271" s="85"/>
      <c r="X271" s="85"/>
      <c r="Y271" s="85"/>
      <c r="Z271" s="85"/>
      <c r="AA271" s="85"/>
      <c r="AB271" s="85"/>
      <c r="AC271" s="85"/>
      <c r="AD271" s="85"/>
      <c r="AE271" s="85"/>
      <c r="AF271" s="85"/>
      <c r="AG271" s="85"/>
      <c r="AH271" s="85"/>
      <c r="AI271" s="85"/>
      <c r="AJ271" s="85"/>
      <c r="AK271" s="85"/>
      <c r="AL271" s="85"/>
    </row>
    <row r="272" spans="1:38" s="80" customFormat="1" x14ac:dyDescent="0.25">
      <c r="A272" s="116"/>
      <c r="B272" s="115"/>
      <c r="C272" s="115"/>
      <c r="D272" s="115"/>
      <c r="E272" s="115"/>
      <c r="F272" s="115"/>
      <c r="H272" s="95">
        <v>267</v>
      </c>
      <c r="I272" s="96" t="str">
        <f t="shared" si="19"/>
        <v/>
      </c>
      <c r="J272" s="95" t="e">
        <f t="shared" si="20"/>
        <v>#NUM!</v>
      </c>
      <c r="K272" s="95" t="e">
        <f t="shared" si="21"/>
        <v>#NUM!</v>
      </c>
      <c r="L272" s="95"/>
      <c r="M272" s="97">
        <f t="shared" si="22"/>
        <v>0</v>
      </c>
      <c r="S272" s="85"/>
      <c r="T272" s="85"/>
      <c r="U272" s="85"/>
      <c r="V272" s="85"/>
      <c r="W272" s="85"/>
      <c r="X272" s="85"/>
      <c r="Y272" s="85"/>
      <c r="Z272" s="85"/>
      <c r="AA272" s="85"/>
      <c r="AB272" s="85"/>
      <c r="AC272" s="85"/>
      <c r="AD272" s="85"/>
      <c r="AE272" s="85"/>
      <c r="AF272" s="85"/>
      <c r="AG272" s="85"/>
      <c r="AH272" s="85"/>
      <c r="AI272" s="85"/>
      <c r="AJ272" s="85"/>
      <c r="AK272" s="85"/>
      <c r="AL272" s="85"/>
    </row>
    <row r="273" spans="1:38" s="80" customFormat="1" x14ac:dyDescent="0.25">
      <c r="A273" s="116"/>
      <c r="B273" s="115"/>
      <c r="C273" s="115"/>
      <c r="D273" s="115"/>
      <c r="E273" s="115"/>
      <c r="F273" s="115"/>
      <c r="H273" s="95">
        <v>268</v>
      </c>
      <c r="I273" s="96" t="str">
        <f t="shared" si="19"/>
        <v/>
      </c>
      <c r="J273" s="95" t="e">
        <f t="shared" si="20"/>
        <v>#NUM!</v>
      </c>
      <c r="K273" s="95" t="e">
        <f t="shared" si="21"/>
        <v>#NUM!</v>
      </c>
      <c r="L273" s="95"/>
      <c r="M273" s="97">
        <f t="shared" si="22"/>
        <v>0</v>
      </c>
      <c r="S273" s="85"/>
      <c r="T273" s="85"/>
      <c r="U273" s="85"/>
      <c r="V273" s="85"/>
      <c r="W273" s="85"/>
      <c r="X273" s="85"/>
      <c r="Y273" s="85"/>
      <c r="Z273" s="85"/>
      <c r="AA273" s="85"/>
      <c r="AB273" s="85"/>
      <c r="AC273" s="85"/>
      <c r="AD273" s="85"/>
      <c r="AE273" s="85"/>
      <c r="AF273" s="85"/>
      <c r="AG273" s="85"/>
      <c r="AH273" s="85"/>
      <c r="AI273" s="85"/>
      <c r="AJ273" s="85"/>
      <c r="AK273" s="85"/>
      <c r="AL273" s="85"/>
    </row>
    <row r="274" spans="1:38" s="80" customFormat="1" x14ac:dyDescent="0.25">
      <c r="A274" s="116"/>
      <c r="B274" s="115"/>
      <c r="C274" s="115"/>
      <c r="D274" s="115"/>
      <c r="E274" s="115"/>
      <c r="F274" s="115"/>
      <c r="H274" s="95">
        <v>269</v>
      </c>
      <c r="I274" s="96" t="str">
        <f t="shared" si="19"/>
        <v/>
      </c>
      <c r="J274" s="95" t="e">
        <f t="shared" si="20"/>
        <v>#NUM!</v>
      </c>
      <c r="K274" s="95" t="e">
        <f t="shared" si="21"/>
        <v>#NUM!</v>
      </c>
      <c r="L274" s="95"/>
      <c r="M274" s="97">
        <f t="shared" si="22"/>
        <v>0</v>
      </c>
      <c r="S274" s="85"/>
      <c r="T274" s="85"/>
      <c r="U274" s="85"/>
      <c r="V274" s="85"/>
      <c r="W274" s="85"/>
      <c r="X274" s="85"/>
      <c r="Y274" s="85"/>
      <c r="Z274" s="85"/>
      <c r="AA274" s="85"/>
      <c r="AB274" s="85"/>
      <c r="AC274" s="85"/>
      <c r="AD274" s="85"/>
      <c r="AE274" s="85"/>
      <c r="AF274" s="85"/>
      <c r="AG274" s="85"/>
      <c r="AH274" s="85"/>
      <c r="AI274" s="85"/>
      <c r="AJ274" s="85"/>
      <c r="AK274" s="85"/>
      <c r="AL274" s="85"/>
    </row>
    <row r="275" spans="1:38" s="80" customFormat="1" x14ac:dyDescent="0.25">
      <c r="A275" s="116"/>
      <c r="B275" s="115"/>
      <c r="C275" s="115"/>
      <c r="D275" s="115"/>
      <c r="E275" s="115"/>
      <c r="F275" s="115"/>
      <c r="H275" s="95">
        <v>270</v>
      </c>
      <c r="I275" s="96" t="str">
        <f t="shared" si="19"/>
        <v/>
      </c>
      <c r="J275" s="95" t="e">
        <f t="shared" si="20"/>
        <v>#NUM!</v>
      </c>
      <c r="K275" s="95" t="e">
        <f t="shared" si="21"/>
        <v>#NUM!</v>
      </c>
      <c r="L275" s="95"/>
      <c r="M275" s="97">
        <f t="shared" si="22"/>
        <v>0</v>
      </c>
      <c r="S275" s="85"/>
      <c r="T275" s="85"/>
      <c r="U275" s="85"/>
      <c r="V275" s="85"/>
      <c r="W275" s="85"/>
      <c r="X275" s="85"/>
      <c r="Y275" s="85"/>
      <c r="Z275" s="85"/>
      <c r="AA275" s="85"/>
      <c r="AB275" s="85"/>
      <c r="AC275" s="85"/>
      <c r="AD275" s="85"/>
      <c r="AE275" s="85"/>
      <c r="AF275" s="85"/>
      <c r="AG275" s="85"/>
      <c r="AH275" s="85"/>
      <c r="AI275" s="85"/>
      <c r="AJ275" s="85"/>
      <c r="AK275" s="85"/>
      <c r="AL275" s="85"/>
    </row>
    <row r="276" spans="1:38" s="80" customFormat="1" x14ac:dyDescent="0.25">
      <c r="A276" s="116"/>
      <c r="B276" s="115"/>
      <c r="C276" s="115"/>
      <c r="D276" s="115"/>
      <c r="E276" s="115"/>
      <c r="F276" s="115"/>
      <c r="H276" s="95">
        <v>271</v>
      </c>
      <c r="I276" s="96" t="str">
        <f t="shared" si="19"/>
        <v/>
      </c>
      <c r="J276" s="95" t="e">
        <f t="shared" si="20"/>
        <v>#NUM!</v>
      </c>
      <c r="K276" s="95" t="e">
        <f t="shared" si="21"/>
        <v>#NUM!</v>
      </c>
      <c r="L276" s="95"/>
      <c r="M276" s="97">
        <f t="shared" si="22"/>
        <v>0</v>
      </c>
      <c r="S276" s="85"/>
      <c r="T276" s="85"/>
      <c r="U276" s="85"/>
      <c r="V276" s="85"/>
      <c r="W276" s="85"/>
      <c r="X276" s="85"/>
      <c r="Y276" s="85"/>
      <c r="Z276" s="85"/>
      <c r="AA276" s="85"/>
      <c r="AB276" s="85"/>
      <c r="AC276" s="85"/>
      <c r="AD276" s="85"/>
      <c r="AE276" s="85"/>
      <c r="AF276" s="85"/>
      <c r="AG276" s="85"/>
      <c r="AH276" s="85"/>
      <c r="AI276" s="85"/>
      <c r="AJ276" s="85"/>
      <c r="AK276" s="85"/>
      <c r="AL276" s="85"/>
    </row>
    <row r="277" spans="1:38" s="80" customFormat="1" x14ac:dyDescent="0.25">
      <c r="A277" s="116"/>
      <c r="B277" s="115"/>
      <c r="C277" s="115"/>
      <c r="D277" s="115"/>
      <c r="E277" s="115"/>
      <c r="F277" s="115"/>
      <c r="H277" s="95">
        <v>272</v>
      </c>
      <c r="I277" s="96" t="str">
        <f t="shared" si="19"/>
        <v/>
      </c>
      <c r="J277" s="95" t="e">
        <f t="shared" si="20"/>
        <v>#NUM!</v>
      </c>
      <c r="K277" s="95" t="e">
        <f t="shared" si="21"/>
        <v>#NUM!</v>
      </c>
      <c r="L277" s="95"/>
      <c r="M277" s="97">
        <f t="shared" si="22"/>
        <v>0</v>
      </c>
      <c r="S277" s="85"/>
      <c r="T277" s="85"/>
      <c r="U277" s="85"/>
      <c r="V277" s="85"/>
      <c r="W277" s="85"/>
      <c r="X277" s="85"/>
      <c r="Y277" s="85"/>
      <c r="Z277" s="85"/>
      <c r="AA277" s="85"/>
      <c r="AB277" s="85"/>
      <c r="AC277" s="85"/>
      <c r="AD277" s="85"/>
      <c r="AE277" s="85"/>
      <c r="AF277" s="85"/>
      <c r="AG277" s="85"/>
      <c r="AH277" s="85"/>
      <c r="AI277" s="85"/>
      <c r="AJ277" s="85"/>
      <c r="AK277" s="85"/>
      <c r="AL277" s="85"/>
    </row>
    <row r="278" spans="1:38" s="80" customFormat="1" x14ac:dyDescent="0.25">
      <c r="A278" s="116"/>
      <c r="B278" s="115"/>
      <c r="C278" s="115"/>
      <c r="D278" s="115"/>
      <c r="E278" s="115"/>
      <c r="F278" s="115"/>
      <c r="H278" s="95">
        <v>273</v>
      </c>
      <c r="I278" s="96" t="str">
        <f t="shared" si="19"/>
        <v/>
      </c>
      <c r="J278" s="95" t="e">
        <f t="shared" si="20"/>
        <v>#NUM!</v>
      </c>
      <c r="K278" s="95" t="e">
        <f t="shared" si="21"/>
        <v>#NUM!</v>
      </c>
      <c r="L278" s="95"/>
      <c r="M278" s="97">
        <f t="shared" si="22"/>
        <v>0</v>
      </c>
      <c r="S278" s="85"/>
      <c r="T278" s="85"/>
      <c r="U278" s="85"/>
      <c r="V278" s="85"/>
      <c r="W278" s="85"/>
      <c r="X278" s="85"/>
      <c r="Y278" s="85"/>
      <c r="Z278" s="85"/>
      <c r="AA278" s="85"/>
      <c r="AB278" s="85"/>
      <c r="AC278" s="85"/>
      <c r="AD278" s="85"/>
      <c r="AE278" s="85"/>
      <c r="AF278" s="85"/>
      <c r="AG278" s="85"/>
      <c r="AH278" s="85"/>
      <c r="AI278" s="85"/>
      <c r="AJ278" s="85"/>
      <c r="AK278" s="85"/>
      <c r="AL278" s="85"/>
    </row>
    <row r="279" spans="1:38" s="80" customFormat="1" x14ac:dyDescent="0.25">
      <c r="A279" s="116"/>
      <c r="B279" s="115"/>
      <c r="C279" s="115"/>
      <c r="D279" s="115"/>
      <c r="E279" s="115"/>
      <c r="F279" s="115"/>
      <c r="H279" s="95">
        <v>274</v>
      </c>
      <c r="I279" s="96" t="str">
        <f t="shared" si="19"/>
        <v/>
      </c>
      <c r="J279" s="95" t="e">
        <f t="shared" si="20"/>
        <v>#NUM!</v>
      </c>
      <c r="K279" s="95" t="e">
        <f t="shared" si="21"/>
        <v>#NUM!</v>
      </c>
      <c r="L279" s="95"/>
      <c r="M279" s="97">
        <f t="shared" si="22"/>
        <v>0</v>
      </c>
      <c r="S279" s="85"/>
      <c r="T279" s="85"/>
      <c r="U279" s="85"/>
      <c r="V279" s="85"/>
      <c r="W279" s="85"/>
      <c r="X279" s="85"/>
      <c r="Y279" s="85"/>
      <c r="Z279" s="85"/>
      <c r="AA279" s="85"/>
      <c r="AB279" s="85"/>
      <c r="AC279" s="85"/>
      <c r="AD279" s="85"/>
      <c r="AE279" s="85"/>
      <c r="AF279" s="85"/>
      <c r="AG279" s="85"/>
      <c r="AH279" s="85"/>
      <c r="AI279" s="85"/>
      <c r="AJ279" s="85"/>
      <c r="AK279" s="85"/>
      <c r="AL279" s="85"/>
    </row>
    <row r="280" spans="1:38" s="80" customFormat="1" x14ac:dyDescent="0.25">
      <c r="A280" s="116"/>
      <c r="B280" s="115"/>
      <c r="C280" s="115"/>
      <c r="D280" s="115"/>
      <c r="E280" s="115"/>
      <c r="F280" s="115"/>
      <c r="H280" s="95">
        <v>275</v>
      </c>
      <c r="I280" s="96" t="str">
        <f t="shared" si="19"/>
        <v/>
      </c>
      <c r="J280" s="95" t="e">
        <f t="shared" si="20"/>
        <v>#NUM!</v>
      </c>
      <c r="K280" s="95" t="e">
        <f t="shared" si="21"/>
        <v>#NUM!</v>
      </c>
      <c r="L280" s="95"/>
      <c r="M280" s="97">
        <f t="shared" si="22"/>
        <v>0</v>
      </c>
      <c r="S280" s="85"/>
      <c r="T280" s="85"/>
      <c r="U280" s="85"/>
      <c r="V280" s="85"/>
      <c r="W280" s="85"/>
      <c r="X280" s="85"/>
      <c r="Y280" s="85"/>
      <c r="Z280" s="85"/>
      <c r="AA280" s="85"/>
      <c r="AB280" s="85"/>
      <c r="AC280" s="85"/>
      <c r="AD280" s="85"/>
      <c r="AE280" s="85"/>
      <c r="AF280" s="85"/>
      <c r="AG280" s="85"/>
      <c r="AH280" s="85"/>
      <c r="AI280" s="85"/>
      <c r="AJ280" s="85"/>
      <c r="AK280" s="85"/>
      <c r="AL280" s="85"/>
    </row>
    <row r="281" spans="1:38" s="80" customFormat="1" x14ac:dyDescent="0.25">
      <c r="A281" s="116"/>
      <c r="B281" s="115"/>
      <c r="C281" s="115"/>
      <c r="D281" s="115"/>
      <c r="E281" s="115"/>
      <c r="F281" s="115"/>
      <c r="H281" s="95">
        <v>276</v>
      </c>
      <c r="I281" s="96" t="str">
        <f t="shared" si="19"/>
        <v/>
      </c>
      <c r="J281" s="95" t="e">
        <f t="shared" si="20"/>
        <v>#NUM!</v>
      </c>
      <c r="K281" s="95" t="e">
        <f t="shared" si="21"/>
        <v>#NUM!</v>
      </c>
      <c r="L281" s="95"/>
      <c r="M281" s="97">
        <f t="shared" si="22"/>
        <v>0</v>
      </c>
      <c r="S281" s="85"/>
      <c r="T281" s="85"/>
      <c r="U281" s="85"/>
      <c r="V281" s="85"/>
      <c r="W281" s="85"/>
      <c r="X281" s="85"/>
      <c r="Y281" s="85"/>
      <c r="Z281" s="85"/>
      <c r="AA281" s="85"/>
      <c r="AB281" s="85"/>
      <c r="AC281" s="85"/>
      <c r="AD281" s="85"/>
      <c r="AE281" s="85"/>
      <c r="AF281" s="85"/>
      <c r="AG281" s="85"/>
      <c r="AH281" s="85"/>
      <c r="AI281" s="85"/>
      <c r="AJ281" s="85"/>
      <c r="AK281" s="85"/>
      <c r="AL281" s="85"/>
    </row>
    <row r="282" spans="1:38" s="80" customFormat="1" x14ac:dyDescent="0.25">
      <c r="A282" s="116"/>
      <c r="B282" s="115"/>
      <c r="C282" s="115"/>
      <c r="D282" s="115"/>
      <c r="E282" s="115"/>
      <c r="F282" s="115"/>
      <c r="H282" s="95">
        <v>277</v>
      </c>
      <c r="I282" s="96" t="str">
        <f t="shared" si="19"/>
        <v/>
      </c>
      <c r="J282" s="95" t="e">
        <f t="shared" si="20"/>
        <v>#NUM!</v>
      </c>
      <c r="K282" s="95" t="e">
        <f t="shared" si="21"/>
        <v>#NUM!</v>
      </c>
      <c r="L282" s="95"/>
      <c r="M282" s="97">
        <f t="shared" si="22"/>
        <v>0</v>
      </c>
      <c r="S282" s="85"/>
      <c r="T282" s="85"/>
      <c r="U282" s="85"/>
      <c r="V282" s="85"/>
      <c r="W282" s="85"/>
      <c r="X282" s="85"/>
      <c r="Y282" s="85"/>
      <c r="Z282" s="85"/>
      <c r="AA282" s="85"/>
      <c r="AB282" s="85"/>
      <c r="AC282" s="85"/>
      <c r="AD282" s="85"/>
      <c r="AE282" s="85"/>
      <c r="AF282" s="85"/>
      <c r="AG282" s="85"/>
      <c r="AH282" s="85"/>
      <c r="AI282" s="85"/>
      <c r="AJ282" s="85"/>
      <c r="AK282" s="85"/>
      <c r="AL282" s="85"/>
    </row>
    <row r="283" spans="1:38" s="80" customFormat="1" x14ac:dyDescent="0.25">
      <c r="A283" s="116"/>
      <c r="B283" s="115"/>
      <c r="C283" s="115"/>
      <c r="D283" s="115"/>
      <c r="E283" s="115"/>
      <c r="F283" s="115"/>
      <c r="H283" s="95">
        <v>278</v>
      </c>
      <c r="I283" s="96" t="str">
        <f t="shared" si="19"/>
        <v/>
      </c>
      <c r="J283" s="95" t="e">
        <f t="shared" si="20"/>
        <v>#NUM!</v>
      </c>
      <c r="K283" s="95" t="e">
        <f t="shared" si="21"/>
        <v>#NUM!</v>
      </c>
      <c r="L283" s="95"/>
      <c r="M283" s="97">
        <f t="shared" si="22"/>
        <v>0</v>
      </c>
      <c r="S283" s="85"/>
      <c r="T283" s="85"/>
      <c r="U283" s="85"/>
      <c r="V283" s="85"/>
      <c r="W283" s="85"/>
      <c r="X283" s="85"/>
      <c r="Y283" s="85"/>
      <c r="Z283" s="85"/>
      <c r="AA283" s="85"/>
      <c r="AB283" s="85"/>
      <c r="AC283" s="85"/>
      <c r="AD283" s="85"/>
      <c r="AE283" s="85"/>
      <c r="AF283" s="85"/>
      <c r="AG283" s="85"/>
      <c r="AH283" s="85"/>
      <c r="AI283" s="85"/>
      <c r="AJ283" s="85"/>
      <c r="AK283" s="85"/>
      <c r="AL283" s="85"/>
    </row>
    <row r="284" spans="1:38" s="80" customFormat="1" x14ac:dyDescent="0.25">
      <c r="A284" s="116"/>
      <c r="B284" s="115"/>
      <c r="C284" s="115"/>
      <c r="D284" s="115"/>
      <c r="E284" s="115"/>
      <c r="F284" s="115"/>
      <c r="H284" s="95">
        <v>279</v>
      </c>
      <c r="I284" s="96" t="str">
        <f t="shared" si="19"/>
        <v/>
      </c>
      <c r="J284" s="95" t="e">
        <f t="shared" si="20"/>
        <v>#NUM!</v>
      </c>
      <c r="K284" s="95" t="e">
        <f t="shared" si="21"/>
        <v>#NUM!</v>
      </c>
      <c r="L284" s="95"/>
      <c r="M284" s="97">
        <f t="shared" si="22"/>
        <v>0</v>
      </c>
      <c r="S284" s="85"/>
      <c r="T284" s="85"/>
      <c r="U284" s="85"/>
      <c r="V284" s="85"/>
      <c r="W284" s="85"/>
      <c r="X284" s="85"/>
      <c r="Y284" s="85"/>
      <c r="Z284" s="85"/>
      <c r="AA284" s="85"/>
      <c r="AB284" s="85"/>
      <c r="AC284" s="85"/>
      <c r="AD284" s="85"/>
      <c r="AE284" s="85"/>
      <c r="AF284" s="85"/>
      <c r="AG284" s="85"/>
      <c r="AH284" s="85"/>
      <c r="AI284" s="85"/>
      <c r="AJ284" s="85"/>
      <c r="AK284" s="85"/>
      <c r="AL284" s="85"/>
    </row>
    <row r="285" spans="1:38" s="80" customFormat="1" x14ac:dyDescent="0.25">
      <c r="A285" s="116"/>
      <c r="B285" s="115"/>
      <c r="C285" s="115"/>
      <c r="D285" s="115"/>
      <c r="E285" s="115"/>
      <c r="F285" s="115"/>
      <c r="H285" s="95">
        <v>280</v>
      </c>
      <c r="I285" s="96" t="str">
        <f t="shared" si="19"/>
        <v/>
      </c>
      <c r="J285" s="95" t="e">
        <f t="shared" si="20"/>
        <v>#NUM!</v>
      </c>
      <c r="K285" s="95" t="e">
        <f t="shared" si="21"/>
        <v>#NUM!</v>
      </c>
      <c r="L285" s="95"/>
      <c r="M285" s="97">
        <f t="shared" si="22"/>
        <v>0</v>
      </c>
      <c r="S285" s="85"/>
      <c r="T285" s="85"/>
      <c r="U285" s="85"/>
      <c r="V285" s="85"/>
      <c r="W285" s="85"/>
      <c r="X285" s="85"/>
      <c r="Y285" s="85"/>
      <c r="Z285" s="85"/>
      <c r="AA285" s="85"/>
      <c r="AB285" s="85"/>
      <c r="AC285" s="85"/>
      <c r="AD285" s="85"/>
      <c r="AE285" s="85"/>
      <c r="AF285" s="85"/>
      <c r="AG285" s="85"/>
      <c r="AH285" s="85"/>
      <c r="AI285" s="85"/>
      <c r="AJ285" s="85"/>
      <c r="AK285" s="85"/>
      <c r="AL285" s="85"/>
    </row>
    <row r="286" spans="1:38" s="80" customFormat="1" x14ac:dyDescent="0.25">
      <c r="A286" s="116"/>
      <c r="B286" s="115"/>
      <c r="C286" s="115"/>
      <c r="D286" s="115"/>
      <c r="E286" s="115"/>
      <c r="F286" s="115"/>
      <c r="H286" s="95">
        <v>281</v>
      </c>
      <c r="I286" s="96" t="str">
        <f t="shared" si="19"/>
        <v/>
      </c>
      <c r="J286" s="95" t="e">
        <f t="shared" si="20"/>
        <v>#NUM!</v>
      </c>
      <c r="K286" s="95" t="e">
        <f t="shared" si="21"/>
        <v>#NUM!</v>
      </c>
      <c r="L286" s="95"/>
      <c r="M286" s="97">
        <f t="shared" si="22"/>
        <v>0</v>
      </c>
      <c r="S286" s="85"/>
      <c r="T286" s="85"/>
      <c r="U286" s="85"/>
      <c r="V286" s="85"/>
      <c r="W286" s="85"/>
      <c r="X286" s="85"/>
      <c r="Y286" s="85"/>
      <c r="Z286" s="85"/>
      <c r="AA286" s="85"/>
      <c r="AB286" s="85"/>
      <c r="AC286" s="85"/>
      <c r="AD286" s="85"/>
      <c r="AE286" s="85"/>
      <c r="AF286" s="85"/>
      <c r="AG286" s="85"/>
      <c r="AH286" s="85"/>
      <c r="AI286" s="85"/>
      <c r="AJ286" s="85"/>
      <c r="AK286" s="85"/>
      <c r="AL286" s="85"/>
    </row>
    <row r="287" spans="1:38" s="80" customFormat="1" x14ac:dyDescent="0.25">
      <c r="A287" s="116"/>
      <c r="B287" s="115"/>
      <c r="C287" s="115"/>
      <c r="D287" s="115"/>
      <c r="E287" s="115"/>
      <c r="F287" s="115"/>
      <c r="H287" s="95">
        <v>282</v>
      </c>
      <c r="I287" s="96" t="str">
        <f t="shared" si="19"/>
        <v/>
      </c>
      <c r="J287" s="95" t="e">
        <f t="shared" si="20"/>
        <v>#NUM!</v>
      </c>
      <c r="K287" s="95" t="e">
        <f t="shared" si="21"/>
        <v>#NUM!</v>
      </c>
      <c r="L287" s="95"/>
      <c r="M287" s="97">
        <f t="shared" si="22"/>
        <v>0</v>
      </c>
      <c r="S287" s="85"/>
      <c r="T287" s="85"/>
      <c r="U287" s="85"/>
      <c r="V287" s="85"/>
      <c r="W287" s="85"/>
      <c r="X287" s="85"/>
      <c r="Y287" s="85"/>
      <c r="Z287" s="85"/>
      <c r="AA287" s="85"/>
      <c r="AB287" s="85"/>
      <c r="AC287" s="85"/>
      <c r="AD287" s="85"/>
      <c r="AE287" s="85"/>
      <c r="AF287" s="85"/>
      <c r="AG287" s="85"/>
      <c r="AH287" s="85"/>
      <c r="AI287" s="85"/>
      <c r="AJ287" s="85"/>
      <c r="AK287" s="85"/>
      <c r="AL287" s="85"/>
    </row>
    <row r="288" spans="1:38" s="80" customFormat="1" x14ac:dyDescent="0.25">
      <c r="A288" s="116"/>
      <c r="B288" s="115"/>
      <c r="C288" s="115"/>
      <c r="D288" s="115"/>
      <c r="E288" s="115"/>
      <c r="F288" s="115"/>
      <c r="H288" s="95">
        <v>283</v>
      </c>
      <c r="I288" s="96" t="str">
        <f t="shared" si="19"/>
        <v/>
      </c>
      <c r="J288" s="95" t="e">
        <f t="shared" si="20"/>
        <v>#NUM!</v>
      </c>
      <c r="K288" s="95" t="e">
        <f t="shared" si="21"/>
        <v>#NUM!</v>
      </c>
      <c r="L288" s="95"/>
      <c r="M288" s="97">
        <f t="shared" si="22"/>
        <v>0</v>
      </c>
      <c r="S288" s="85"/>
      <c r="T288" s="85"/>
      <c r="U288" s="85"/>
      <c r="V288" s="85"/>
      <c r="W288" s="85"/>
      <c r="X288" s="85"/>
      <c r="Y288" s="85"/>
      <c r="Z288" s="85"/>
      <c r="AA288" s="85"/>
      <c r="AB288" s="85"/>
      <c r="AC288" s="85"/>
      <c r="AD288" s="85"/>
      <c r="AE288" s="85"/>
      <c r="AF288" s="85"/>
      <c r="AG288" s="85"/>
      <c r="AH288" s="85"/>
      <c r="AI288" s="85"/>
      <c r="AJ288" s="85"/>
      <c r="AK288" s="85"/>
      <c r="AL288" s="85"/>
    </row>
    <row r="289" spans="1:38" s="80" customFormat="1" x14ac:dyDescent="0.25">
      <c r="A289" s="116"/>
      <c r="B289" s="115"/>
      <c r="C289" s="115"/>
      <c r="D289" s="115"/>
      <c r="E289" s="115"/>
      <c r="F289" s="115"/>
      <c r="H289" s="95">
        <v>284</v>
      </c>
      <c r="I289" s="96" t="str">
        <f t="shared" si="19"/>
        <v/>
      </c>
      <c r="J289" s="95" t="e">
        <f t="shared" si="20"/>
        <v>#NUM!</v>
      </c>
      <c r="K289" s="95" t="e">
        <f t="shared" si="21"/>
        <v>#NUM!</v>
      </c>
      <c r="L289" s="95"/>
      <c r="M289" s="97">
        <f t="shared" si="22"/>
        <v>0</v>
      </c>
      <c r="S289" s="85"/>
      <c r="T289" s="85"/>
      <c r="U289" s="85"/>
      <c r="V289" s="85"/>
      <c r="W289" s="85"/>
      <c r="X289" s="85"/>
      <c r="Y289" s="85"/>
      <c r="Z289" s="85"/>
      <c r="AA289" s="85"/>
      <c r="AB289" s="85"/>
      <c r="AC289" s="85"/>
      <c r="AD289" s="85"/>
      <c r="AE289" s="85"/>
      <c r="AF289" s="85"/>
      <c r="AG289" s="85"/>
      <c r="AH289" s="85"/>
      <c r="AI289" s="85"/>
      <c r="AJ289" s="85"/>
      <c r="AK289" s="85"/>
      <c r="AL289" s="85"/>
    </row>
    <row r="290" spans="1:38" s="80" customFormat="1" x14ac:dyDescent="0.25">
      <c r="A290" s="116"/>
      <c r="B290" s="115"/>
      <c r="C290" s="115"/>
      <c r="D290" s="115"/>
      <c r="E290" s="115"/>
      <c r="F290" s="115"/>
      <c r="H290" s="95">
        <v>285</v>
      </c>
      <c r="I290" s="96" t="str">
        <f t="shared" si="19"/>
        <v/>
      </c>
      <c r="J290" s="95" t="e">
        <f t="shared" si="20"/>
        <v>#NUM!</v>
      </c>
      <c r="K290" s="95" t="e">
        <f t="shared" si="21"/>
        <v>#NUM!</v>
      </c>
      <c r="L290" s="95"/>
      <c r="M290" s="97">
        <f t="shared" si="22"/>
        <v>0</v>
      </c>
      <c r="S290" s="85"/>
      <c r="T290" s="85"/>
      <c r="U290" s="85"/>
      <c r="V290" s="85"/>
      <c r="W290" s="85"/>
      <c r="X290" s="85"/>
      <c r="Y290" s="85"/>
      <c r="Z290" s="85"/>
      <c r="AA290" s="85"/>
      <c r="AB290" s="85"/>
      <c r="AC290" s="85"/>
      <c r="AD290" s="85"/>
      <c r="AE290" s="85"/>
      <c r="AF290" s="85"/>
      <c r="AG290" s="85"/>
      <c r="AH290" s="85"/>
      <c r="AI290" s="85"/>
      <c r="AJ290" s="85"/>
      <c r="AK290" s="85"/>
      <c r="AL290" s="85"/>
    </row>
    <row r="291" spans="1:38" s="80" customFormat="1" x14ac:dyDescent="0.25">
      <c r="A291" s="116"/>
      <c r="B291" s="115"/>
      <c r="C291" s="115"/>
      <c r="D291" s="115"/>
      <c r="E291" s="115"/>
      <c r="F291" s="115"/>
      <c r="H291" s="95">
        <v>286</v>
      </c>
      <c r="I291" s="96" t="str">
        <f t="shared" si="19"/>
        <v/>
      </c>
      <c r="J291" s="95" t="e">
        <f t="shared" si="20"/>
        <v>#NUM!</v>
      </c>
      <c r="K291" s="95" t="e">
        <f t="shared" si="21"/>
        <v>#NUM!</v>
      </c>
      <c r="L291" s="95"/>
      <c r="M291" s="97">
        <f t="shared" si="22"/>
        <v>0</v>
      </c>
      <c r="S291" s="85"/>
      <c r="T291" s="85"/>
      <c r="U291" s="85"/>
      <c r="V291" s="85"/>
      <c r="W291" s="85"/>
      <c r="X291" s="85"/>
      <c r="Y291" s="85"/>
      <c r="Z291" s="85"/>
      <c r="AA291" s="85"/>
      <c r="AB291" s="85"/>
      <c r="AC291" s="85"/>
      <c r="AD291" s="85"/>
      <c r="AE291" s="85"/>
      <c r="AF291" s="85"/>
      <c r="AG291" s="85"/>
      <c r="AH291" s="85"/>
      <c r="AI291" s="85"/>
      <c r="AJ291" s="85"/>
      <c r="AK291" s="85"/>
      <c r="AL291" s="85"/>
    </row>
    <row r="292" spans="1:38" s="80" customFormat="1" x14ac:dyDescent="0.25">
      <c r="A292" s="116"/>
      <c r="B292" s="115"/>
      <c r="C292" s="115"/>
      <c r="D292" s="115"/>
      <c r="E292" s="115"/>
      <c r="F292" s="115"/>
      <c r="H292" s="95">
        <v>287</v>
      </c>
      <c r="I292" s="96" t="str">
        <f t="shared" si="19"/>
        <v/>
      </c>
      <c r="J292" s="95" t="e">
        <f t="shared" si="20"/>
        <v>#NUM!</v>
      </c>
      <c r="K292" s="95" t="e">
        <f t="shared" si="21"/>
        <v>#NUM!</v>
      </c>
      <c r="L292" s="95"/>
      <c r="M292" s="97">
        <f t="shared" si="22"/>
        <v>0</v>
      </c>
      <c r="S292" s="85"/>
      <c r="T292" s="85"/>
      <c r="U292" s="85"/>
      <c r="V292" s="85"/>
      <c r="W292" s="85"/>
      <c r="X292" s="85"/>
      <c r="Y292" s="85"/>
      <c r="Z292" s="85"/>
      <c r="AA292" s="85"/>
      <c r="AB292" s="85"/>
      <c r="AC292" s="85"/>
      <c r="AD292" s="85"/>
      <c r="AE292" s="85"/>
      <c r="AF292" s="85"/>
      <c r="AG292" s="85"/>
      <c r="AH292" s="85"/>
      <c r="AI292" s="85"/>
      <c r="AJ292" s="85"/>
      <c r="AK292" s="85"/>
      <c r="AL292" s="85"/>
    </row>
    <row r="293" spans="1:38" s="80" customFormat="1" x14ac:dyDescent="0.25">
      <c r="A293" s="116"/>
      <c r="B293" s="115"/>
      <c r="C293" s="115"/>
      <c r="D293" s="115"/>
      <c r="E293" s="115"/>
      <c r="F293" s="115"/>
      <c r="H293" s="95">
        <v>288</v>
      </c>
      <c r="I293" s="96" t="str">
        <f t="shared" si="19"/>
        <v/>
      </c>
      <c r="J293" s="95" t="e">
        <f t="shared" si="20"/>
        <v>#NUM!</v>
      </c>
      <c r="K293" s="95" t="e">
        <f t="shared" si="21"/>
        <v>#NUM!</v>
      </c>
      <c r="L293" s="95"/>
      <c r="M293" s="97">
        <f t="shared" si="22"/>
        <v>0</v>
      </c>
      <c r="S293" s="85"/>
      <c r="T293" s="85"/>
      <c r="U293" s="85"/>
      <c r="V293" s="85"/>
      <c r="W293" s="85"/>
      <c r="X293" s="85"/>
      <c r="Y293" s="85"/>
      <c r="Z293" s="85"/>
      <c r="AA293" s="85"/>
      <c r="AB293" s="85"/>
      <c r="AC293" s="85"/>
      <c r="AD293" s="85"/>
      <c r="AE293" s="85"/>
      <c r="AF293" s="85"/>
      <c r="AG293" s="85"/>
      <c r="AH293" s="85"/>
      <c r="AI293" s="85"/>
      <c r="AJ293" s="85"/>
      <c r="AK293" s="85"/>
      <c r="AL293" s="85"/>
    </row>
    <row r="294" spans="1:38" s="80" customFormat="1" x14ac:dyDescent="0.25">
      <c r="A294" s="116"/>
      <c r="B294" s="115"/>
      <c r="C294" s="115"/>
      <c r="D294" s="115"/>
      <c r="E294" s="115"/>
      <c r="F294" s="115"/>
      <c r="H294" s="95">
        <v>289</v>
      </c>
      <c r="I294" s="96" t="str">
        <f t="shared" si="19"/>
        <v/>
      </c>
      <c r="J294" s="95" t="e">
        <f t="shared" si="20"/>
        <v>#NUM!</v>
      </c>
      <c r="K294" s="95" t="e">
        <f t="shared" si="21"/>
        <v>#NUM!</v>
      </c>
      <c r="L294" s="95"/>
      <c r="M294" s="97">
        <f t="shared" si="22"/>
        <v>0</v>
      </c>
      <c r="S294" s="85"/>
      <c r="T294" s="85"/>
      <c r="U294" s="85"/>
      <c r="V294" s="85"/>
      <c r="W294" s="85"/>
      <c r="X294" s="85"/>
      <c r="Y294" s="85"/>
      <c r="Z294" s="85"/>
      <c r="AA294" s="85"/>
      <c r="AB294" s="85"/>
      <c r="AC294" s="85"/>
      <c r="AD294" s="85"/>
      <c r="AE294" s="85"/>
      <c r="AF294" s="85"/>
      <c r="AG294" s="85"/>
      <c r="AH294" s="85"/>
      <c r="AI294" s="85"/>
      <c r="AJ294" s="85"/>
      <c r="AK294" s="85"/>
      <c r="AL294" s="85"/>
    </row>
    <row r="295" spans="1:38" s="80" customFormat="1" x14ac:dyDescent="0.25">
      <c r="A295" s="116"/>
      <c r="B295" s="115"/>
      <c r="C295" s="115"/>
      <c r="D295" s="115"/>
      <c r="E295" s="115"/>
      <c r="F295" s="115"/>
      <c r="H295" s="95">
        <v>290</v>
      </c>
      <c r="I295" s="96" t="str">
        <f t="shared" si="19"/>
        <v/>
      </c>
      <c r="J295" s="95" t="e">
        <f t="shared" si="20"/>
        <v>#NUM!</v>
      </c>
      <c r="K295" s="95" t="e">
        <f t="shared" si="21"/>
        <v>#NUM!</v>
      </c>
      <c r="L295" s="95"/>
      <c r="M295" s="97">
        <f t="shared" si="22"/>
        <v>0</v>
      </c>
      <c r="S295" s="85"/>
      <c r="T295" s="85"/>
      <c r="U295" s="85"/>
      <c r="V295" s="85"/>
      <c r="W295" s="85"/>
      <c r="X295" s="85"/>
      <c r="Y295" s="85"/>
      <c r="Z295" s="85"/>
      <c r="AA295" s="85"/>
      <c r="AB295" s="85"/>
      <c r="AC295" s="85"/>
      <c r="AD295" s="85"/>
      <c r="AE295" s="85"/>
      <c r="AF295" s="85"/>
      <c r="AG295" s="85"/>
      <c r="AH295" s="85"/>
      <c r="AI295" s="85"/>
      <c r="AJ295" s="85"/>
      <c r="AK295" s="85"/>
      <c r="AL295" s="85"/>
    </row>
    <row r="296" spans="1:38" s="80" customFormat="1" x14ac:dyDescent="0.25">
      <c r="A296" s="116"/>
      <c r="B296" s="115"/>
      <c r="C296" s="115"/>
      <c r="D296" s="115"/>
      <c r="E296" s="115"/>
      <c r="F296" s="115"/>
      <c r="H296" s="95">
        <v>291</v>
      </c>
      <c r="I296" s="96" t="str">
        <f t="shared" si="19"/>
        <v/>
      </c>
      <c r="J296" s="95" t="e">
        <f t="shared" si="20"/>
        <v>#NUM!</v>
      </c>
      <c r="K296" s="95" t="e">
        <f t="shared" si="21"/>
        <v>#NUM!</v>
      </c>
      <c r="L296" s="95"/>
      <c r="M296" s="97">
        <f t="shared" si="22"/>
        <v>0</v>
      </c>
      <c r="S296" s="85"/>
      <c r="T296" s="85"/>
      <c r="U296" s="85"/>
      <c r="V296" s="85"/>
      <c r="W296" s="85"/>
      <c r="X296" s="85"/>
      <c r="Y296" s="85"/>
      <c r="Z296" s="85"/>
      <c r="AA296" s="85"/>
      <c r="AB296" s="85"/>
      <c r="AC296" s="85"/>
      <c r="AD296" s="85"/>
      <c r="AE296" s="85"/>
      <c r="AF296" s="85"/>
      <c r="AG296" s="85"/>
      <c r="AH296" s="85"/>
      <c r="AI296" s="85"/>
      <c r="AJ296" s="85"/>
      <c r="AK296" s="85"/>
      <c r="AL296" s="85"/>
    </row>
    <row r="297" spans="1:38" s="80" customFormat="1" x14ac:dyDescent="0.25">
      <c r="A297" s="116"/>
      <c r="B297" s="115"/>
      <c r="C297" s="115"/>
      <c r="D297" s="115"/>
      <c r="E297" s="115"/>
      <c r="F297" s="115"/>
      <c r="H297" s="95">
        <v>292</v>
      </c>
      <c r="I297" s="96" t="str">
        <f t="shared" si="19"/>
        <v/>
      </c>
      <c r="J297" s="95" t="e">
        <f t="shared" si="20"/>
        <v>#NUM!</v>
      </c>
      <c r="K297" s="95" t="e">
        <f t="shared" si="21"/>
        <v>#NUM!</v>
      </c>
      <c r="L297" s="95"/>
      <c r="M297" s="97">
        <f t="shared" si="22"/>
        <v>0</v>
      </c>
      <c r="S297" s="85"/>
      <c r="T297" s="85"/>
      <c r="U297" s="85"/>
      <c r="V297" s="85"/>
      <c r="W297" s="85"/>
      <c r="X297" s="85"/>
      <c r="Y297" s="85"/>
      <c r="Z297" s="85"/>
      <c r="AA297" s="85"/>
      <c r="AB297" s="85"/>
      <c r="AC297" s="85"/>
      <c r="AD297" s="85"/>
      <c r="AE297" s="85"/>
      <c r="AF297" s="85"/>
      <c r="AG297" s="85"/>
      <c r="AH297" s="85"/>
      <c r="AI297" s="85"/>
      <c r="AJ297" s="85"/>
      <c r="AK297" s="85"/>
      <c r="AL297" s="85"/>
    </row>
    <row r="298" spans="1:38" s="80" customFormat="1" x14ac:dyDescent="0.25">
      <c r="A298" s="116"/>
      <c r="B298" s="115"/>
      <c r="C298" s="115"/>
      <c r="D298" s="115"/>
      <c r="E298" s="115"/>
      <c r="F298" s="115"/>
      <c r="H298" s="95">
        <v>293</v>
      </c>
      <c r="I298" s="96" t="str">
        <f t="shared" si="19"/>
        <v/>
      </c>
      <c r="J298" s="95" t="e">
        <f t="shared" si="20"/>
        <v>#NUM!</v>
      </c>
      <c r="K298" s="95" t="e">
        <f t="shared" si="21"/>
        <v>#NUM!</v>
      </c>
      <c r="L298" s="95"/>
      <c r="M298" s="97">
        <f t="shared" si="22"/>
        <v>0</v>
      </c>
      <c r="S298" s="85"/>
      <c r="T298" s="85"/>
      <c r="U298" s="85"/>
      <c r="V298" s="85"/>
      <c r="W298" s="85"/>
      <c r="X298" s="85"/>
      <c r="Y298" s="85"/>
      <c r="Z298" s="85"/>
      <c r="AA298" s="85"/>
      <c r="AB298" s="85"/>
      <c r="AC298" s="85"/>
      <c r="AD298" s="85"/>
      <c r="AE298" s="85"/>
      <c r="AF298" s="85"/>
      <c r="AG298" s="85"/>
      <c r="AH298" s="85"/>
      <c r="AI298" s="85"/>
      <c r="AJ298" s="85"/>
      <c r="AK298" s="85"/>
      <c r="AL298" s="85"/>
    </row>
    <row r="299" spans="1:38" s="80" customFormat="1" x14ac:dyDescent="0.25">
      <c r="A299" s="116"/>
      <c r="B299" s="115"/>
      <c r="C299" s="115"/>
      <c r="D299" s="115"/>
      <c r="E299" s="115"/>
      <c r="F299" s="115"/>
      <c r="H299" s="95">
        <v>294</v>
      </c>
      <c r="I299" s="96" t="str">
        <f t="shared" si="19"/>
        <v/>
      </c>
      <c r="J299" s="95" t="e">
        <f t="shared" si="20"/>
        <v>#NUM!</v>
      </c>
      <c r="K299" s="95" t="e">
        <f t="shared" si="21"/>
        <v>#NUM!</v>
      </c>
      <c r="L299" s="95"/>
      <c r="M299" s="97">
        <f t="shared" si="22"/>
        <v>0</v>
      </c>
      <c r="S299" s="85"/>
      <c r="T299" s="85"/>
      <c r="U299" s="85"/>
      <c r="V299" s="85"/>
      <c r="W299" s="85"/>
      <c r="X299" s="85"/>
      <c r="Y299" s="85"/>
      <c r="Z299" s="85"/>
      <c r="AA299" s="85"/>
      <c r="AB299" s="85"/>
      <c r="AC299" s="85"/>
      <c r="AD299" s="85"/>
      <c r="AE299" s="85"/>
      <c r="AF299" s="85"/>
      <c r="AG299" s="85"/>
      <c r="AH299" s="85"/>
      <c r="AI299" s="85"/>
      <c r="AJ299" s="85"/>
      <c r="AK299" s="85"/>
      <c r="AL299" s="85"/>
    </row>
    <row r="300" spans="1:38" s="80" customFormat="1" x14ac:dyDescent="0.25">
      <c r="A300" s="116"/>
      <c r="B300" s="115"/>
      <c r="C300" s="115"/>
      <c r="D300" s="115"/>
      <c r="E300" s="115"/>
      <c r="F300" s="115"/>
      <c r="H300" s="95">
        <v>295</v>
      </c>
      <c r="I300" s="96" t="str">
        <f t="shared" si="19"/>
        <v/>
      </c>
      <c r="J300" s="95" t="e">
        <f t="shared" si="20"/>
        <v>#NUM!</v>
      </c>
      <c r="K300" s="95" t="e">
        <f t="shared" si="21"/>
        <v>#NUM!</v>
      </c>
      <c r="L300" s="95"/>
      <c r="M300" s="97">
        <f t="shared" si="22"/>
        <v>0</v>
      </c>
      <c r="S300" s="85"/>
      <c r="T300" s="85"/>
      <c r="U300" s="85"/>
      <c r="V300" s="85"/>
      <c r="W300" s="85"/>
      <c r="X300" s="85"/>
      <c r="Y300" s="85"/>
      <c r="Z300" s="85"/>
      <c r="AA300" s="85"/>
      <c r="AB300" s="85"/>
      <c r="AC300" s="85"/>
      <c r="AD300" s="85"/>
      <c r="AE300" s="85"/>
      <c r="AF300" s="85"/>
      <c r="AG300" s="85"/>
      <c r="AH300" s="85"/>
      <c r="AI300" s="85"/>
      <c r="AJ300" s="85"/>
      <c r="AK300" s="85"/>
      <c r="AL300" s="85"/>
    </row>
    <row r="301" spans="1:38" s="80" customFormat="1" x14ac:dyDescent="0.25">
      <c r="A301" s="116"/>
      <c r="B301" s="115"/>
      <c r="C301" s="115"/>
      <c r="D301" s="115"/>
      <c r="E301" s="115"/>
      <c r="F301" s="115"/>
      <c r="H301" s="95">
        <v>296</v>
      </c>
      <c r="I301" s="96" t="str">
        <f t="shared" si="19"/>
        <v/>
      </c>
      <c r="J301" s="95" t="e">
        <f t="shared" si="20"/>
        <v>#NUM!</v>
      </c>
      <c r="K301" s="95" t="e">
        <f t="shared" si="21"/>
        <v>#NUM!</v>
      </c>
      <c r="L301" s="95"/>
      <c r="M301" s="97">
        <f t="shared" si="22"/>
        <v>0</v>
      </c>
      <c r="S301" s="85"/>
      <c r="T301" s="85"/>
      <c r="U301" s="85"/>
      <c r="V301" s="85"/>
      <c r="W301" s="85"/>
      <c r="X301" s="85"/>
      <c r="Y301" s="85"/>
      <c r="Z301" s="85"/>
      <c r="AA301" s="85"/>
      <c r="AB301" s="85"/>
      <c r="AC301" s="85"/>
      <c r="AD301" s="85"/>
      <c r="AE301" s="85"/>
      <c r="AF301" s="85"/>
      <c r="AG301" s="85"/>
      <c r="AH301" s="85"/>
      <c r="AI301" s="85"/>
      <c r="AJ301" s="85"/>
      <c r="AK301" s="85"/>
      <c r="AL301" s="85"/>
    </row>
    <row r="302" spans="1:38" s="80" customFormat="1" x14ac:dyDescent="0.25">
      <c r="A302" s="116"/>
      <c r="B302" s="115"/>
      <c r="C302" s="115"/>
      <c r="D302" s="115"/>
      <c r="E302" s="115"/>
      <c r="F302" s="115"/>
      <c r="H302" s="95">
        <v>297</v>
      </c>
      <c r="I302" s="96" t="str">
        <f t="shared" si="19"/>
        <v/>
      </c>
      <c r="J302" s="95" t="e">
        <f t="shared" si="20"/>
        <v>#NUM!</v>
      </c>
      <c r="K302" s="95" t="e">
        <f t="shared" si="21"/>
        <v>#NUM!</v>
      </c>
      <c r="L302" s="95"/>
      <c r="M302" s="97">
        <f t="shared" si="22"/>
        <v>0</v>
      </c>
      <c r="S302" s="85"/>
      <c r="T302" s="85"/>
      <c r="U302" s="85"/>
      <c r="V302" s="85"/>
      <c r="W302" s="85"/>
      <c r="X302" s="85"/>
      <c r="Y302" s="85"/>
      <c r="Z302" s="85"/>
      <c r="AA302" s="85"/>
      <c r="AB302" s="85"/>
      <c r="AC302" s="85"/>
      <c r="AD302" s="85"/>
      <c r="AE302" s="85"/>
      <c r="AF302" s="85"/>
      <c r="AG302" s="85"/>
      <c r="AH302" s="85"/>
      <c r="AI302" s="85"/>
      <c r="AJ302" s="85"/>
      <c r="AK302" s="85"/>
      <c r="AL302" s="85"/>
    </row>
    <row r="303" spans="1:38" s="80" customFormat="1" x14ac:dyDescent="0.25">
      <c r="A303" s="116"/>
      <c r="B303" s="115"/>
      <c r="C303" s="115"/>
      <c r="D303" s="115"/>
      <c r="E303" s="115"/>
      <c r="F303" s="115"/>
      <c r="H303" s="95">
        <v>298</v>
      </c>
      <c r="I303" s="96" t="str">
        <f t="shared" si="19"/>
        <v/>
      </c>
      <c r="J303" s="95" t="e">
        <f t="shared" si="20"/>
        <v>#NUM!</v>
      </c>
      <c r="K303" s="95" t="e">
        <f t="shared" si="21"/>
        <v>#NUM!</v>
      </c>
      <c r="L303" s="95"/>
      <c r="M303" s="97">
        <f t="shared" si="22"/>
        <v>0</v>
      </c>
      <c r="S303" s="85"/>
      <c r="T303" s="85"/>
      <c r="U303" s="85"/>
      <c r="V303" s="85"/>
      <c r="W303" s="85"/>
      <c r="X303" s="85"/>
      <c r="Y303" s="85"/>
      <c r="Z303" s="85"/>
      <c r="AA303" s="85"/>
      <c r="AB303" s="85"/>
      <c r="AC303" s="85"/>
      <c r="AD303" s="85"/>
      <c r="AE303" s="85"/>
      <c r="AF303" s="85"/>
      <c r="AG303" s="85"/>
      <c r="AH303" s="85"/>
      <c r="AI303" s="85"/>
      <c r="AJ303" s="85"/>
      <c r="AK303" s="85"/>
      <c r="AL303" s="85"/>
    </row>
    <row r="304" spans="1:38" s="80" customFormat="1" x14ac:dyDescent="0.25">
      <c r="A304" s="116"/>
      <c r="B304" s="115"/>
      <c r="C304" s="115"/>
      <c r="D304" s="115"/>
      <c r="E304" s="115"/>
      <c r="F304" s="115"/>
      <c r="H304" s="95">
        <v>299</v>
      </c>
      <c r="I304" s="96" t="str">
        <f t="shared" si="19"/>
        <v/>
      </c>
      <c r="J304" s="95" t="e">
        <f t="shared" si="20"/>
        <v>#NUM!</v>
      </c>
      <c r="K304" s="95" t="e">
        <f t="shared" si="21"/>
        <v>#NUM!</v>
      </c>
      <c r="L304" s="95"/>
      <c r="M304" s="97">
        <f t="shared" si="22"/>
        <v>0</v>
      </c>
      <c r="S304" s="85"/>
      <c r="T304" s="85"/>
      <c r="U304" s="85"/>
      <c r="V304" s="85"/>
      <c r="W304" s="85"/>
      <c r="X304" s="85"/>
      <c r="Y304" s="85"/>
      <c r="Z304" s="85"/>
      <c r="AA304" s="85"/>
      <c r="AB304" s="85"/>
      <c r="AC304" s="85"/>
      <c r="AD304" s="85"/>
      <c r="AE304" s="85"/>
      <c r="AF304" s="85"/>
      <c r="AG304" s="85"/>
      <c r="AH304" s="85"/>
      <c r="AI304" s="85"/>
      <c r="AJ304" s="85"/>
      <c r="AK304" s="85"/>
      <c r="AL304" s="85"/>
    </row>
    <row r="305" spans="1:38" s="80" customFormat="1" x14ac:dyDescent="0.25">
      <c r="A305" s="116"/>
      <c r="B305" s="115"/>
      <c r="C305" s="115"/>
      <c r="D305" s="115"/>
      <c r="E305" s="115"/>
      <c r="F305" s="115"/>
      <c r="H305" s="95">
        <v>300</v>
      </c>
      <c r="I305" s="96" t="str">
        <f t="shared" si="19"/>
        <v/>
      </c>
      <c r="J305" s="95" t="e">
        <f t="shared" si="20"/>
        <v>#NUM!</v>
      </c>
      <c r="K305" s="95" t="e">
        <f t="shared" si="21"/>
        <v>#NUM!</v>
      </c>
      <c r="L305" s="95"/>
      <c r="M305" s="97">
        <f t="shared" si="22"/>
        <v>0</v>
      </c>
      <c r="S305" s="85"/>
      <c r="T305" s="85"/>
      <c r="U305" s="85"/>
      <c r="V305" s="85"/>
      <c r="W305" s="85"/>
      <c r="X305" s="85"/>
      <c r="Y305" s="85"/>
      <c r="Z305" s="85"/>
      <c r="AA305" s="85"/>
      <c r="AB305" s="85"/>
      <c r="AC305" s="85"/>
      <c r="AD305" s="85"/>
      <c r="AE305" s="85"/>
      <c r="AF305" s="85"/>
      <c r="AG305" s="85"/>
      <c r="AH305" s="85"/>
      <c r="AI305" s="85"/>
      <c r="AJ305" s="85"/>
      <c r="AK305" s="85"/>
      <c r="AL305" s="85"/>
    </row>
    <row r="306" spans="1:38" s="80" customFormat="1" x14ac:dyDescent="0.25">
      <c r="A306" s="117"/>
      <c r="B306" s="115"/>
      <c r="C306" s="115"/>
      <c r="D306" s="115"/>
      <c r="E306" s="115"/>
      <c r="F306" s="115"/>
      <c r="G306" s="115"/>
      <c r="H306" s="118"/>
      <c r="I306" s="118"/>
      <c r="J306" s="118" t="e">
        <f t="shared" si="20"/>
        <v>#NUM!</v>
      </c>
      <c r="K306" s="118"/>
      <c r="L306" s="118"/>
      <c r="M306" s="119"/>
      <c r="S306" s="85"/>
      <c r="T306" s="85"/>
      <c r="U306" s="85"/>
      <c r="V306" s="85"/>
      <c r="W306" s="85"/>
      <c r="X306" s="85"/>
      <c r="Y306" s="85"/>
      <c r="Z306" s="85"/>
      <c r="AA306" s="85"/>
      <c r="AB306" s="85"/>
      <c r="AC306" s="85"/>
      <c r="AD306" s="85"/>
      <c r="AE306" s="85"/>
      <c r="AF306" s="85"/>
      <c r="AG306" s="85"/>
      <c r="AH306" s="85"/>
      <c r="AI306" s="85"/>
      <c r="AJ306" s="85"/>
      <c r="AK306" s="85"/>
      <c r="AL306" s="85"/>
    </row>
    <row r="307" spans="1:38" s="80" customFormat="1" x14ac:dyDescent="0.25">
      <c r="A307" s="115"/>
      <c r="B307" s="115"/>
      <c r="C307" s="115"/>
      <c r="D307" s="115"/>
      <c r="E307" s="115"/>
      <c r="F307" s="115"/>
      <c r="G307" s="115"/>
      <c r="H307" s="118"/>
      <c r="I307" s="118"/>
      <c r="J307" s="118" t="e">
        <f t="shared" si="20"/>
        <v>#NUM!</v>
      </c>
      <c r="K307" s="118"/>
      <c r="L307" s="118"/>
      <c r="M307" s="119"/>
      <c r="S307" s="85"/>
      <c r="T307" s="85"/>
      <c r="U307" s="85"/>
      <c r="V307" s="85"/>
      <c r="W307" s="85"/>
      <c r="X307" s="85"/>
      <c r="Y307" s="85"/>
      <c r="Z307" s="85"/>
      <c r="AA307" s="85"/>
      <c r="AB307" s="85"/>
      <c r="AC307" s="85"/>
      <c r="AD307" s="85"/>
      <c r="AE307" s="85"/>
      <c r="AF307" s="85"/>
      <c r="AG307" s="85"/>
      <c r="AH307" s="85"/>
      <c r="AI307" s="85"/>
      <c r="AJ307" s="85"/>
      <c r="AK307" s="85"/>
      <c r="AL307" s="85"/>
    </row>
    <row r="308" spans="1:38" s="80" customFormat="1" x14ac:dyDescent="0.25">
      <c r="A308" s="115"/>
      <c r="B308" s="115"/>
      <c r="C308" s="115"/>
      <c r="D308" s="115"/>
      <c r="E308" s="115"/>
      <c r="F308" s="115"/>
      <c r="G308" s="115"/>
      <c r="H308" s="118"/>
      <c r="I308" s="118"/>
      <c r="J308" s="118" t="e">
        <f t="shared" si="20"/>
        <v>#NUM!</v>
      </c>
      <c r="K308" s="118"/>
      <c r="L308" s="118"/>
      <c r="M308" s="119"/>
      <c r="S308" s="85"/>
      <c r="T308" s="85"/>
      <c r="U308" s="85"/>
      <c r="V308" s="85"/>
      <c r="W308" s="85"/>
      <c r="X308" s="85"/>
      <c r="Y308" s="85"/>
      <c r="Z308" s="85"/>
      <c r="AA308" s="85"/>
      <c r="AB308" s="85"/>
      <c r="AC308" s="85"/>
      <c r="AD308" s="85"/>
      <c r="AE308" s="85"/>
      <c r="AF308" s="85"/>
      <c r="AG308" s="85"/>
      <c r="AH308" s="85"/>
      <c r="AI308" s="85"/>
      <c r="AJ308" s="85"/>
      <c r="AK308" s="85"/>
      <c r="AL308" s="85"/>
    </row>
    <row r="309" spans="1:38" s="80" customFormat="1" x14ac:dyDescent="0.25">
      <c r="A309" s="115"/>
      <c r="B309" s="115"/>
      <c r="C309" s="115"/>
      <c r="D309" s="115"/>
      <c r="E309" s="115"/>
      <c r="F309" s="115"/>
      <c r="G309" s="115"/>
      <c r="H309" s="118"/>
      <c r="I309" s="118"/>
      <c r="J309" s="118" t="e">
        <f t="shared" si="20"/>
        <v>#NUM!</v>
      </c>
      <c r="K309" s="118"/>
      <c r="L309" s="118"/>
      <c r="M309" s="119"/>
      <c r="S309" s="85"/>
      <c r="T309" s="85"/>
      <c r="U309" s="85"/>
      <c r="V309" s="85"/>
      <c r="W309" s="85"/>
      <c r="X309" s="85"/>
      <c r="Y309" s="85"/>
      <c r="Z309" s="85"/>
      <c r="AA309" s="85"/>
      <c r="AB309" s="85"/>
      <c r="AC309" s="85"/>
      <c r="AD309" s="85"/>
      <c r="AE309" s="85"/>
      <c r="AF309" s="85"/>
      <c r="AG309" s="85"/>
      <c r="AH309" s="85"/>
      <c r="AI309" s="85"/>
      <c r="AJ309" s="85"/>
      <c r="AK309" s="85"/>
      <c r="AL309" s="85"/>
    </row>
    <row r="310" spans="1:38" s="80" customFormat="1" x14ac:dyDescent="0.25">
      <c r="A310" s="115"/>
      <c r="B310" s="115"/>
      <c r="C310" s="115"/>
      <c r="D310" s="115"/>
      <c r="E310" s="115"/>
      <c r="F310" s="115"/>
      <c r="G310" s="115"/>
      <c r="H310" s="118"/>
      <c r="I310" s="118"/>
      <c r="J310" s="118" t="e">
        <f t="shared" si="20"/>
        <v>#NUM!</v>
      </c>
      <c r="K310" s="118"/>
      <c r="L310" s="118"/>
      <c r="M310" s="119"/>
      <c r="S310" s="85"/>
      <c r="T310" s="85"/>
      <c r="U310" s="85"/>
      <c r="V310" s="85"/>
      <c r="W310" s="85"/>
      <c r="X310" s="85"/>
      <c r="Y310" s="85"/>
      <c r="Z310" s="85"/>
      <c r="AA310" s="85"/>
      <c r="AB310" s="85"/>
      <c r="AC310" s="85"/>
      <c r="AD310" s="85"/>
      <c r="AE310" s="85"/>
      <c r="AF310" s="85"/>
      <c r="AG310" s="85"/>
      <c r="AH310" s="85"/>
      <c r="AI310" s="85"/>
      <c r="AJ310" s="85"/>
      <c r="AK310" s="85"/>
      <c r="AL310" s="85"/>
    </row>
    <row r="311" spans="1:38" s="80" customFormat="1" x14ac:dyDescent="0.25">
      <c r="A311" s="115"/>
      <c r="B311" s="115"/>
      <c r="C311" s="115"/>
      <c r="D311" s="115"/>
      <c r="E311" s="115"/>
      <c r="F311" s="115"/>
      <c r="G311" s="115"/>
      <c r="H311" s="118"/>
      <c r="I311" s="118"/>
      <c r="J311" s="118" t="e">
        <f t="shared" si="20"/>
        <v>#NUM!</v>
      </c>
      <c r="K311" s="118"/>
      <c r="L311" s="118"/>
      <c r="M311" s="119"/>
      <c r="S311" s="85"/>
      <c r="T311" s="85"/>
      <c r="U311" s="85"/>
      <c r="V311" s="85"/>
      <c r="W311" s="85"/>
      <c r="X311" s="85"/>
      <c r="Y311" s="85"/>
      <c r="Z311" s="85"/>
      <c r="AA311" s="85"/>
      <c r="AB311" s="85"/>
      <c r="AC311" s="85"/>
      <c r="AD311" s="85"/>
      <c r="AE311" s="85"/>
      <c r="AF311" s="85"/>
      <c r="AG311" s="85"/>
      <c r="AH311" s="85"/>
      <c r="AI311" s="85"/>
      <c r="AJ311" s="85"/>
      <c r="AK311" s="85"/>
      <c r="AL311" s="85"/>
    </row>
    <row r="312" spans="1:38" s="80" customFormat="1" x14ac:dyDescent="0.25">
      <c r="A312" s="115"/>
      <c r="B312" s="115"/>
      <c r="C312" s="115"/>
      <c r="D312" s="115"/>
      <c r="E312" s="115"/>
      <c r="F312" s="115"/>
      <c r="G312" s="115"/>
      <c r="H312" s="118"/>
      <c r="I312" s="118"/>
      <c r="J312" s="118" t="e">
        <f t="shared" si="20"/>
        <v>#NUM!</v>
      </c>
      <c r="K312" s="118"/>
      <c r="L312" s="118"/>
      <c r="M312" s="119"/>
      <c r="S312" s="85"/>
      <c r="T312" s="85"/>
      <c r="U312" s="85"/>
      <c r="V312" s="85"/>
      <c r="W312" s="85"/>
      <c r="X312" s="85"/>
      <c r="Y312" s="85"/>
      <c r="Z312" s="85"/>
      <c r="AA312" s="85"/>
      <c r="AB312" s="85"/>
      <c r="AC312" s="85"/>
      <c r="AD312" s="85"/>
      <c r="AE312" s="85"/>
      <c r="AF312" s="85"/>
      <c r="AG312" s="85"/>
      <c r="AH312" s="85"/>
      <c r="AI312" s="85"/>
      <c r="AJ312" s="85"/>
      <c r="AK312" s="85"/>
      <c r="AL312" s="85"/>
    </row>
    <row r="313" spans="1:38" s="80" customFormat="1" x14ac:dyDescent="0.25">
      <c r="A313" s="115"/>
      <c r="B313" s="115"/>
      <c r="C313" s="115"/>
      <c r="D313" s="115"/>
      <c r="E313" s="115"/>
      <c r="F313" s="115"/>
      <c r="G313" s="115"/>
      <c r="H313" s="118"/>
      <c r="I313" s="118"/>
      <c r="J313" s="118" t="e">
        <f t="shared" si="20"/>
        <v>#NUM!</v>
      </c>
      <c r="K313" s="118"/>
      <c r="L313" s="118"/>
      <c r="M313" s="119"/>
      <c r="S313" s="85"/>
      <c r="T313" s="85"/>
      <c r="U313" s="85"/>
      <c r="V313" s="85"/>
      <c r="W313" s="85"/>
      <c r="X313" s="85"/>
      <c r="Y313" s="85"/>
      <c r="Z313" s="85"/>
      <c r="AA313" s="85"/>
      <c r="AB313" s="85"/>
      <c r="AC313" s="85"/>
      <c r="AD313" s="85"/>
      <c r="AE313" s="85"/>
      <c r="AF313" s="85"/>
      <c r="AG313" s="85"/>
      <c r="AH313" s="85"/>
      <c r="AI313" s="85"/>
      <c r="AJ313" s="85"/>
      <c r="AK313" s="85"/>
      <c r="AL313" s="85"/>
    </row>
    <row r="314" spans="1:38" s="80" customFormat="1" x14ac:dyDescent="0.25">
      <c r="A314" s="115"/>
      <c r="B314" s="115"/>
      <c r="C314" s="115"/>
      <c r="D314" s="115"/>
      <c r="E314" s="115"/>
      <c r="F314" s="115"/>
      <c r="G314" s="115"/>
      <c r="H314" s="118"/>
      <c r="I314" s="118"/>
      <c r="J314" s="118" t="e">
        <f t="shared" si="20"/>
        <v>#NUM!</v>
      </c>
      <c r="K314" s="118"/>
      <c r="L314" s="120"/>
      <c r="M314" s="119"/>
      <c r="P314" s="107"/>
      <c r="S314" s="85"/>
      <c r="T314" s="85"/>
      <c r="U314" s="85"/>
      <c r="V314" s="85"/>
      <c r="W314" s="85"/>
      <c r="X314" s="85"/>
      <c r="Y314" s="85"/>
      <c r="Z314" s="85"/>
      <c r="AA314" s="85"/>
      <c r="AB314" s="85"/>
      <c r="AC314" s="85"/>
      <c r="AD314" s="85"/>
      <c r="AE314" s="85"/>
      <c r="AF314" s="85"/>
      <c r="AG314" s="85"/>
      <c r="AH314" s="85"/>
      <c r="AI314" s="85"/>
      <c r="AJ314" s="85"/>
      <c r="AK314" s="85"/>
      <c r="AL314" s="85"/>
    </row>
    <row r="315" spans="1:38" s="80" customFormat="1" x14ac:dyDescent="0.25">
      <c r="A315" s="115"/>
      <c r="B315" s="115"/>
      <c r="C315" s="115"/>
      <c r="D315" s="115"/>
      <c r="E315" s="115"/>
      <c r="F315" s="115"/>
      <c r="G315" s="115"/>
      <c r="H315" s="118"/>
      <c r="I315" s="118"/>
      <c r="J315" s="118" t="e">
        <f t="shared" si="20"/>
        <v>#NUM!</v>
      </c>
      <c r="K315" s="118"/>
      <c r="L315" s="120"/>
      <c r="M315" s="119"/>
      <c r="P315" s="107"/>
      <c r="S315" s="85"/>
      <c r="T315" s="85"/>
      <c r="U315" s="85"/>
      <c r="V315" s="85"/>
      <c r="W315" s="85"/>
      <c r="X315" s="85"/>
      <c r="Y315" s="85"/>
      <c r="Z315" s="85"/>
      <c r="AA315" s="85"/>
      <c r="AB315" s="85"/>
      <c r="AC315" s="85"/>
      <c r="AD315" s="85"/>
      <c r="AE315" s="85"/>
      <c r="AF315" s="85"/>
      <c r="AG315" s="85"/>
      <c r="AH315" s="85"/>
      <c r="AI315" s="85"/>
      <c r="AJ315" s="85"/>
      <c r="AK315" s="85"/>
      <c r="AL315" s="85"/>
    </row>
    <row r="316" spans="1:38" s="80" customFormat="1" x14ac:dyDescent="0.25">
      <c r="A316" s="115"/>
      <c r="B316" s="115"/>
      <c r="C316" s="115"/>
      <c r="D316" s="115"/>
      <c r="E316" s="115"/>
      <c r="F316" s="115"/>
      <c r="G316" s="115"/>
      <c r="H316" s="118"/>
      <c r="I316" s="118"/>
      <c r="J316" s="118" t="e">
        <f t="shared" si="20"/>
        <v>#NUM!</v>
      </c>
      <c r="K316" s="118"/>
      <c r="L316" s="120"/>
      <c r="M316" s="119"/>
      <c r="P316" s="107"/>
      <c r="S316" s="85"/>
      <c r="T316" s="85"/>
      <c r="U316" s="85"/>
      <c r="V316" s="85"/>
      <c r="W316" s="85"/>
      <c r="X316" s="85"/>
      <c r="Y316" s="85"/>
      <c r="Z316" s="85"/>
      <c r="AA316" s="85"/>
      <c r="AB316" s="85"/>
      <c r="AC316" s="85"/>
      <c r="AD316" s="85"/>
      <c r="AE316" s="85"/>
      <c r="AF316" s="85"/>
      <c r="AG316" s="85"/>
      <c r="AH316" s="85"/>
      <c r="AI316" s="85"/>
      <c r="AJ316" s="85"/>
      <c r="AK316" s="85"/>
      <c r="AL316" s="85"/>
    </row>
    <row r="317" spans="1:38" s="80" customFormat="1" x14ac:dyDescent="0.25">
      <c r="A317" s="115"/>
      <c r="B317" s="115"/>
      <c r="C317" s="115"/>
      <c r="D317" s="115"/>
      <c r="E317" s="115"/>
      <c r="F317" s="115"/>
      <c r="G317" s="115"/>
      <c r="H317" s="118"/>
      <c r="I317" s="118"/>
      <c r="J317" s="118" t="e">
        <f t="shared" si="20"/>
        <v>#NUM!</v>
      </c>
      <c r="K317" s="118"/>
      <c r="L317" s="120"/>
      <c r="M317" s="119"/>
      <c r="P317" s="107"/>
      <c r="S317" s="85"/>
      <c r="T317" s="85"/>
      <c r="U317" s="85"/>
      <c r="V317" s="85"/>
      <c r="W317" s="85"/>
      <c r="X317" s="85"/>
      <c r="Y317" s="85"/>
      <c r="Z317" s="85"/>
      <c r="AA317" s="85"/>
      <c r="AB317" s="85"/>
      <c r="AC317" s="85"/>
      <c r="AD317" s="85"/>
      <c r="AE317" s="85"/>
      <c r="AF317" s="85"/>
      <c r="AG317" s="85"/>
      <c r="AH317" s="85"/>
      <c r="AI317" s="85"/>
      <c r="AJ317" s="85"/>
      <c r="AK317" s="85"/>
      <c r="AL317" s="85"/>
    </row>
    <row r="318" spans="1:38" s="80" customFormat="1" x14ac:dyDescent="0.25">
      <c r="A318" s="115"/>
      <c r="B318" s="115"/>
      <c r="C318" s="115"/>
      <c r="D318" s="115"/>
      <c r="E318" s="115"/>
      <c r="F318" s="115"/>
      <c r="G318" s="115"/>
      <c r="H318" s="118"/>
      <c r="I318" s="118"/>
      <c r="J318" s="118" t="e">
        <f t="shared" si="20"/>
        <v>#NUM!</v>
      </c>
      <c r="K318" s="118"/>
      <c r="L318" s="118"/>
      <c r="M318" s="119"/>
      <c r="S318" s="85"/>
      <c r="T318" s="85"/>
      <c r="U318" s="85"/>
      <c r="V318" s="85"/>
      <c r="W318" s="85"/>
      <c r="X318" s="85"/>
      <c r="Y318" s="85"/>
      <c r="Z318" s="85"/>
      <c r="AA318" s="85"/>
      <c r="AB318" s="85"/>
      <c r="AC318" s="85"/>
      <c r="AD318" s="85"/>
      <c r="AE318" s="85"/>
      <c r="AF318" s="85"/>
      <c r="AG318" s="85"/>
      <c r="AH318" s="85"/>
      <c r="AI318" s="85"/>
      <c r="AJ318" s="85"/>
      <c r="AK318" s="85"/>
      <c r="AL318" s="85"/>
    </row>
    <row r="319" spans="1:38" s="80" customFormat="1" x14ac:dyDescent="0.25">
      <c r="A319" s="115"/>
      <c r="B319" s="115"/>
      <c r="C319" s="115"/>
      <c r="D319" s="115"/>
      <c r="E319" s="115"/>
      <c r="F319" s="115"/>
      <c r="G319" s="115"/>
      <c r="H319" s="118"/>
      <c r="I319" s="118"/>
      <c r="J319" s="118" t="e">
        <f t="shared" si="20"/>
        <v>#NUM!</v>
      </c>
      <c r="K319" s="118"/>
      <c r="L319" s="118"/>
      <c r="M319" s="119"/>
      <c r="S319" s="85"/>
      <c r="T319" s="85"/>
      <c r="U319" s="85"/>
      <c r="V319" s="85"/>
      <c r="W319" s="85"/>
      <c r="X319" s="85"/>
      <c r="Y319" s="85"/>
      <c r="Z319" s="85"/>
      <c r="AA319" s="85"/>
      <c r="AB319" s="85"/>
      <c r="AC319" s="85"/>
      <c r="AD319" s="85"/>
      <c r="AE319" s="85"/>
      <c r="AF319" s="85"/>
      <c r="AG319" s="85"/>
      <c r="AH319" s="85"/>
      <c r="AI319" s="85"/>
      <c r="AJ319" s="85"/>
      <c r="AK319" s="85"/>
      <c r="AL319" s="85"/>
    </row>
    <row r="320" spans="1:38" s="80" customFormat="1" x14ac:dyDescent="0.25">
      <c r="A320" s="115"/>
      <c r="B320" s="115"/>
      <c r="C320" s="115"/>
      <c r="D320" s="115"/>
      <c r="E320" s="115"/>
      <c r="F320" s="115"/>
      <c r="G320" s="115"/>
      <c r="H320" s="118"/>
      <c r="I320" s="118"/>
      <c r="J320" s="118" t="e">
        <f t="shared" si="20"/>
        <v>#NUM!</v>
      </c>
      <c r="K320" s="118"/>
      <c r="L320" s="118"/>
      <c r="M320" s="119"/>
      <c r="S320" s="85"/>
      <c r="T320" s="85"/>
      <c r="U320" s="85"/>
      <c r="V320" s="85"/>
      <c r="W320" s="85"/>
      <c r="X320" s="85"/>
      <c r="Y320" s="85"/>
      <c r="Z320" s="85"/>
      <c r="AA320" s="85"/>
      <c r="AB320" s="85"/>
      <c r="AC320" s="85"/>
      <c r="AD320" s="85"/>
      <c r="AE320" s="85"/>
      <c r="AF320" s="85"/>
      <c r="AG320" s="85"/>
      <c r="AH320" s="85"/>
      <c r="AI320" s="85"/>
      <c r="AJ320" s="85"/>
      <c r="AK320" s="85"/>
      <c r="AL320" s="85"/>
    </row>
    <row r="321" spans="10:38" s="118" customFormat="1" x14ac:dyDescent="0.25">
      <c r="J321" s="118" t="e">
        <f t="shared" si="20"/>
        <v>#NUM!</v>
      </c>
      <c r="M321" s="119"/>
      <c r="N321" s="80"/>
      <c r="O321" s="80"/>
      <c r="P321" s="80"/>
      <c r="Q321" s="80"/>
      <c r="R321" s="80"/>
      <c r="S321" s="85"/>
      <c r="T321" s="85"/>
      <c r="U321" s="85"/>
      <c r="V321" s="85"/>
      <c r="W321" s="85"/>
      <c r="X321" s="85"/>
      <c r="Y321" s="85"/>
      <c r="Z321" s="85"/>
      <c r="AA321" s="85"/>
      <c r="AB321" s="85"/>
      <c r="AC321" s="85"/>
      <c r="AD321" s="85"/>
      <c r="AE321" s="85"/>
      <c r="AF321" s="85"/>
      <c r="AG321" s="85"/>
      <c r="AH321" s="85"/>
      <c r="AI321" s="85"/>
      <c r="AJ321" s="85"/>
      <c r="AK321" s="85"/>
      <c r="AL321" s="85"/>
    </row>
    <row r="322" spans="10:38" s="118" customFormat="1" x14ac:dyDescent="0.25">
      <c r="J322" s="118" t="e">
        <f t="shared" si="20"/>
        <v>#NUM!</v>
      </c>
      <c r="M322" s="119"/>
      <c r="N322" s="80"/>
      <c r="O322" s="80"/>
      <c r="P322" s="80"/>
      <c r="Q322" s="80"/>
      <c r="R322" s="80"/>
      <c r="S322" s="85"/>
      <c r="T322" s="85"/>
      <c r="U322" s="85"/>
      <c r="V322" s="85"/>
      <c r="W322" s="85"/>
      <c r="X322" s="85"/>
      <c r="Y322" s="85"/>
      <c r="Z322" s="85"/>
      <c r="AA322" s="85"/>
      <c r="AB322" s="85"/>
      <c r="AC322" s="85"/>
      <c r="AD322" s="85"/>
      <c r="AE322" s="85"/>
      <c r="AF322" s="85"/>
      <c r="AG322" s="85"/>
      <c r="AH322" s="85"/>
      <c r="AI322" s="85"/>
      <c r="AJ322" s="85"/>
      <c r="AK322" s="85"/>
      <c r="AL322" s="85"/>
    </row>
    <row r="323" spans="10:38" s="118" customFormat="1" x14ac:dyDescent="0.25">
      <c r="J323" s="118" t="e">
        <f t="shared" si="20"/>
        <v>#NUM!</v>
      </c>
      <c r="M323" s="119"/>
      <c r="N323" s="80"/>
      <c r="O323" s="80"/>
      <c r="P323" s="80"/>
      <c r="Q323" s="80"/>
      <c r="R323" s="80"/>
      <c r="S323" s="85"/>
      <c r="T323" s="85"/>
      <c r="U323" s="85"/>
      <c r="V323" s="85"/>
      <c r="W323" s="85"/>
      <c r="X323" s="85"/>
      <c r="Y323" s="85"/>
      <c r="Z323" s="85"/>
      <c r="AA323" s="85"/>
      <c r="AB323" s="85"/>
      <c r="AC323" s="85"/>
      <c r="AD323" s="85"/>
      <c r="AE323" s="85"/>
      <c r="AF323" s="85"/>
      <c r="AG323" s="85"/>
      <c r="AH323" s="85"/>
      <c r="AI323" s="85"/>
      <c r="AJ323" s="85"/>
      <c r="AK323" s="85"/>
      <c r="AL323" s="85"/>
    </row>
    <row r="324" spans="10:38" s="118" customFormat="1" x14ac:dyDescent="0.25">
      <c r="J324" s="118" t="e">
        <f t="shared" si="20"/>
        <v>#NUM!</v>
      </c>
      <c r="M324" s="119"/>
      <c r="N324" s="80"/>
      <c r="O324" s="80"/>
      <c r="P324" s="80"/>
      <c r="Q324" s="80"/>
      <c r="R324" s="80"/>
      <c r="S324" s="85"/>
      <c r="T324" s="85"/>
      <c r="U324" s="85"/>
      <c r="V324" s="85"/>
      <c r="W324" s="85"/>
      <c r="X324" s="85"/>
      <c r="Y324" s="85"/>
      <c r="Z324" s="85"/>
      <c r="AA324" s="85"/>
      <c r="AB324" s="85"/>
      <c r="AC324" s="85"/>
      <c r="AD324" s="85"/>
      <c r="AE324" s="85"/>
      <c r="AF324" s="85"/>
      <c r="AG324" s="85"/>
      <c r="AH324" s="85"/>
      <c r="AI324" s="85"/>
      <c r="AJ324" s="85"/>
      <c r="AK324" s="85"/>
      <c r="AL324" s="85"/>
    </row>
    <row r="325" spans="10:38" s="118" customFormat="1" x14ac:dyDescent="0.25">
      <c r="J325" s="118" t="e">
        <f t="shared" si="20"/>
        <v>#NUM!</v>
      </c>
      <c r="M325" s="119"/>
      <c r="N325" s="80"/>
      <c r="O325" s="80"/>
      <c r="P325" s="80"/>
      <c r="Q325" s="80"/>
      <c r="R325" s="80"/>
      <c r="S325" s="85"/>
      <c r="T325" s="85"/>
      <c r="U325" s="85"/>
      <c r="V325" s="85"/>
      <c r="W325" s="85"/>
      <c r="X325" s="85"/>
      <c r="Y325" s="85"/>
      <c r="Z325" s="85"/>
      <c r="AA325" s="85"/>
      <c r="AB325" s="85"/>
      <c r="AC325" s="85"/>
      <c r="AD325" s="85"/>
      <c r="AE325" s="85"/>
      <c r="AF325" s="85"/>
      <c r="AG325" s="85"/>
      <c r="AH325" s="85"/>
      <c r="AI325" s="85"/>
      <c r="AJ325" s="85"/>
      <c r="AK325" s="85"/>
      <c r="AL325" s="85"/>
    </row>
    <row r="326" spans="10:38" s="118" customFormat="1" x14ac:dyDescent="0.25">
      <c r="J326" s="118" t="e">
        <f t="shared" ref="J326:J374" si="23">INT(LOG($H$2,2))-ROUNDUP(LOG(H326,2),0)+IF(OR($H$2=1,$H$2=2,$H$2=4,$H$2=8,$H$2=16,$H$2=32,$H$2=64,$H$2=128,$H$2=256),0,1)</f>
        <v>#NUM!</v>
      </c>
      <c r="M326" s="119"/>
      <c r="N326" s="80"/>
      <c r="O326" s="80"/>
      <c r="P326" s="80"/>
      <c r="Q326" s="80"/>
      <c r="R326" s="80"/>
      <c r="S326" s="85"/>
      <c r="T326" s="85"/>
      <c r="U326" s="85"/>
      <c r="V326" s="85"/>
      <c r="W326" s="85"/>
      <c r="X326" s="85"/>
      <c r="Y326" s="85"/>
      <c r="Z326" s="85"/>
      <c r="AA326" s="85"/>
      <c r="AB326" s="85"/>
      <c r="AC326" s="85"/>
      <c r="AD326" s="85"/>
      <c r="AE326" s="85"/>
      <c r="AF326" s="85"/>
      <c r="AG326" s="85"/>
      <c r="AH326" s="85"/>
      <c r="AI326" s="85"/>
      <c r="AJ326" s="85"/>
      <c r="AK326" s="85"/>
      <c r="AL326" s="85"/>
    </row>
    <row r="327" spans="10:38" s="118" customFormat="1" x14ac:dyDescent="0.25">
      <c r="J327" s="118" t="e">
        <f t="shared" si="23"/>
        <v>#NUM!</v>
      </c>
      <c r="M327" s="119"/>
      <c r="N327" s="80"/>
      <c r="O327" s="80"/>
      <c r="P327" s="80"/>
      <c r="Q327" s="80"/>
      <c r="R327" s="80"/>
      <c r="S327" s="85"/>
      <c r="T327" s="85"/>
      <c r="U327" s="85"/>
      <c r="V327" s="85"/>
      <c r="W327" s="85"/>
      <c r="X327" s="85"/>
      <c r="Y327" s="85"/>
      <c r="Z327" s="85"/>
      <c r="AA327" s="85"/>
      <c r="AB327" s="85"/>
      <c r="AC327" s="85"/>
      <c r="AD327" s="85"/>
      <c r="AE327" s="85"/>
      <c r="AF327" s="85"/>
      <c r="AG327" s="85"/>
      <c r="AH327" s="85"/>
      <c r="AI327" s="85"/>
      <c r="AJ327" s="85"/>
      <c r="AK327" s="85"/>
      <c r="AL327" s="85"/>
    </row>
    <row r="328" spans="10:38" s="118" customFormat="1" x14ac:dyDescent="0.25">
      <c r="J328" s="118" t="e">
        <f t="shared" si="23"/>
        <v>#NUM!</v>
      </c>
      <c r="M328" s="119"/>
      <c r="N328" s="80"/>
      <c r="O328" s="80"/>
      <c r="P328" s="80"/>
      <c r="Q328" s="80"/>
      <c r="R328" s="80"/>
      <c r="S328" s="85"/>
      <c r="T328" s="85"/>
      <c r="U328" s="85"/>
      <c r="V328" s="85"/>
      <c r="W328" s="85"/>
      <c r="X328" s="85"/>
      <c r="Y328" s="85"/>
      <c r="Z328" s="85"/>
      <c r="AA328" s="85"/>
      <c r="AB328" s="85"/>
      <c r="AC328" s="85"/>
      <c r="AD328" s="85"/>
      <c r="AE328" s="85"/>
      <c r="AF328" s="85"/>
      <c r="AG328" s="85"/>
      <c r="AH328" s="85"/>
      <c r="AI328" s="85"/>
      <c r="AJ328" s="85"/>
      <c r="AK328" s="85"/>
      <c r="AL328" s="85"/>
    </row>
    <row r="329" spans="10:38" s="118" customFormat="1" x14ac:dyDescent="0.25">
      <c r="J329" s="118" t="e">
        <f t="shared" si="23"/>
        <v>#NUM!</v>
      </c>
      <c r="M329" s="119"/>
      <c r="N329" s="80"/>
      <c r="O329" s="80"/>
      <c r="P329" s="80"/>
      <c r="Q329" s="80"/>
      <c r="R329" s="80"/>
      <c r="S329" s="85"/>
      <c r="T329" s="85"/>
      <c r="U329" s="85"/>
      <c r="V329" s="85"/>
      <c r="W329" s="85"/>
      <c r="X329" s="85"/>
      <c r="Y329" s="85"/>
      <c r="Z329" s="85"/>
      <c r="AA329" s="85"/>
      <c r="AB329" s="85"/>
      <c r="AC329" s="85"/>
      <c r="AD329" s="85"/>
      <c r="AE329" s="85"/>
      <c r="AF329" s="85"/>
      <c r="AG329" s="85"/>
      <c r="AH329" s="85"/>
      <c r="AI329" s="85"/>
      <c r="AJ329" s="85"/>
      <c r="AK329" s="85"/>
      <c r="AL329" s="85"/>
    </row>
    <row r="330" spans="10:38" s="118" customFormat="1" x14ac:dyDescent="0.25">
      <c r="J330" s="118" t="e">
        <f t="shared" si="23"/>
        <v>#NUM!</v>
      </c>
      <c r="M330" s="119"/>
      <c r="N330" s="80"/>
      <c r="O330" s="80"/>
      <c r="P330" s="80"/>
      <c r="Q330" s="80"/>
      <c r="R330" s="80"/>
      <c r="S330" s="85"/>
      <c r="T330" s="85"/>
      <c r="U330" s="85"/>
      <c r="V330" s="85"/>
      <c r="W330" s="85"/>
      <c r="X330" s="85"/>
      <c r="Y330" s="85"/>
      <c r="Z330" s="85"/>
      <c r="AA330" s="85"/>
      <c r="AB330" s="85"/>
      <c r="AC330" s="85"/>
      <c r="AD330" s="85"/>
      <c r="AE330" s="85"/>
      <c r="AF330" s="85"/>
      <c r="AG330" s="85"/>
      <c r="AH330" s="85"/>
      <c r="AI330" s="85"/>
      <c r="AJ330" s="85"/>
      <c r="AK330" s="85"/>
      <c r="AL330" s="85"/>
    </row>
    <row r="331" spans="10:38" s="118" customFormat="1" x14ac:dyDescent="0.25">
      <c r="J331" s="118" t="e">
        <f t="shared" si="23"/>
        <v>#NUM!</v>
      </c>
      <c r="M331" s="119"/>
      <c r="N331" s="80"/>
      <c r="O331" s="80"/>
      <c r="P331" s="80"/>
      <c r="Q331" s="80"/>
      <c r="R331" s="80"/>
      <c r="S331" s="85"/>
      <c r="T331" s="85"/>
      <c r="U331" s="85"/>
      <c r="V331" s="85"/>
      <c r="W331" s="85"/>
      <c r="X331" s="85"/>
      <c r="Y331" s="85"/>
      <c r="Z331" s="85"/>
      <c r="AA331" s="85"/>
      <c r="AB331" s="85"/>
      <c r="AC331" s="85"/>
      <c r="AD331" s="85"/>
      <c r="AE331" s="85"/>
      <c r="AF331" s="85"/>
      <c r="AG331" s="85"/>
      <c r="AH331" s="85"/>
      <c r="AI331" s="85"/>
      <c r="AJ331" s="85"/>
      <c r="AK331" s="85"/>
      <c r="AL331" s="85"/>
    </row>
    <row r="332" spans="10:38" s="118" customFormat="1" x14ac:dyDescent="0.25">
      <c r="J332" s="118" t="e">
        <f t="shared" si="23"/>
        <v>#NUM!</v>
      </c>
      <c r="M332" s="119"/>
      <c r="N332" s="80"/>
      <c r="O332" s="80"/>
      <c r="P332" s="80"/>
      <c r="Q332" s="80"/>
      <c r="R332" s="80"/>
      <c r="S332" s="85"/>
      <c r="T332" s="85"/>
      <c r="U332" s="85"/>
      <c r="V332" s="85"/>
      <c r="W332" s="85"/>
      <c r="X332" s="85"/>
      <c r="Y332" s="85"/>
      <c r="Z332" s="85"/>
      <c r="AA332" s="85"/>
      <c r="AB332" s="85"/>
      <c r="AC332" s="85"/>
      <c r="AD332" s="85"/>
      <c r="AE332" s="85"/>
      <c r="AF332" s="85"/>
      <c r="AG332" s="85"/>
      <c r="AH332" s="85"/>
      <c r="AI332" s="85"/>
      <c r="AJ332" s="85"/>
      <c r="AK332" s="85"/>
      <c r="AL332" s="85"/>
    </row>
    <row r="333" spans="10:38" s="118" customFormat="1" x14ac:dyDescent="0.25">
      <c r="J333" s="118" t="e">
        <f t="shared" si="23"/>
        <v>#NUM!</v>
      </c>
      <c r="M333" s="119"/>
      <c r="N333" s="80"/>
      <c r="O333" s="80"/>
      <c r="P333" s="80"/>
      <c r="Q333" s="80"/>
      <c r="R333" s="80"/>
      <c r="S333" s="85"/>
      <c r="T333" s="85"/>
      <c r="U333" s="85"/>
      <c r="V333" s="85"/>
      <c r="W333" s="85"/>
      <c r="X333" s="85"/>
      <c r="Y333" s="85"/>
      <c r="Z333" s="85"/>
      <c r="AA333" s="85"/>
      <c r="AB333" s="85"/>
      <c r="AC333" s="85"/>
      <c r="AD333" s="85"/>
      <c r="AE333" s="85"/>
      <c r="AF333" s="85"/>
      <c r="AG333" s="85"/>
      <c r="AH333" s="85"/>
      <c r="AI333" s="85"/>
      <c r="AJ333" s="85"/>
      <c r="AK333" s="85"/>
      <c r="AL333" s="85"/>
    </row>
    <row r="334" spans="10:38" s="118" customFormat="1" x14ac:dyDescent="0.25">
      <c r="J334" s="118" t="e">
        <f t="shared" si="23"/>
        <v>#NUM!</v>
      </c>
      <c r="M334" s="119"/>
      <c r="N334" s="80"/>
      <c r="O334" s="80"/>
      <c r="P334" s="80"/>
      <c r="Q334" s="80"/>
      <c r="R334" s="80"/>
      <c r="S334" s="85"/>
      <c r="T334" s="85"/>
      <c r="U334" s="85"/>
      <c r="V334" s="85"/>
      <c r="W334" s="85"/>
      <c r="X334" s="85"/>
      <c r="Y334" s="85"/>
      <c r="Z334" s="85"/>
      <c r="AA334" s="85"/>
      <c r="AB334" s="85"/>
      <c r="AC334" s="85"/>
      <c r="AD334" s="85"/>
      <c r="AE334" s="85"/>
      <c r="AF334" s="85"/>
      <c r="AG334" s="85"/>
      <c r="AH334" s="85"/>
      <c r="AI334" s="85"/>
      <c r="AJ334" s="85"/>
      <c r="AK334" s="85"/>
      <c r="AL334" s="85"/>
    </row>
    <row r="335" spans="10:38" s="118" customFormat="1" x14ac:dyDescent="0.25">
      <c r="J335" s="118" t="e">
        <f t="shared" si="23"/>
        <v>#NUM!</v>
      </c>
      <c r="M335" s="119"/>
      <c r="N335" s="80"/>
      <c r="O335" s="80"/>
      <c r="P335" s="80"/>
      <c r="Q335" s="80"/>
      <c r="R335" s="80"/>
      <c r="S335" s="85"/>
      <c r="T335" s="85"/>
      <c r="U335" s="85"/>
      <c r="V335" s="85"/>
      <c r="W335" s="85"/>
      <c r="X335" s="85"/>
      <c r="Y335" s="85"/>
      <c r="Z335" s="85"/>
      <c r="AA335" s="85"/>
      <c r="AB335" s="85"/>
      <c r="AC335" s="85"/>
      <c r="AD335" s="85"/>
      <c r="AE335" s="85"/>
      <c r="AF335" s="85"/>
      <c r="AG335" s="85"/>
      <c r="AH335" s="85"/>
      <c r="AI335" s="85"/>
      <c r="AJ335" s="85"/>
      <c r="AK335" s="85"/>
      <c r="AL335" s="85"/>
    </row>
    <row r="336" spans="10:38" s="118" customFormat="1" x14ac:dyDescent="0.25">
      <c r="J336" s="118" t="e">
        <f t="shared" si="23"/>
        <v>#NUM!</v>
      </c>
      <c r="M336" s="119"/>
      <c r="N336" s="80"/>
      <c r="O336" s="80"/>
      <c r="P336" s="80"/>
      <c r="Q336" s="80"/>
      <c r="R336" s="80"/>
      <c r="S336" s="85"/>
      <c r="T336" s="85"/>
      <c r="U336" s="85"/>
      <c r="V336" s="85"/>
      <c r="W336" s="85"/>
      <c r="X336" s="85"/>
      <c r="Y336" s="85"/>
      <c r="Z336" s="85"/>
      <c r="AA336" s="85"/>
      <c r="AB336" s="85"/>
      <c r="AC336" s="85"/>
      <c r="AD336" s="85"/>
      <c r="AE336" s="85"/>
      <c r="AF336" s="85"/>
      <c r="AG336" s="85"/>
      <c r="AH336" s="85"/>
      <c r="AI336" s="85"/>
      <c r="AJ336" s="85"/>
      <c r="AK336" s="85"/>
      <c r="AL336" s="85"/>
    </row>
    <row r="337" spans="10:38" s="118" customFormat="1" x14ac:dyDescent="0.25">
      <c r="J337" s="118" t="e">
        <f t="shared" si="23"/>
        <v>#NUM!</v>
      </c>
      <c r="M337" s="119"/>
      <c r="N337" s="80"/>
      <c r="O337" s="80"/>
      <c r="P337" s="80"/>
      <c r="Q337" s="80"/>
      <c r="R337" s="80"/>
      <c r="S337" s="85"/>
      <c r="T337" s="85"/>
      <c r="U337" s="85"/>
      <c r="V337" s="85"/>
      <c r="W337" s="85"/>
      <c r="X337" s="85"/>
      <c r="Y337" s="85"/>
      <c r="Z337" s="85"/>
      <c r="AA337" s="85"/>
      <c r="AB337" s="85"/>
      <c r="AC337" s="85"/>
      <c r="AD337" s="85"/>
      <c r="AE337" s="85"/>
      <c r="AF337" s="85"/>
      <c r="AG337" s="85"/>
      <c r="AH337" s="85"/>
      <c r="AI337" s="85"/>
      <c r="AJ337" s="85"/>
      <c r="AK337" s="85"/>
      <c r="AL337" s="85"/>
    </row>
    <row r="338" spans="10:38" s="118" customFormat="1" x14ac:dyDescent="0.25">
      <c r="J338" s="118" t="e">
        <f t="shared" si="23"/>
        <v>#NUM!</v>
      </c>
      <c r="M338" s="119"/>
      <c r="N338" s="80"/>
      <c r="O338" s="80"/>
      <c r="P338" s="80"/>
      <c r="Q338" s="80"/>
      <c r="R338" s="80"/>
      <c r="S338" s="85"/>
      <c r="T338" s="85"/>
      <c r="U338" s="85"/>
      <c r="V338" s="85"/>
      <c r="W338" s="85"/>
      <c r="X338" s="85"/>
      <c r="Y338" s="85"/>
      <c r="Z338" s="85"/>
      <c r="AA338" s="85"/>
      <c r="AB338" s="85"/>
      <c r="AC338" s="85"/>
      <c r="AD338" s="85"/>
      <c r="AE338" s="85"/>
      <c r="AF338" s="85"/>
      <c r="AG338" s="85"/>
      <c r="AH338" s="85"/>
      <c r="AI338" s="85"/>
      <c r="AJ338" s="85"/>
      <c r="AK338" s="85"/>
      <c r="AL338" s="85"/>
    </row>
    <row r="339" spans="10:38" s="118" customFormat="1" x14ac:dyDescent="0.25">
      <c r="J339" s="118" t="e">
        <f t="shared" si="23"/>
        <v>#NUM!</v>
      </c>
      <c r="M339" s="119"/>
      <c r="N339" s="80"/>
      <c r="O339" s="80"/>
      <c r="P339" s="80"/>
      <c r="Q339" s="80"/>
      <c r="R339" s="80"/>
      <c r="S339" s="85"/>
      <c r="T339" s="85"/>
      <c r="U339" s="85"/>
      <c r="V339" s="85"/>
      <c r="W339" s="85"/>
      <c r="X339" s="85"/>
      <c r="Y339" s="85"/>
      <c r="Z339" s="85"/>
      <c r="AA339" s="85"/>
      <c r="AB339" s="85"/>
      <c r="AC339" s="85"/>
      <c r="AD339" s="85"/>
      <c r="AE339" s="85"/>
      <c r="AF339" s="85"/>
      <c r="AG339" s="85"/>
      <c r="AH339" s="85"/>
      <c r="AI339" s="85"/>
      <c r="AJ339" s="85"/>
      <c r="AK339" s="85"/>
      <c r="AL339" s="85"/>
    </row>
    <row r="340" spans="10:38" s="118" customFormat="1" x14ac:dyDescent="0.25">
      <c r="J340" s="118" t="e">
        <f t="shared" si="23"/>
        <v>#NUM!</v>
      </c>
      <c r="M340" s="119"/>
      <c r="N340" s="80"/>
      <c r="O340" s="80"/>
      <c r="P340" s="80"/>
      <c r="Q340" s="80"/>
      <c r="R340" s="80"/>
      <c r="S340" s="85"/>
      <c r="T340" s="85"/>
      <c r="U340" s="85"/>
      <c r="V340" s="85"/>
      <c r="W340" s="85"/>
      <c r="X340" s="85"/>
      <c r="Y340" s="85"/>
      <c r="Z340" s="85"/>
      <c r="AA340" s="85"/>
      <c r="AB340" s="85"/>
      <c r="AC340" s="85"/>
      <c r="AD340" s="85"/>
      <c r="AE340" s="85"/>
      <c r="AF340" s="85"/>
      <c r="AG340" s="85"/>
      <c r="AH340" s="85"/>
      <c r="AI340" s="85"/>
      <c r="AJ340" s="85"/>
      <c r="AK340" s="85"/>
      <c r="AL340" s="85"/>
    </row>
    <row r="341" spans="10:38" s="118" customFormat="1" x14ac:dyDescent="0.25">
      <c r="J341" s="118" t="e">
        <f t="shared" si="23"/>
        <v>#NUM!</v>
      </c>
      <c r="M341" s="119"/>
      <c r="N341" s="80"/>
      <c r="O341" s="80"/>
      <c r="P341" s="80"/>
      <c r="Q341" s="80"/>
      <c r="R341" s="80"/>
      <c r="S341" s="85"/>
      <c r="T341" s="85"/>
      <c r="U341" s="85"/>
      <c r="V341" s="85"/>
      <c r="W341" s="85"/>
      <c r="X341" s="85"/>
      <c r="Y341" s="85"/>
      <c r="Z341" s="85"/>
      <c r="AA341" s="85"/>
      <c r="AB341" s="85"/>
      <c r="AC341" s="85"/>
      <c r="AD341" s="85"/>
      <c r="AE341" s="85"/>
      <c r="AF341" s="85"/>
      <c r="AG341" s="85"/>
      <c r="AH341" s="85"/>
      <c r="AI341" s="85"/>
      <c r="AJ341" s="85"/>
      <c r="AK341" s="85"/>
      <c r="AL341" s="85"/>
    </row>
    <row r="342" spans="10:38" s="118" customFormat="1" x14ac:dyDescent="0.25">
      <c r="J342" s="118" t="e">
        <f t="shared" si="23"/>
        <v>#NUM!</v>
      </c>
      <c r="M342" s="119"/>
      <c r="N342" s="80"/>
      <c r="O342" s="80"/>
      <c r="P342" s="80"/>
      <c r="Q342" s="80"/>
      <c r="R342" s="80"/>
      <c r="S342" s="85"/>
      <c r="T342" s="85"/>
      <c r="U342" s="85"/>
      <c r="V342" s="85"/>
      <c r="W342" s="85"/>
      <c r="X342" s="85"/>
      <c r="Y342" s="85"/>
      <c r="Z342" s="85"/>
      <c r="AA342" s="85"/>
      <c r="AB342" s="85"/>
      <c r="AC342" s="85"/>
      <c r="AD342" s="85"/>
      <c r="AE342" s="85"/>
      <c r="AF342" s="85"/>
      <c r="AG342" s="85"/>
      <c r="AH342" s="85"/>
      <c r="AI342" s="85"/>
      <c r="AJ342" s="85"/>
      <c r="AK342" s="85"/>
      <c r="AL342" s="85"/>
    </row>
    <row r="343" spans="10:38" s="118" customFormat="1" x14ac:dyDescent="0.25">
      <c r="J343" s="118" t="e">
        <f t="shared" si="23"/>
        <v>#NUM!</v>
      </c>
      <c r="M343" s="119"/>
      <c r="N343" s="80"/>
      <c r="O343" s="80"/>
      <c r="P343" s="80"/>
      <c r="Q343" s="80"/>
      <c r="R343" s="80"/>
      <c r="S343" s="85"/>
      <c r="T343" s="85"/>
      <c r="U343" s="85"/>
      <c r="V343" s="85"/>
      <c r="W343" s="85"/>
      <c r="X343" s="85"/>
      <c r="Y343" s="85"/>
      <c r="Z343" s="85"/>
      <c r="AA343" s="85"/>
      <c r="AB343" s="85"/>
      <c r="AC343" s="85"/>
      <c r="AD343" s="85"/>
      <c r="AE343" s="85"/>
      <c r="AF343" s="85"/>
      <c r="AG343" s="85"/>
      <c r="AH343" s="85"/>
      <c r="AI343" s="85"/>
      <c r="AJ343" s="85"/>
      <c r="AK343" s="85"/>
      <c r="AL343" s="85"/>
    </row>
    <row r="344" spans="10:38" s="118" customFormat="1" x14ac:dyDescent="0.25">
      <c r="J344" s="118" t="e">
        <f t="shared" si="23"/>
        <v>#NUM!</v>
      </c>
      <c r="M344" s="119"/>
      <c r="N344" s="80"/>
      <c r="O344" s="80"/>
      <c r="P344" s="80"/>
      <c r="Q344" s="80"/>
      <c r="R344" s="80"/>
      <c r="S344" s="85"/>
      <c r="T344" s="85"/>
      <c r="U344" s="85"/>
      <c r="V344" s="85"/>
      <c r="W344" s="85"/>
      <c r="X344" s="85"/>
      <c r="Y344" s="85"/>
      <c r="Z344" s="85"/>
      <c r="AA344" s="85"/>
      <c r="AB344" s="85"/>
      <c r="AC344" s="85"/>
      <c r="AD344" s="85"/>
      <c r="AE344" s="85"/>
      <c r="AF344" s="85"/>
      <c r="AG344" s="85"/>
      <c r="AH344" s="85"/>
      <c r="AI344" s="85"/>
      <c r="AJ344" s="85"/>
      <c r="AK344" s="85"/>
      <c r="AL344" s="85"/>
    </row>
    <row r="345" spans="10:38" s="118" customFormat="1" x14ac:dyDescent="0.25">
      <c r="J345" s="118" t="e">
        <f t="shared" si="23"/>
        <v>#NUM!</v>
      </c>
      <c r="M345" s="119"/>
      <c r="N345" s="80"/>
      <c r="O345" s="80"/>
      <c r="P345" s="80"/>
      <c r="Q345" s="80"/>
      <c r="R345" s="80"/>
      <c r="S345" s="85"/>
      <c r="T345" s="85"/>
      <c r="U345" s="85"/>
      <c r="V345" s="85"/>
      <c r="W345" s="85"/>
      <c r="X345" s="85"/>
      <c r="Y345" s="85"/>
      <c r="Z345" s="85"/>
      <c r="AA345" s="85"/>
      <c r="AB345" s="85"/>
      <c r="AC345" s="85"/>
      <c r="AD345" s="85"/>
      <c r="AE345" s="85"/>
      <c r="AF345" s="85"/>
      <c r="AG345" s="85"/>
      <c r="AH345" s="85"/>
      <c r="AI345" s="85"/>
      <c r="AJ345" s="85"/>
      <c r="AK345" s="85"/>
      <c r="AL345" s="85"/>
    </row>
    <row r="346" spans="10:38" s="118" customFormat="1" x14ac:dyDescent="0.25">
      <c r="J346" s="118" t="e">
        <f t="shared" si="23"/>
        <v>#NUM!</v>
      </c>
      <c r="M346" s="119"/>
      <c r="N346" s="80"/>
      <c r="O346" s="80"/>
      <c r="P346" s="80"/>
      <c r="Q346" s="80"/>
      <c r="R346" s="80"/>
      <c r="S346" s="85"/>
      <c r="T346" s="85"/>
      <c r="U346" s="85"/>
      <c r="V346" s="85"/>
      <c r="W346" s="85"/>
      <c r="X346" s="85"/>
      <c r="Y346" s="85"/>
      <c r="Z346" s="85"/>
      <c r="AA346" s="85"/>
      <c r="AB346" s="85"/>
      <c r="AC346" s="85"/>
      <c r="AD346" s="85"/>
      <c r="AE346" s="85"/>
      <c r="AF346" s="85"/>
      <c r="AG346" s="85"/>
      <c r="AH346" s="85"/>
      <c r="AI346" s="85"/>
      <c r="AJ346" s="85"/>
      <c r="AK346" s="85"/>
      <c r="AL346" s="85"/>
    </row>
    <row r="347" spans="10:38" s="118" customFormat="1" x14ac:dyDescent="0.25">
      <c r="J347" s="118" t="e">
        <f t="shared" si="23"/>
        <v>#NUM!</v>
      </c>
      <c r="M347" s="119"/>
      <c r="N347" s="80"/>
      <c r="O347" s="80"/>
      <c r="P347" s="80"/>
      <c r="Q347" s="80"/>
      <c r="R347" s="80"/>
      <c r="S347" s="85"/>
      <c r="T347" s="85"/>
      <c r="U347" s="85"/>
      <c r="V347" s="85"/>
      <c r="W347" s="85"/>
      <c r="X347" s="85"/>
      <c r="Y347" s="85"/>
      <c r="Z347" s="85"/>
      <c r="AA347" s="85"/>
      <c r="AB347" s="85"/>
      <c r="AC347" s="85"/>
      <c r="AD347" s="85"/>
      <c r="AE347" s="85"/>
      <c r="AF347" s="85"/>
      <c r="AG347" s="85"/>
      <c r="AH347" s="85"/>
      <c r="AI347" s="85"/>
      <c r="AJ347" s="85"/>
      <c r="AK347" s="85"/>
      <c r="AL347" s="85"/>
    </row>
    <row r="348" spans="10:38" s="118" customFormat="1" x14ac:dyDescent="0.25">
      <c r="J348" s="118" t="e">
        <f t="shared" si="23"/>
        <v>#NUM!</v>
      </c>
      <c r="M348" s="119"/>
      <c r="N348" s="80"/>
      <c r="O348" s="80"/>
      <c r="P348" s="80"/>
      <c r="Q348" s="80"/>
      <c r="R348" s="80"/>
      <c r="S348" s="85"/>
      <c r="T348" s="85"/>
      <c r="U348" s="85"/>
      <c r="V348" s="85"/>
      <c r="W348" s="85"/>
      <c r="X348" s="85"/>
      <c r="Y348" s="85"/>
      <c r="Z348" s="85"/>
      <c r="AA348" s="85"/>
      <c r="AB348" s="85"/>
      <c r="AC348" s="85"/>
      <c r="AD348" s="85"/>
      <c r="AE348" s="85"/>
      <c r="AF348" s="85"/>
      <c r="AG348" s="85"/>
      <c r="AH348" s="85"/>
      <c r="AI348" s="85"/>
      <c r="AJ348" s="85"/>
      <c r="AK348" s="85"/>
      <c r="AL348" s="85"/>
    </row>
    <row r="349" spans="10:38" s="118" customFormat="1" x14ac:dyDescent="0.25">
      <c r="J349" s="118" t="e">
        <f t="shared" si="23"/>
        <v>#NUM!</v>
      </c>
      <c r="M349" s="119"/>
      <c r="N349" s="80"/>
      <c r="O349" s="80"/>
      <c r="P349" s="80"/>
      <c r="Q349" s="80"/>
      <c r="R349" s="80"/>
      <c r="S349" s="85"/>
      <c r="T349" s="85"/>
      <c r="U349" s="85"/>
      <c r="V349" s="85"/>
      <c r="W349" s="85"/>
      <c r="X349" s="85"/>
      <c r="Y349" s="85"/>
      <c r="Z349" s="85"/>
      <c r="AA349" s="85"/>
      <c r="AB349" s="85"/>
      <c r="AC349" s="85"/>
      <c r="AD349" s="85"/>
      <c r="AE349" s="85"/>
      <c r="AF349" s="85"/>
      <c r="AG349" s="85"/>
      <c r="AH349" s="85"/>
      <c r="AI349" s="85"/>
      <c r="AJ349" s="85"/>
      <c r="AK349" s="85"/>
      <c r="AL349" s="85"/>
    </row>
    <row r="350" spans="10:38" s="118" customFormat="1" x14ac:dyDescent="0.25">
      <c r="J350" s="118" t="e">
        <f t="shared" si="23"/>
        <v>#NUM!</v>
      </c>
      <c r="M350" s="119"/>
      <c r="N350" s="80"/>
      <c r="O350" s="80"/>
      <c r="P350" s="80"/>
      <c r="Q350" s="80"/>
      <c r="R350" s="80"/>
      <c r="S350" s="85"/>
      <c r="T350" s="85"/>
      <c r="U350" s="85"/>
      <c r="V350" s="85"/>
      <c r="W350" s="85"/>
      <c r="X350" s="85"/>
      <c r="Y350" s="85"/>
      <c r="Z350" s="85"/>
      <c r="AA350" s="85"/>
      <c r="AB350" s="85"/>
      <c r="AC350" s="85"/>
      <c r="AD350" s="85"/>
      <c r="AE350" s="85"/>
      <c r="AF350" s="85"/>
      <c r="AG350" s="85"/>
      <c r="AH350" s="85"/>
      <c r="AI350" s="85"/>
      <c r="AJ350" s="85"/>
      <c r="AK350" s="85"/>
      <c r="AL350" s="85"/>
    </row>
    <row r="351" spans="10:38" s="118" customFormat="1" x14ac:dyDescent="0.25">
      <c r="J351" s="118" t="e">
        <f t="shared" si="23"/>
        <v>#NUM!</v>
      </c>
      <c r="M351" s="119"/>
      <c r="N351" s="80"/>
      <c r="O351" s="80"/>
      <c r="P351" s="80"/>
      <c r="Q351" s="80"/>
      <c r="R351" s="80"/>
      <c r="S351" s="85"/>
      <c r="T351" s="85"/>
      <c r="U351" s="85"/>
      <c r="V351" s="85"/>
      <c r="W351" s="85"/>
      <c r="X351" s="85"/>
      <c r="Y351" s="85"/>
      <c r="Z351" s="85"/>
      <c r="AA351" s="85"/>
      <c r="AB351" s="85"/>
      <c r="AC351" s="85"/>
      <c r="AD351" s="85"/>
      <c r="AE351" s="85"/>
      <c r="AF351" s="85"/>
      <c r="AG351" s="85"/>
      <c r="AH351" s="85"/>
      <c r="AI351" s="85"/>
      <c r="AJ351" s="85"/>
      <c r="AK351" s="85"/>
      <c r="AL351" s="85"/>
    </row>
    <row r="352" spans="10:38" s="118" customFormat="1" x14ac:dyDescent="0.25">
      <c r="J352" s="118" t="e">
        <f t="shared" si="23"/>
        <v>#NUM!</v>
      </c>
      <c r="M352" s="119"/>
      <c r="N352" s="80"/>
      <c r="O352" s="80"/>
      <c r="P352" s="80"/>
      <c r="Q352" s="80"/>
      <c r="R352" s="80"/>
      <c r="S352" s="85"/>
      <c r="T352" s="85"/>
      <c r="U352" s="85"/>
      <c r="V352" s="85"/>
      <c r="W352" s="85"/>
      <c r="X352" s="85"/>
      <c r="Y352" s="85"/>
      <c r="Z352" s="85"/>
      <c r="AA352" s="85"/>
      <c r="AB352" s="85"/>
      <c r="AC352" s="85"/>
      <c r="AD352" s="85"/>
      <c r="AE352" s="85"/>
      <c r="AF352" s="85"/>
      <c r="AG352" s="85"/>
      <c r="AH352" s="85"/>
      <c r="AI352" s="85"/>
      <c r="AJ352" s="85"/>
      <c r="AK352" s="85"/>
      <c r="AL352" s="85"/>
    </row>
    <row r="353" spans="10:38" s="118" customFormat="1" x14ac:dyDescent="0.25">
      <c r="J353" s="118" t="e">
        <f t="shared" si="23"/>
        <v>#NUM!</v>
      </c>
      <c r="M353" s="119"/>
      <c r="N353" s="80"/>
      <c r="O353" s="80"/>
      <c r="P353" s="80"/>
      <c r="Q353" s="80"/>
      <c r="R353" s="80"/>
      <c r="S353" s="85"/>
      <c r="T353" s="85"/>
      <c r="U353" s="85"/>
      <c r="V353" s="85"/>
      <c r="W353" s="85"/>
      <c r="X353" s="85"/>
      <c r="Y353" s="85"/>
      <c r="Z353" s="85"/>
      <c r="AA353" s="85"/>
      <c r="AB353" s="85"/>
      <c r="AC353" s="85"/>
      <c r="AD353" s="85"/>
      <c r="AE353" s="85"/>
      <c r="AF353" s="85"/>
      <c r="AG353" s="85"/>
      <c r="AH353" s="85"/>
      <c r="AI353" s="85"/>
      <c r="AJ353" s="85"/>
      <c r="AK353" s="85"/>
      <c r="AL353" s="85"/>
    </row>
    <row r="354" spans="10:38" s="118" customFormat="1" x14ac:dyDescent="0.25">
      <c r="J354" s="118" t="e">
        <f t="shared" si="23"/>
        <v>#NUM!</v>
      </c>
      <c r="M354" s="119"/>
      <c r="N354" s="80"/>
      <c r="O354" s="80"/>
      <c r="P354" s="80"/>
      <c r="Q354" s="80"/>
      <c r="R354" s="80"/>
      <c r="S354" s="85"/>
      <c r="T354" s="85"/>
      <c r="U354" s="85"/>
      <c r="V354" s="85"/>
      <c r="W354" s="85"/>
      <c r="X354" s="85"/>
      <c r="Y354" s="85"/>
      <c r="Z354" s="85"/>
      <c r="AA354" s="85"/>
      <c r="AB354" s="85"/>
      <c r="AC354" s="85"/>
      <c r="AD354" s="85"/>
      <c r="AE354" s="85"/>
      <c r="AF354" s="85"/>
      <c r="AG354" s="85"/>
      <c r="AH354" s="85"/>
      <c r="AI354" s="85"/>
      <c r="AJ354" s="85"/>
      <c r="AK354" s="85"/>
      <c r="AL354" s="85"/>
    </row>
    <row r="355" spans="10:38" s="118" customFormat="1" x14ac:dyDescent="0.25">
      <c r="J355" s="118" t="e">
        <f t="shared" si="23"/>
        <v>#NUM!</v>
      </c>
      <c r="M355" s="119"/>
      <c r="N355" s="80"/>
      <c r="O355" s="80"/>
      <c r="P355" s="80"/>
      <c r="Q355" s="80"/>
      <c r="R355" s="80"/>
      <c r="S355" s="85"/>
      <c r="T355" s="85"/>
      <c r="U355" s="85"/>
      <c r="V355" s="85"/>
      <c r="W355" s="85"/>
      <c r="X355" s="85"/>
      <c r="Y355" s="85"/>
      <c r="Z355" s="85"/>
      <c r="AA355" s="85"/>
      <c r="AB355" s="85"/>
      <c r="AC355" s="85"/>
      <c r="AD355" s="85"/>
      <c r="AE355" s="85"/>
      <c r="AF355" s="85"/>
      <c r="AG355" s="85"/>
      <c r="AH355" s="85"/>
      <c r="AI355" s="85"/>
      <c r="AJ355" s="85"/>
      <c r="AK355" s="85"/>
      <c r="AL355" s="85"/>
    </row>
    <row r="356" spans="10:38" s="118" customFormat="1" x14ac:dyDescent="0.25">
      <c r="J356" s="118" t="e">
        <f t="shared" si="23"/>
        <v>#NUM!</v>
      </c>
      <c r="M356" s="119"/>
      <c r="N356" s="80"/>
      <c r="O356" s="80"/>
      <c r="P356" s="80"/>
      <c r="Q356" s="80"/>
      <c r="R356" s="80"/>
      <c r="S356" s="85"/>
      <c r="T356" s="85"/>
      <c r="U356" s="85"/>
      <c r="V356" s="85"/>
      <c r="W356" s="85"/>
      <c r="X356" s="85"/>
      <c r="Y356" s="85"/>
      <c r="Z356" s="85"/>
      <c r="AA356" s="85"/>
      <c r="AB356" s="85"/>
      <c r="AC356" s="85"/>
      <c r="AD356" s="85"/>
      <c r="AE356" s="85"/>
      <c r="AF356" s="85"/>
      <c r="AG356" s="85"/>
      <c r="AH356" s="85"/>
      <c r="AI356" s="85"/>
      <c r="AJ356" s="85"/>
      <c r="AK356" s="85"/>
      <c r="AL356" s="85"/>
    </row>
    <row r="357" spans="10:38" s="118" customFormat="1" x14ac:dyDescent="0.25">
      <c r="J357" s="118" t="e">
        <f t="shared" si="23"/>
        <v>#NUM!</v>
      </c>
      <c r="M357" s="119"/>
      <c r="N357" s="80"/>
      <c r="O357" s="80"/>
      <c r="P357" s="80"/>
      <c r="Q357" s="80"/>
      <c r="R357" s="80"/>
      <c r="S357" s="85"/>
      <c r="T357" s="85"/>
      <c r="U357" s="85"/>
      <c r="V357" s="85"/>
      <c r="W357" s="85"/>
      <c r="X357" s="85"/>
      <c r="Y357" s="85"/>
      <c r="Z357" s="85"/>
      <c r="AA357" s="85"/>
      <c r="AB357" s="85"/>
      <c r="AC357" s="85"/>
      <c r="AD357" s="85"/>
      <c r="AE357" s="85"/>
      <c r="AF357" s="85"/>
      <c r="AG357" s="85"/>
      <c r="AH357" s="85"/>
      <c r="AI357" s="85"/>
      <c r="AJ357" s="85"/>
      <c r="AK357" s="85"/>
      <c r="AL357" s="85"/>
    </row>
    <row r="358" spans="10:38" s="118" customFormat="1" x14ac:dyDescent="0.25">
      <c r="J358" s="118" t="e">
        <f t="shared" si="23"/>
        <v>#NUM!</v>
      </c>
      <c r="M358" s="119"/>
      <c r="N358" s="80"/>
      <c r="O358" s="80"/>
      <c r="P358" s="80"/>
      <c r="Q358" s="80"/>
      <c r="R358" s="80"/>
      <c r="S358" s="85"/>
      <c r="T358" s="85"/>
      <c r="U358" s="85"/>
      <c r="V358" s="85"/>
      <c r="W358" s="85"/>
      <c r="X358" s="85"/>
      <c r="Y358" s="85"/>
      <c r="Z358" s="85"/>
      <c r="AA358" s="85"/>
      <c r="AB358" s="85"/>
      <c r="AC358" s="85"/>
      <c r="AD358" s="85"/>
      <c r="AE358" s="85"/>
      <c r="AF358" s="85"/>
      <c r="AG358" s="85"/>
      <c r="AH358" s="85"/>
      <c r="AI358" s="85"/>
      <c r="AJ358" s="85"/>
      <c r="AK358" s="85"/>
      <c r="AL358" s="85"/>
    </row>
    <row r="359" spans="10:38" s="118" customFormat="1" x14ac:dyDescent="0.25">
      <c r="J359" s="118" t="e">
        <f t="shared" si="23"/>
        <v>#NUM!</v>
      </c>
      <c r="M359" s="119"/>
      <c r="N359" s="80"/>
      <c r="O359" s="80"/>
      <c r="P359" s="80"/>
      <c r="Q359" s="80"/>
      <c r="R359" s="80"/>
      <c r="S359" s="85"/>
      <c r="T359" s="85"/>
      <c r="U359" s="85"/>
      <c r="V359" s="85"/>
      <c r="W359" s="85"/>
      <c r="X359" s="85"/>
      <c r="Y359" s="85"/>
      <c r="Z359" s="85"/>
      <c r="AA359" s="85"/>
      <c r="AB359" s="85"/>
      <c r="AC359" s="85"/>
      <c r="AD359" s="85"/>
      <c r="AE359" s="85"/>
      <c r="AF359" s="85"/>
      <c r="AG359" s="85"/>
      <c r="AH359" s="85"/>
      <c r="AI359" s="85"/>
      <c r="AJ359" s="85"/>
      <c r="AK359" s="85"/>
      <c r="AL359" s="85"/>
    </row>
    <row r="360" spans="10:38" s="118" customFormat="1" x14ac:dyDescent="0.25">
      <c r="J360" s="118" t="e">
        <f t="shared" si="23"/>
        <v>#NUM!</v>
      </c>
      <c r="M360" s="119"/>
      <c r="N360" s="80"/>
      <c r="O360" s="80"/>
      <c r="P360" s="80"/>
      <c r="Q360" s="80"/>
      <c r="R360" s="80"/>
      <c r="S360" s="85"/>
      <c r="T360" s="85"/>
      <c r="U360" s="85"/>
      <c r="V360" s="85"/>
      <c r="W360" s="85"/>
      <c r="X360" s="85"/>
      <c r="Y360" s="85"/>
      <c r="Z360" s="85"/>
      <c r="AA360" s="85"/>
      <c r="AB360" s="85"/>
      <c r="AC360" s="85"/>
      <c r="AD360" s="85"/>
      <c r="AE360" s="85"/>
      <c r="AF360" s="85"/>
      <c r="AG360" s="85"/>
      <c r="AH360" s="85"/>
      <c r="AI360" s="85"/>
      <c r="AJ360" s="85"/>
      <c r="AK360" s="85"/>
      <c r="AL360" s="85"/>
    </row>
    <row r="361" spans="10:38" s="118" customFormat="1" x14ac:dyDescent="0.25">
      <c r="J361" s="118" t="e">
        <f t="shared" si="23"/>
        <v>#NUM!</v>
      </c>
      <c r="M361" s="119"/>
      <c r="N361" s="80"/>
      <c r="O361" s="80"/>
      <c r="P361" s="80"/>
      <c r="Q361" s="80"/>
      <c r="R361" s="80"/>
      <c r="S361" s="85"/>
      <c r="T361" s="85"/>
      <c r="U361" s="85"/>
      <c r="V361" s="85"/>
      <c r="W361" s="85"/>
      <c r="X361" s="85"/>
      <c r="Y361" s="85"/>
      <c r="Z361" s="85"/>
      <c r="AA361" s="85"/>
      <c r="AB361" s="85"/>
      <c r="AC361" s="85"/>
      <c r="AD361" s="85"/>
      <c r="AE361" s="85"/>
      <c r="AF361" s="85"/>
      <c r="AG361" s="85"/>
      <c r="AH361" s="85"/>
      <c r="AI361" s="85"/>
      <c r="AJ361" s="85"/>
      <c r="AK361" s="85"/>
      <c r="AL361" s="85"/>
    </row>
    <row r="362" spans="10:38" s="118" customFormat="1" x14ac:dyDescent="0.25">
      <c r="J362" s="118" t="e">
        <f t="shared" si="23"/>
        <v>#NUM!</v>
      </c>
      <c r="M362" s="119"/>
      <c r="N362" s="80"/>
      <c r="O362" s="80"/>
      <c r="P362" s="80"/>
      <c r="Q362" s="80"/>
      <c r="R362" s="80"/>
      <c r="S362" s="85"/>
      <c r="T362" s="85"/>
      <c r="U362" s="85"/>
      <c r="V362" s="85"/>
      <c r="W362" s="85"/>
      <c r="X362" s="85"/>
      <c r="Y362" s="85"/>
      <c r="Z362" s="85"/>
      <c r="AA362" s="85"/>
      <c r="AB362" s="85"/>
      <c r="AC362" s="85"/>
      <c r="AD362" s="85"/>
      <c r="AE362" s="85"/>
      <c r="AF362" s="85"/>
      <c r="AG362" s="85"/>
      <c r="AH362" s="85"/>
      <c r="AI362" s="85"/>
      <c r="AJ362" s="85"/>
      <c r="AK362" s="85"/>
      <c r="AL362" s="85"/>
    </row>
    <row r="363" spans="10:38" s="118" customFormat="1" x14ac:dyDescent="0.25">
      <c r="J363" s="118" t="e">
        <f t="shared" si="23"/>
        <v>#NUM!</v>
      </c>
      <c r="M363" s="119"/>
      <c r="N363" s="80"/>
      <c r="O363" s="80"/>
      <c r="P363" s="80"/>
      <c r="Q363" s="80"/>
      <c r="R363" s="80"/>
      <c r="S363" s="85"/>
      <c r="T363" s="85"/>
      <c r="U363" s="85"/>
      <c r="V363" s="85"/>
      <c r="W363" s="85"/>
      <c r="X363" s="85"/>
      <c r="Y363" s="85"/>
      <c r="Z363" s="85"/>
      <c r="AA363" s="85"/>
      <c r="AB363" s="85"/>
      <c r="AC363" s="85"/>
      <c r="AD363" s="85"/>
      <c r="AE363" s="85"/>
      <c r="AF363" s="85"/>
      <c r="AG363" s="85"/>
      <c r="AH363" s="85"/>
      <c r="AI363" s="85"/>
      <c r="AJ363" s="85"/>
      <c r="AK363" s="85"/>
      <c r="AL363" s="85"/>
    </row>
    <row r="364" spans="10:38" s="118" customFormat="1" x14ac:dyDescent="0.25">
      <c r="J364" s="118" t="e">
        <f t="shared" si="23"/>
        <v>#NUM!</v>
      </c>
      <c r="M364" s="119"/>
      <c r="N364" s="80"/>
      <c r="O364" s="80"/>
      <c r="P364" s="80"/>
      <c r="Q364" s="80"/>
      <c r="R364" s="80"/>
      <c r="S364" s="85"/>
      <c r="T364" s="85"/>
      <c r="U364" s="85"/>
      <c r="V364" s="85"/>
      <c r="W364" s="85"/>
      <c r="X364" s="85"/>
      <c r="Y364" s="85"/>
      <c r="Z364" s="85"/>
      <c r="AA364" s="85"/>
      <c r="AB364" s="85"/>
      <c r="AC364" s="85"/>
      <c r="AD364" s="85"/>
      <c r="AE364" s="85"/>
      <c r="AF364" s="85"/>
      <c r="AG364" s="85"/>
      <c r="AH364" s="85"/>
      <c r="AI364" s="85"/>
      <c r="AJ364" s="85"/>
      <c r="AK364" s="85"/>
      <c r="AL364" s="85"/>
    </row>
    <row r="365" spans="10:38" s="118" customFormat="1" x14ac:dyDescent="0.25">
      <c r="J365" s="118" t="e">
        <f t="shared" si="23"/>
        <v>#NUM!</v>
      </c>
      <c r="M365" s="119"/>
      <c r="N365" s="80"/>
      <c r="O365" s="80"/>
      <c r="P365" s="80"/>
      <c r="Q365" s="80"/>
      <c r="R365" s="80"/>
      <c r="S365" s="85"/>
      <c r="T365" s="85"/>
      <c r="U365" s="85"/>
      <c r="V365" s="85"/>
      <c r="W365" s="85"/>
      <c r="X365" s="85"/>
      <c r="Y365" s="85"/>
      <c r="Z365" s="85"/>
      <c r="AA365" s="85"/>
      <c r="AB365" s="85"/>
      <c r="AC365" s="85"/>
      <c r="AD365" s="85"/>
      <c r="AE365" s="85"/>
      <c r="AF365" s="85"/>
      <c r="AG365" s="85"/>
      <c r="AH365" s="85"/>
      <c r="AI365" s="85"/>
      <c r="AJ365" s="85"/>
      <c r="AK365" s="85"/>
      <c r="AL365" s="85"/>
    </row>
    <row r="366" spans="10:38" s="118" customFormat="1" x14ac:dyDescent="0.25">
      <c r="J366" s="118" t="e">
        <f t="shared" si="23"/>
        <v>#NUM!</v>
      </c>
      <c r="M366" s="119"/>
      <c r="N366" s="80"/>
      <c r="O366" s="80"/>
      <c r="P366" s="80"/>
      <c r="Q366" s="80"/>
      <c r="R366" s="80"/>
      <c r="S366" s="85"/>
      <c r="T366" s="85"/>
      <c r="U366" s="85"/>
      <c r="V366" s="85"/>
      <c r="W366" s="85"/>
      <c r="X366" s="85"/>
      <c r="Y366" s="85"/>
      <c r="Z366" s="85"/>
      <c r="AA366" s="85"/>
      <c r="AB366" s="85"/>
      <c r="AC366" s="85"/>
      <c r="AD366" s="85"/>
      <c r="AE366" s="85"/>
      <c r="AF366" s="85"/>
      <c r="AG366" s="85"/>
      <c r="AH366" s="85"/>
      <c r="AI366" s="85"/>
      <c r="AJ366" s="85"/>
      <c r="AK366" s="85"/>
      <c r="AL366" s="85"/>
    </row>
    <row r="367" spans="10:38" s="118" customFormat="1" x14ac:dyDescent="0.25">
      <c r="J367" s="118" t="e">
        <f t="shared" si="23"/>
        <v>#NUM!</v>
      </c>
      <c r="M367" s="119"/>
      <c r="N367" s="80"/>
      <c r="O367" s="80"/>
      <c r="P367" s="80"/>
      <c r="Q367" s="80"/>
      <c r="R367" s="80"/>
      <c r="S367" s="85"/>
      <c r="T367" s="85"/>
      <c r="U367" s="85"/>
      <c r="V367" s="85"/>
      <c r="W367" s="85"/>
      <c r="X367" s="85"/>
      <c r="Y367" s="85"/>
      <c r="Z367" s="85"/>
      <c r="AA367" s="85"/>
      <c r="AB367" s="85"/>
      <c r="AC367" s="85"/>
      <c r="AD367" s="85"/>
      <c r="AE367" s="85"/>
      <c r="AF367" s="85"/>
      <c r="AG367" s="85"/>
      <c r="AH367" s="85"/>
      <c r="AI367" s="85"/>
      <c r="AJ367" s="85"/>
      <c r="AK367" s="85"/>
      <c r="AL367" s="85"/>
    </row>
    <row r="368" spans="10:38" s="118" customFormat="1" x14ac:dyDescent="0.25">
      <c r="J368" s="118" t="e">
        <f t="shared" si="23"/>
        <v>#NUM!</v>
      </c>
      <c r="M368" s="119"/>
      <c r="N368" s="80"/>
      <c r="O368" s="80"/>
      <c r="P368" s="80"/>
      <c r="Q368" s="80"/>
      <c r="R368" s="80"/>
      <c r="S368" s="85"/>
      <c r="T368" s="85"/>
      <c r="U368" s="85"/>
      <c r="V368" s="85"/>
      <c r="W368" s="85"/>
      <c r="X368" s="85"/>
      <c r="Y368" s="85"/>
      <c r="Z368" s="85"/>
      <c r="AA368" s="85"/>
      <c r="AB368" s="85"/>
      <c r="AC368" s="85"/>
      <c r="AD368" s="85"/>
      <c r="AE368" s="85"/>
      <c r="AF368" s="85"/>
      <c r="AG368" s="85"/>
      <c r="AH368" s="85"/>
      <c r="AI368" s="85"/>
      <c r="AJ368" s="85"/>
      <c r="AK368" s="85"/>
      <c r="AL368" s="85"/>
    </row>
    <row r="369" spans="10:38" s="118" customFormat="1" x14ac:dyDescent="0.25">
      <c r="J369" s="118" t="e">
        <f t="shared" si="23"/>
        <v>#NUM!</v>
      </c>
      <c r="M369" s="119"/>
      <c r="N369" s="80"/>
      <c r="O369" s="80"/>
      <c r="P369" s="80"/>
      <c r="Q369" s="80"/>
      <c r="R369" s="80"/>
      <c r="S369" s="85"/>
      <c r="T369" s="85"/>
      <c r="U369" s="85"/>
      <c r="V369" s="85"/>
      <c r="W369" s="85"/>
      <c r="X369" s="85"/>
      <c r="Y369" s="85"/>
      <c r="Z369" s="85"/>
      <c r="AA369" s="85"/>
      <c r="AB369" s="85"/>
      <c r="AC369" s="85"/>
      <c r="AD369" s="85"/>
      <c r="AE369" s="85"/>
      <c r="AF369" s="85"/>
      <c r="AG369" s="85"/>
      <c r="AH369" s="85"/>
      <c r="AI369" s="85"/>
      <c r="AJ369" s="85"/>
      <c r="AK369" s="85"/>
      <c r="AL369" s="85"/>
    </row>
    <row r="370" spans="10:38" s="118" customFormat="1" x14ac:dyDescent="0.25">
      <c r="J370" s="118" t="e">
        <f t="shared" si="23"/>
        <v>#NUM!</v>
      </c>
      <c r="M370" s="119"/>
      <c r="N370" s="80"/>
      <c r="O370" s="80"/>
      <c r="P370" s="80"/>
      <c r="Q370" s="80"/>
      <c r="R370" s="80"/>
      <c r="S370" s="85"/>
      <c r="T370" s="85"/>
      <c r="U370" s="85"/>
      <c r="V370" s="85"/>
      <c r="W370" s="85"/>
      <c r="X370" s="85"/>
      <c r="Y370" s="85"/>
      <c r="Z370" s="85"/>
      <c r="AA370" s="85"/>
      <c r="AB370" s="85"/>
      <c r="AC370" s="85"/>
      <c r="AD370" s="85"/>
      <c r="AE370" s="85"/>
      <c r="AF370" s="85"/>
      <c r="AG370" s="85"/>
      <c r="AH370" s="85"/>
      <c r="AI370" s="85"/>
      <c r="AJ370" s="85"/>
      <c r="AK370" s="85"/>
      <c r="AL370" s="85"/>
    </row>
    <row r="371" spans="10:38" s="118" customFormat="1" x14ac:dyDescent="0.25">
      <c r="J371" s="118" t="e">
        <f t="shared" si="23"/>
        <v>#NUM!</v>
      </c>
      <c r="M371" s="119"/>
      <c r="N371" s="80"/>
      <c r="O371" s="80"/>
      <c r="P371" s="80"/>
      <c r="Q371" s="80"/>
      <c r="R371" s="80"/>
      <c r="S371" s="85"/>
      <c r="T371" s="85"/>
      <c r="U371" s="85"/>
      <c r="V371" s="85"/>
      <c r="W371" s="85"/>
      <c r="X371" s="85"/>
      <c r="Y371" s="85"/>
      <c r="Z371" s="85"/>
      <c r="AA371" s="85"/>
      <c r="AB371" s="85"/>
      <c r="AC371" s="85"/>
      <c r="AD371" s="85"/>
      <c r="AE371" s="85"/>
      <c r="AF371" s="85"/>
      <c r="AG371" s="85"/>
      <c r="AH371" s="85"/>
      <c r="AI371" s="85"/>
      <c r="AJ371" s="85"/>
      <c r="AK371" s="85"/>
      <c r="AL371" s="85"/>
    </row>
    <row r="372" spans="10:38" s="118" customFormat="1" x14ac:dyDescent="0.25">
      <c r="J372" s="118" t="e">
        <f t="shared" si="23"/>
        <v>#NUM!</v>
      </c>
      <c r="M372" s="119"/>
      <c r="N372" s="80"/>
      <c r="O372" s="80"/>
      <c r="P372" s="80"/>
      <c r="Q372" s="80"/>
      <c r="R372" s="80"/>
      <c r="S372" s="85"/>
      <c r="T372" s="85"/>
      <c r="U372" s="85"/>
      <c r="V372" s="85"/>
      <c r="W372" s="85"/>
      <c r="X372" s="85"/>
      <c r="Y372" s="85"/>
      <c r="Z372" s="85"/>
      <c r="AA372" s="85"/>
      <c r="AB372" s="85"/>
      <c r="AC372" s="85"/>
      <c r="AD372" s="85"/>
      <c r="AE372" s="85"/>
      <c r="AF372" s="85"/>
      <c r="AG372" s="85"/>
      <c r="AH372" s="85"/>
      <c r="AI372" s="85"/>
      <c r="AJ372" s="85"/>
      <c r="AK372" s="85"/>
      <c r="AL372" s="85"/>
    </row>
    <row r="373" spans="10:38" s="118" customFormat="1" x14ac:dyDescent="0.25">
      <c r="J373" s="118" t="e">
        <f t="shared" si="23"/>
        <v>#NUM!</v>
      </c>
      <c r="M373" s="119"/>
      <c r="N373" s="80"/>
      <c r="O373" s="80"/>
      <c r="P373" s="80"/>
      <c r="Q373" s="80"/>
      <c r="R373" s="80"/>
      <c r="S373" s="85"/>
      <c r="T373" s="85"/>
      <c r="U373" s="85"/>
      <c r="V373" s="85"/>
      <c r="W373" s="85"/>
      <c r="X373" s="85"/>
      <c r="Y373" s="85"/>
      <c r="Z373" s="85"/>
      <c r="AA373" s="85"/>
      <c r="AB373" s="85"/>
      <c r="AC373" s="85"/>
      <c r="AD373" s="85"/>
      <c r="AE373" s="85"/>
      <c r="AF373" s="85"/>
      <c r="AG373" s="85"/>
      <c r="AH373" s="85"/>
      <c r="AI373" s="85"/>
      <c r="AJ373" s="85"/>
      <c r="AK373" s="85"/>
      <c r="AL373" s="85"/>
    </row>
    <row r="374" spans="10:38" s="118" customFormat="1" x14ac:dyDescent="0.25">
      <c r="J374" s="118" t="e">
        <f t="shared" si="23"/>
        <v>#NUM!</v>
      </c>
      <c r="M374" s="119"/>
      <c r="N374" s="80"/>
      <c r="O374" s="80"/>
      <c r="P374" s="80"/>
      <c r="Q374" s="80"/>
      <c r="R374" s="80"/>
      <c r="S374" s="85"/>
      <c r="T374" s="85"/>
      <c r="U374" s="85"/>
      <c r="V374" s="85"/>
      <c r="W374" s="85"/>
      <c r="X374" s="85"/>
      <c r="Y374" s="85"/>
      <c r="Z374" s="85"/>
      <c r="AA374" s="85"/>
      <c r="AB374" s="85"/>
      <c r="AC374" s="85"/>
      <c r="AD374" s="85"/>
      <c r="AE374" s="85"/>
      <c r="AF374" s="85"/>
      <c r="AG374" s="85"/>
      <c r="AH374" s="85"/>
      <c r="AI374" s="85"/>
      <c r="AJ374" s="85"/>
      <c r="AK374" s="85"/>
      <c r="AL374" s="85"/>
    </row>
  </sheetData>
  <conditionalFormatting sqref="J9:K305">
    <cfRule type="cellIs" dxfId="18" priority="1" operator="lessThanOr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BB571-0BDA-448F-BA2C-5FC3B32C7F89}">
  <sheetPr>
    <tabColor rgb="FF92D050"/>
  </sheetPr>
  <dimension ref="A1:AL317"/>
  <sheetViews>
    <sheetView workbookViewId="0">
      <selection activeCell="C3" sqref="C3"/>
    </sheetView>
  </sheetViews>
  <sheetFormatPr defaultColWidth="8.875" defaultRowHeight="14.3" x14ac:dyDescent="0.25"/>
  <cols>
    <col min="1" max="1" width="8" style="115" customWidth="1"/>
    <col min="2" max="2" width="8.25" style="115" customWidth="1"/>
    <col min="3" max="3" width="34.75" style="115" customWidth="1"/>
    <col min="4" max="4" width="43.75" style="115" customWidth="1"/>
    <col min="5" max="6" width="8.875" style="115"/>
    <col min="7" max="7" width="0.875" style="115" customWidth="1"/>
    <col min="8" max="8" width="8.875" style="118"/>
    <col min="9" max="9" width="11" style="118" customWidth="1"/>
    <col min="10" max="10" width="15.25" style="118" customWidth="1"/>
    <col min="11" max="11" width="8.75" style="118" customWidth="1"/>
    <col min="12" max="12" width="11" style="118" customWidth="1"/>
    <col min="13" max="13" width="12.25" style="119" customWidth="1"/>
    <col min="14" max="15" width="13.875" style="80" customWidth="1"/>
    <col min="16" max="18" width="8.875" style="80"/>
    <col min="19" max="20" width="8.875" style="85"/>
    <col min="21" max="21" width="12.125" style="85" customWidth="1"/>
    <col min="22" max="22" width="27.375" style="85" customWidth="1"/>
    <col min="23" max="38" width="8.875" style="85"/>
    <col min="39" max="16384" width="8.875" style="115"/>
  </cols>
  <sheetData>
    <row r="1" spans="1:36" s="85" customFormat="1" x14ac:dyDescent="0.25">
      <c r="A1" s="80"/>
      <c r="B1" s="80"/>
      <c r="C1" s="80"/>
      <c r="D1" s="80"/>
      <c r="E1" s="80"/>
      <c r="F1" s="80"/>
      <c r="G1" s="80"/>
      <c r="H1" s="81" t="s">
        <v>20</v>
      </c>
      <c r="I1" s="82" t="s">
        <v>21</v>
      </c>
      <c r="J1" s="82" t="s">
        <v>22</v>
      </c>
      <c r="K1" s="83" t="s">
        <v>84</v>
      </c>
      <c r="L1" s="84"/>
      <c r="M1" s="84"/>
      <c r="N1" s="80"/>
      <c r="O1" s="80"/>
      <c r="P1" s="80"/>
      <c r="Q1" s="80"/>
      <c r="R1" s="80"/>
    </row>
    <row r="2" spans="1:36" s="85" customFormat="1" x14ac:dyDescent="0.25">
      <c r="A2" s="80"/>
      <c r="B2" s="19" t="s">
        <v>24</v>
      </c>
      <c r="C2" s="68" t="s">
        <v>90</v>
      </c>
      <c r="D2" s="67"/>
      <c r="E2" s="20"/>
      <c r="F2" s="20"/>
      <c r="G2" s="20"/>
      <c r="H2" s="86">
        <v>0</v>
      </c>
      <c r="I2" s="87">
        <v>50</v>
      </c>
      <c r="J2" s="87">
        <v>10</v>
      </c>
      <c r="K2" s="121">
        <f>3*H2^(1/3)</f>
        <v>0</v>
      </c>
      <c r="L2" s="84"/>
      <c r="M2" s="84"/>
      <c r="N2" s="80"/>
      <c r="O2" s="80"/>
      <c r="P2" s="80"/>
      <c r="Q2" s="80"/>
      <c r="R2" s="80"/>
    </row>
    <row r="3" spans="1:36" s="85" customFormat="1" x14ac:dyDescent="0.25">
      <c r="A3" s="80"/>
      <c r="B3" s="89" t="s">
        <v>26</v>
      </c>
      <c r="C3" s="141" t="s">
        <v>91</v>
      </c>
      <c r="D3" s="68"/>
      <c r="E3" s="25"/>
      <c r="F3" s="25"/>
      <c r="G3" s="25"/>
      <c r="H3" s="84"/>
      <c r="I3" s="84"/>
      <c r="J3" s="90"/>
      <c r="K3" s="84"/>
      <c r="L3" s="84"/>
      <c r="M3" s="84"/>
      <c r="N3" s="80"/>
      <c r="O3" s="80"/>
      <c r="P3" s="80"/>
      <c r="Q3" s="80"/>
      <c r="R3" s="80"/>
    </row>
    <row r="4" spans="1:36" s="85" customFormat="1" ht="10.199999999999999" customHeight="1" x14ac:dyDescent="0.25">
      <c r="A4" s="27"/>
      <c r="B4" s="25"/>
      <c r="C4" s="27"/>
      <c r="D4" s="27"/>
      <c r="E4" s="27"/>
      <c r="F4" s="27"/>
      <c r="G4" s="27"/>
      <c r="H4" s="84"/>
      <c r="I4" s="84"/>
      <c r="J4" s="90"/>
      <c r="K4" s="84"/>
      <c r="L4" s="84"/>
      <c r="M4" s="84"/>
      <c r="N4" s="80"/>
      <c r="O4" s="80"/>
      <c r="P4" s="80"/>
      <c r="Q4" s="80"/>
      <c r="R4" s="80"/>
    </row>
    <row r="5" spans="1:36" s="85" customFormat="1" ht="34.65" x14ac:dyDescent="0.25">
      <c r="A5" s="1" t="s">
        <v>28</v>
      </c>
      <c r="B5" s="28" t="s">
        <v>29</v>
      </c>
      <c r="C5" s="1" t="s">
        <v>30</v>
      </c>
      <c r="D5" s="1" t="s">
        <v>31</v>
      </c>
      <c r="E5" s="1" t="s">
        <v>32</v>
      </c>
      <c r="F5" s="1" t="s">
        <v>33</v>
      </c>
      <c r="G5" s="27"/>
      <c r="H5" s="91" t="s">
        <v>34</v>
      </c>
      <c r="I5" s="92" t="s">
        <v>35</v>
      </c>
      <c r="J5" s="93" t="s">
        <v>36</v>
      </c>
      <c r="K5" s="92" t="s">
        <v>37</v>
      </c>
      <c r="L5" s="92" t="s">
        <v>38</v>
      </c>
      <c r="M5" s="91" t="s">
        <v>39</v>
      </c>
      <c r="N5" s="80"/>
      <c r="O5" s="80"/>
      <c r="P5" s="80"/>
      <c r="Q5" s="80"/>
      <c r="R5" s="80"/>
    </row>
    <row r="6" spans="1:36" s="85" customFormat="1" ht="14.45" customHeight="1" x14ac:dyDescent="0.25">
      <c r="A6" s="94">
        <f t="shared" ref="A6:A37" si="0">M6</f>
        <v>0</v>
      </c>
      <c r="B6" s="33" t="str">
        <f>IF(H6&gt;$H$2,"",(ROW()-5))</f>
        <v/>
      </c>
      <c r="C6" s="34"/>
      <c r="D6" s="34"/>
      <c r="E6" s="34"/>
      <c r="F6" s="34"/>
      <c r="G6" s="27"/>
      <c r="H6" s="95">
        <v>1</v>
      </c>
      <c r="I6" s="96" t="str">
        <f t="shared" ref="I6:I69" si="1">IF(H6&lt;$H$2+1,($I$2-($I$2-1)*(LOG(H6)/LOG($H$2))),"")</f>
        <v/>
      </c>
      <c r="J6" s="95">
        <v>4</v>
      </c>
      <c r="K6" s="95">
        <f t="shared" ref="K6:K69" si="2">J6*$J$2</f>
        <v>40</v>
      </c>
      <c r="L6" s="97">
        <f>3*K2</f>
        <v>0</v>
      </c>
      <c r="M6" s="97">
        <f t="shared" ref="M6:M69" si="3">IF(I6&lt;&gt;"",K6+I6+L6,0)</f>
        <v>0</v>
      </c>
      <c r="N6" s="80"/>
      <c r="O6" s="80"/>
      <c r="P6" s="80"/>
      <c r="Q6" s="80"/>
      <c r="R6" s="80"/>
    </row>
    <row r="7" spans="1:36" s="85" customFormat="1" ht="14.45" customHeight="1" x14ac:dyDescent="0.25">
      <c r="A7" s="98">
        <f t="shared" si="0"/>
        <v>0</v>
      </c>
      <c r="B7" s="39" t="str">
        <f>IF(H7&gt;$H$2,"",(ROW()-5))</f>
        <v/>
      </c>
      <c r="C7" s="40"/>
      <c r="D7" s="40"/>
      <c r="E7" s="40"/>
      <c r="F7" s="40"/>
      <c r="G7" s="27"/>
      <c r="H7" s="99">
        <v>2</v>
      </c>
      <c r="I7" s="100" t="str">
        <f t="shared" si="1"/>
        <v/>
      </c>
      <c r="J7" s="99">
        <v>3</v>
      </c>
      <c r="K7" s="99">
        <f t="shared" si="2"/>
        <v>30</v>
      </c>
      <c r="L7" s="101">
        <f>2*K2</f>
        <v>0</v>
      </c>
      <c r="M7" s="101">
        <f t="shared" si="3"/>
        <v>0</v>
      </c>
      <c r="N7" s="80"/>
      <c r="O7" s="80"/>
      <c r="P7" s="80"/>
      <c r="Q7" s="80"/>
      <c r="R7" s="80"/>
    </row>
    <row r="8" spans="1:36" s="85" customFormat="1" ht="14.45" customHeight="1" x14ac:dyDescent="0.25">
      <c r="A8" s="94">
        <f t="shared" si="0"/>
        <v>0</v>
      </c>
      <c r="B8" s="33" t="str">
        <f>IF(H8&gt;$H$2,"",(ROW()-5))</f>
        <v/>
      </c>
      <c r="C8" s="34"/>
      <c r="D8" s="34"/>
      <c r="E8" s="34"/>
      <c r="F8" s="34"/>
      <c r="G8" s="27"/>
      <c r="H8" s="95">
        <v>3</v>
      </c>
      <c r="I8" s="96" t="str">
        <f t="shared" si="1"/>
        <v/>
      </c>
      <c r="J8" s="95">
        <v>2</v>
      </c>
      <c r="K8" s="95">
        <f t="shared" si="2"/>
        <v>20</v>
      </c>
      <c r="L8" s="97">
        <f>K2</f>
        <v>0</v>
      </c>
      <c r="M8" s="97">
        <f t="shared" si="3"/>
        <v>0</v>
      </c>
      <c r="N8" s="80"/>
      <c r="O8" s="80"/>
      <c r="P8" s="80"/>
      <c r="Q8" s="80"/>
      <c r="R8" s="80"/>
    </row>
    <row r="9" spans="1:36" s="85" customFormat="1" ht="14.45" customHeight="1" x14ac:dyDescent="0.25">
      <c r="A9" s="98">
        <f t="shared" si="0"/>
        <v>0</v>
      </c>
      <c r="B9" s="39" t="str">
        <f>IF(H9&gt;$H$2,"",3)</f>
        <v/>
      </c>
      <c r="C9" s="40"/>
      <c r="D9" s="40"/>
      <c r="E9" s="40"/>
      <c r="F9" s="40"/>
      <c r="G9" s="27"/>
      <c r="H9" s="99">
        <v>3</v>
      </c>
      <c r="I9" s="100" t="str">
        <f t="shared" si="1"/>
        <v/>
      </c>
      <c r="J9" s="99">
        <v>2</v>
      </c>
      <c r="K9" s="99">
        <f t="shared" si="2"/>
        <v>20</v>
      </c>
      <c r="L9" s="101">
        <f>K2</f>
        <v>0</v>
      </c>
      <c r="M9" s="101">
        <f t="shared" si="3"/>
        <v>0</v>
      </c>
      <c r="N9" s="80"/>
      <c r="O9" s="80"/>
      <c r="P9" s="80"/>
      <c r="Q9" s="80"/>
      <c r="R9" s="80"/>
      <c r="V9" s="102"/>
      <c r="Z9" s="103"/>
      <c r="AA9" s="103"/>
      <c r="AG9" s="104"/>
      <c r="AH9" s="85" t="s">
        <v>40</v>
      </c>
      <c r="AI9" s="85">
        <v>23</v>
      </c>
    </row>
    <row r="10" spans="1:36" s="85" customFormat="1" ht="14.45" customHeight="1" x14ac:dyDescent="0.25">
      <c r="A10" s="94">
        <f t="shared" si="0"/>
        <v>0</v>
      </c>
      <c r="B10" s="33" t="str">
        <f t="shared" ref="B10:B41" si="4">IF(H10&gt;$H$2,"",(ROW()-5))</f>
        <v/>
      </c>
      <c r="C10" s="34"/>
      <c r="D10" s="34"/>
      <c r="E10" s="34"/>
      <c r="F10" s="34"/>
      <c r="G10" s="27"/>
      <c r="H10" s="95">
        <v>5</v>
      </c>
      <c r="I10" s="96" t="str">
        <f t="shared" si="1"/>
        <v/>
      </c>
      <c r="J10" s="95" t="e">
        <f t="shared" ref="J10:J73" si="5">INT(LOG($H$2,2))-ROUNDUP(LOG(H10,2),0)+IF(OR($H$2=1,$H$2=2,$H$2=4,$H$2=8,$H$2=16,$H$2=32,$H$2=64,$H$2=128,$H$2=256),0,1)</f>
        <v>#NUM!</v>
      </c>
      <c r="K10" s="95" t="e">
        <f t="shared" si="2"/>
        <v>#NUM!</v>
      </c>
      <c r="L10" s="95"/>
      <c r="M10" s="97">
        <f t="shared" si="3"/>
        <v>0</v>
      </c>
      <c r="N10" s="80"/>
      <c r="O10" s="80"/>
      <c r="P10" s="80"/>
      <c r="Q10" s="80"/>
      <c r="R10" s="80"/>
      <c r="V10" s="102"/>
      <c r="Z10" s="103"/>
      <c r="AA10" s="103"/>
      <c r="AG10" s="104"/>
      <c r="AH10" s="85" t="s">
        <v>41</v>
      </c>
      <c r="AI10" s="85">
        <v>45</v>
      </c>
    </row>
    <row r="11" spans="1:36" s="85" customFormat="1" ht="14.45" customHeight="1" x14ac:dyDescent="0.25">
      <c r="A11" s="98">
        <f t="shared" si="0"/>
        <v>0</v>
      </c>
      <c r="B11" s="39" t="str">
        <f t="shared" si="4"/>
        <v/>
      </c>
      <c r="C11" s="40"/>
      <c r="D11" s="40"/>
      <c r="E11" s="40"/>
      <c r="F11" s="40"/>
      <c r="G11" s="27"/>
      <c r="H11" s="99">
        <v>6</v>
      </c>
      <c r="I11" s="100" t="str">
        <f t="shared" si="1"/>
        <v/>
      </c>
      <c r="J11" s="99" t="e">
        <f t="shared" si="5"/>
        <v>#NUM!</v>
      </c>
      <c r="K11" s="99" t="e">
        <f t="shared" si="2"/>
        <v>#NUM!</v>
      </c>
      <c r="L11" s="99"/>
      <c r="M11" s="101">
        <f t="shared" si="3"/>
        <v>0</v>
      </c>
      <c r="N11" s="80"/>
      <c r="O11" s="80"/>
      <c r="P11" s="80"/>
      <c r="Q11" s="80"/>
      <c r="R11" s="80"/>
      <c r="V11" s="105"/>
      <c r="Z11" s="103"/>
      <c r="AA11" s="103"/>
      <c r="AG11" s="104"/>
      <c r="AH11" s="85" t="s">
        <v>42</v>
      </c>
      <c r="AI11" s="85">
        <v>50</v>
      </c>
    </row>
    <row r="12" spans="1:36" s="85" customFormat="1" ht="14.45" customHeight="1" x14ac:dyDescent="0.25">
      <c r="A12" s="94">
        <f t="shared" si="0"/>
        <v>0</v>
      </c>
      <c r="B12" s="33" t="str">
        <f t="shared" si="4"/>
        <v/>
      </c>
      <c r="C12" s="34"/>
      <c r="D12" s="34"/>
      <c r="E12" s="34"/>
      <c r="F12" s="34"/>
      <c r="G12" s="27"/>
      <c r="H12" s="95">
        <v>7</v>
      </c>
      <c r="I12" s="96" t="str">
        <f t="shared" si="1"/>
        <v/>
      </c>
      <c r="J12" s="95" t="e">
        <f t="shared" si="5"/>
        <v>#NUM!</v>
      </c>
      <c r="K12" s="95" t="e">
        <f t="shared" si="2"/>
        <v>#NUM!</v>
      </c>
      <c r="L12" s="95"/>
      <c r="M12" s="97">
        <f t="shared" si="3"/>
        <v>0</v>
      </c>
      <c r="N12" s="80"/>
      <c r="O12" s="80"/>
      <c r="P12" s="80"/>
      <c r="Q12" s="80"/>
      <c r="R12" s="80"/>
      <c r="Z12" s="103"/>
      <c r="AA12" s="103"/>
      <c r="AG12" s="104"/>
      <c r="AH12" s="85" t="s">
        <v>43</v>
      </c>
      <c r="AI12" s="85">
        <f>AI11-1</f>
        <v>49</v>
      </c>
    </row>
    <row r="13" spans="1:36" s="85" customFormat="1" ht="14.45" customHeight="1" x14ac:dyDescent="0.25">
      <c r="A13" s="98">
        <f t="shared" si="0"/>
        <v>0</v>
      </c>
      <c r="B13" s="39" t="str">
        <f t="shared" si="4"/>
        <v/>
      </c>
      <c r="C13" s="40"/>
      <c r="D13" s="40"/>
      <c r="E13" s="40"/>
      <c r="F13" s="40"/>
      <c r="G13" s="27"/>
      <c r="H13" s="99">
        <v>8</v>
      </c>
      <c r="I13" s="100" t="str">
        <f t="shared" si="1"/>
        <v/>
      </c>
      <c r="J13" s="99" t="e">
        <f t="shared" si="5"/>
        <v>#NUM!</v>
      </c>
      <c r="K13" s="99" t="e">
        <f t="shared" si="2"/>
        <v>#NUM!</v>
      </c>
      <c r="L13" s="99"/>
      <c r="M13" s="101">
        <f t="shared" si="3"/>
        <v>0</v>
      </c>
      <c r="N13" s="80"/>
      <c r="O13" s="80"/>
      <c r="P13" s="80"/>
      <c r="Q13" s="80"/>
      <c r="R13" s="80"/>
      <c r="X13" s="102"/>
      <c r="AG13" s="104"/>
      <c r="AH13" s="85" t="s">
        <v>44</v>
      </c>
      <c r="AI13" s="85">
        <f>LOG(AI9)</f>
        <v>1.3617278360175928</v>
      </c>
    </row>
    <row r="14" spans="1:36" s="85" customFormat="1" x14ac:dyDescent="0.25">
      <c r="A14" s="94">
        <f t="shared" si="0"/>
        <v>0</v>
      </c>
      <c r="B14" s="33" t="str">
        <f t="shared" si="4"/>
        <v/>
      </c>
      <c r="C14" s="34"/>
      <c r="D14" s="34"/>
      <c r="E14" s="34"/>
      <c r="F14" s="34"/>
      <c r="G14" s="27"/>
      <c r="H14" s="95">
        <v>9</v>
      </c>
      <c r="I14" s="96" t="str">
        <f t="shared" si="1"/>
        <v/>
      </c>
      <c r="J14" s="95" t="e">
        <f t="shared" si="5"/>
        <v>#NUM!</v>
      </c>
      <c r="K14" s="95" t="e">
        <f t="shared" si="2"/>
        <v>#NUM!</v>
      </c>
      <c r="L14" s="95"/>
      <c r="M14" s="97">
        <f t="shared" si="3"/>
        <v>0</v>
      </c>
      <c r="N14" s="80"/>
      <c r="O14" s="80"/>
      <c r="P14" s="80"/>
      <c r="Q14" s="80"/>
      <c r="R14" s="80"/>
      <c r="X14" s="106"/>
      <c r="Z14" s="103"/>
      <c r="AA14" s="103"/>
      <c r="AG14" s="104"/>
      <c r="AH14" s="85" t="s">
        <v>45</v>
      </c>
      <c r="AI14" s="85">
        <f>LOG(AI10)</f>
        <v>1.6532125137753437</v>
      </c>
    </row>
    <row r="15" spans="1:36" s="85" customFormat="1" x14ac:dyDescent="0.25">
      <c r="A15" s="98">
        <f t="shared" si="0"/>
        <v>0</v>
      </c>
      <c r="B15" s="39" t="str">
        <f t="shared" si="4"/>
        <v/>
      </c>
      <c r="C15" s="40"/>
      <c r="D15" s="40"/>
      <c r="E15" s="40"/>
      <c r="F15" s="40"/>
      <c r="G15" s="27"/>
      <c r="H15" s="99">
        <v>10</v>
      </c>
      <c r="I15" s="100" t="str">
        <f t="shared" si="1"/>
        <v/>
      </c>
      <c r="J15" s="99" t="e">
        <f t="shared" si="5"/>
        <v>#NUM!</v>
      </c>
      <c r="K15" s="99" t="e">
        <f t="shared" si="2"/>
        <v>#NUM!</v>
      </c>
      <c r="L15" s="99"/>
      <c r="M15" s="101">
        <f t="shared" si="3"/>
        <v>0</v>
      </c>
      <c r="N15" s="80"/>
      <c r="O15" s="80"/>
      <c r="P15" s="80"/>
      <c r="Q15" s="80"/>
      <c r="R15" s="80"/>
      <c r="X15" s="102"/>
      <c r="Z15" s="103"/>
      <c r="AA15" s="103"/>
    </row>
    <row r="16" spans="1:36" s="85" customFormat="1" x14ac:dyDescent="0.25">
      <c r="A16" s="94">
        <f t="shared" si="0"/>
        <v>0</v>
      </c>
      <c r="B16" s="33" t="str">
        <f t="shared" si="4"/>
        <v/>
      </c>
      <c r="C16" s="34"/>
      <c r="D16" s="34"/>
      <c r="E16" s="34"/>
      <c r="F16" s="34"/>
      <c r="G16" s="27"/>
      <c r="H16" s="95">
        <v>11</v>
      </c>
      <c r="I16" s="96" t="str">
        <f t="shared" si="1"/>
        <v/>
      </c>
      <c r="J16" s="95" t="e">
        <f t="shared" si="5"/>
        <v>#NUM!</v>
      </c>
      <c r="K16" s="95" t="e">
        <f t="shared" si="2"/>
        <v>#NUM!</v>
      </c>
      <c r="L16" s="95"/>
      <c r="M16" s="97">
        <f t="shared" si="3"/>
        <v>0</v>
      </c>
      <c r="N16" s="80"/>
      <c r="O16" s="80"/>
      <c r="P16" s="80"/>
      <c r="Q16" s="80"/>
      <c r="R16" s="107"/>
      <c r="Z16" s="103"/>
      <c r="AA16" s="103"/>
      <c r="AH16" s="108" t="s">
        <v>46</v>
      </c>
      <c r="AI16" s="85">
        <f>AI11-AI12*AI13/AI14</f>
        <v>9.6393909380186855</v>
      </c>
      <c r="AJ16" s="85" t="s">
        <v>47</v>
      </c>
    </row>
    <row r="17" spans="1:19" s="85" customFormat="1" x14ac:dyDescent="0.25">
      <c r="A17" s="98">
        <f t="shared" si="0"/>
        <v>0</v>
      </c>
      <c r="B17" s="39" t="str">
        <f t="shared" si="4"/>
        <v/>
      </c>
      <c r="C17" s="40"/>
      <c r="D17" s="40"/>
      <c r="E17" s="40"/>
      <c r="F17" s="40"/>
      <c r="G17" s="27"/>
      <c r="H17" s="99">
        <v>12</v>
      </c>
      <c r="I17" s="100" t="str">
        <f t="shared" si="1"/>
        <v/>
      </c>
      <c r="J17" s="99" t="e">
        <f t="shared" si="5"/>
        <v>#NUM!</v>
      </c>
      <c r="K17" s="99" t="e">
        <f t="shared" si="2"/>
        <v>#NUM!</v>
      </c>
      <c r="L17" s="99"/>
      <c r="M17" s="101">
        <f t="shared" si="3"/>
        <v>0</v>
      </c>
      <c r="N17" s="80"/>
      <c r="O17" s="80"/>
      <c r="P17" s="80"/>
      <c r="Q17" s="80"/>
      <c r="R17" s="80"/>
    </row>
    <row r="18" spans="1:19" s="85" customFormat="1" x14ac:dyDescent="0.25">
      <c r="A18" s="94">
        <f t="shared" si="0"/>
        <v>0</v>
      </c>
      <c r="B18" s="33" t="str">
        <f t="shared" si="4"/>
        <v/>
      </c>
      <c r="C18" s="122"/>
      <c r="D18" s="34"/>
      <c r="E18" s="34"/>
      <c r="F18" s="34"/>
      <c r="G18" s="27"/>
      <c r="H18" s="95">
        <v>13</v>
      </c>
      <c r="I18" s="96" t="str">
        <f t="shared" si="1"/>
        <v/>
      </c>
      <c r="J18" s="95" t="e">
        <f t="shared" si="5"/>
        <v>#NUM!</v>
      </c>
      <c r="K18" s="95" t="e">
        <f t="shared" si="2"/>
        <v>#NUM!</v>
      </c>
      <c r="L18" s="95"/>
      <c r="M18" s="97">
        <f t="shared" si="3"/>
        <v>0</v>
      </c>
      <c r="N18" s="80"/>
      <c r="O18" s="80"/>
      <c r="P18" s="80"/>
      <c r="Q18" s="80"/>
      <c r="R18" s="80"/>
    </row>
    <row r="19" spans="1:19" s="85" customFormat="1" x14ac:dyDescent="0.25">
      <c r="A19" s="98">
        <f t="shared" si="0"/>
        <v>0</v>
      </c>
      <c r="B19" s="39" t="str">
        <f t="shared" si="4"/>
        <v/>
      </c>
      <c r="C19" s="40"/>
      <c r="D19" s="40"/>
      <c r="E19" s="40"/>
      <c r="F19" s="40"/>
      <c r="G19" s="27"/>
      <c r="H19" s="99">
        <v>14</v>
      </c>
      <c r="I19" s="100" t="str">
        <f t="shared" si="1"/>
        <v/>
      </c>
      <c r="J19" s="99" t="e">
        <f t="shared" si="5"/>
        <v>#NUM!</v>
      </c>
      <c r="K19" s="99" t="e">
        <f t="shared" si="2"/>
        <v>#NUM!</v>
      </c>
      <c r="L19" s="99"/>
      <c r="M19" s="101">
        <f t="shared" si="3"/>
        <v>0</v>
      </c>
      <c r="N19" s="80"/>
      <c r="O19" s="80"/>
      <c r="P19" s="80"/>
      <c r="Q19" s="80"/>
      <c r="R19" s="80"/>
    </row>
    <row r="20" spans="1:19" s="85" customFormat="1" x14ac:dyDescent="0.25">
      <c r="A20" s="94">
        <f t="shared" si="0"/>
        <v>0</v>
      </c>
      <c r="B20" s="33" t="str">
        <f t="shared" si="4"/>
        <v/>
      </c>
      <c r="C20" s="34"/>
      <c r="D20" s="34"/>
      <c r="E20" s="34"/>
      <c r="F20" s="34"/>
      <c r="G20" s="27"/>
      <c r="H20" s="95">
        <v>15</v>
      </c>
      <c r="I20" s="96" t="str">
        <f t="shared" si="1"/>
        <v/>
      </c>
      <c r="J20" s="95" t="e">
        <f t="shared" si="5"/>
        <v>#NUM!</v>
      </c>
      <c r="K20" s="95" t="e">
        <f t="shared" si="2"/>
        <v>#NUM!</v>
      </c>
      <c r="L20" s="95"/>
      <c r="M20" s="97">
        <f t="shared" si="3"/>
        <v>0</v>
      </c>
      <c r="N20" s="80"/>
      <c r="O20" s="80"/>
      <c r="P20" s="80"/>
      <c r="Q20" s="80"/>
      <c r="R20" s="109"/>
      <c r="S20" s="110"/>
    </row>
    <row r="21" spans="1:19" s="85" customFormat="1" x14ac:dyDescent="0.25">
      <c r="A21" s="98">
        <f t="shared" si="0"/>
        <v>0</v>
      </c>
      <c r="B21" s="39" t="str">
        <f t="shared" si="4"/>
        <v/>
      </c>
      <c r="C21" s="40"/>
      <c r="D21" s="40"/>
      <c r="E21" s="40"/>
      <c r="F21" s="40"/>
      <c r="G21" s="27"/>
      <c r="H21" s="99">
        <v>16</v>
      </c>
      <c r="I21" s="100" t="str">
        <f t="shared" si="1"/>
        <v/>
      </c>
      <c r="J21" s="99" t="e">
        <f t="shared" si="5"/>
        <v>#NUM!</v>
      </c>
      <c r="K21" s="99" t="e">
        <f t="shared" si="2"/>
        <v>#NUM!</v>
      </c>
      <c r="L21" s="99"/>
      <c r="M21" s="101">
        <f t="shared" si="3"/>
        <v>0</v>
      </c>
      <c r="N21" s="80"/>
      <c r="O21" s="80"/>
      <c r="P21" s="80"/>
      <c r="Q21" s="80"/>
      <c r="R21" s="80"/>
    </row>
    <row r="22" spans="1:19" s="85" customFormat="1" x14ac:dyDescent="0.25">
      <c r="A22" s="94">
        <f t="shared" si="0"/>
        <v>0</v>
      </c>
      <c r="B22" s="33" t="str">
        <f t="shared" si="4"/>
        <v/>
      </c>
      <c r="C22" s="34"/>
      <c r="D22" s="34"/>
      <c r="E22" s="34"/>
      <c r="F22" s="34"/>
      <c r="G22" s="27"/>
      <c r="H22" s="95">
        <v>17</v>
      </c>
      <c r="I22" s="96" t="str">
        <f t="shared" si="1"/>
        <v/>
      </c>
      <c r="J22" s="95" t="e">
        <f t="shared" si="5"/>
        <v>#NUM!</v>
      </c>
      <c r="K22" s="95" t="e">
        <f t="shared" si="2"/>
        <v>#NUM!</v>
      </c>
      <c r="L22" s="95"/>
      <c r="M22" s="97">
        <f t="shared" si="3"/>
        <v>0</v>
      </c>
      <c r="N22" s="80"/>
      <c r="O22" s="80"/>
      <c r="P22" s="80"/>
      <c r="Q22" s="80"/>
      <c r="R22" s="80"/>
    </row>
    <row r="23" spans="1:19" s="85" customFormat="1" x14ac:dyDescent="0.25">
      <c r="A23" s="98">
        <f t="shared" si="0"/>
        <v>0</v>
      </c>
      <c r="B23" s="39" t="str">
        <f t="shared" si="4"/>
        <v/>
      </c>
      <c r="C23" s="40"/>
      <c r="D23" s="40"/>
      <c r="E23" s="40"/>
      <c r="F23" s="40"/>
      <c r="G23" s="27"/>
      <c r="H23" s="99">
        <v>18</v>
      </c>
      <c r="I23" s="100" t="str">
        <f t="shared" si="1"/>
        <v/>
      </c>
      <c r="J23" s="99" t="e">
        <f t="shared" si="5"/>
        <v>#NUM!</v>
      </c>
      <c r="K23" s="99" t="e">
        <f t="shared" si="2"/>
        <v>#NUM!</v>
      </c>
      <c r="L23" s="99"/>
      <c r="M23" s="101">
        <f t="shared" si="3"/>
        <v>0</v>
      </c>
      <c r="N23" s="80"/>
      <c r="O23" s="80"/>
      <c r="P23" s="80"/>
      <c r="Q23" s="80"/>
      <c r="R23" s="80"/>
    </row>
    <row r="24" spans="1:19" s="85" customFormat="1" x14ac:dyDescent="0.25">
      <c r="A24" s="94">
        <f t="shared" si="0"/>
        <v>0</v>
      </c>
      <c r="B24" s="33" t="str">
        <f t="shared" si="4"/>
        <v/>
      </c>
      <c r="C24" s="34"/>
      <c r="D24" s="34"/>
      <c r="E24" s="34"/>
      <c r="F24" s="34"/>
      <c r="G24" s="27"/>
      <c r="H24" s="95">
        <v>19</v>
      </c>
      <c r="I24" s="96" t="str">
        <f t="shared" si="1"/>
        <v/>
      </c>
      <c r="J24" s="95" t="e">
        <f t="shared" si="5"/>
        <v>#NUM!</v>
      </c>
      <c r="K24" s="95" t="e">
        <f t="shared" si="2"/>
        <v>#NUM!</v>
      </c>
      <c r="L24" s="95"/>
      <c r="M24" s="97">
        <f t="shared" si="3"/>
        <v>0</v>
      </c>
      <c r="N24" s="80"/>
      <c r="O24" s="80"/>
      <c r="P24" s="80"/>
      <c r="Q24" s="80"/>
      <c r="R24" s="109"/>
      <c r="S24" s="110"/>
    </row>
    <row r="25" spans="1:19" s="85" customFormat="1" x14ac:dyDescent="0.25">
      <c r="A25" s="98">
        <f t="shared" si="0"/>
        <v>0</v>
      </c>
      <c r="B25" s="39" t="str">
        <f t="shared" si="4"/>
        <v/>
      </c>
      <c r="C25" s="40"/>
      <c r="D25" s="40"/>
      <c r="E25" s="40"/>
      <c r="F25" s="40"/>
      <c r="G25" s="27"/>
      <c r="H25" s="99">
        <v>20</v>
      </c>
      <c r="I25" s="100" t="str">
        <f t="shared" si="1"/>
        <v/>
      </c>
      <c r="J25" s="99" t="e">
        <f t="shared" si="5"/>
        <v>#NUM!</v>
      </c>
      <c r="K25" s="99" t="e">
        <f t="shared" si="2"/>
        <v>#NUM!</v>
      </c>
      <c r="L25" s="99"/>
      <c r="M25" s="101">
        <f t="shared" si="3"/>
        <v>0</v>
      </c>
      <c r="N25" s="80"/>
      <c r="O25" s="80"/>
      <c r="P25" s="80"/>
      <c r="Q25" s="80"/>
      <c r="R25" s="80"/>
    </row>
    <row r="26" spans="1:19" s="85" customFormat="1" x14ac:dyDescent="0.25">
      <c r="A26" s="94">
        <f t="shared" si="0"/>
        <v>0</v>
      </c>
      <c r="B26" s="33" t="str">
        <f t="shared" si="4"/>
        <v/>
      </c>
      <c r="C26" s="34"/>
      <c r="D26" s="34"/>
      <c r="E26" s="34"/>
      <c r="F26" s="34"/>
      <c r="G26" s="27"/>
      <c r="H26" s="95">
        <v>21</v>
      </c>
      <c r="I26" s="96" t="str">
        <f t="shared" si="1"/>
        <v/>
      </c>
      <c r="J26" s="95" t="e">
        <f t="shared" si="5"/>
        <v>#NUM!</v>
      </c>
      <c r="K26" s="95" t="e">
        <f t="shared" si="2"/>
        <v>#NUM!</v>
      </c>
      <c r="L26" s="95"/>
      <c r="M26" s="97">
        <f t="shared" si="3"/>
        <v>0</v>
      </c>
      <c r="N26" s="80"/>
      <c r="O26" s="80"/>
      <c r="P26" s="80"/>
      <c r="Q26" s="80"/>
      <c r="R26" s="80"/>
    </row>
    <row r="27" spans="1:19" s="85" customFormat="1" x14ac:dyDescent="0.25">
      <c r="A27" s="98">
        <f t="shared" si="0"/>
        <v>0</v>
      </c>
      <c r="B27" s="39" t="str">
        <f t="shared" si="4"/>
        <v/>
      </c>
      <c r="C27" s="40"/>
      <c r="D27" s="40"/>
      <c r="E27" s="40"/>
      <c r="F27" s="40"/>
      <c r="G27" s="27"/>
      <c r="H27" s="99">
        <v>22</v>
      </c>
      <c r="I27" s="100" t="str">
        <f t="shared" si="1"/>
        <v/>
      </c>
      <c r="J27" s="99" t="e">
        <f t="shared" si="5"/>
        <v>#NUM!</v>
      </c>
      <c r="K27" s="99" t="e">
        <f t="shared" si="2"/>
        <v>#NUM!</v>
      </c>
      <c r="L27" s="99"/>
      <c r="M27" s="101">
        <f t="shared" si="3"/>
        <v>0</v>
      </c>
      <c r="N27" s="80"/>
      <c r="O27" s="80"/>
      <c r="P27" s="80"/>
      <c r="Q27" s="80"/>
      <c r="R27" s="80"/>
    </row>
    <row r="28" spans="1:19" s="85" customFormat="1" x14ac:dyDescent="0.25">
      <c r="A28" s="94">
        <f t="shared" si="0"/>
        <v>0</v>
      </c>
      <c r="B28" s="33" t="str">
        <f t="shared" si="4"/>
        <v/>
      </c>
      <c r="C28" s="34"/>
      <c r="D28" s="34"/>
      <c r="E28" s="34"/>
      <c r="F28" s="34"/>
      <c r="G28" s="27"/>
      <c r="H28" s="95">
        <v>23</v>
      </c>
      <c r="I28" s="96" t="str">
        <f t="shared" si="1"/>
        <v/>
      </c>
      <c r="J28" s="95" t="e">
        <f t="shared" si="5"/>
        <v>#NUM!</v>
      </c>
      <c r="K28" s="95" t="e">
        <f t="shared" si="2"/>
        <v>#NUM!</v>
      </c>
      <c r="L28" s="95"/>
      <c r="M28" s="97">
        <f t="shared" si="3"/>
        <v>0</v>
      </c>
      <c r="N28" s="80"/>
      <c r="O28" s="80"/>
      <c r="P28" s="80"/>
      <c r="Q28" s="80"/>
      <c r="R28" s="109"/>
      <c r="S28" s="110"/>
    </row>
    <row r="29" spans="1:19" s="85" customFormat="1" x14ac:dyDescent="0.25">
      <c r="A29" s="98">
        <f t="shared" si="0"/>
        <v>0</v>
      </c>
      <c r="B29" s="39" t="str">
        <f t="shared" si="4"/>
        <v/>
      </c>
      <c r="C29" s="40"/>
      <c r="D29" s="40"/>
      <c r="E29" s="40"/>
      <c r="F29" s="40"/>
      <c r="G29" s="80"/>
      <c r="H29" s="99">
        <v>24</v>
      </c>
      <c r="I29" s="100" t="str">
        <f t="shared" si="1"/>
        <v/>
      </c>
      <c r="J29" s="99" t="e">
        <f t="shared" si="5"/>
        <v>#NUM!</v>
      </c>
      <c r="K29" s="99" t="e">
        <f t="shared" si="2"/>
        <v>#NUM!</v>
      </c>
      <c r="L29" s="99"/>
      <c r="M29" s="101">
        <f t="shared" si="3"/>
        <v>0</v>
      </c>
      <c r="N29" s="80"/>
      <c r="O29" s="80"/>
      <c r="P29" s="80"/>
      <c r="Q29" s="80"/>
      <c r="R29" s="80"/>
    </row>
    <row r="30" spans="1:19" s="85" customFormat="1" x14ac:dyDescent="0.25">
      <c r="A30" s="94">
        <f t="shared" si="0"/>
        <v>0</v>
      </c>
      <c r="B30" s="33" t="str">
        <f t="shared" si="4"/>
        <v/>
      </c>
      <c r="C30" s="34"/>
      <c r="D30" s="34"/>
      <c r="E30" s="34"/>
      <c r="F30" s="34"/>
      <c r="G30" s="80"/>
      <c r="H30" s="95">
        <v>25</v>
      </c>
      <c r="I30" s="96" t="str">
        <f t="shared" si="1"/>
        <v/>
      </c>
      <c r="J30" s="95" t="e">
        <f t="shared" si="5"/>
        <v>#NUM!</v>
      </c>
      <c r="K30" s="95" t="e">
        <f t="shared" si="2"/>
        <v>#NUM!</v>
      </c>
      <c r="L30" s="95"/>
      <c r="M30" s="97">
        <f t="shared" si="3"/>
        <v>0</v>
      </c>
      <c r="N30" s="80"/>
      <c r="O30" s="80"/>
      <c r="P30" s="80"/>
      <c r="Q30" s="80"/>
      <c r="R30" s="80"/>
    </row>
    <row r="31" spans="1:19" s="85" customFormat="1" x14ac:dyDescent="0.25">
      <c r="A31" s="98">
        <f t="shared" si="0"/>
        <v>0</v>
      </c>
      <c r="B31" s="39" t="str">
        <f t="shared" si="4"/>
        <v/>
      </c>
      <c r="C31" s="40"/>
      <c r="D31" s="40"/>
      <c r="E31" s="40"/>
      <c r="F31" s="40"/>
      <c r="G31" s="80"/>
      <c r="H31" s="99">
        <v>26</v>
      </c>
      <c r="I31" s="100" t="str">
        <f t="shared" si="1"/>
        <v/>
      </c>
      <c r="J31" s="99" t="e">
        <f t="shared" si="5"/>
        <v>#NUM!</v>
      </c>
      <c r="K31" s="99" t="e">
        <f t="shared" si="2"/>
        <v>#NUM!</v>
      </c>
      <c r="L31" s="99"/>
      <c r="M31" s="101">
        <f t="shared" si="3"/>
        <v>0</v>
      </c>
      <c r="N31" s="80"/>
      <c r="O31" s="80"/>
      <c r="P31" s="80"/>
      <c r="Q31" s="80"/>
      <c r="R31" s="80"/>
    </row>
    <row r="32" spans="1:19" s="85" customFormat="1" x14ac:dyDescent="0.25">
      <c r="A32" s="94">
        <f t="shared" si="0"/>
        <v>0</v>
      </c>
      <c r="B32" s="33" t="str">
        <f t="shared" si="4"/>
        <v/>
      </c>
      <c r="C32" s="34"/>
      <c r="D32" s="34"/>
      <c r="E32" s="34"/>
      <c r="F32" s="34"/>
      <c r="G32" s="80"/>
      <c r="H32" s="95">
        <v>27</v>
      </c>
      <c r="I32" s="96" t="str">
        <f t="shared" si="1"/>
        <v/>
      </c>
      <c r="J32" s="95" t="e">
        <f t="shared" si="5"/>
        <v>#NUM!</v>
      </c>
      <c r="K32" s="95" t="e">
        <f t="shared" si="2"/>
        <v>#NUM!</v>
      </c>
      <c r="L32" s="95"/>
      <c r="M32" s="97">
        <f t="shared" si="3"/>
        <v>0</v>
      </c>
      <c r="N32" s="80"/>
      <c r="O32" s="80"/>
      <c r="P32" s="80"/>
      <c r="Q32" s="80"/>
      <c r="R32" s="109"/>
      <c r="S32" s="110"/>
    </row>
    <row r="33" spans="1:21" s="85" customFormat="1" x14ac:dyDescent="0.25">
      <c r="A33" s="98">
        <f t="shared" si="0"/>
        <v>0</v>
      </c>
      <c r="B33" s="39" t="str">
        <f t="shared" si="4"/>
        <v/>
      </c>
      <c r="C33" s="40"/>
      <c r="D33" s="40"/>
      <c r="E33" s="40"/>
      <c r="F33" s="40"/>
      <c r="G33" s="80"/>
      <c r="H33" s="99">
        <v>28</v>
      </c>
      <c r="I33" s="100" t="str">
        <f t="shared" si="1"/>
        <v/>
      </c>
      <c r="J33" s="99" t="e">
        <f t="shared" si="5"/>
        <v>#NUM!</v>
      </c>
      <c r="K33" s="99" t="e">
        <f t="shared" si="2"/>
        <v>#NUM!</v>
      </c>
      <c r="L33" s="99"/>
      <c r="M33" s="101">
        <f t="shared" si="3"/>
        <v>0</v>
      </c>
      <c r="N33" s="80"/>
      <c r="O33" s="80"/>
      <c r="P33" s="80"/>
      <c r="Q33" s="80"/>
      <c r="R33" s="80"/>
    </row>
    <row r="34" spans="1:21" s="85" customFormat="1" x14ac:dyDescent="0.25">
      <c r="A34" s="94">
        <f t="shared" si="0"/>
        <v>0</v>
      </c>
      <c r="B34" s="33" t="str">
        <f t="shared" si="4"/>
        <v/>
      </c>
      <c r="C34" s="34"/>
      <c r="D34" s="34"/>
      <c r="E34" s="34"/>
      <c r="F34" s="34"/>
      <c r="G34" s="80"/>
      <c r="H34" s="95">
        <v>29</v>
      </c>
      <c r="I34" s="96" t="str">
        <f t="shared" si="1"/>
        <v/>
      </c>
      <c r="J34" s="95" t="e">
        <f t="shared" si="5"/>
        <v>#NUM!</v>
      </c>
      <c r="K34" s="95" t="e">
        <f t="shared" si="2"/>
        <v>#NUM!</v>
      </c>
      <c r="L34" s="95"/>
      <c r="M34" s="97">
        <f t="shared" si="3"/>
        <v>0</v>
      </c>
      <c r="N34" s="80"/>
      <c r="O34" s="80"/>
      <c r="P34" s="80"/>
      <c r="Q34" s="80"/>
      <c r="R34" s="80"/>
    </row>
    <row r="35" spans="1:21" s="85" customFormat="1" x14ac:dyDescent="0.25">
      <c r="A35" s="98">
        <f t="shared" si="0"/>
        <v>0</v>
      </c>
      <c r="B35" s="39" t="str">
        <f t="shared" si="4"/>
        <v/>
      </c>
      <c r="C35" s="40"/>
      <c r="D35" s="40"/>
      <c r="E35" s="40"/>
      <c r="F35" s="40"/>
      <c r="G35" s="80"/>
      <c r="H35" s="99">
        <v>30</v>
      </c>
      <c r="I35" s="100" t="str">
        <f t="shared" si="1"/>
        <v/>
      </c>
      <c r="J35" s="99" t="e">
        <f t="shared" si="5"/>
        <v>#NUM!</v>
      </c>
      <c r="K35" s="99" t="e">
        <f t="shared" si="2"/>
        <v>#NUM!</v>
      </c>
      <c r="L35" s="99"/>
      <c r="M35" s="101">
        <f t="shared" si="3"/>
        <v>0</v>
      </c>
      <c r="N35" s="80"/>
      <c r="O35" s="80"/>
      <c r="P35" s="80"/>
      <c r="Q35" s="80"/>
      <c r="R35" s="80"/>
    </row>
    <row r="36" spans="1:21" s="85" customFormat="1" x14ac:dyDescent="0.25">
      <c r="A36" s="94">
        <f t="shared" si="0"/>
        <v>0</v>
      </c>
      <c r="B36" s="33" t="str">
        <f t="shared" si="4"/>
        <v/>
      </c>
      <c r="C36" s="34"/>
      <c r="D36" s="34"/>
      <c r="E36" s="34"/>
      <c r="F36" s="34"/>
      <c r="G36" s="80"/>
      <c r="H36" s="95">
        <v>31</v>
      </c>
      <c r="I36" s="96" t="str">
        <f t="shared" si="1"/>
        <v/>
      </c>
      <c r="J36" s="95" t="e">
        <f t="shared" si="5"/>
        <v>#NUM!</v>
      </c>
      <c r="K36" s="95" t="e">
        <f t="shared" si="2"/>
        <v>#NUM!</v>
      </c>
      <c r="L36" s="95"/>
      <c r="M36" s="97">
        <f t="shared" si="3"/>
        <v>0</v>
      </c>
      <c r="N36" s="80"/>
      <c r="O36" s="80"/>
      <c r="P36" s="80"/>
      <c r="Q36" s="80"/>
      <c r="R36" s="109"/>
      <c r="S36" s="110"/>
    </row>
    <row r="37" spans="1:21" s="85" customFormat="1" x14ac:dyDescent="0.25">
      <c r="A37" s="98">
        <f t="shared" si="0"/>
        <v>0</v>
      </c>
      <c r="B37" s="39" t="str">
        <f t="shared" si="4"/>
        <v/>
      </c>
      <c r="C37" s="40"/>
      <c r="D37" s="40"/>
      <c r="E37" s="40"/>
      <c r="F37" s="40"/>
      <c r="G37" s="80"/>
      <c r="H37" s="99">
        <v>32</v>
      </c>
      <c r="I37" s="100" t="str">
        <f t="shared" si="1"/>
        <v/>
      </c>
      <c r="J37" s="99" t="e">
        <f t="shared" si="5"/>
        <v>#NUM!</v>
      </c>
      <c r="K37" s="99" t="e">
        <f t="shared" si="2"/>
        <v>#NUM!</v>
      </c>
      <c r="L37" s="99"/>
      <c r="M37" s="101">
        <f t="shared" si="3"/>
        <v>0</v>
      </c>
      <c r="N37" s="80"/>
      <c r="O37" s="80"/>
      <c r="P37" s="80"/>
      <c r="Q37" s="80"/>
      <c r="R37" s="80"/>
    </row>
    <row r="38" spans="1:21" s="85" customFormat="1" x14ac:dyDescent="0.25">
      <c r="A38" s="94"/>
      <c r="B38" s="33" t="str">
        <f t="shared" si="4"/>
        <v/>
      </c>
      <c r="C38" s="34"/>
      <c r="D38" s="34"/>
      <c r="E38" s="34"/>
      <c r="F38" s="34"/>
      <c r="G38" s="80"/>
      <c r="H38" s="95">
        <v>33</v>
      </c>
      <c r="I38" s="96" t="str">
        <f t="shared" si="1"/>
        <v/>
      </c>
      <c r="J38" s="95" t="e">
        <f t="shared" si="5"/>
        <v>#NUM!</v>
      </c>
      <c r="K38" s="95" t="e">
        <f t="shared" si="2"/>
        <v>#NUM!</v>
      </c>
      <c r="L38" s="95"/>
      <c r="M38" s="97">
        <f t="shared" si="3"/>
        <v>0</v>
      </c>
      <c r="N38" s="80"/>
      <c r="O38" s="80"/>
      <c r="P38" s="80"/>
      <c r="Q38" s="80"/>
      <c r="R38" s="80"/>
    </row>
    <row r="39" spans="1:21" s="85" customFormat="1" x14ac:dyDescent="0.25">
      <c r="A39" s="98"/>
      <c r="B39" s="39" t="str">
        <f t="shared" si="4"/>
        <v/>
      </c>
      <c r="C39" s="40"/>
      <c r="D39" s="40"/>
      <c r="E39" s="40"/>
      <c r="F39" s="40"/>
      <c r="G39" s="80"/>
      <c r="H39" s="99">
        <v>34</v>
      </c>
      <c r="I39" s="100" t="str">
        <f t="shared" si="1"/>
        <v/>
      </c>
      <c r="J39" s="99" t="e">
        <f t="shared" si="5"/>
        <v>#NUM!</v>
      </c>
      <c r="K39" s="99" t="e">
        <f t="shared" si="2"/>
        <v>#NUM!</v>
      </c>
      <c r="L39" s="99"/>
      <c r="M39" s="101">
        <f t="shared" si="3"/>
        <v>0</v>
      </c>
      <c r="N39" s="80"/>
      <c r="O39" s="80"/>
      <c r="P39" s="80"/>
      <c r="Q39" s="80"/>
      <c r="R39" s="80"/>
    </row>
    <row r="40" spans="1:21" s="85" customFormat="1" x14ac:dyDescent="0.25">
      <c r="A40" s="94"/>
      <c r="B40" s="33" t="str">
        <f t="shared" si="4"/>
        <v/>
      </c>
      <c r="C40" s="34"/>
      <c r="D40" s="34"/>
      <c r="E40" s="34"/>
      <c r="F40" s="34"/>
      <c r="G40" s="80"/>
      <c r="H40" s="95">
        <v>35</v>
      </c>
      <c r="I40" s="96" t="str">
        <f t="shared" si="1"/>
        <v/>
      </c>
      <c r="J40" s="95" t="e">
        <f t="shared" si="5"/>
        <v>#NUM!</v>
      </c>
      <c r="K40" s="95" t="e">
        <f t="shared" si="2"/>
        <v>#NUM!</v>
      </c>
      <c r="L40" s="95"/>
      <c r="M40" s="97">
        <f t="shared" si="3"/>
        <v>0</v>
      </c>
      <c r="N40" s="80"/>
      <c r="O40" s="80"/>
      <c r="P40" s="80"/>
      <c r="Q40" s="80"/>
      <c r="R40" s="80"/>
    </row>
    <row r="41" spans="1:21" s="85" customFormat="1" x14ac:dyDescent="0.25">
      <c r="A41" s="98"/>
      <c r="B41" s="39" t="str">
        <f t="shared" si="4"/>
        <v/>
      </c>
      <c r="C41" s="40"/>
      <c r="D41" s="40"/>
      <c r="E41" s="40"/>
      <c r="F41" s="40"/>
      <c r="G41" s="80"/>
      <c r="H41" s="99">
        <v>36</v>
      </c>
      <c r="I41" s="100" t="str">
        <f t="shared" si="1"/>
        <v/>
      </c>
      <c r="J41" s="99" t="e">
        <f t="shared" si="5"/>
        <v>#NUM!</v>
      </c>
      <c r="K41" s="99" t="e">
        <f t="shared" si="2"/>
        <v>#NUM!</v>
      </c>
      <c r="L41" s="99"/>
      <c r="M41" s="101">
        <f t="shared" si="3"/>
        <v>0</v>
      </c>
      <c r="N41" s="80"/>
      <c r="O41" s="80"/>
      <c r="P41" s="80"/>
      <c r="Q41" s="80"/>
      <c r="R41" s="80"/>
      <c r="S41" s="111"/>
    </row>
    <row r="42" spans="1:21" s="85" customFormat="1" x14ac:dyDescent="0.25">
      <c r="A42" s="94"/>
      <c r="B42" s="33" t="str">
        <f t="shared" ref="B42:B65" si="6">IF(H42&gt;$H$2,"",(ROW()-5))</f>
        <v/>
      </c>
      <c r="C42" s="34"/>
      <c r="D42" s="34"/>
      <c r="E42" s="34"/>
      <c r="F42" s="34"/>
      <c r="G42" s="80"/>
      <c r="H42" s="95">
        <v>37</v>
      </c>
      <c r="I42" s="96" t="str">
        <f t="shared" si="1"/>
        <v/>
      </c>
      <c r="J42" s="95" t="e">
        <f t="shared" si="5"/>
        <v>#NUM!</v>
      </c>
      <c r="K42" s="95" t="e">
        <f t="shared" si="2"/>
        <v>#NUM!</v>
      </c>
      <c r="L42" s="95"/>
      <c r="M42" s="97">
        <f t="shared" si="3"/>
        <v>0</v>
      </c>
      <c r="N42" s="80"/>
      <c r="O42" s="80"/>
      <c r="P42" s="80"/>
      <c r="Q42" s="80"/>
      <c r="R42" s="80"/>
    </row>
    <row r="43" spans="1:21" s="85" customFormat="1" x14ac:dyDescent="0.25">
      <c r="A43" s="98"/>
      <c r="B43" s="39" t="str">
        <f t="shared" si="6"/>
        <v/>
      </c>
      <c r="C43" s="40"/>
      <c r="D43" s="40"/>
      <c r="E43" s="40"/>
      <c r="F43" s="40"/>
      <c r="G43" s="80"/>
      <c r="H43" s="99">
        <v>38</v>
      </c>
      <c r="I43" s="100" t="str">
        <f t="shared" si="1"/>
        <v/>
      </c>
      <c r="J43" s="99" t="e">
        <f t="shared" si="5"/>
        <v>#NUM!</v>
      </c>
      <c r="K43" s="99" t="e">
        <f t="shared" si="2"/>
        <v>#NUM!</v>
      </c>
      <c r="L43" s="99"/>
      <c r="M43" s="101">
        <f t="shared" si="3"/>
        <v>0</v>
      </c>
      <c r="N43" s="80"/>
      <c r="O43" s="80"/>
      <c r="P43" s="80"/>
      <c r="Q43" s="80"/>
      <c r="R43" s="80"/>
    </row>
    <row r="44" spans="1:21" s="85" customFormat="1" x14ac:dyDescent="0.25">
      <c r="A44" s="94"/>
      <c r="B44" s="33" t="str">
        <f t="shared" si="6"/>
        <v/>
      </c>
      <c r="C44" s="34"/>
      <c r="D44" s="34"/>
      <c r="E44" s="34"/>
      <c r="F44" s="34"/>
      <c r="G44" s="80"/>
      <c r="H44" s="95">
        <v>39</v>
      </c>
      <c r="I44" s="96" t="str">
        <f t="shared" si="1"/>
        <v/>
      </c>
      <c r="J44" s="95" t="e">
        <f t="shared" si="5"/>
        <v>#NUM!</v>
      </c>
      <c r="K44" s="95" t="e">
        <f t="shared" si="2"/>
        <v>#NUM!</v>
      </c>
      <c r="L44" s="95"/>
      <c r="M44" s="97">
        <f t="shared" si="3"/>
        <v>0</v>
      </c>
      <c r="N44" s="80"/>
      <c r="O44" s="80"/>
      <c r="P44" s="80"/>
      <c r="Q44" s="80"/>
      <c r="R44" s="80"/>
    </row>
    <row r="45" spans="1:21" s="85" customFormat="1" x14ac:dyDescent="0.25">
      <c r="A45" s="98"/>
      <c r="B45" s="39" t="str">
        <f t="shared" si="6"/>
        <v/>
      </c>
      <c r="C45" s="40"/>
      <c r="D45" s="40"/>
      <c r="E45" s="40"/>
      <c r="F45" s="40"/>
      <c r="G45" s="80"/>
      <c r="H45" s="99">
        <v>40</v>
      </c>
      <c r="I45" s="100" t="str">
        <f t="shared" si="1"/>
        <v/>
      </c>
      <c r="J45" s="99" t="e">
        <f t="shared" si="5"/>
        <v>#NUM!</v>
      </c>
      <c r="K45" s="99" t="e">
        <f t="shared" si="2"/>
        <v>#NUM!</v>
      </c>
      <c r="L45" s="99"/>
      <c r="M45" s="101">
        <f t="shared" si="3"/>
        <v>0</v>
      </c>
      <c r="N45" s="80"/>
      <c r="O45" s="80"/>
      <c r="P45" s="80"/>
      <c r="Q45" s="80"/>
      <c r="R45" s="80"/>
    </row>
    <row r="46" spans="1:21" s="85" customFormat="1" x14ac:dyDescent="0.25">
      <c r="A46" s="94"/>
      <c r="B46" s="33" t="str">
        <f t="shared" si="6"/>
        <v/>
      </c>
      <c r="C46" s="34"/>
      <c r="D46" s="34"/>
      <c r="E46" s="34"/>
      <c r="F46" s="34"/>
      <c r="G46" s="80"/>
      <c r="H46" s="95">
        <v>41</v>
      </c>
      <c r="I46" s="96" t="str">
        <f t="shared" si="1"/>
        <v/>
      </c>
      <c r="J46" s="95" t="e">
        <f t="shared" si="5"/>
        <v>#NUM!</v>
      </c>
      <c r="K46" s="95" t="e">
        <f t="shared" si="2"/>
        <v>#NUM!</v>
      </c>
      <c r="L46" s="95"/>
      <c r="M46" s="97">
        <f t="shared" si="3"/>
        <v>0</v>
      </c>
      <c r="N46" s="80"/>
      <c r="O46" s="80"/>
      <c r="P46" s="80"/>
      <c r="Q46" s="80"/>
      <c r="R46" s="80" t="e">
        <f>LOG($H$2,2)</f>
        <v>#NUM!</v>
      </c>
      <c r="T46" s="85">
        <f>LOG(H38,2)</f>
        <v>5.0443941193584534</v>
      </c>
      <c r="U46" s="85" t="e">
        <f>R46-T46</f>
        <v>#NUM!</v>
      </c>
    </row>
    <row r="47" spans="1:21" s="85" customFormat="1" x14ac:dyDescent="0.25">
      <c r="A47" s="98"/>
      <c r="B47" s="39" t="str">
        <f t="shared" si="6"/>
        <v/>
      </c>
      <c r="C47" s="40"/>
      <c r="D47" s="40"/>
      <c r="E47" s="40"/>
      <c r="F47" s="40"/>
      <c r="G47" s="80"/>
      <c r="H47" s="99">
        <v>42</v>
      </c>
      <c r="I47" s="100" t="str">
        <f t="shared" si="1"/>
        <v/>
      </c>
      <c r="J47" s="99" t="e">
        <f t="shared" si="5"/>
        <v>#NUM!</v>
      </c>
      <c r="K47" s="99" t="e">
        <f t="shared" si="2"/>
        <v>#NUM!</v>
      </c>
      <c r="L47" s="99"/>
      <c r="M47" s="101">
        <f t="shared" si="3"/>
        <v>0</v>
      </c>
      <c r="N47" s="80"/>
      <c r="O47" s="80"/>
      <c r="P47" s="80"/>
      <c r="Q47" s="80"/>
      <c r="R47" s="80"/>
    </row>
    <row r="48" spans="1:21" s="85" customFormat="1" x14ac:dyDescent="0.25">
      <c r="A48" s="94"/>
      <c r="B48" s="33" t="str">
        <f t="shared" si="6"/>
        <v/>
      </c>
      <c r="C48" s="34"/>
      <c r="D48" s="34"/>
      <c r="E48" s="34"/>
      <c r="F48" s="34"/>
      <c r="G48" s="80"/>
      <c r="H48" s="95">
        <v>43</v>
      </c>
      <c r="I48" s="96" t="str">
        <f t="shared" si="1"/>
        <v/>
      </c>
      <c r="J48" s="95" t="e">
        <f t="shared" si="5"/>
        <v>#NUM!</v>
      </c>
      <c r="K48" s="95" t="e">
        <f t="shared" si="2"/>
        <v>#NUM!</v>
      </c>
      <c r="L48" s="95"/>
      <c r="M48" s="97">
        <f t="shared" si="3"/>
        <v>0</v>
      </c>
      <c r="N48" s="80"/>
      <c r="O48" s="80"/>
      <c r="P48" s="80"/>
      <c r="Q48" s="80"/>
      <c r="R48" s="80"/>
    </row>
    <row r="49" spans="1:38" s="80" customFormat="1" x14ac:dyDescent="0.25">
      <c r="A49" s="98"/>
      <c r="B49" s="39" t="str">
        <f t="shared" si="6"/>
        <v/>
      </c>
      <c r="C49" s="40"/>
      <c r="D49" s="40"/>
      <c r="E49" s="40"/>
      <c r="F49" s="40"/>
      <c r="H49" s="99">
        <v>44</v>
      </c>
      <c r="I49" s="100" t="str">
        <f t="shared" si="1"/>
        <v/>
      </c>
      <c r="J49" s="99" t="e">
        <f t="shared" si="5"/>
        <v>#NUM!</v>
      </c>
      <c r="K49" s="99" t="e">
        <f t="shared" si="2"/>
        <v>#NUM!</v>
      </c>
      <c r="L49" s="99"/>
      <c r="M49" s="101">
        <f t="shared" si="3"/>
        <v>0</v>
      </c>
      <c r="S49" s="85"/>
      <c r="T49" s="85"/>
      <c r="U49" s="85"/>
      <c r="V49" s="85"/>
      <c r="W49" s="85"/>
      <c r="X49" s="85"/>
      <c r="Y49" s="85"/>
      <c r="Z49" s="85"/>
      <c r="AA49" s="85"/>
      <c r="AB49" s="85"/>
      <c r="AC49" s="85"/>
      <c r="AD49" s="85"/>
      <c r="AE49" s="85"/>
      <c r="AF49" s="85"/>
      <c r="AG49" s="85"/>
      <c r="AH49" s="85"/>
      <c r="AI49" s="85"/>
      <c r="AJ49" s="85"/>
      <c r="AK49" s="85"/>
      <c r="AL49" s="85"/>
    </row>
    <row r="50" spans="1:38" s="80" customFormat="1" x14ac:dyDescent="0.25">
      <c r="A50" s="94"/>
      <c r="B50" s="33" t="str">
        <f t="shared" si="6"/>
        <v/>
      </c>
      <c r="C50" s="34"/>
      <c r="D50" s="34"/>
      <c r="E50" s="34"/>
      <c r="F50" s="34"/>
      <c r="H50" s="95">
        <v>45</v>
      </c>
      <c r="I50" s="96" t="str">
        <f t="shared" si="1"/>
        <v/>
      </c>
      <c r="J50" s="95" t="e">
        <f t="shared" si="5"/>
        <v>#NUM!</v>
      </c>
      <c r="K50" s="95" t="e">
        <f t="shared" si="2"/>
        <v>#NUM!</v>
      </c>
      <c r="L50" s="95"/>
      <c r="M50" s="97">
        <f t="shared" si="3"/>
        <v>0</v>
      </c>
      <c r="S50" s="85"/>
      <c r="T50" s="85"/>
      <c r="U50" s="85"/>
      <c r="V50" s="85"/>
      <c r="W50" s="85"/>
      <c r="X50" s="85"/>
      <c r="Y50" s="85"/>
      <c r="Z50" s="85"/>
      <c r="AA50" s="85"/>
      <c r="AB50" s="85"/>
      <c r="AC50" s="85"/>
      <c r="AD50" s="85"/>
      <c r="AE50" s="85"/>
      <c r="AF50" s="85"/>
      <c r="AG50" s="85"/>
      <c r="AH50" s="85"/>
      <c r="AI50" s="85"/>
      <c r="AJ50" s="85"/>
      <c r="AK50" s="85"/>
      <c r="AL50" s="85"/>
    </row>
    <row r="51" spans="1:38" s="80" customFormat="1" x14ac:dyDescent="0.25">
      <c r="A51" s="98"/>
      <c r="B51" s="39" t="str">
        <f t="shared" si="6"/>
        <v/>
      </c>
      <c r="C51" s="40"/>
      <c r="D51" s="40"/>
      <c r="E51" s="40"/>
      <c r="F51" s="40"/>
      <c r="H51" s="99">
        <v>46</v>
      </c>
      <c r="I51" s="100" t="str">
        <f t="shared" si="1"/>
        <v/>
      </c>
      <c r="J51" s="99" t="e">
        <f t="shared" si="5"/>
        <v>#NUM!</v>
      </c>
      <c r="K51" s="99" t="e">
        <f t="shared" si="2"/>
        <v>#NUM!</v>
      </c>
      <c r="L51" s="99"/>
      <c r="M51" s="101">
        <f t="shared" si="3"/>
        <v>0</v>
      </c>
      <c r="S51" s="85"/>
      <c r="T51" s="85"/>
      <c r="U51" s="85"/>
      <c r="V51" s="85"/>
      <c r="W51" s="85"/>
      <c r="X51" s="85"/>
      <c r="Y51" s="85"/>
      <c r="Z51" s="85"/>
      <c r="AA51" s="85"/>
      <c r="AB51" s="85"/>
      <c r="AC51" s="85"/>
      <c r="AD51" s="85"/>
      <c r="AE51" s="85"/>
      <c r="AF51" s="85"/>
      <c r="AG51" s="85"/>
      <c r="AH51" s="85"/>
      <c r="AI51" s="85"/>
      <c r="AJ51" s="85"/>
      <c r="AK51" s="85"/>
      <c r="AL51" s="85"/>
    </row>
    <row r="52" spans="1:38" s="80" customFormat="1" x14ac:dyDescent="0.25">
      <c r="A52" s="94"/>
      <c r="B52" s="33" t="str">
        <f t="shared" si="6"/>
        <v/>
      </c>
      <c r="C52" s="34"/>
      <c r="D52" s="34"/>
      <c r="E52" s="34"/>
      <c r="F52" s="34"/>
      <c r="H52" s="95">
        <v>47</v>
      </c>
      <c r="I52" s="96" t="str">
        <f t="shared" si="1"/>
        <v/>
      </c>
      <c r="J52" s="95" t="e">
        <f t="shared" si="5"/>
        <v>#NUM!</v>
      </c>
      <c r="K52" s="95" t="e">
        <f t="shared" si="2"/>
        <v>#NUM!</v>
      </c>
      <c r="L52" s="95"/>
      <c r="M52" s="97">
        <f t="shared" si="3"/>
        <v>0</v>
      </c>
      <c r="S52" s="85"/>
      <c r="T52" s="85"/>
      <c r="U52" s="85"/>
      <c r="V52" s="85"/>
      <c r="W52" s="85"/>
      <c r="X52" s="85"/>
      <c r="Y52" s="85"/>
      <c r="Z52" s="85"/>
      <c r="AA52" s="85"/>
      <c r="AB52" s="85"/>
      <c r="AC52" s="85"/>
      <c r="AD52" s="85"/>
      <c r="AE52" s="85"/>
      <c r="AF52" s="85"/>
      <c r="AG52" s="85"/>
      <c r="AH52" s="85"/>
      <c r="AI52" s="85"/>
      <c r="AJ52" s="85"/>
      <c r="AK52" s="85"/>
      <c r="AL52" s="85"/>
    </row>
    <row r="53" spans="1:38" s="80" customFormat="1" x14ac:dyDescent="0.25">
      <c r="A53" s="98"/>
      <c r="B53" s="39" t="str">
        <f t="shared" si="6"/>
        <v/>
      </c>
      <c r="C53" s="40"/>
      <c r="D53" s="40"/>
      <c r="E53" s="40"/>
      <c r="F53" s="40"/>
      <c r="H53" s="99">
        <v>48</v>
      </c>
      <c r="I53" s="100" t="str">
        <f t="shared" si="1"/>
        <v/>
      </c>
      <c r="J53" s="99" t="e">
        <f t="shared" si="5"/>
        <v>#NUM!</v>
      </c>
      <c r="K53" s="99" t="e">
        <f t="shared" si="2"/>
        <v>#NUM!</v>
      </c>
      <c r="L53" s="99"/>
      <c r="M53" s="101">
        <f t="shared" si="3"/>
        <v>0</v>
      </c>
      <c r="S53" s="85"/>
      <c r="T53" s="85"/>
      <c r="U53" s="85"/>
      <c r="V53" s="85"/>
      <c r="W53" s="85"/>
      <c r="X53" s="85"/>
      <c r="Y53" s="85"/>
      <c r="Z53" s="85"/>
      <c r="AA53" s="85"/>
      <c r="AB53" s="85"/>
      <c r="AC53" s="85"/>
      <c r="AD53" s="85"/>
      <c r="AE53" s="85"/>
      <c r="AF53" s="85"/>
      <c r="AG53" s="85"/>
      <c r="AH53" s="85"/>
      <c r="AI53" s="85"/>
      <c r="AJ53" s="85"/>
      <c r="AK53" s="85"/>
      <c r="AL53" s="85"/>
    </row>
    <row r="54" spans="1:38" s="80" customFormat="1" x14ac:dyDescent="0.25">
      <c r="A54" s="94"/>
      <c r="B54" s="33" t="str">
        <f t="shared" si="6"/>
        <v/>
      </c>
      <c r="C54" s="34"/>
      <c r="D54" s="34"/>
      <c r="E54" s="34"/>
      <c r="F54" s="34"/>
      <c r="H54" s="95">
        <v>49</v>
      </c>
      <c r="I54" s="96" t="str">
        <f t="shared" si="1"/>
        <v/>
      </c>
      <c r="J54" s="95" t="e">
        <f t="shared" si="5"/>
        <v>#NUM!</v>
      </c>
      <c r="K54" s="95" t="e">
        <f t="shared" si="2"/>
        <v>#NUM!</v>
      </c>
      <c r="L54" s="95"/>
      <c r="M54" s="97">
        <f t="shared" si="3"/>
        <v>0</v>
      </c>
      <c r="S54" s="85"/>
      <c r="T54" s="85"/>
      <c r="U54" s="85"/>
      <c r="V54" s="85"/>
      <c r="W54" s="85"/>
      <c r="X54" s="85"/>
      <c r="Y54" s="85"/>
      <c r="Z54" s="85"/>
      <c r="AA54" s="85"/>
      <c r="AB54" s="85"/>
      <c r="AC54" s="85"/>
      <c r="AD54" s="85"/>
      <c r="AE54" s="85"/>
      <c r="AF54" s="85"/>
      <c r="AG54" s="85"/>
      <c r="AH54" s="85"/>
      <c r="AI54" s="85"/>
      <c r="AJ54" s="85"/>
      <c r="AK54" s="85"/>
      <c r="AL54" s="85"/>
    </row>
    <row r="55" spans="1:38" s="80" customFormat="1" x14ac:dyDescent="0.25">
      <c r="A55" s="98"/>
      <c r="B55" s="39" t="str">
        <f t="shared" si="6"/>
        <v/>
      </c>
      <c r="C55" s="40"/>
      <c r="D55" s="40"/>
      <c r="E55" s="40"/>
      <c r="F55" s="40"/>
      <c r="H55" s="99">
        <v>50</v>
      </c>
      <c r="I55" s="100" t="str">
        <f t="shared" si="1"/>
        <v/>
      </c>
      <c r="J55" s="99" t="e">
        <f t="shared" si="5"/>
        <v>#NUM!</v>
      </c>
      <c r="K55" s="99" t="e">
        <f t="shared" si="2"/>
        <v>#NUM!</v>
      </c>
      <c r="L55" s="99"/>
      <c r="M55" s="101">
        <f t="shared" si="3"/>
        <v>0</v>
      </c>
      <c r="S55" s="85"/>
      <c r="T55" s="85"/>
      <c r="U55" s="85"/>
      <c r="V55" s="85"/>
      <c r="W55" s="85"/>
      <c r="X55" s="85"/>
      <c r="Y55" s="85"/>
      <c r="Z55" s="85"/>
      <c r="AA55" s="85"/>
      <c r="AB55" s="85"/>
      <c r="AC55" s="85"/>
      <c r="AD55" s="85"/>
      <c r="AE55" s="85"/>
      <c r="AF55" s="85"/>
      <c r="AG55" s="85"/>
      <c r="AH55" s="85"/>
      <c r="AI55" s="85"/>
      <c r="AJ55" s="85"/>
      <c r="AK55" s="85"/>
      <c r="AL55" s="85"/>
    </row>
    <row r="56" spans="1:38" s="80" customFormat="1" x14ac:dyDescent="0.25">
      <c r="A56" s="94"/>
      <c r="B56" s="33" t="str">
        <f t="shared" si="6"/>
        <v/>
      </c>
      <c r="C56" s="34"/>
      <c r="D56" s="34"/>
      <c r="E56" s="34"/>
      <c r="F56" s="34"/>
      <c r="H56" s="95">
        <v>51</v>
      </c>
      <c r="I56" s="96" t="str">
        <f t="shared" si="1"/>
        <v/>
      </c>
      <c r="J56" s="95" t="e">
        <f t="shared" si="5"/>
        <v>#NUM!</v>
      </c>
      <c r="K56" s="95" t="e">
        <f t="shared" si="2"/>
        <v>#NUM!</v>
      </c>
      <c r="L56" s="95"/>
      <c r="M56" s="97">
        <f t="shared" si="3"/>
        <v>0</v>
      </c>
      <c r="S56" s="85"/>
      <c r="T56" s="85"/>
      <c r="U56" s="85"/>
      <c r="V56" s="85"/>
      <c r="W56" s="85"/>
      <c r="X56" s="85"/>
      <c r="Y56" s="85"/>
      <c r="Z56" s="85"/>
      <c r="AA56" s="85"/>
      <c r="AB56" s="85"/>
      <c r="AC56" s="85"/>
      <c r="AD56" s="85"/>
      <c r="AE56" s="85"/>
      <c r="AF56" s="85"/>
      <c r="AG56" s="85"/>
      <c r="AH56" s="85"/>
      <c r="AI56" s="85"/>
      <c r="AJ56" s="85"/>
      <c r="AK56" s="85"/>
      <c r="AL56" s="85"/>
    </row>
    <row r="57" spans="1:38" s="80" customFormat="1" x14ac:dyDescent="0.25">
      <c r="A57" s="98"/>
      <c r="B57" s="39" t="str">
        <f t="shared" si="6"/>
        <v/>
      </c>
      <c r="C57" s="40"/>
      <c r="D57" s="40"/>
      <c r="E57" s="40"/>
      <c r="F57" s="40"/>
      <c r="H57" s="99">
        <v>52</v>
      </c>
      <c r="I57" s="100" t="str">
        <f t="shared" si="1"/>
        <v/>
      </c>
      <c r="J57" s="99" t="e">
        <f t="shared" si="5"/>
        <v>#NUM!</v>
      </c>
      <c r="K57" s="99" t="e">
        <f t="shared" si="2"/>
        <v>#NUM!</v>
      </c>
      <c r="L57" s="99"/>
      <c r="M57" s="101">
        <f t="shared" si="3"/>
        <v>0</v>
      </c>
      <c r="S57" s="85"/>
      <c r="T57" s="85"/>
      <c r="U57" s="85"/>
      <c r="V57" s="85"/>
      <c r="W57" s="85"/>
      <c r="X57" s="85"/>
      <c r="Y57" s="85"/>
      <c r="Z57" s="85"/>
      <c r="AA57" s="85"/>
      <c r="AB57" s="85"/>
      <c r="AC57" s="85"/>
      <c r="AD57" s="85"/>
      <c r="AE57" s="85"/>
      <c r="AF57" s="85"/>
      <c r="AG57" s="85"/>
      <c r="AH57" s="85"/>
      <c r="AI57" s="85"/>
      <c r="AJ57" s="85"/>
      <c r="AK57" s="85"/>
      <c r="AL57" s="85"/>
    </row>
    <row r="58" spans="1:38" s="80" customFormat="1" x14ac:dyDescent="0.25">
      <c r="A58" s="94"/>
      <c r="B58" s="33" t="str">
        <f t="shared" si="6"/>
        <v/>
      </c>
      <c r="C58" s="34"/>
      <c r="D58" s="34"/>
      <c r="E58" s="34"/>
      <c r="F58" s="34"/>
      <c r="H58" s="95">
        <v>53</v>
      </c>
      <c r="I58" s="96" t="str">
        <f t="shared" si="1"/>
        <v/>
      </c>
      <c r="J58" s="95" t="e">
        <f t="shared" si="5"/>
        <v>#NUM!</v>
      </c>
      <c r="K58" s="95" t="e">
        <f t="shared" si="2"/>
        <v>#NUM!</v>
      </c>
      <c r="L58" s="95"/>
      <c r="M58" s="97">
        <f t="shared" si="3"/>
        <v>0</v>
      </c>
      <c r="S58" s="85"/>
      <c r="T58" s="85"/>
      <c r="U58" s="85"/>
      <c r="V58" s="85"/>
      <c r="W58" s="85"/>
      <c r="X58" s="85"/>
      <c r="Y58" s="85"/>
      <c r="Z58" s="85"/>
      <c r="AA58" s="85"/>
      <c r="AB58" s="85"/>
      <c r="AC58" s="85"/>
      <c r="AD58" s="85"/>
      <c r="AE58" s="85"/>
      <c r="AF58" s="85"/>
      <c r="AG58" s="85"/>
      <c r="AH58" s="85"/>
      <c r="AI58" s="85"/>
      <c r="AJ58" s="85"/>
      <c r="AK58" s="85"/>
      <c r="AL58" s="85"/>
    </row>
    <row r="59" spans="1:38" s="80" customFormat="1" x14ac:dyDescent="0.25">
      <c r="A59" s="98"/>
      <c r="B59" s="39" t="str">
        <f t="shared" si="6"/>
        <v/>
      </c>
      <c r="C59" s="40"/>
      <c r="D59" s="40"/>
      <c r="E59" s="40"/>
      <c r="F59" s="40"/>
      <c r="H59" s="99">
        <v>54</v>
      </c>
      <c r="I59" s="100" t="str">
        <f t="shared" si="1"/>
        <v/>
      </c>
      <c r="J59" s="99" t="e">
        <f t="shared" si="5"/>
        <v>#NUM!</v>
      </c>
      <c r="K59" s="99" t="e">
        <f t="shared" si="2"/>
        <v>#NUM!</v>
      </c>
      <c r="L59" s="99"/>
      <c r="M59" s="101">
        <f t="shared" si="3"/>
        <v>0</v>
      </c>
      <c r="S59" s="85"/>
      <c r="T59" s="85"/>
      <c r="U59" s="85"/>
      <c r="V59" s="85"/>
      <c r="W59" s="85"/>
      <c r="X59" s="85"/>
      <c r="Y59" s="85"/>
      <c r="Z59" s="85"/>
      <c r="AA59" s="85"/>
      <c r="AB59" s="85"/>
      <c r="AC59" s="85"/>
      <c r="AD59" s="85"/>
      <c r="AE59" s="85"/>
      <c r="AF59" s="85"/>
      <c r="AG59" s="85"/>
      <c r="AH59" s="85"/>
      <c r="AI59" s="85"/>
      <c r="AJ59" s="85"/>
      <c r="AK59" s="85"/>
      <c r="AL59" s="85"/>
    </row>
    <row r="60" spans="1:38" s="80" customFormat="1" x14ac:dyDescent="0.25">
      <c r="A60" s="94"/>
      <c r="B60" s="33" t="str">
        <f t="shared" si="6"/>
        <v/>
      </c>
      <c r="C60" s="34"/>
      <c r="D60" s="34"/>
      <c r="E60" s="34"/>
      <c r="F60" s="34"/>
      <c r="H60" s="95">
        <v>55</v>
      </c>
      <c r="I60" s="96" t="str">
        <f t="shared" si="1"/>
        <v/>
      </c>
      <c r="J60" s="95" t="e">
        <f t="shared" si="5"/>
        <v>#NUM!</v>
      </c>
      <c r="K60" s="95" t="e">
        <f t="shared" si="2"/>
        <v>#NUM!</v>
      </c>
      <c r="L60" s="95"/>
      <c r="M60" s="97">
        <f t="shared" si="3"/>
        <v>0</v>
      </c>
      <c r="S60" s="85"/>
      <c r="T60" s="85"/>
      <c r="U60" s="85"/>
      <c r="V60" s="85"/>
      <c r="W60" s="85"/>
      <c r="X60" s="85"/>
      <c r="Y60" s="85"/>
      <c r="Z60" s="85"/>
      <c r="AA60" s="85"/>
      <c r="AB60" s="85"/>
      <c r="AC60" s="85"/>
      <c r="AD60" s="85"/>
      <c r="AE60" s="85"/>
      <c r="AF60" s="85"/>
      <c r="AG60" s="85"/>
      <c r="AH60" s="85"/>
      <c r="AI60" s="85"/>
      <c r="AJ60" s="85"/>
      <c r="AK60" s="85"/>
      <c r="AL60" s="85"/>
    </row>
    <row r="61" spans="1:38" s="80" customFormat="1" x14ac:dyDescent="0.25">
      <c r="A61" s="98"/>
      <c r="B61" s="39" t="str">
        <f t="shared" si="6"/>
        <v/>
      </c>
      <c r="C61" s="40"/>
      <c r="D61" s="40"/>
      <c r="E61" s="40"/>
      <c r="F61" s="40"/>
      <c r="H61" s="99">
        <v>56</v>
      </c>
      <c r="I61" s="100" t="str">
        <f t="shared" si="1"/>
        <v/>
      </c>
      <c r="J61" s="99" t="e">
        <f t="shared" si="5"/>
        <v>#NUM!</v>
      </c>
      <c r="K61" s="99" t="e">
        <f t="shared" si="2"/>
        <v>#NUM!</v>
      </c>
      <c r="L61" s="99"/>
      <c r="M61" s="101">
        <f t="shared" si="3"/>
        <v>0</v>
      </c>
      <c r="S61" s="85"/>
      <c r="T61" s="85"/>
      <c r="U61" s="85"/>
      <c r="V61" s="85"/>
      <c r="W61" s="85"/>
      <c r="X61" s="85"/>
      <c r="Y61" s="85"/>
      <c r="Z61" s="85"/>
      <c r="AA61" s="85"/>
      <c r="AB61" s="85"/>
      <c r="AC61" s="85"/>
      <c r="AD61" s="85"/>
      <c r="AE61" s="85"/>
      <c r="AF61" s="85"/>
      <c r="AG61" s="85"/>
      <c r="AH61" s="85"/>
      <c r="AI61" s="85"/>
      <c r="AJ61" s="85"/>
      <c r="AK61" s="85"/>
      <c r="AL61" s="85"/>
    </row>
    <row r="62" spans="1:38" s="80" customFormat="1" x14ac:dyDescent="0.25">
      <c r="A62" s="94"/>
      <c r="B62" s="33" t="str">
        <f t="shared" si="6"/>
        <v/>
      </c>
      <c r="C62" s="34"/>
      <c r="D62" s="34"/>
      <c r="E62" s="34"/>
      <c r="F62" s="34"/>
      <c r="H62" s="95">
        <v>57</v>
      </c>
      <c r="I62" s="96" t="str">
        <f t="shared" si="1"/>
        <v/>
      </c>
      <c r="J62" s="95" t="e">
        <f t="shared" si="5"/>
        <v>#NUM!</v>
      </c>
      <c r="K62" s="95" t="e">
        <f t="shared" si="2"/>
        <v>#NUM!</v>
      </c>
      <c r="L62" s="95"/>
      <c r="M62" s="97">
        <f t="shared" si="3"/>
        <v>0</v>
      </c>
      <c r="S62" s="85"/>
      <c r="T62" s="85"/>
      <c r="U62" s="85"/>
      <c r="V62" s="85"/>
      <c r="W62" s="85"/>
      <c r="X62" s="85"/>
      <c r="Y62" s="85"/>
      <c r="Z62" s="85"/>
      <c r="AA62" s="85"/>
      <c r="AB62" s="85"/>
      <c r="AC62" s="85"/>
      <c r="AD62" s="85"/>
      <c r="AE62" s="85"/>
      <c r="AF62" s="85"/>
      <c r="AG62" s="85"/>
      <c r="AH62" s="85"/>
      <c r="AI62" s="85"/>
      <c r="AJ62" s="85"/>
      <c r="AK62" s="85"/>
      <c r="AL62" s="85"/>
    </row>
    <row r="63" spans="1:38" s="80" customFormat="1" x14ac:dyDescent="0.25">
      <c r="A63" s="98"/>
      <c r="B63" s="39" t="str">
        <f t="shared" si="6"/>
        <v/>
      </c>
      <c r="C63" s="40"/>
      <c r="D63" s="40"/>
      <c r="E63" s="40"/>
      <c r="F63" s="40"/>
      <c r="H63" s="99">
        <v>58</v>
      </c>
      <c r="I63" s="100" t="str">
        <f t="shared" si="1"/>
        <v/>
      </c>
      <c r="J63" s="99" t="e">
        <f t="shared" si="5"/>
        <v>#NUM!</v>
      </c>
      <c r="K63" s="99" t="e">
        <f t="shared" si="2"/>
        <v>#NUM!</v>
      </c>
      <c r="L63" s="99"/>
      <c r="M63" s="101">
        <f t="shared" si="3"/>
        <v>0</v>
      </c>
      <c r="S63" s="85"/>
      <c r="T63" s="85"/>
      <c r="U63" s="85"/>
      <c r="V63" s="85"/>
      <c r="W63" s="85"/>
      <c r="X63" s="85"/>
      <c r="Y63" s="85"/>
      <c r="Z63" s="85"/>
      <c r="AA63" s="85"/>
      <c r="AB63" s="85"/>
      <c r="AC63" s="85"/>
      <c r="AD63" s="85"/>
      <c r="AE63" s="85"/>
      <c r="AF63" s="85"/>
      <c r="AG63" s="85"/>
      <c r="AH63" s="85"/>
      <c r="AI63" s="85"/>
      <c r="AJ63" s="85"/>
      <c r="AK63" s="85"/>
      <c r="AL63" s="85"/>
    </row>
    <row r="64" spans="1:38" s="80" customFormat="1" x14ac:dyDescent="0.25">
      <c r="A64" s="94"/>
      <c r="B64" s="33" t="str">
        <f t="shared" si="6"/>
        <v/>
      </c>
      <c r="C64" s="34"/>
      <c r="D64" s="34"/>
      <c r="E64" s="34"/>
      <c r="F64" s="34"/>
      <c r="H64" s="95">
        <v>59</v>
      </c>
      <c r="I64" s="96" t="str">
        <f t="shared" si="1"/>
        <v/>
      </c>
      <c r="J64" s="95" t="e">
        <f t="shared" si="5"/>
        <v>#NUM!</v>
      </c>
      <c r="K64" s="95" t="e">
        <f t="shared" si="2"/>
        <v>#NUM!</v>
      </c>
      <c r="L64" s="95"/>
      <c r="M64" s="97">
        <f t="shared" si="3"/>
        <v>0</v>
      </c>
      <c r="S64" s="85"/>
      <c r="T64" s="85"/>
      <c r="U64" s="85"/>
      <c r="V64" s="85"/>
      <c r="W64" s="85"/>
      <c r="X64" s="85"/>
      <c r="Y64" s="85"/>
      <c r="Z64" s="85"/>
      <c r="AA64" s="85"/>
      <c r="AB64" s="85"/>
      <c r="AC64" s="85"/>
      <c r="AD64" s="85"/>
      <c r="AE64" s="85"/>
      <c r="AF64" s="85"/>
      <c r="AG64" s="85"/>
      <c r="AH64" s="85"/>
      <c r="AI64" s="85"/>
      <c r="AJ64" s="85"/>
      <c r="AK64" s="85"/>
      <c r="AL64" s="85"/>
    </row>
    <row r="65" spans="1:38" s="80" customFormat="1" x14ac:dyDescent="0.25">
      <c r="A65" s="98"/>
      <c r="B65" s="39" t="str">
        <f t="shared" si="6"/>
        <v/>
      </c>
      <c r="C65" s="40"/>
      <c r="D65" s="40"/>
      <c r="E65" s="40"/>
      <c r="F65" s="40"/>
      <c r="H65" s="99">
        <v>60</v>
      </c>
      <c r="I65" s="100" t="str">
        <f t="shared" si="1"/>
        <v/>
      </c>
      <c r="J65" s="99" t="e">
        <f t="shared" si="5"/>
        <v>#NUM!</v>
      </c>
      <c r="K65" s="99" t="e">
        <f t="shared" si="2"/>
        <v>#NUM!</v>
      </c>
      <c r="L65" s="99"/>
      <c r="M65" s="101">
        <f t="shared" si="3"/>
        <v>0</v>
      </c>
      <c r="S65" s="85"/>
      <c r="T65" s="85"/>
      <c r="U65" s="85"/>
      <c r="V65" s="85"/>
      <c r="W65" s="85"/>
      <c r="X65" s="85"/>
      <c r="Y65" s="85"/>
      <c r="Z65" s="85"/>
      <c r="AA65" s="85"/>
      <c r="AB65" s="85"/>
      <c r="AC65" s="85"/>
      <c r="AD65" s="85"/>
      <c r="AE65" s="85"/>
      <c r="AF65" s="85"/>
      <c r="AG65" s="85"/>
      <c r="AH65" s="85"/>
      <c r="AI65" s="85"/>
      <c r="AJ65" s="85"/>
      <c r="AK65" s="85"/>
      <c r="AL65" s="85"/>
    </row>
    <row r="66" spans="1:38" s="80" customFormat="1" x14ac:dyDescent="0.25">
      <c r="A66" s="94"/>
      <c r="B66" s="33"/>
      <c r="C66" s="115"/>
      <c r="D66" s="115"/>
      <c r="E66" s="115"/>
      <c r="F66" s="115"/>
      <c r="H66" s="95">
        <v>61</v>
      </c>
      <c r="I66" s="96" t="str">
        <f t="shared" si="1"/>
        <v/>
      </c>
      <c r="J66" s="95" t="e">
        <f t="shared" si="5"/>
        <v>#NUM!</v>
      </c>
      <c r="K66" s="95" t="e">
        <f t="shared" si="2"/>
        <v>#NUM!</v>
      </c>
      <c r="L66" s="95"/>
      <c r="M66" s="97">
        <f t="shared" si="3"/>
        <v>0</v>
      </c>
      <c r="S66" s="85"/>
      <c r="T66" s="85"/>
      <c r="U66" s="85"/>
      <c r="V66" s="85"/>
      <c r="W66" s="85"/>
      <c r="X66" s="85"/>
      <c r="Y66" s="85"/>
      <c r="Z66" s="85"/>
      <c r="AA66" s="85"/>
      <c r="AB66" s="85"/>
      <c r="AC66" s="85"/>
      <c r="AD66" s="85"/>
      <c r="AE66" s="85"/>
      <c r="AF66" s="85"/>
      <c r="AG66" s="85"/>
      <c r="AH66" s="85"/>
      <c r="AI66" s="85"/>
      <c r="AJ66" s="85"/>
      <c r="AK66" s="85"/>
      <c r="AL66" s="85"/>
    </row>
    <row r="67" spans="1:38" s="80" customFormat="1" x14ac:dyDescent="0.25">
      <c r="A67" s="98"/>
      <c r="B67" s="39"/>
      <c r="C67" s="115"/>
      <c r="D67" s="115"/>
      <c r="E67" s="115"/>
      <c r="F67" s="115"/>
      <c r="H67" s="95">
        <v>62</v>
      </c>
      <c r="I67" s="96" t="str">
        <f t="shared" si="1"/>
        <v/>
      </c>
      <c r="J67" s="95" t="e">
        <f t="shared" si="5"/>
        <v>#NUM!</v>
      </c>
      <c r="K67" s="95" t="e">
        <f t="shared" si="2"/>
        <v>#NUM!</v>
      </c>
      <c r="L67" s="95"/>
      <c r="M67" s="97">
        <f t="shared" si="3"/>
        <v>0</v>
      </c>
      <c r="S67" s="85"/>
      <c r="T67" s="85"/>
      <c r="U67" s="85"/>
      <c r="V67" s="85"/>
      <c r="W67" s="85"/>
      <c r="X67" s="85"/>
      <c r="Y67" s="85"/>
      <c r="Z67" s="85"/>
      <c r="AA67" s="85"/>
      <c r="AB67" s="85"/>
      <c r="AC67" s="85"/>
      <c r="AD67" s="85"/>
      <c r="AE67" s="85"/>
      <c r="AF67" s="85"/>
      <c r="AG67" s="85"/>
      <c r="AH67" s="85"/>
      <c r="AI67" s="85"/>
      <c r="AJ67" s="85"/>
      <c r="AK67" s="85"/>
      <c r="AL67" s="85"/>
    </row>
    <row r="68" spans="1:38" s="80" customFormat="1" x14ac:dyDescent="0.25">
      <c r="A68" s="116"/>
      <c r="B68" s="33"/>
      <c r="C68" s="115"/>
      <c r="D68" s="115"/>
      <c r="E68" s="115"/>
      <c r="F68" s="115"/>
      <c r="H68" s="95">
        <v>63</v>
      </c>
      <c r="I68" s="96" t="str">
        <f t="shared" si="1"/>
        <v/>
      </c>
      <c r="J68" s="95" t="e">
        <f t="shared" si="5"/>
        <v>#NUM!</v>
      </c>
      <c r="K68" s="95" t="e">
        <f t="shared" si="2"/>
        <v>#NUM!</v>
      </c>
      <c r="L68" s="95"/>
      <c r="M68" s="97">
        <f t="shared" si="3"/>
        <v>0</v>
      </c>
      <c r="S68" s="85"/>
      <c r="T68" s="85"/>
      <c r="U68" s="85"/>
      <c r="V68" s="85"/>
      <c r="W68" s="85"/>
      <c r="X68" s="85"/>
      <c r="Y68" s="85"/>
      <c r="Z68" s="85"/>
      <c r="AA68" s="85"/>
      <c r="AB68" s="85"/>
      <c r="AC68" s="85"/>
      <c r="AD68" s="85"/>
      <c r="AE68" s="85"/>
      <c r="AF68" s="85"/>
      <c r="AG68" s="85"/>
      <c r="AH68" s="85"/>
      <c r="AI68" s="85"/>
      <c r="AJ68" s="85"/>
      <c r="AK68" s="85"/>
      <c r="AL68" s="85"/>
    </row>
    <row r="69" spans="1:38" s="80" customFormat="1" x14ac:dyDescent="0.25">
      <c r="A69" s="116"/>
      <c r="B69" s="39"/>
      <c r="C69" s="115"/>
      <c r="D69" s="115"/>
      <c r="E69" s="115"/>
      <c r="F69" s="115"/>
      <c r="H69" s="95">
        <v>64</v>
      </c>
      <c r="I69" s="96" t="str">
        <f t="shared" si="1"/>
        <v/>
      </c>
      <c r="J69" s="95" t="e">
        <f t="shared" si="5"/>
        <v>#NUM!</v>
      </c>
      <c r="K69" s="95" t="e">
        <f t="shared" si="2"/>
        <v>#NUM!</v>
      </c>
      <c r="L69" s="95"/>
      <c r="M69" s="97">
        <f t="shared" si="3"/>
        <v>0</v>
      </c>
      <c r="S69" s="85"/>
      <c r="T69" s="85"/>
      <c r="U69" s="85"/>
      <c r="V69" s="85"/>
      <c r="W69" s="85"/>
      <c r="X69" s="85"/>
      <c r="Y69" s="85"/>
      <c r="Z69" s="85"/>
      <c r="AA69" s="85"/>
      <c r="AB69" s="85"/>
      <c r="AC69" s="85"/>
      <c r="AD69" s="85"/>
      <c r="AE69" s="85"/>
      <c r="AF69" s="85"/>
      <c r="AG69" s="85"/>
      <c r="AH69" s="85"/>
      <c r="AI69" s="85"/>
      <c r="AJ69" s="85"/>
      <c r="AK69" s="85"/>
      <c r="AL69" s="85"/>
    </row>
    <row r="70" spans="1:38" s="80" customFormat="1" x14ac:dyDescent="0.25">
      <c r="A70" s="116"/>
      <c r="B70" s="115"/>
      <c r="C70" s="115"/>
      <c r="D70" s="115"/>
      <c r="E70" s="115"/>
      <c r="F70" s="115"/>
      <c r="H70" s="95">
        <v>65</v>
      </c>
      <c r="I70" s="96" t="str">
        <f t="shared" ref="I70:I133" si="7">IF(H70&lt;$H$2+1,($I$2-($I$2-1)*(LOG(H70)/LOG($H$2))),"")</f>
        <v/>
      </c>
      <c r="J70" s="95" t="e">
        <f t="shared" si="5"/>
        <v>#NUM!</v>
      </c>
      <c r="K70" s="95" t="e">
        <f t="shared" ref="K70:K133" si="8">J70*$J$2</f>
        <v>#NUM!</v>
      </c>
      <c r="L70" s="95"/>
      <c r="M70" s="97">
        <f t="shared" ref="M70:M133" si="9">IF(I70&lt;&gt;"",K70+I70+L70,0)</f>
        <v>0</v>
      </c>
      <c r="S70" s="85"/>
      <c r="T70" s="85"/>
      <c r="U70" s="85"/>
      <c r="V70" s="85"/>
      <c r="W70" s="85"/>
      <c r="X70" s="85"/>
      <c r="Y70" s="85"/>
      <c r="Z70" s="85"/>
      <c r="AA70" s="85"/>
      <c r="AB70" s="85"/>
      <c r="AC70" s="85"/>
      <c r="AD70" s="85"/>
      <c r="AE70" s="85"/>
      <c r="AF70" s="85"/>
      <c r="AG70" s="85"/>
      <c r="AH70" s="85"/>
      <c r="AI70" s="85"/>
      <c r="AJ70" s="85"/>
      <c r="AK70" s="85"/>
      <c r="AL70" s="85"/>
    </row>
    <row r="71" spans="1:38" s="80" customFormat="1" x14ac:dyDescent="0.25">
      <c r="A71" s="116"/>
      <c r="B71" s="115"/>
      <c r="C71" s="115"/>
      <c r="D71" s="115"/>
      <c r="E71" s="115"/>
      <c r="F71" s="115"/>
      <c r="H71" s="95">
        <v>66</v>
      </c>
      <c r="I71" s="96" t="str">
        <f t="shared" si="7"/>
        <v/>
      </c>
      <c r="J71" s="95" t="e">
        <f t="shared" si="5"/>
        <v>#NUM!</v>
      </c>
      <c r="K71" s="95" t="e">
        <f t="shared" si="8"/>
        <v>#NUM!</v>
      </c>
      <c r="L71" s="95"/>
      <c r="M71" s="97">
        <f t="shared" si="9"/>
        <v>0</v>
      </c>
      <c r="S71" s="85"/>
      <c r="T71" s="85"/>
      <c r="U71" s="85"/>
      <c r="V71" s="85"/>
      <c r="W71" s="85"/>
      <c r="X71" s="85"/>
      <c r="Y71" s="85"/>
      <c r="Z71" s="85"/>
      <c r="AA71" s="85"/>
      <c r="AB71" s="85"/>
      <c r="AC71" s="85"/>
      <c r="AD71" s="85"/>
      <c r="AE71" s="85"/>
      <c r="AF71" s="85"/>
      <c r="AG71" s="85"/>
      <c r="AH71" s="85"/>
      <c r="AI71" s="85"/>
      <c r="AJ71" s="85"/>
      <c r="AK71" s="85"/>
      <c r="AL71" s="85"/>
    </row>
    <row r="72" spans="1:38" s="80" customFormat="1" x14ac:dyDescent="0.25">
      <c r="A72" s="116"/>
      <c r="B72" s="115"/>
      <c r="C72" s="115"/>
      <c r="D72" s="115"/>
      <c r="E72" s="115"/>
      <c r="F72" s="115"/>
      <c r="H72" s="95">
        <v>67</v>
      </c>
      <c r="I72" s="96" t="str">
        <f t="shared" si="7"/>
        <v/>
      </c>
      <c r="J72" s="95" t="e">
        <f t="shared" si="5"/>
        <v>#NUM!</v>
      </c>
      <c r="K72" s="95" t="e">
        <f t="shared" si="8"/>
        <v>#NUM!</v>
      </c>
      <c r="L72" s="95"/>
      <c r="M72" s="97">
        <f t="shared" si="9"/>
        <v>0</v>
      </c>
      <c r="S72" s="85"/>
      <c r="T72" s="85"/>
      <c r="U72" s="85"/>
      <c r="V72" s="85"/>
      <c r="W72" s="85"/>
      <c r="X72" s="85"/>
      <c r="Y72" s="85"/>
      <c r="Z72" s="85"/>
      <c r="AA72" s="85"/>
      <c r="AB72" s="85"/>
      <c r="AC72" s="85"/>
      <c r="AD72" s="85"/>
      <c r="AE72" s="85"/>
      <c r="AF72" s="85"/>
      <c r="AG72" s="85"/>
      <c r="AH72" s="85"/>
      <c r="AI72" s="85"/>
      <c r="AJ72" s="85"/>
      <c r="AK72" s="85"/>
      <c r="AL72" s="85"/>
    </row>
    <row r="73" spans="1:38" s="80" customFormat="1" x14ac:dyDescent="0.25">
      <c r="A73" s="116"/>
      <c r="B73" s="115"/>
      <c r="C73" s="115"/>
      <c r="D73" s="115"/>
      <c r="E73" s="115"/>
      <c r="F73" s="115"/>
      <c r="H73" s="95">
        <v>68</v>
      </c>
      <c r="I73" s="96" t="str">
        <f t="shared" si="7"/>
        <v/>
      </c>
      <c r="J73" s="95" t="e">
        <f t="shared" si="5"/>
        <v>#NUM!</v>
      </c>
      <c r="K73" s="95" t="e">
        <f t="shared" si="8"/>
        <v>#NUM!</v>
      </c>
      <c r="L73" s="95"/>
      <c r="M73" s="97">
        <f t="shared" si="9"/>
        <v>0</v>
      </c>
      <c r="S73" s="85"/>
      <c r="T73" s="85"/>
      <c r="U73" s="85"/>
      <c r="V73" s="85"/>
      <c r="W73" s="85"/>
      <c r="X73" s="85"/>
      <c r="Y73" s="85"/>
      <c r="Z73" s="85"/>
      <c r="AA73" s="85"/>
      <c r="AB73" s="85"/>
      <c r="AC73" s="85"/>
      <c r="AD73" s="85"/>
      <c r="AE73" s="85"/>
      <c r="AF73" s="85"/>
      <c r="AG73" s="85"/>
      <c r="AH73" s="85"/>
      <c r="AI73" s="85"/>
      <c r="AJ73" s="85"/>
      <c r="AK73" s="85"/>
      <c r="AL73" s="85"/>
    </row>
    <row r="74" spans="1:38" s="80" customFormat="1" x14ac:dyDescent="0.25">
      <c r="A74" s="116"/>
      <c r="B74" s="115"/>
      <c r="C74" s="115"/>
      <c r="D74" s="115"/>
      <c r="E74" s="115"/>
      <c r="F74" s="115"/>
      <c r="H74" s="95">
        <v>69</v>
      </c>
      <c r="I74" s="96" t="str">
        <f t="shared" si="7"/>
        <v/>
      </c>
      <c r="J74" s="95" t="e">
        <f t="shared" ref="J74:J137" si="10">INT(LOG($H$2,2))-ROUNDUP(LOG(H74,2),0)+IF(OR($H$2=1,$H$2=2,$H$2=4,$H$2=8,$H$2=16,$H$2=32,$H$2=64,$H$2=128,$H$2=256),0,1)</f>
        <v>#NUM!</v>
      </c>
      <c r="K74" s="95" t="e">
        <f t="shared" si="8"/>
        <v>#NUM!</v>
      </c>
      <c r="L74" s="95"/>
      <c r="M74" s="97">
        <f t="shared" si="9"/>
        <v>0</v>
      </c>
      <c r="S74" s="85"/>
      <c r="T74" s="85"/>
      <c r="U74" s="85"/>
      <c r="V74" s="85"/>
      <c r="W74" s="85"/>
      <c r="X74" s="85"/>
      <c r="Y74" s="85"/>
      <c r="Z74" s="85"/>
      <c r="AA74" s="85"/>
      <c r="AB74" s="85"/>
      <c r="AC74" s="85"/>
      <c r="AD74" s="85"/>
      <c r="AE74" s="85"/>
      <c r="AF74" s="85"/>
      <c r="AG74" s="85"/>
      <c r="AH74" s="85"/>
      <c r="AI74" s="85"/>
      <c r="AJ74" s="85"/>
      <c r="AK74" s="85"/>
      <c r="AL74" s="85"/>
    </row>
    <row r="75" spans="1:38" s="80" customFormat="1" x14ac:dyDescent="0.25">
      <c r="A75" s="116"/>
      <c r="B75" s="115"/>
      <c r="C75" s="115"/>
      <c r="D75" s="115"/>
      <c r="E75" s="115"/>
      <c r="F75" s="115"/>
      <c r="H75" s="95">
        <v>70</v>
      </c>
      <c r="I75" s="96" t="str">
        <f t="shared" si="7"/>
        <v/>
      </c>
      <c r="J75" s="95" t="e">
        <f t="shared" si="10"/>
        <v>#NUM!</v>
      </c>
      <c r="K75" s="95" t="e">
        <f t="shared" si="8"/>
        <v>#NUM!</v>
      </c>
      <c r="L75" s="95"/>
      <c r="M75" s="97">
        <f t="shared" si="9"/>
        <v>0</v>
      </c>
      <c r="S75" s="85"/>
      <c r="T75" s="85"/>
      <c r="U75" s="85"/>
      <c r="V75" s="85"/>
      <c r="W75" s="85"/>
      <c r="X75" s="85"/>
      <c r="Y75" s="85"/>
      <c r="Z75" s="85"/>
      <c r="AA75" s="85"/>
      <c r="AB75" s="85"/>
      <c r="AC75" s="85"/>
      <c r="AD75" s="85"/>
      <c r="AE75" s="85"/>
      <c r="AF75" s="85"/>
      <c r="AG75" s="85"/>
      <c r="AH75" s="85"/>
      <c r="AI75" s="85"/>
      <c r="AJ75" s="85"/>
      <c r="AK75" s="85"/>
      <c r="AL75" s="85"/>
    </row>
    <row r="76" spans="1:38" s="80" customFormat="1" x14ac:dyDescent="0.25">
      <c r="A76" s="116"/>
      <c r="B76" s="115"/>
      <c r="C76" s="115"/>
      <c r="D76" s="115"/>
      <c r="E76" s="115"/>
      <c r="F76" s="115"/>
      <c r="H76" s="95">
        <v>71</v>
      </c>
      <c r="I76" s="96" t="str">
        <f t="shared" si="7"/>
        <v/>
      </c>
      <c r="J76" s="95" t="e">
        <f t="shared" si="10"/>
        <v>#NUM!</v>
      </c>
      <c r="K76" s="95" t="e">
        <f t="shared" si="8"/>
        <v>#NUM!</v>
      </c>
      <c r="L76" s="95"/>
      <c r="M76" s="97">
        <f t="shared" si="9"/>
        <v>0</v>
      </c>
      <c r="S76" s="85"/>
      <c r="T76" s="85"/>
      <c r="U76" s="85"/>
      <c r="V76" s="85"/>
      <c r="W76" s="85"/>
      <c r="X76" s="85"/>
      <c r="Y76" s="85"/>
      <c r="Z76" s="85"/>
      <c r="AA76" s="85"/>
      <c r="AB76" s="85"/>
      <c r="AC76" s="85"/>
      <c r="AD76" s="85"/>
      <c r="AE76" s="85"/>
      <c r="AF76" s="85"/>
      <c r="AG76" s="85"/>
      <c r="AH76" s="85"/>
      <c r="AI76" s="85"/>
      <c r="AJ76" s="85"/>
      <c r="AK76" s="85"/>
      <c r="AL76" s="85"/>
    </row>
    <row r="77" spans="1:38" s="80" customFormat="1" x14ac:dyDescent="0.25">
      <c r="A77" s="116"/>
      <c r="B77" s="115"/>
      <c r="C77" s="115"/>
      <c r="D77" s="115"/>
      <c r="E77" s="115"/>
      <c r="F77" s="115"/>
      <c r="H77" s="95">
        <v>72</v>
      </c>
      <c r="I77" s="96" t="str">
        <f t="shared" si="7"/>
        <v/>
      </c>
      <c r="J77" s="95" t="e">
        <f t="shared" si="10"/>
        <v>#NUM!</v>
      </c>
      <c r="K77" s="95" t="e">
        <f t="shared" si="8"/>
        <v>#NUM!</v>
      </c>
      <c r="L77" s="95"/>
      <c r="M77" s="97">
        <f t="shared" si="9"/>
        <v>0</v>
      </c>
      <c r="S77" s="85"/>
      <c r="T77" s="85"/>
      <c r="U77" s="85"/>
      <c r="V77" s="85"/>
      <c r="W77" s="85"/>
      <c r="X77" s="85"/>
      <c r="Y77" s="85"/>
      <c r="Z77" s="85"/>
      <c r="AA77" s="85"/>
      <c r="AB77" s="85"/>
      <c r="AC77" s="85"/>
      <c r="AD77" s="85"/>
      <c r="AE77" s="85"/>
      <c r="AF77" s="85"/>
      <c r="AG77" s="85"/>
      <c r="AH77" s="85"/>
      <c r="AI77" s="85"/>
      <c r="AJ77" s="85"/>
      <c r="AK77" s="85"/>
      <c r="AL77" s="85"/>
    </row>
    <row r="78" spans="1:38" s="80" customFormat="1" x14ac:dyDescent="0.25">
      <c r="A78" s="116"/>
      <c r="B78" s="115"/>
      <c r="C78" s="115"/>
      <c r="D78" s="115"/>
      <c r="E78" s="115"/>
      <c r="F78" s="115"/>
      <c r="H78" s="95">
        <v>73</v>
      </c>
      <c r="I78" s="96" t="str">
        <f t="shared" si="7"/>
        <v/>
      </c>
      <c r="J78" s="95" t="e">
        <f t="shared" si="10"/>
        <v>#NUM!</v>
      </c>
      <c r="K78" s="95" t="e">
        <f t="shared" si="8"/>
        <v>#NUM!</v>
      </c>
      <c r="L78" s="95"/>
      <c r="M78" s="97">
        <f t="shared" si="9"/>
        <v>0</v>
      </c>
      <c r="S78" s="85"/>
      <c r="T78" s="85"/>
      <c r="U78" s="85"/>
      <c r="V78" s="85"/>
      <c r="W78" s="85"/>
      <c r="X78" s="85"/>
      <c r="Y78" s="85"/>
      <c r="Z78" s="85"/>
      <c r="AA78" s="85"/>
      <c r="AB78" s="85"/>
      <c r="AC78" s="85"/>
      <c r="AD78" s="85"/>
      <c r="AE78" s="85"/>
      <c r="AF78" s="85"/>
      <c r="AG78" s="85"/>
      <c r="AH78" s="85"/>
      <c r="AI78" s="85"/>
      <c r="AJ78" s="85"/>
      <c r="AK78" s="85"/>
      <c r="AL78" s="85"/>
    </row>
    <row r="79" spans="1:38" s="80" customFormat="1" x14ac:dyDescent="0.25">
      <c r="A79" s="116"/>
      <c r="B79" s="115"/>
      <c r="C79" s="115"/>
      <c r="D79" s="115"/>
      <c r="E79" s="115"/>
      <c r="F79" s="115"/>
      <c r="H79" s="95">
        <v>74</v>
      </c>
      <c r="I79" s="96" t="str">
        <f t="shared" si="7"/>
        <v/>
      </c>
      <c r="J79" s="95" t="e">
        <f t="shared" si="10"/>
        <v>#NUM!</v>
      </c>
      <c r="K79" s="95" t="e">
        <f t="shared" si="8"/>
        <v>#NUM!</v>
      </c>
      <c r="L79" s="95"/>
      <c r="M79" s="97">
        <f t="shared" si="9"/>
        <v>0</v>
      </c>
      <c r="S79" s="85"/>
      <c r="T79" s="85"/>
      <c r="U79" s="85"/>
      <c r="V79" s="85"/>
      <c r="W79" s="85"/>
      <c r="X79" s="85"/>
      <c r="Y79" s="85"/>
      <c r="Z79" s="85"/>
      <c r="AA79" s="85"/>
      <c r="AB79" s="85"/>
      <c r="AC79" s="85"/>
      <c r="AD79" s="85"/>
      <c r="AE79" s="85"/>
      <c r="AF79" s="85"/>
      <c r="AG79" s="85"/>
      <c r="AH79" s="85"/>
      <c r="AI79" s="85"/>
      <c r="AJ79" s="85"/>
      <c r="AK79" s="85"/>
      <c r="AL79" s="85"/>
    </row>
    <row r="80" spans="1:38" s="80" customFormat="1" x14ac:dyDescent="0.25">
      <c r="A80" s="116"/>
      <c r="B80" s="115"/>
      <c r="C80" s="115"/>
      <c r="D80" s="115"/>
      <c r="E80" s="115"/>
      <c r="F80" s="115"/>
      <c r="H80" s="95">
        <v>75</v>
      </c>
      <c r="I80" s="96" t="str">
        <f t="shared" si="7"/>
        <v/>
      </c>
      <c r="J80" s="95" t="e">
        <f t="shared" si="10"/>
        <v>#NUM!</v>
      </c>
      <c r="K80" s="95" t="e">
        <f t="shared" si="8"/>
        <v>#NUM!</v>
      </c>
      <c r="L80" s="95"/>
      <c r="M80" s="97">
        <f t="shared" si="9"/>
        <v>0</v>
      </c>
      <c r="S80" s="85"/>
      <c r="T80" s="85"/>
      <c r="U80" s="85"/>
      <c r="V80" s="85"/>
      <c r="W80" s="85"/>
      <c r="X80" s="85"/>
      <c r="Y80" s="85"/>
      <c r="Z80" s="85"/>
      <c r="AA80" s="85"/>
      <c r="AB80" s="85"/>
      <c r="AC80" s="85"/>
      <c r="AD80" s="85"/>
      <c r="AE80" s="85"/>
      <c r="AF80" s="85"/>
      <c r="AG80" s="85"/>
      <c r="AH80" s="85"/>
      <c r="AI80" s="85"/>
      <c r="AJ80" s="85"/>
      <c r="AK80" s="85"/>
      <c r="AL80" s="85"/>
    </row>
    <row r="81" spans="1:38" s="80" customFormat="1" x14ac:dyDescent="0.25">
      <c r="A81" s="116"/>
      <c r="B81" s="115"/>
      <c r="C81" s="115"/>
      <c r="D81" s="115"/>
      <c r="E81" s="115"/>
      <c r="F81" s="115"/>
      <c r="H81" s="95">
        <v>76</v>
      </c>
      <c r="I81" s="96" t="str">
        <f t="shared" si="7"/>
        <v/>
      </c>
      <c r="J81" s="95" t="e">
        <f t="shared" si="10"/>
        <v>#NUM!</v>
      </c>
      <c r="K81" s="95" t="e">
        <f t="shared" si="8"/>
        <v>#NUM!</v>
      </c>
      <c r="L81" s="95"/>
      <c r="M81" s="97">
        <f t="shared" si="9"/>
        <v>0</v>
      </c>
      <c r="S81" s="85"/>
      <c r="T81" s="85"/>
      <c r="U81" s="85"/>
      <c r="V81" s="85"/>
      <c r="W81" s="85"/>
      <c r="X81" s="85"/>
      <c r="Y81" s="85"/>
      <c r="Z81" s="85"/>
      <c r="AA81" s="85"/>
      <c r="AB81" s="85"/>
      <c r="AC81" s="85"/>
      <c r="AD81" s="85"/>
      <c r="AE81" s="85"/>
      <c r="AF81" s="85"/>
      <c r="AG81" s="85"/>
      <c r="AH81" s="85"/>
      <c r="AI81" s="85"/>
      <c r="AJ81" s="85"/>
      <c r="AK81" s="85"/>
      <c r="AL81" s="85"/>
    </row>
    <row r="82" spans="1:38" s="80" customFormat="1" x14ac:dyDescent="0.25">
      <c r="A82" s="116"/>
      <c r="B82" s="115"/>
      <c r="C82" s="115"/>
      <c r="D82" s="115"/>
      <c r="E82" s="115"/>
      <c r="F82" s="115"/>
      <c r="H82" s="95">
        <v>77</v>
      </c>
      <c r="I82" s="96" t="str">
        <f t="shared" si="7"/>
        <v/>
      </c>
      <c r="J82" s="95" t="e">
        <f t="shared" si="10"/>
        <v>#NUM!</v>
      </c>
      <c r="K82" s="95" t="e">
        <f t="shared" si="8"/>
        <v>#NUM!</v>
      </c>
      <c r="L82" s="95"/>
      <c r="M82" s="97">
        <f t="shared" si="9"/>
        <v>0</v>
      </c>
      <c r="S82" s="85"/>
      <c r="T82" s="85"/>
      <c r="U82" s="85"/>
      <c r="V82" s="85"/>
      <c r="W82" s="85"/>
      <c r="X82" s="85"/>
      <c r="Y82" s="85"/>
      <c r="Z82" s="85"/>
      <c r="AA82" s="85"/>
      <c r="AB82" s="85"/>
      <c r="AC82" s="85"/>
      <c r="AD82" s="85"/>
      <c r="AE82" s="85"/>
      <c r="AF82" s="85"/>
      <c r="AG82" s="85"/>
      <c r="AH82" s="85"/>
      <c r="AI82" s="85"/>
      <c r="AJ82" s="85"/>
      <c r="AK82" s="85"/>
      <c r="AL82" s="85"/>
    </row>
    <row r="83" spans="1:38" s="80" customFormat="1" x14ac:dyDescent="0.25">
      <c r="A83" s="116"/>
      <c r="B83" s="115"/>
      <c r="C83" s="115"/>
      <c r="D83" s="115"/>
      <c r="E83" s="115"/>
      <c r="F83" s="115"/>
      <c r="H83" s="95">
        <v>78</v>
      </c>
      <c r="I83" s="96" t="str">
        <f t="shared" si="7"/>
        <v/>
      </c>
      <c r="J83" s="95" t="e">
        <f t="shared" si="10"/>
        <v>#NUM!</v>
      </c>
      <c r="K83" s="95" t="e">
        <f t="shared" si="8"/>
        <v>#NUM!</v>
      </c>
      <c r="L83" s="95"/>
      <c r="M83" s="97">
        <f t="shared" si="9"/>
        <v>0</v>
      </c>
      <c r="S83" s="85"/>
      <c r="T83" s="85"/>
      <c r="U83" s="85"/>
      <c r="V83" s="85"/>
      <c r="W83" s="85"/>
      <c r="X83" s="85"/>
      <c r="Y83" s="85"/>
      <c r="Z83" s="85"/>
      <c r="AA83" s="85"/>
      <c r="AB83" s="85"/>
      <c r="AC83" s="85"/>
      <c r="AD83" s="85"/>
      <c r="AE83" s="85"/>
      <c r="AF83" s="85"/>
      <c r="AG83" s="85"/>
      <c r="AH83" s="85"/>
      <c r="AI83" s="85"/>
      <c r="AJ83" s="85"/>
      <c r="AK83" s="85"/>
      <c r="AL83" s="85"/>
    </row>
    <row r="84" spans="1:38" s="80" customFormat="1" x14ac:dyDescent="0.25">
      <c r="A84" s="116"/>
      <c r="B84" s="115"/>
      <c r="C84" s="115"/>
      <c r="D84" s="115"/>
      <c r="E84" s="115"/>
      <c r="F84" s="115"/>
      <c r="H84" s="95">
        <v>79</v>
      </c>
      <c r="I84" s="96" t="str">
        <f t="shared" si="7"/>
        <v/>
      </c>
      <c r="J84" s="95" t="e">
        <f t="shared" si="10"/>
        <v>#NUM!</v>
      </c>
      <c r="K84" s="95" t="e">
        <f t="shared" si="8"/>
        <v>#NUM!</v>
      </c>
      <c r="L84" s="95"/>
      <c r="M84" s="97">
        <f t="shared" si="9"/>
        <v>0</v>
      </c>
      <c r="S84" s="85"/>
      <c r="T84" s="85"/>
      <c r="U84" s="85"/>
      <c r="V84" s="85"/>
      <c r="W84" s="85"/>
      <c r="X84" s="85"/>
      <c r="Y84" s="85"/>
      <c r="Z84" s="85"/>
      <c r="AA84" s="85"/>
      <c r="AB84" s="85"/>
      <c r="AC84" s="85"/>
      <c r="AD84" s="85"/>
      <c r="AE84" s="85"/>
      <c r="AF84" s="85"/>
      <c r="AG84" s="85"/>
      <c r="AH84" s="85"/>
      <c r="AI84" s="85"/>
      <c r="AJ84" s="85"/>
      <c r="AK84" s="85"/>
      <c r="AL84" s="85"/>
    </row>
    <row r="85" spans="1:38" s="80" customFormat="1" x14ac:dyDescent="0.25">
      <c r="A85" s="116"/>
      <c r="B85" s="115"/>
      <c r="C85" s="115"/>
      <c r="D85" s="115"/>
      <c r="E85" s="115"/>
      <c r="F85" s="115"/>
      <c r="H85" s="95">
        <v>80</v>
      </c>
      <c r="I85" s="96" t="str">
        <f t="shared" si="7"/>
        <v/>
      </c>
      <c r="J85" s="95" t="e">
        <f t="shared" si="10"/>
        <v>#NUM!</v>
      </c>
      <c r="K85" s="95" t="e">
        <f t="shared" si="8"/>
        <v>#NUM!</v>
      </c>
      <c r="L85" s="95"/>
      <c r="M85" s="97">
        <f t="shared" si="9"/>
        <v>0</v>
      </c>
      <c r="S85" s="85"/>
      <c r="T85" s="85"/>
      <c r="U85" s="85"/>
      <c r="V85" s="85"/>
      <c r="W85" s="85"/>
      <c r="X85" s="85"/>
      <c r="Y85" s="85"/>
      <c r="Z85" s="85"/>
      <c r="AA85" s="85"/>
      <c r="AB85" s="85"/>
      <c r="AC85" s="85"/>
      <c r="AD85" s="85"/>
      <c r="AE85" s="85"/>
      <c r="AF85" s="85"/>
      <c r="AG85" s="85"/>
      <c r="AH85" s="85"/>
      <c r="AI85" s="85"/>
      <c r="AJ85" s="85"/>
      <c r="AK85" s="85"/>
      <c r="AL85" s="85"/>
    </row>
    <row r="86" spans="1:38" s="80" customFormat="1" x14ac:dyDescent="0.25">
      <c r="A86" s="116"/>
      <c r="B86" s="115"/>
      <c r="C86" s="115"/>
      <c r="D86" s="115"/>
      <c r="E86" s="115"/>
      <c r="F86" s="115"/>
      <c r="H86" s="95">
        <v>81</v>
      </c>
      <c r="I86" s="96" t="str">
        <f t="shared" si="7"/>
        <v/>
      </c>
      <c r="J86" s="95" t="e">
        <f t="shared" si="10"/>
        <v>#NUM!</v>
      </c>
      <c r="K86" s="95" t="e">
        <f t="shared" si="8"/>
        <v>#NUM!</v>
      </c>
      <c r="L86" s="95"/>
      <c r="M86" s="97">
        <f t="shared" si="9"/>
        <v>0</v>
      </c>
      <c r="S86" s="85"/>
      <c r="T86" s="85"/>
      <c r="U86" s="85"/>
      <c r="V86" s="85"/>
      <c r="W86" s="85"/>
      <c r="X86" s="85"/>
      <c r="Y86" s="85"/>
      <c r="Z86" s="85"/>
      <c r="AA86" s="85"/>
      <c r="AB86" s="85"/>
      <c r="AC86" s="85"/>
      <c r="AD86" s="85"/>
      <c r="AE86" s="85"/>
      <c r="AF86" s="85"/>
      <c r="AG86" s="85"/>
      <c r="AH86" s="85"/>
      <c r="AI86" s="85"/>
      <c r="AJ86" s="85"/>
      <c r="AK86" s="85"/>
      <c r="AL86" s="85"/>
    </row>
    <row r="87" spans="1:38" s="80" customFormat="1" x14ac:dyDescent="0.25">
      <c r="A87" s="116"/>
      <c r="B87" s="115"/>
      <c r="C87" s="115"/>
      <c r="D87" s="115"/>
      <c r="E87" s="115"/>
      <c r="F87" s="115"/>
      <c r="H87" s="95">
        <v>82</v>
      </c>
      <c r="I87" s="96" t="str">
        <f t="shared" si="7"/>
        <v/>
      </c>
      <c r="J87" s="95" t="e">
        <f t="shared" si="10"/>
        <v>#NUM!</v>
      </c>
      <c r="K87" s="95" t="e">
        <f t="shared" si="8"/>
        <v>#NUM!</v>
      </c>
      <c r="L87" s="95"/>
      <c r="M87" s="97">
        <f t="shared" si="9"/>
        <v>0</v>
      </c>
      <c r="S87" s="85"/>
      <c r="T87" s="85"/>
      <c r="U87" s="85"/>
      <c r="V87" s="85"/>
      <c r="W87" s="85"/>
      <c r="X87" s="85"/>
      <c r="Y87" s="85"/>
      <c r="Z87" s="85"/>
      <c r="AA87" s="85"/>
      <c r="AB87" s="85"/>
      <c r="AC87" s="85"/>
      <c r="AD87" s="85"/>
      <c r="AE87" s="85"/>
      <c r="AF87" s="85"/>
      <c r="AG87" s="85"/>
      <c r="AH87" s="85"/>
      <c r="AI87" s="85"/>
      <c r="AJ87" s="85"/>
      <c r="AK87" s="85"/>
      <c r="AL87" s="85"/>
    </row>
    <row r="88" spans="1:38" s="80" customFormat="1" x14ac:dyDescent="0.25">
      <c r="A88" s="116"/>
      <c r="B88" s="115"/>
      <c r="C88" s="115"/>
      <c r="D88" s="115"/>
      <c r="E88" s="115"/>
      <c r="F88" s="115"/>
      <c r="H88" s="95">
        <v>83</v>
      </c>
      <c r="I88" s="96" t="str">
        <f t="shared" si="7"/>
        <v/>
      </c>
      <c r="J88" s="95" t="e">
        <f t="shared" si="10"/>
        <v>#NUM!</v>
      </c>
      <c r="K88" s="95" t="e">
        <f t="shared" si="8"/>
        <v>#NUM!</v>
      </c>
      <c r="L88" s="95"/>
      <c r="M88" s="97">
        <f t="shared" si="9"/>
        <v>0</v>
      </c>
      <c r="S88" s="85"/>
      <c r="T88" s="85"/>
      <c r="U88" s="85"/>
      <c r="V88" s="85"/>
      <c r="W88" s="85"/>
      <c r="X88" s="85"/>
      <c r="Y88" s="85"/>
      <c r="Z88" s="85"/>
      <c r="AA88" s="85"/>
      <c r="AB88" s="85"/>
      <c r="AC88" s="85"/>
      <c r="AD88" s="85"/>
      <c r="AE88" s="85"/>
      <c r="AF88" s="85"/>
      <c r="AG88" s="85"/>
      <c r="AH88" s="85"/>
      <c r="AI88" s="85"/>
      <c r="AJ88" s="85"/>
      <c r="AK88" s="85"/>
      <c r="AL88" s="85"/>
    </row>
    <row r="89" spans="1:38" s="80" customFormat="1" x14ac:dyDescent="0.25">
      <c r="A89" s="116"/>
      <c r="B89" s="115"/>
      <c r="C89" s="115"/>
      <c r="D89" s="115"/>
      <c r="E89" s="115"/>
      <c r="F89" s="115"/>
      <c r="H89" s="95">
        <v>84</v>
      </c>
      <c r="I89" s="96" t="str">
        <f t="shared" si="7"/>
        <v/>
      </c>
      <c r="J89" s="95" t="e">
        <f t="shared" si="10"/>
        <v>#NUM!</v>
      </c>
      <c r="K89" s="95" t="e">
        <f t="shared" si="8"/>
        <v>#NUM!</v>
      </c>
      <c r="L89" s="95"/>
      <c r="M89" s="97">
        <f t="shared" si="9"/>
        <v>0</v>
      </c>
      <c r="S89" s="85"/>
      <c r="T89" s="85"/>
      <c r="U89" s="85"/>
      <c r="V89" s="85"/>
      <c r="W89" s="85"/>
      <c r="X89" s="85"/>
      <c r="Y89" s="85"/>
      <c r="Z89" s="85"/>
      <c r="AA89" s="85"/>
      <c r="AB89" s="85"/>
      <c r="AC89" s="85"/>
      <c r="AD89" s="85"/>
      <c r="AE89" s="85"/>
      <c r="AF89" s="85"/>
      <c r="AG89" s="85"/>
      <c r="AH89" s="85"/>
      <c r="AI89" s="85"/>
      <c r="AJ89" s="85"/>
      <c r="AK89" s="85"/>
      <c r="AL89" s="85"/>
    </row>
    <row r="90" spans="1:38" s="80" customFormat="1" x14ac:dyDescent="0.25">
      <c r="A90" s="116"/>
      <c r="B90" s="115"/>
      <c r="C90" s="115"/>
      <c r="D90" s="115"/>
      <c r="E90" s="115"/>
      <c r="F90" s="115"/>
      <c r="H90" s="95">
        <v>85</v>
      </c>
      <c r="I90" s="96" t="str">
        <f t="shared" si="7"/>
        <v/>
      </c>
      <c r="J90" s="95" t="e">
        <f t="shared" si="10"/>
        <v>#NUM!</v>
      </c>
      <c r="K90" s="95" t="e">
        <f t="shared" si="8"/>
        <v>#NUM!</v>
      </c>
      <c r="L90" s="95"/>
      <c r="M90" s="97">
        <f t="shared" si="9"/>
        <v>0</v>
      </c>
      <c r="S90" s="85"/>
      <c r="T90" s="85"/>
      <c r="U90" s="85"/>
      <c r="V90" s="85"/>
      <c r="W90" s="85"/>
      <c r="X90" s="85"/>
      <c r="Y90" s="85"/>
      <c r="Z90" s="85"/>
      <c r="AA90" s="85"/>
      <c r="AB90" s="85"/>
      <c r="AC90" s="85"/>
      <c r="AD90" s="85"/>
      <c r="AE90" s="85"/>
      <c r="AF90" s="85"/>
      <c r="AG90" s="85"/>
      <c r="AH90" s="85"/>
      <c r="AI90" s="85"/>
      <c r="AJ90" s="85"/>
      <c r="AK90" s="85"/>
      <c r="AL90" s="85"/>
    </row>
    <row r="91" spans="1:38" s="80" customFormat="1" x14ac:dyDescent="0.25">
      <c r="A91" s="116"/>
      <c r="B91" s="115"/>
      <c r="C91" s="115"/>
      <c r="D91" s="115"/>
      <c r="E91" s="115"/>
      <c r="F91" s="115"/>
      <c r="H91" s="95">
        <v>86</v>
      </c>
      <c r="I91" s="96" t="str">
        <f t="shared" si="7"/>
        <v/>
      </c>
      <c r="J91" s="95" t="e">
        <f t="shared" si="10"/>
        <v>#NUM!</v>
      </c>
      <c r="K91" s="95" t="e">
        <f t="shared" si="8"/>
        <v>#NUM!</v>
      </c>
      <c r="L91" s="95"/>
      <c r="M91" s="97">
        <f t="shared" si="9"/>
        <v>0</v>
      </c>
      <c r="S91" s="85"/>
      <c r="T91" s="85"/>
      <c r="U91" s="85"/>
      <c r="V91" s="85"/>
      <c r="W91" s="85"/>
      <c r="X91" s="85"/>
      <c r="Y91" s="85"/>
      <c r="Z91" s="85"/>
      <c r="AA91" s="85"/>
      <c r="AB91" s="85"/>
      <c r="AC91" s="85"/>
      <c r="AD91" s="85"/>
      <c r="AE91" s="85"/>
      <c r="AF91" s="85"/>
      <c r="AG91" s="85"/>
      <c r="AH91" s="85"/>
      <c r="AI91" s="85"/>
      <c r="AJ91" s="85"/>
      <c r="AK91" s="85"/>
      <c r="AL91" s="85"/>
    </row>
    <row r="92" spans="1:38" s="80" customFormat="1" x14ac:dyDescent="0.25">
      <c r="A92" s="116"/>
      <c r="B92" s="115"/>
      <c r="C92" s="115"/>
      <c r="D92" s="115"/>
      <c r="E92" s="115"/>
      <c r="F92" s="115"/>
      <c r="H92" s="95">
        <v>87</v>
      </c>
      <c r="I92" s="96" t="str">
        <f t="shared" si="7"/>
        <v/>
      </c>
      <c r="J92" s="95" t="e">
        <f t="shared" si="10"/>
        <v>#NUM!</v>
      </c>
      <c r="K92" s="95" t="e">
        <f t="shared" si="8"/>
        <v>#NUM!</v>
      </c>
      <c r="L92" s="95"/>
      <c r="M92" s="97">
        <f t="shared" si="9"/>
        <v>0</v>
      </c>
      <c r="S92" s="85"/>
      <c r="T92" s="85"/>
      <c r="U92" s="85"/>
      <c r="V92" s="85"/>
      <c r="W92" s="85"/>
      <c r="X92" s="85"/>
      <c r="Y92" s="85"/>
      <c r="Z92" s="85"/>
      <c r="AA92" s="85"/>
      <c r="AB92" s="85"/>
      <c r="AC92" s="85"/>
      <c r="AD92" s="85"/>
      <c r="AE92" s="85"/>
      <c r="AF92" s="85"/>
      <c r="AG92" s="85"/>
      <c r="AH92" s="85"/>
      <c r="AI92" s="85"/>
      <c r="AJ92" s="85"/>
      <c r="AK92" s="85"/>
      <c r="AL92" s="85"/>
    </row>
    <row r="93" spans="1:38" s="80" customFormat="1" x14ac:dyDescent="0.25">
      <c r="A93" s="116"/>
      <c r="B93" s="115"/>
      <c r="C93" s="115"/>
      <c r="D93" s="115"/>
      <c r="E93" s="115"/>
      <c r="F93" s="115"/>
      <c r="H93" s="95">
        <v>88</v>
      </c>
      <c r="I93" s="96" t="str">
        <f t="shared" si="7"/>
        <v/>
      </c>
      <c r="J93" s="95" t="e">
        <f t="shared" si="10"/>
        <v>#NUM!</v>
      </c>
      <c r="K93" s="95" t="e">
        <f t="shared" si="8"/>
        <v>#NUM!</v>
      </c>
      <c r="L93" s="95"/>
      <c r="M93" s="97">
        <f t="shared" si="9"/>
        <v>0</v>
      </c>
      <c r="S93" s="85"/>
      <c r="T93" s="85"/>
      <c r="U93" s="85"/>
      <c r="V93" s="85"/>
      <c r="W93" s="85"/>
      <c r="X93" s="85"/>
      <c r="Y93" s="85"/>
      <c r="Z93" s="85"/>
      <c r="AA93" s="85"/>
      <c r="AB93" s="85"/>
      <c r="AC93" s="85"/>
      <c r="AD93" s="85"/>
      <c r="AE93" s="85"/>
      <c r="AF93" s="85"/>
      <c r="AG93" s="85"/>
      <c r="AH93" s="85"/>
      <c r="AI93" s="85"/>
      <c r="AJ93" s="85"/>
      <c r="AK93" s="85"/>
      <c r="AL93" s="85"/>
    </row>
    <row r="94" spans="1:38" s="80" customFormat="1" x14ac:dyDescent="0.25">
      <c r="A94" s="116"/>
      <c r="B94" s="115"/>
      <c r="C94" s="115"/>
      <c r="D94" s="115"/>
      <c r="E94" s="115"/>
      <c r="F94" s="115"/>
      <c r="H94" s="95">
        <v>89</v>
      </c>
      <c r="I94" s="96" t="str">
        <f t="shared" si="7"/>
        <v/>
      </c>
      <c r="J94" s="95" t="e">
        <f t="shared" si="10"/>
        <v>#NUM!</v>
      </c>
      <c r="K94" s="95" t="e">
        <f t="shared" si="8"/>
        <v>#NUM!</v>
      </c>
      <c r="L94" s="95"/>
      <c r="M94" s="97">
        <f t="shared" si="9"/>
        <v>0</v>
      </c>
      <c r="S94" s="85"/>
      <c r="T94" s="85"/>
      <c r="U94" s="85"/>
      <c r="V94" s="85"/>
      <c r="W94" s="85"/>
      <c r="X94" s="85"/>
      <c r="Y94" s="85"/>
      <c r="Z94" s="85"/>
      <c r="AA94" s="85"/>
      <c r="AB94" s="85"/>
      <c r="AC94" s="85"/>
      <c r="AD94" s="85"/>
      <c r="AE94" s="85"/>
      <c r="AF94" s="85"/>
      <c r="AG94" s="85"/>
      <c r="AH94" s="85"/>
      <c r="AI94" s="85"/>
      <c r="AJ94" s="85"/>
      <c r="AK94" s="85"/>
      <c r="AL94" s="85"/>
    </row>
    <row r="95" spans="1:38" s="80" customFormat="1" x14ac:dyDescent="0.25">
      <c r="A95" s="116"/>
      <c r="B95" s="115"/>
      <c r="C95" s="115"/>
      <c r="D95" s="115"/>
      <c r="E95" s="115"/>
      <c r="F95" s="115"/>
      <c r="H95" s="95">
        <v>90</v>
      </c>
      <c r="I95" s="96" t="str">
        <f t="shared" si="7"/>
        <v/>
      </c>
      <c r="J95" s="95" t="e">
        <f t="shared" si="10"/>
        <v>#NUM!</v>
      </c>
      <c r="K95" s="95" t="e">
        <f t="shared" si="8"/>
        <v>#NUM!</v>
      </c>
      <c r="L95" s="95"/>
      <c r="M95" s="97">
        <f t="shared" si="9"/>
        <v>0</v>
      </c>
      <c r="S95" s="85"/>
      <c r="T95" s="85"/>
      <c r="U95" s="85"/>
      <c r="V95" s="85"/>
      <c r="W95" s="85"/>
      <c r="X95" s="85"/>
      <c r="Y95" s="85"/>
      <c r="Z95" s="85"/>
      <c r="AA95" s="85"/>
      <c r="AB95" s="85"/>
      <c r="AC95" s="85"/>
      <c r="AD95" s="85"/>
      <c r="AE95" s="85"/>
      <c r="AF95" s="85"/>
      <c r="AG95" s="85"/>
      <c r="AH95" s="85"/>
      <c r="AI95" s="85"/>
      <c r="AJ95" s="85"/>
      <c r="AK95" s="85"/>
      <c r="AL95" s="85"/>
    </row>
    <row r="96" spans="1:38" s="80" customFormat="1" x14ac:dyDescent="0.25">
      <c r="A96" s="116"/>
      <c r="B96" s="115"/>
      <c r="C96" s="115"/>
      <c r="D96" s="115"/>
      <c r="E96" s="115"/>
      <c r="F96" s="115"/>
      <c r="H96" s="95">
        <v>91</v>
      </c>
      <c r="I96" s="96" t="str">
        <f t="shared" si="7"/>
        <v/>
      </c>
      <c r="J96" s="95" t="e">
        <f t="shared" si="10"/>
        <v>#NUM!</v>
      </c>
      <c r="K96" s="95" t="e">
        <f t="shared" si="8"/>
        <v>#NUM!</v>
      </c>
      <c r="L96" s="95"/>
      <c r="M96" s="97">
        <f t="shared" si="9"/>
        <v>0</v>
      </c>
      <c r="S96" s="85"/>
      <c r="T96" s="85"/>
      <c r="U96" s="85"/>
      <c r="V96" s="85"/>
      <c r="W96" s="85"/>
      <c r="X96" s="85"/>
      <c r="Y96" s="85"/>
      <c r="Z96" s="85"/>
      <c r="AA96" s="85"/>
      <c r="AB96" s="85"/>
      <c r="AC96" s="85"/>
      <c r="AD96" s="85"/>
      <c r="AE96" s="85"/>
      <c r="AF96" s="85"/>
      <c r="AG96" s="85"/>
      <c r="AH96" s="85"/>
      <c r="AI96" s="85"/>
      <c r="AJ96" s="85"/>
      <c r="AK96" s="85"/>
      <c r="AL96" s="85"/>
    </row>
    <row r="97" spans="1:38" s="80" customFormat="1" x14ac:dyDescent="0.25">
      <c r="A97" s="116"/>
      <c r="B97" s="115"/>
      <c r="C97" s="115"/>
      <c r="D97" s="115"/>
      <c r="E97" s="115"/>
      <c r="F97" s="115"/>
      <c r="H97" s="95">
        <v>92</v>
      </c>
      <c r="I97" s="96" t="str">
        <f t="shared" si="7"/>
        <v/>
      </c>
      <c r="J97" s="95" t="e">
        <f t="shared" si="10"/>
        <v>#NUM!</v>
      </c>
      <c r="K97" s="95" t="e">
        <f t="shared" si="8"/>
        <v>#NUM!</v>
      </c>
      <c r="L97" s="95"/>
      <c r="M97" s="97">
        <f t="shared" si="9"/>
        <v>0</v>
      </c>
      <c r="S97" s="85"/>
      <c r="T97" s="85"/>
      <c r="U97" s="85"/>
      <c r="V97" s="85"/>
      <c r="W97" s="85"/>
      <c r="X97" s="85"/>
      <c r="Y97" s="85"/>
      <c r="Z97" s="85"/>
      <c r="AA97" s="85"/>
      <c r="AB97" s="85"/>
      <c r="AC97" s="85"/>
      <c r="AD97" s="85"/>
      <c r="AE97" s="85"/>
      <c r="AF97" s="85"/>
      <c r="AG97" s="85"/>
      <c r="AH97" s="85"/>
      <c r="AI97" s="85"/>
      <c r="AJ97" s="85"/>
      <c r="AK97" s="85"/>
      <c r="AL97" s="85"/>
    </row>
    <row r="98" spans="1:38" s="80" customFormat="1" x14ac:dyDescent="0.25">
      <c r="A98" s="116"/>
      <c r="B98" s="115"/>
      <c r="C98" s="115"/>
      <c r="D98" s="115"/>
      <c r="E98" s="115"/>
      <c r="F98" s="115"/>
      <c r="H98" s="95">
        <v>93</v>
      </c>
      <c r="I98" s="96" t="str">
        <f t="shared" si="7"/>
        <v/>
      </c>
      <c r="J98" s="95" t="e">
        <f t="shared" si="10"/>
        <v>#NUM!</v>
      </c>
      <c r="K98" s="95" t="e">
        <f t="shared" si="8"/>
        <v>#NUM!</v>
      </c>
      <c r="L98" s="95"/>
      <c r="M98" s="97">
        <f t="shared" si="9"/>
        <v>0</v>
      </c>
      <c r="S98" s="85"/>
      <c r="T98" s="85"/>
      <c r="U98" s="85"/>
      <c r="V98" s="85"/>
      <c r="W98" s="85"/>
      <c r="X98" s="85"/>
      <c r="Y98" s="85"/>
      <c r="Z98" s="85"/>
      <c r="AA98" s="85"/>
      <c r="AB98" s="85"/>
      <c r="AC98" s="85"/>
      <c r="AD98" s="85"/>
      <c r="AE98" s="85"/>
      <c r="AF98" s="85"/>
      <c r="AG98" s="85"/>
      <c r="AH98" s="85"/>
      <c r="AI98" s="85"/>
      <c r="AJ98" s="85"/>
      <c r="AK98" s="85"/>
      <c r="AL98" s="85"/>
    </row>
    <row r="99" spans="1:38" s="80" customFormat="1" x14ac:dyDescent="0.25">
      <c r="A99" s="116"/>
      <c r="B99" s="115"/>
      <c r="C99" s="115"/>
      <c r="D99" s="115"/>
      <c r="E99" s="115"/>
      <c r="F99" s="115"/>
      <c r="H99" s="95">
        <v>94</v>
      </c>
      <c r="I99" s="96" t="str">
        <f t="shared" si="7"/>
        <v/>
      </c>
      <c r="J99" s="95" t="e">
        <f t="shared" si="10"/>
        <v>#NUM!</v>
      </c>
      <c r="K99" s="95" t="e">
        <f t="shared" si="8"/>
        <v>#NUM!</v>
      </c>
      <c r="L99" s="95"/>
      <c r="M99" s="97">
        <f t="shared" si="9"/>
        <v>0</v>
      </c>
      <c r="S99" s="85"/>
      <c r="T99" s="85"/>
      <c r="U99" s="85"/>
      <c r="V99" s="85"/>
      <c r="W99" s="85"/>
      <c r="X99" s="85"/>
      <c r="Y99" s="85"/>
      <c r="Z99" s="85"/>
      <c r="AA99" s="85"/>
      <c r="AB99" s="85"/>
      <c r="AC99" s="85"/>
      <c r="AD99" s="85"/>
      <c r="AE99" s="85"/>
      <c r="AF99" s="85"/>
      <c r="AG99" s="85"/>
      <c r="AH99" s="85"/>
      <c r="AI99" s="85"/>
      <c r="AJ99" s="85"/>
      <c r="AK99" s="85"/>
      <c r="AL99" s="85"/>
    </row>
    <row r="100" spans="1:38" s="80" customFormat="1" x14ac:dyDescent="0.25">
      <c r="A100" s="116"/>
      <c r="B100" s="115"/>
      <c r="C100" s="115"/>
      <c r="D100" s="115"/>
      <c r="E100" s="115"/>
      <c r="F100" s="115"/>
      <c r="H100" s="95">
        <v>95</v>
      </c>
      <c r="I100" s="96" t="str">
        <f t="shared" si="7"/>
        <v/>
      </c>
      <c r="J100" s="95" t="e">
        <f t="shared" si="10"/>
        <v>#NUM!</v>
      </c>
      <c r="K100" s="95" t="e">
        <f t="shared" si="8"/>
        <v>#NUM!</v>
      </c>
      <c r="L100" s="95"/>
      <c r="M100" s="97">
        <f t="shared" si="9"/>
        <v>0</v>
      </c>
      <c r="S100" s="85"/>
      <c r="T100" s="85"/>
      <c r="U100" s="85"/>
      <c r="V100" s="85"/>
      <c r="W100" s="85"/>
      <c r="X100" s="85"/>
      <c r="Y100" s="85"/>
      <c r="Z100" s="85"/>
      <c r="AA100" s="85"/>
      <c r="AB100" s="85"/>
      <c r="AC100" s="85"/>
      <c r="AD100" s="85"/>
      <c r="AE100" s="85"/>
      <c r="AF100" s="85"/>
      <c r="AG100" s="85"/>
      <c r="AH100" s="85"/>
      <c r="AI100" s="85"/>
      <c r="AJ100" s="85"/>
      <c r="AK100" s="85"/>
      <c r="AL100" s="85"/>
    </row>
    <row r="101" spans="1:38" s="80" customFormat="1" x14ac:dyDescent="0.25">
      <c r="A101" s="116"/>
      <c r="B101" s="115"/>
      <c r="C101" s="115"/>
      <c r="D101" s="115"/>
      <c r="E101" s="115"/>
      <c r="F101" s="115"/>
      <c r="H101" s="95">
        <v>96</v>
      </c>
      <c r="I101" s="96" t="str">
        <f t="shared" si="7"/>
        <v/>
      </c>
      <c r="J101" s="95" t="e">
        <f t="shared" si="10"/>
        <v>#NUM!</v>
      </c>
      <c r="K101" s="95" t="e">
        <f t="shared" si="8"/>
        <v>#NUM!</v>
      </c>
      <c r="L101" s="95"/>
      <c r="M101" s="97">
        <f t="shared" si="9"/>
        <v>0</v>
      </c>
      <c r="S101" s="85"/>
      <c r="T101" s="85"/>
      <c r="U101" s="85"/>
      <c r="V101" s="85"/>
      <c r="W101" s="85"/>
      <c r="X101" s="85"/>
      <c r="Y101" s="85"/>
      <c r="Z101" s="85"/>
      <c r="AA101" s="85"/>
      <c r="AB101" s="85"/>
      <c r="AC101" s="85"/>
      <c r="AD101" s="85"/>
      <c r="AE101" s="85"/>
      <c r="AF101" s="85"/>
      <c r="AG101" s="85"/>
      <c r="AH101" s="85"/>
      <c r="AI101" s="85"/>
      <c r="AJ101" s="85"/>
      <c r="AK101" s="85"/>
      <c r="AL101" s="85"/>
    </row>
    <row r="102" spans="1:38" s="80" customFormat="1" x14ac:dyDescent="0.25">
      <c r="A102" s="116"/>
      <c r="B102" s="115"/>
      <c r="C102" s="115"/>
      <c r="D102" s="115"/>
      <c r="E102" s="115"/>
      <c r="F102" s="115"/>
      <c r="H102" s="95">
        <v>97</v>
      </c>
      <c r="I102" s="96" t="str">
        <f t="shared" si="7"/>
        <v/>
      </c>
      <c r="J102" s="95" t="e">
        <f t="shared" si="10"/>
        <v>#NUM!</v>
      </c>
      <c r="K102" s="95" t="e">
        <f t="shared" si="8"/>
        <v>#NUM!</v>
      </c>
      <c r="L102" s="95"/>
      <c r="M102" s="97">
        <f t="shared" si="9"/>
        <v>0</v>
      </c>
      <c r="S102" s="85"/>
      <c r="T102" s="85"/>
      <c r="U102" s="85"/>
      <c r="V102" s="85"/>
      <c r="W102" s="85"/>
      <c r="X102" s="85"/>
      <c r="Y102" s="85"/>
      <c r="Z102" s="85"/>
      <c r="AA102" s="85"/>
      <c r="AB102" s="85"/>
      <c r="AC102" s="85"/>
      <c r="AD102" s="85"/>
      <c r="AE102" s="85"/>
      <c r="AF102" s="85"/>
      <c r="AG102" s="85"/>
      <c r="AH102" s="85"/>
      <c r="AI102" s="85"/>
      <c r="AJ102" s="85"/>
      <c r="AK102" s="85"/>
      <c r="AL102" s="85"/>
    </row>
    <row r="103" spans="1:38" s="80" customFormat="1" x14ac:dyDescent="0.25">
      <c r="A103" s="116"/>
      <c r="B103" s="115"/>
      <c r="C103" s="115"/>
      <c r="D103" s="115"/>
      <c r="E103" s="115"/>
      <c r="F103" s="115"/>
      <c r="H103" s="95">
        <v>98</v>
      </c>
      <c r="I103" s="96" t="str">
        <f t="shared" si="7"/>
        <v/>
      </c>
      <c r="J103" s="95" t="e">
        <f t="shared" si="10"/>
        <v>#NUM!</v>
      </c>
      <c r="K103" s="95" t="e">
        <f t="shared" si="8"/>
        <v>#NUM!</v>
      </c>
      <c r="L103" s="95"/>
      <c r="M103" s="97">
        <f t="shared" si="9"/>
        <v>0</v>
      </c>
      <c r="S103" s="85"/>
      <c r="T103" s="85"/>
      <c r="U103" s="85"/>
      <c r="V103" s="85"/>
      <c r="W103" s="85"/>
      <c r="X103" s="85"/>
      <c r="Y103" s="85"/>
      <c r="Z103" s="85"/>
      <c r="AA103" s="85"/>
      <c r="AB103" s="85"/>
      <c r="AC103" s="85"/>
      <c r="AD103" s="85"/>
      <c r="AE103" s="85"/>
      <c r="AF103" s="85"/>
      <c r="AG103" s="85"/>
      <c r="AH103" s="85"/>
      <c r="AI103" s="85"/>
      <c r="AJ103" s="85"/>
      <c r="AK103" s="85"/>
      <c r="AL103" s="85"/>
    </row>
    <row r="104" spans="1:38" s="80" customFormat="1" x14ac:dyDescent="0.25">
      <c r="A104" s="116"/>
      <c r="B104" s="115"/>
      <c r="C104" s="115"/>
      <c r="D104" s="115"/>
      <c r="E104" s="115"/>
      <c r="F104" s="115"/>
      <c r="H104" s="95">
        <v>99</v>
      </c>
      <c r="I104" s="96" t="str">
        <f t="shared" si="7"/>
        <v/>
      </c>
      <c r="J104" s="95" t="e">
        <f t="shared" si="10"/>
        <v>#NUM!</v>
      </c>
      <c r="K104" s="95" t="e">
        <f t="shared" si="8"/>
        <v>#NUM!</v>
      </c>
      <c r="L104" s="95"/>
      <c r="M104" s="97">
        <f t="shared" si="9"/>
        <v>0</v>
      </c>
      <c r="S104" s="85"/>
      <c r="T104" s="85"/>
      <c r="U104" s="85"/>
      <c r="V104" s="85"/>
      <c r="W104" s="85"/>
      <c r="X104" s="85"/>
      <c r="Y104" s="85"/>
      <c r="Z104" s="85"/>
      <c r="AA104" s="85"/>
      <c r="AB104" s="85"/>
      <c r="AC104" s="85"/>
      <c r="AD104" s="85"/>
      <c r="AE104" s="85"/>
      <c r="AF104" s="85"/>
      <c r="AG104" s="85"/>
      <c r="AH104" s="85"/>
      <c r="AI104" s="85"/>
      <c r="AJ104" s="85"/>
      <c r="AK104" s="85"/>
      <c r="AL104" s="85"/>
    </row>
    <row r="105" spans="1:38" s="80" customFormat="1" x14ac:dyDescent="0.25">
      <c r="A105" s="116"/>
      <c r="B105" s="115"/>
      <c r="C105" s="115"/>
      <c r="D105" s="115"/>
      <c r="E105" s="115"/>
      <c r="F105" s="115"/>
      <c r="H105" s="95">
        <v>100</v>
      </c>
      <c r="I105" s="96" t="str">
        <f t="shared" si="7"/>
        <v/>
      </c>
      <c r="J105" s="95" t="e">
        <f t="shared" si="10"/>
        <v>#NUM!</v>
      </c>
      <c r="K105" s="95" t="e">
        <f t="shared" si="8"/>
        <v>#NUM!</v>
      </c>
      <c r="L105" s="95"/>
      <c r="M105" s="97">
        <f t="shared" si="9"/>
        <v>0</v>
      </c>
      <c r="S105" s="85"/>
      <c r="T105" s="85"/>
      <c r="U105" s="85"/>
      <c r="V105" s="85"/>
      <c r="W105" s="85"/>
      <c r="X105" s="85"/>
      <c r="Y105" s="85"/>
      <c r="Z105" s="85"/>
      <c r="AA105" s="85"/>
      <c r="AB105" s="85"/>
      <c r="AC105" s="85"/>
      <c r="AD105" s="85"/>
      <c r="AE105" s="85"/>
      <c r="AF105" s="85"/>
      <c r="AG105" s="85"/>
      <c r="AH105" s="85"/>
      <c r="AI105" s="85"/>
      <c r="AJ105" s="85"/>
      <c r="AK105" s="85"/>
      <c r="AL105" s="85"/>
    </row>
    <row r="106" spans="1:38" s="80" customFormat="1" x14ac:dyDescent="0.25">
      <c r="A106" s="116"/>
      <c r="B106" s="115"/>
      <c r="C106" s="115"/>
      <c r="D106" s="115"/>
      <c r="E106" s="115"/>
      <c r="F106" s="115"/>
      <c r="H106" s="95">
        <v>101</v>
      </c>
      <c r="I106" s="96" t="str">
        <f t="shared" si="7"/>
        <v/>
      </c>
      <c r="J106" s="95" t="e">
        <f t="shared" si="10"/>
        <v>#NUM!</v>
      </c>
      <c r="K106" s="95" t="e">
        <f t="shared" si="8"/>
        <v>#NUM!</v>
      </c>
      <c r="L106" s="95"/>
      <c r="M106" s="97">
        <f t="shared" si="9"/>
        <v>0</v>
      </c>
      <c r="S106" s="85"/>
      <c r="T106" s="85"/>
      <c r="U106" s="85"/>
      <c r="V106" s="85"/>
      <c r="W106" s="85"/>
      <c r="X106" s="85"/>
      <c r="Y106" s="85"/>
      <c r="Z106" s="85"/>
      <c r="AA106" s="85"/>
      <c r="AB106" s="85"/>
      <c r="AC106" s="85"/>
      <c r="AD106" s="85"/>
      <c r="AE106" s="85"/>
      <c r="AF106" s="85"/>
      <c r="AG106" s="85"/>
      <c r="AH106" s="85"/>
      <c r="AI106" s="85"/>
      <c r="AJ106" s="85"/>
      <c r="AK106" s="85"/>
      <c r="AL106" s="85"/>
    </row>
    <row r="107" spans="1:38" s="80" customFormat="1" x14ac:dyDescent="0.25">
      <c r="A107" s="116"/>
      <c r="B107" s="115"/>
      <c r="C107" s="115"/>
      <c r="D107" s="115"/>
      <c r="E107" s="115"/>
      <c r="F107" s="115"/>
      <c r="H107" s="95">
        <v>102</v>
      </c>
      <c r="I107" s="96" t="str">
        <f t="shared" si="7"/>
        <v/>
      </c>
      <c r="J107" s="95" t="e">
        <f t="shared" si="10"/>
        <v>#NUM!</v>
      </c>
      <c r="K107" s="95" t="e">
        <f t="shared" si="8"/>
        <v>#NUM!</v>
      </c>
      <c r="L107" s="95"/>
      <c r="M107" s="97">
        <f t="shared" si="9"/>
        <v>0</v>
      </c>
      <c r="S107" s="85"/>
      <c r="T107" s="85"/>
      <c r="U107" s="85"/>
      <c r="V107" s="85"/>
      <c r="W107" s="85"/>
      <c r="X107" s="85"/>
      <c r="Y107" s="85"/>
      <c r="Z107" s="85"/>
      <c r="AA107" s="85"/>
      <c r="AB107" s="85"/>
      <c r="AC107" s="85"/>
      <c r="AD107" s="85"/>
      <c r="AE107" s="85"/>
      <c r="AF107" s="85"/>
      <c r="AG107" s="85"/>
      <c r="AH107" s="85"/>
      <c r="AI107" s="85"/>
      <c r="AJ107" s="85"/>
      <c r="AK107" s="85"/>
      <c r="AL107" s="85"/>
    </row>
    <row r="108" spans="1:38" s="80" customFormat="1" x14ac:dyDescent="0.25">
      <c r="A108" s="116"/>
      <c r="B108" s="115"/>
      <c r="C108" s="115"/>
      <c r="D108" s="115"/>
      <c r="E108" s="115"/>
      <c r="F108" s="115"/>
      <c r="H108" s="95">
        <v>103</v>
      </c>
      <c r="I108" s="96" t="str">
        <f t="shared" si="7"/>
        <v/>
      </c>
      <c r="J108" s="95" t="e">
        <f t="shared" si="10"/>
        <v>#NUM!</v>
      </c>
      <c r="K108" s="95" t="e">
        <f t="shared" si="8"/>
        <v>#NUM!</v>
      </c>
      <c r="L108" s="95"/>
      <c r="M108" s="97">
        <f t="shared" si="9"/>
        <v>0</v>
      </c>
      <c r="S108" s="85"/>
      <c r="T108" s="85"/>
      <c r="U108" s="85"/>
      <c r="V108" s="85"/>
      <c r="W108" s="85"/>
      <c r="X108" s="85"/>
      <c r="Y108" s="85"/>
      <c r="Z108" s="85"/>
      <c r="AA108" s="85"/>
      <c r="AB108" s="85"/>
      <c r="AC108" s="85"/>
      <c r="AD108" s="85"/>
      <c r="AE108" s="85"/>
      <c r="AF108" s="85"/>
      <c r="AG108" s="85"/>
      <c r="AH108" s="85"/>
      <c r="AI108" s="85"/>
      <c r="AJ108" s="85"/>
      <c r="AK108" s="85"/>
      <c r="AL108" s="85"/>
    </row>
    <row r="109" spans="1:38" s="80" customFormat="1" x14ac:dyDescent="0.25">
      <c r="A109" s="116"/>
      <c r="B109" s="115"/>
      <c r="C109" s="115"/>
      <c r="D109" s="115"/>
      <c r="E109" s="115"/>
      <c r="F109" s="115"/>
      <c r="H109" s="95">
        <v>104</v>
      </c>
      <c r="I109" s="96" t="str">
        <f t="shared" si="7"/>
        <v/>
      </c>
      <c r="J109" s="95" t="e">
        <f t="shared" si="10"/>
        <v>#NUM!</v>
      </c>
      <c r="K109" s="95" t="e">
        <f t="shared" si="8"/>
        <v>#NUM!</v>
      </c>
      <c r="L109" s="95"/>
      <c r="M109" s="97">
        <f t="shared" si="9"/>
        <v>0</v>
      </c>
      <c r="S109" s="85"/>
      <c r="T109" s="85"/>
      <c r="U109" s="85"/>
      <c r="V109" s="85"/>
      <c r="W109" s="85"/>
      <c r="X109" s="85"/>
      <c r="Y109" s="85"/>
      <c r="Z109" s="85"/>
      <c r="AA109" s="85"/>
      <c r="AB109" s="85"/>
      <c r="AC109" s="85"/>
      <c r="AD109" s="85"/>
      <c r="AE109" s="85"/>
      <c r="AF109" s="85"/>
      <c r="AG109" s="85"/>
      <c r="AH109" s="85"/>
      <c r="AI109" s="85"/>
      <c r="AJ109" s="85"/>
      <c r="AK109" s="85"/>
      <c r="AL109" s="85"/>
    </row>
    <row r="110" spans="1:38" s="80" customFormat="1" x14ac:dyDescent="0.25">
      <c r="A110" s="116"/>
      <c r="B110" s="115"/>
      <c r="C110" s="115"/>
      <c r="D110" s="115"/>
      <c r="E110" s="115"/>
      <c r="F110" s="115"/>
      <c r="H110" s="95">
        <v>105</v>
      </c>
      <c r="I110" s="96" t="str">
        <f t="shared" si="7"/>
        <v/>
      </c>
      <c r="J110" s="95" t="e">
        <f t="shared" si="10"/>
        <v>#NUM!</v>
      </c>
      <c r="K110" s="95" t="e">
        <f t="shared" si="8"/>
        <v>#NUM!</v>
      </c>
      <c r="L110" s="95"/>
      <c r="M110" s="97">
        <f t="shared" si="9"/>
        <v>0</v>
      </c>
      <c r="S110" s="85"/>
      <c r="T110" s="85"/>
      <c r="U110" s="85"/>
      <c r="V110" s="85"/>
      <c r="W110" s="85"/>
      <c r="X110" s="85"/>
      <c r="Y110" s="85"/>
      <c r="Z110" s="85"/>
      <c r="AA110" s="85"/>
      <c r="AB110" s="85"/>
      <c r="AC110" s="85"/>
      <c r="AD110" s="85"/>
      <c r="AE110" s="85"/>
      <c r="AF110" s="85"/>
      <c r="AG110" s="85"/>
      <c r="AH110" s="85"/>
      <c r="AI110" s="85"/>
      <c r="AJ110" s="85"/>
      <c r="AK110" s="85"/>
      <c r="AL110" s="85"/>
    </row>
    <row r="111" spans="1:38" s="80" customFormat="1" x14ac:dyDescent="0.25">
      <c r="A111" s="116"/>
      <c r="B111" s="115"/>
      <c r="C111" s="115"/>
      <c r="D111" s="115"/>
      <c r="E111" s="115"/>
      <c r="F111" s="115"/>
      <c r="H111" s="95">
        <v>106</v>
      </c>
      <c r="I111" s="96" t="str">
        <f t="shared" si="7"/>
        <v/>
      </c>
      <c r="J111" s="95" t="e">
        <f t="shared" si="10"/>
        <v>#NUM!</v>
      </c>
      <c r="K111" s="95" t="e">
        <f t="shared" si="8"/>
        <v>#NUM!</v>
      </c>
      <c r="L111" s="95"/>
      <c r="M111" s="97">
        <f t="shared" si="9"/>
        <v>0</v>
      </c>
      <c r="S111" s="85"/>
      <c r="T111" s="85"/>
      <c r="U111" s="85"/>
      <c r="V111" s="85"/>
      <c r="W111" s="85"/>
      <c r="X111" s="85"/>
      <c r="Y111" s="85"/>
      <c r="Z111" s="85"/>
      <c r="AA111" s="85"/>
      <c r="AB111" s="85"/>
      <c r="AC111" s="85"/>
      <c r="AD111" s="85"/>
      <c r="AE111" s="85"/>
      <c r="AF111" s="85"/>
      <c r="AG111" s="85"/>
      <c r="AH111" s="85"/>
      <c r="AI111" s="85"/>
      <c r="AJ111" s="85"/>
      <c r="AK111" s="85"/>
      <c r="AL111" s="85"/>
    </row>
    <row r="112" spans="1:38" s="80" customFormat="1" x14ac:dyDescent="0.25">
      <c r="A112" s="116"/>
      <c r="B112" s="115"/>
      <c r="C112" s="115"/>
      <c r="D112" s="115"/>
      <c r="E112" s="115"/>
      <c r="F112" s="115"/>
      <c r="H112" s="95">
        <v>107</v>
      </c>
      <c r="I112" s="96" t="str">
        <f t="shared" si="7"/>
        <v/>
      </c>
      <c r="J112" s="95" t="e">
        <f t="shared" si="10"/>
        <v>#NUM!</v>
      </c>
      <c r="K112" s="95" t="e">
        <f t="shared" si="8"/>
        <v>#NUM!</v>
      </c>
      <c r="L112" s="95"/>
      <c r="M112" s="97">
        <f t="shared" si="9"/>
        <v>0</v>
      </c>
      <c r="S112" s="85"/>
      <c r="T112" s="85"/>
      <c r="U112" s="85"/>
      <c r="V112" s="85"/>
      <c r="W112" s="85"/>
      <c r="X112" s="85"/>
      <c r="Y112" s="85"/>
      <c r="Z112" s="85"/>
      <c r="AA112" s="85"/>
      <c r="AB112" s="85"/>
      <c r="AC112" s="85"/>
      <c r="AD112" s="85"/>
      <c r="AE112" s="85"/>
      <c r="AF112" s="85"/>
      <c r="AG112" s="85"/>
      <c r="AH112" s="85"/>
      <c r="AI112" s="85"/>
      <c r="AJ112" s="85"/>
      <c r="AK112" s="85"/>
      <c r="AL112" s="85"/>
    </row>
    <row r="113" spans="1:38" s="80" customFormat="1" x14ac:dyDescent="0.25">
      <c r="A113" s="116"/>
      <c r="B113" s="115"/>
      <c r="C113" s="115"/>
      <c r="D113" s="115"/>
      <c r="E113" s="115"/>
      <c r="F113" s="115"/>
      <c r="H113" s="95">
        <v>108</v>
      </c>
      <c r="I113" s="96" t="str">
        <f t="shared" si="7"/>
        <v/>
      </c>
      <c r="J113" s="95" t="e">
        <f t="shared" si="10"/>
        <v>#NUM!</v>
      </c>
      <c r="K113" s="95" t="e">
        <f t="shared" si="8"/>
        <v>#NUM!</v>
      </c>
      <c r="L113" s="95"/>
      <c r="M113" s="97">
        <f t="shared" si="9"/>
        <v>0</v>
      </c>
      <c r="S113" s="85"/>
      <c r="T113" s="85"/>
      <c r="U113" s="85"/>
      <c r="V113" s="85"/>
      <c r="W113" s="85"/>
      <c r="X113" s="85"/>
      <c r="Y113" s="85"/>
      <c r="Z113" s="85"/>
      <c r="AA113" s="85"/>
      <c r="AB113" s="85"/>
      <c r="AC113" s="85"/>
      <c r="AD113" s="85"/>
      <c r="AE113" s="85"/>
      <c r="AF113" s="85"/>
      <c r="AG113" s="85"/>
      <c r="AH113" s="85"/>
      <c r="AI113" s="85"/>
      <c r="AJ113" s="85"/>
      <c r="AK113" s="85"/>
      <c r="AL113" s="85"/>
    </row>
    <row r="114" spans="1:38" s="80" customFormat="1" x14ac:dyDescent="0.25">
      <c r="A114" s="116"/>
      <c r="B114" s="115"/>
      <c r="C114" s="115"/>
      <c r="D114" s="115"/>
      <c r="E114" s="115"/>
      <c r="F114" s="115"/>
      <c r="H114" s="95">
        <v>109</v>
      </c>
      <c r="I114" s="96" t="str">
        <f t="shared" si="7"/>
        <v/>
      </c>
      <c r="J114" s="95" t="e">
        <f t="shared" si="10"/>
        <v>#NUM!</v>
      </c>
      <c r="K114" s="95" t="e">
        <f t="shared" si="8"/>
        <v>#NUM!</v>
      </c>
      <c r="L114" s="95"/>
      <c r="M114" s="97">
        <f t="shared" si="9"/>
        <v>0</v>
      </c>
      <c r="S114" s="85"/>
      <c r="T114" s="85"/>
      <c r="U114" s="85"/>
      <c r="V114" s="85"/>
      <c r="W114" s="85"/>
      <c r="X114" s="85"/>
      <c r="Y114" s="85"/>
      <c r="Z114" s="85"/>
      <c r="AA114" s="85"/>
      <c r="AB114" s="85"/>
      <c r="AC114" s="85"/>
      <c r="AD114" s="85"/>
      <c r="AE114" s="85"/>
      <c r="AF114" s="85"/>
      <c r="AG114" s="85"/>
      <c r="AH114" s="85"/>
      <c r="AI114" s="85"/>
      <c r="AJ114" s="85"/>
      <c r="AK114" s="85"/>
      <c r="AL114" s="85"/>
    </row>
    <row r="115" spans="1:38" s="80" customFormat="1" x14ac:dyDescent="0.25">
      <c r="A115" s="116"/>
      <c r="B115" s="115"/>
      <c r="C115" s="115"/>
      <c r="D115" s="115"/>
      <c r="E115" s="115"/>
      <c r="F115" s="115"/>
      <c r="H115" s="95">
        <v>110</v>
      </c>
      <c r="I115" s="96" t="str">
        <f t="shared" si="7"/>
        <v/>
      </c>
      <c r="J115" s="95" t="e">
        <f t="shared" si="10"/>
        <v>#NUM!</v>
      </c>
      <c r="K115" s="95" t="e">
        <f t="shared" si="8"/>
        <v>#NUM!</v>
      </c>
      <c r="L115" s="95"/>
      <c r="M115" s="97">
        <f t="shared" si="9"/>
        <v>0</v>
      </c>
      <c r="S115" s="85"/>
      <c r="T115" s="85"/>
      <c r="U115" s="85"/>
      <c r="V115" s="85"/>
      <c r="W115" s="85"/>
      <c r="X115" s="85"/>
      <c r="Y115" s="85"/>
      <c r="Z115" s="85"/>
      <c r="AA115" s="85"/>
      <c r="AB115" s="85"/>
      <c r="AC115" s="85"/>
      <c r="AD115" s="85"/>
      <c r="AE115" s="85"/>
      <c r="AF115" s="85"/>
      <c r="AG115" s="85"/>
      <c r="AH115" s="85"/>
      <c r="AI115" s="85"/>
      <c r="AJ115" s="85"/>
      <c r="AK115" s="85"/>
      <c r="AL115" s="85"/>
    </row>
    <row r="116" spans="1:38" s="80" customFormat="1" x14ac:dyDescent="0.25">
      <c r="A116" s="116"/>
      <c r="B116" s="115"/>
      <c r="C116" s="115"/>
      <c r="D116" s="115"/>
      <c r="E116" s="115"/>
      <c r="F116" s="115"/>
      <c r="H116" s="95">
        <v>111</v>
      </c>
      <c r="I116" s="96" t="str">
        <f t="shared" si="7"/>
        <v/>
      </c>
      <c r="J116" s="95" t="e">
        <f t="shared" si="10"/>
        <v>#NUM!</v>
      </c>
      <c r="K116" s="95" t="e">
        <f t="shared" si="8"/>
        <v>#NUM!</v>
      </c>
      <c r="L116" s="95"/>
      <c r="M116" s="97">
        <f t="shared" si="9"/>
        <v>0</v>
      </c>
      <c r="S116" s="85"/>
      <c r="T116" s="85"/>
      <c r="U116" s="85"/>
      <c r="V116" s="85"/>
      <c r="W116" s="85"/>
      <c r="X116" s="85"/>
      <c r="Y116" s="85"/>
      <c r="Z116" s="85"/>
      <c r="AA116" s="85"/>
      <c r="AB116" s="85"/>
      <c r="AC116" s="85"/>
      <c r="AD116" s="85"/>
      <c r="AE116" s="85"/>
      <c r="AF116" s="85"/>
      <c r="AG116" s="85"/>
      <c r="AH116" s="85"/>
      <c r="AI116" s="85"/>
      <c r="AJ116" s="85"/>
      <c r="AK116" s="85"/>
      <c r="AL116" s="85"/>
    </row>
    <row r="117" spans="1:38" s="80" customFormat="1" x14ac:dyDescent="0.25">
      <c r="A117" s="116"/>
      <c r="B117" s="115"/>
      <c r="C117" s="115"/>
      <c r="D117" s="115"/>
      <c r="E117" s="115"/>
      <c r="F117" s="115"/>
      <c r="H117" s="95">
        <v>112</v>
      </c>
      <c r="I117" s="96" t="str">
        <f t="shared" si="7"/>
        <v/>
      </c>
      <c r="J117" s="95" t="e">
        <f t="shared" si="10"/>
        <v>#NUM!</v>
      </c>
      <c r="K117" s="95" t="e">
        <f t="shared" si="8"/>
        <v>#NUM!</v>
      </c>
      <c r="L117" s="95"/>
      <c r="M117" s="97">
        <f t="shared" si="9"/>
        <v>0</v>
      </c>
      <c r="S117" s="85"/>
      <c r="T117" s="85"/>
      <c r="U117" s="85"/>
      <c r="V117" s="85"/>
      <c r="W117" s="85"/>
      <c r="X117" s="85"/>
      <c r="Y117" s="85"/>
      <c r="Z117" s="85"/>
      <c r="AA117" s="85"/>
      <c r="AB117" s="85"/>
      <c r="AC117" s="85"/>
      <c r="AD117" s="85"/>
      <c r="AE117" s="85"/>
      <c r="AF117" s="85"/>
      <c r="AG117" s="85"/>
      <c r="AH117" s="85"/>
      <c r="AI117" s="85"/>
      <c r="AJ117" s="85"/>
      <c r="AK117" s="85"/>
      <c r="AL117" s="85"/>
    </row>
    <row r="118" spans="1:38" s="80" customFormat="1" x14ac:dyDescent="0.25">
      <c r="A118" s="116"/>
      <c r="B118" s="115"/>
      <c r="C118" s="115"/>
      <c r="D118" s="115"/>
      <c r="E118" s="115"/>
      <c r="F118" s="115"/>
      <c r="H118" s="95">
        <v>113</v>
      </c>
      <c r="I118" s="96" t="str">
        <f t="shared" si="7"/>
        <v/>
      </c>
      <c r="J118" s="95" t="e">
        <f t="shared" si="10"/>
        <v>#NUM!</v>
      </c>
      <c r="K118" s="95" t="e">
        <f t="shared" si="8"/>
        <v>#NUM!</v>
      </c>
      <c r="L118" s="95"/>
      <c r="M118" s="97">
        <f t="shared" si="9"/>
        <v>0</v>
      </c>
      <c r="S118" s="85"/>
      <c r="T118" s="85"/>
      <c r="U118" s="85"/>
      <c r="V118" s="85"/>
      <c r="W118" s="85"/>
      <c r="X118" s="85"/>
      <c r="Y118" s="85"/>
      <c r="Z118" s="85"/>
      <c r="AA118" s="85"/>
      <c r="AB118" s="85"/>
      <c r="AC118" s="85"/>
      <c r="AD118" s="85"/>
      <c r="AE118" s="85"/>
      <c r="AF118" s="85"/>
      <c r="AG118" s="85"/>
      <c r="AH118" s="85"/>
      <c r="AI118" s="85"/>
      <c r="AJ118" s="85"/>
      <c r="AK118" s="85"/>
      <c r="AL118" s="85"/>
    </row>
    <row r="119" spans="1:38" s="80" customFormat="1" x14ac:dyDescent="0.25">
      <c r="A119" s="116"/>
      <c r="B119" s="115"/>
      <c r="C119" s="115"/>
      <c r="D119" s="115"/>
      <c r="E119" s="115"/>
      <c r="F119" s="115"/>
      <c r="H119" s="95">
        <v>114</v>
      </c>
      <c r="I119" s="96" t="str">
        <f t="shared" si="7"/>
        <v/>
      </c>
      <c r="J119" s="95" t="e">
        <f t="shared" si="10"/>
        <v>#NUM!</v>
      </c>
      <c r="K119" s="95" t="e">
        <f t="shared" si="8"/>
        <v>#NUM!</v>
      </c>
      <c r="L119" s="95"/>
      <c r="M119" s="97">
        <f t="shared" si="9"/>
        <v>0</v>
      </c>
      <c r="S119" s="85"/>
      <c r="T119" s="85"/>
      <c r="U119" s="85"/>
      <c r="V119" s="85"/>
      <c r="W119" s="85"/>
      <c r="X119" s="85"/>
      <c r="Y119" s="85"/>
      <c r="Z119" s="85"/>
      <c r="AA119" s="85"/>
      <c r="AB119" s="85"/>
      <c r="AC119" s="85"/>
      <c r="AD119" s="85"/>
      <c r="AE119" s="85"/>
      <c r="AF119" s="85"/>
      <c r="AG119" s="85"/>
      <c r="AH119" s="85"/>
      <c r="AI119" s="85"/>
      <c r="AJ119" s="85"/>
      <c r="AK119" s="85"/>
      <c r="AL119" s="85"/>
    </row>
    <row r="120" spans="1:38" s="80" customFormat="1" x14ac:dyDescent="0.25">
      <c r="A120" s="116"/>
      <c r="B120" s="115"/>
      <c r="C120" s="115"/>
      <c r="D120" s="115"/>
      <c r="E120" s="115"/>
      <c r="F120" s="115"/>
      <c r="H120" s="95">
        <v>115</v>
      </c>
      <c r="I120" s="96" t="str">
        <f t="shared" si="7"/>
        <v/>
      </c>
      <c r="J120" s="95" t="e">
        <f t="shared" si="10"/>
        <v>#NUM!</v>
      </c>
      <c r="K120" s="95" t="e">
        <f t="shared" si="8"/>
        <v>#NUM!</v>
      </c>
      <c r="L120" s="95"/>
      <c r="M120" s="97">
        <f t="shared" si="9"/>
        <v>0</v>
      </c>
      <c r="S120" s="85"/>
      <c r="T120" s="85"/>
      <c r="U120" s="85"/>
      <c r="V120" s="85"/>
      <c r="W120" s="85"/>
      <c r="X120" s="85"/>
      <c r="Y120" s="85"/>
      <c r="Z120" s="85"/>
      <c r="AA120" s="85"/>
      <c r="AB120" s="85"/>
      <c r="AC120" s="85"/>
      <c r="AD120" s="85"/>
      <c r="AE120" s="85"/>
      <c r="AF120" s="85"/>
      <c r="AG120" s="85"/>
      <c r="AH120" s="85"/>
      <c r="AI120" s="85"/>
      <c r="AJ120" s="85"/>
      <c r="AK120" s="85"/>
      <c r="AL120" s="85"/>
    </row>
    <row r="121" spans="1:38" s="80" customFormat="1" x14ac:dyDescent="0.25">
      <c r="A121" s="116"/>
      <c r="B121" s="115"/>
      <c r="C121" s="115"/>
      <c r="D121" s="115"/>
      <c r="E121" s="115"/>
      <c r="F121" s="115"/>
      <c r="H121" s="95">
        <v>116</v>
      </c>
      <c r="I121" s="96" t="str">
        <f t="shared" si="7"/>
        <v/>
      </c>
      <c r="J121" s="95" t="e">
        <f t="shared" si="10"/>
        <v>#NUM!</v>
      </c>
      <c r="K121" s="95" t="e">
        <f t="shared" si="8"/>
        <v>#NUM!</v>
      </c>
      <c r="L121" s="95"/>
      <c r="M121" s="97">
        <f t="shared" si="9"/>
        <v>0</v>
      </c>
      <c r="S121" s="85"/>
      <c r="T121" s="85"/>
      <c r="U121" s="85"/>
      <c r="V121" s="85"/>
      <c r="W121" s="85"/>
      <c r="X121" s="85"/>
      <c r="Y121" s="85"/>
      <c r="Z121" s="85"/>
      <c r="AA121" s="85"/>
      <c r="AB121" s="85"/>
      <c r="AC121" s="85"/>
      <c r="AD121" s="85"/>
      <c r="AE121" s="85"/>
      <c r="AF121" s="85"/>
      <c r="AG121" s="85"/>
      <c r="AH121" s="85"/>
      <c r="AI121" s="85"/>
      <c r="AJ121" s="85"/>
      <c r="AK121" s="85"/>
      <c r="AL121" s="85"/>
    </row>
    <row r="122" spans="1:38" s="80" customFormat="1" x14ac:dyDescent="0.25">
      <c r="A122" s="116"/>
      <c r="B122" s="115"/>
      <c r="C122" s="115"/>
      <c r="D122" s="115"/>
      <c r="E122" s="115"/>
      <c r="F122" s="115"/>
      <c r="H122" s="95">
        <v>117</v>
      </c>
      <c r="I122" s="96" t="str">
        <f t="shared" si="7"/>
        <v/>
      </c>
      <c r="J122" s="95" t="e">
        <f t="shared" si="10"/>
        <v>#NUM!</v>
      </c>
      <c r="K122" s="95" t="e">
        <f t="shared" si="8"/>
        <v>#NUM!</v>
      </c>
      <c r="L122" s="95"/>
      <c r="M122" s="97">
        <f t="shared" si="9"/>
        <v>0</v>
      </c>
      <c r="S122" s="85"/>
      <c r="T122" s="85"/>
      <c r="U122" s="85"/>
      <c r="V122" s="85"/>
      <c r="W122" s="85"/>
      <c r="X122" s="85"/>
      <c r="Y122" s="85"/>
      <c r="Z122" s="85"/>
      <c r="AA122" s="85"/>
      <c r="AB122" s="85"/>
      <c r="AC122" s="85"/>
      <c r="AD122" s="85"/>
      <c r="AE122" s="85"/>
      <c r="AF122" s="85"/>
      <c r="AG122" s="85"/>
      <c r="AH122" s="85"/>
      <c r="AI122" s="85"/>
      <c r="AJ122" s="85"/>
      <c r="AK122" s="85"/>
      <c r="AL122" s="85"/>
    </row>
    <row r="123" spans="1:38" s="80" customFormat="1" x14ac:dyDescent="0.25">
      <c r="A123" s="116"/>
      <c r="B123" s="115"/>
      <c r="C123" s="115"/>
      <c r="D123" s="115"/>
      <c r="E123" s="115"/>
      <c r="F123" s="115"/>
      <c r="H123" s="95">
        <v>118</v>
      </c>
      <c r="I123" s="96" t="str">
        <f t="shared" si="7"/>
        <v/>
      </c>
      <c r="J123" s="95" t="e">
        <f t="shared" si="10"/>
        <v>#NUM!</v>
      </c>
      <c r="K123" s="95" t="e">
        <f t="shared" si="8"/>
        <v>#NUM!</v>
      </c>
      <c r="L123" s="95"/>
      <c r="M123" s="97">
        <f t="shared" si="9"/>
        <v>0</v>
      </c>
      <c r="S123" s="85"/>
      <c r="T123" s="85"/>
      <c r="U123" s="85"/>
      <c r="V123" s="85"/>
      <c r="W123" s="85"/>
      <c r="X123" s="85"/>
      <c r="Y123" s="85"/>
      <c r="Z123" s="85"/>
      <c r="AA123" s="85"/>
      <c r="AB123" s="85"/>
      <c r="AC123" s="85"/>
      <c r="AD123" s="85"/>
      <c r="AE123" s="85"/>
      <c r="AF123" s="85"/>
      <c r="AG123" s="85"/>
      <c r="AH123" s="85"/>
      <c r="AI123" s="85"/>
      <c r="AJ123" s="85"/>
      <c r="AK123" s="85"/>
      <c r="AL123" s="85"/>
    </row>
    <row r="124" spans="1:38" s="80" customFormat="1" x14ac:dyDescent="0.25">
      <c r="A124" s="116"/>
      <c r="B124" s="115"/>
      <c r="C124" s="115"/>
      <c r="D124" s="115"/>
      <c r="E124" s="115"/>
      <c r="F124" s="115"/>
      <c r="H124" s="95">
        <v>119</v>
      </c>
      <c r="I124" s="96" t="str">
        <f t="shared" si="7"/>
        <v/>
      </c>
      <c r="J124" s="95" t="e">
        <f t="shared" si="10"/>
        <v>#NUM!</v>
      </c>
      <c r="K124" s="95" t="e">
        <f t="shared" si="8"/>
        <v>#NUM!</v>
      </c>
      <c r="L124" s="95"/>
      <c r="M124" s="97">
        <f t="shared" si="9"/>
        <v>0</v>
      </c>
      <c r="S124" s="85"/>
      <c r="T124" s="85"/>
      <c r="U124" s="85"/>
      <c r="V124" s="85"/>
      <c r="W124" s="85"/>
      <c r="X124" s="85"/>
      <c r="Y124" s="85"/>
      <c r="Z124" s="85"/>
      <c r="AA124" s="85"/>
      <c r="AB124" s="85"/>
      <c r="AC124" s="85"/>
      <c r="AD124" s="85"/>
      <c r="AE124" s="85"/>
      <c r="AF124" s="85"/>
      <c r="AG124" s="85"/>
      <c r="AH124" s="85"/>
      <c r="AI124" s="85"/>
      <c r="AJ124" s="85"/>
      <c r="AK124" s="85"/>
      <c r="AL124" s="85"/>
    </row>
    <row r="125" spans="1:38" s="80" customFormat="1" x14ac:dyDescent="0.25">
      <c r="A125" s="116"/>
      <c r="B125" s="115"/>
      <c r="C125" s="115"/>
      <c r="D125" s="115"/>
      <c r="E125" s="115"/>
      <c r="F125" s="115"/>
      <c r="H125" s="95">
        <v>120</v>
      </c>
      <c r="I125" s="96" t="str">
        <f t="shared" si="7"/>
        <v/>
      </c>
      <c r="J125" s="95" t="e">
        <f t="shared" si="10"/>
        <v>#NUM!</v>
      </c>
      <c r="K125" s="95" t="e">
        <f t="shared" si="8"/>
        <v>#NUM!</v>
      </c>
      <c r="L125" s="95"/>
      <c r="M125" s="97">
        <f t="shared" si="9"/>
        <v>0</v>
      </c>
      <c r="S125" s="85"/>
      <c r="T125" s="85"/>
      <c r="U125" s="85"/>
      <c r="V125" s="85"/>
      <c r="W125" s="85"/>
      <c r="X125" s="85"/>
      <c r="Y125" s="85"/>
      <c r="Z125" s="85"/>
      <c r="AA125" s="85"/>
      <c r="AB125" s="85"/>
      <c r="AC125" s="85"/>
      <c r="AD125" s="85"/>
      <c r="AE125" s="85"/>
      <c r="AF125" s="85"/>
      <c r="AG125" s="85"/>
      <c r="AH125" s="85"/>
      <c r="AI125" s="85"/>
      <c r="AJ125" s="85"/>
      <c r="AK125" s="85"/>
      <c r="AL125" s="85"/>
    </row>
    <row r="126" spans="1:38" s="80" customFormat="1" x14ac:dyDescent="0.25">
      <c r="A126" s="116"/>
      <c r="B126" s="115"/>
      <c r="C126" s="115"/>
      <c r="D126" s="115"/>
      <c r="E126" s="115"/>
      <c r="F126" s="115"/>
      <c r="H126" s="95">
        <v>121</v>
      </c>
      <c r="I126" s="96" t="str">
        <f t="shared" si="7"/>
        <v/>
      </c>
      <c r="J126" s="95" t="e">
        <f t="shared" si="10"/>
        <v>#NUM!</v>
      </c>
      <c r="K126" s="95" t="e">
        <f t="shared" si="8"/>
        <v>#NUM!</v>
      </c>
      <c r="L126" s="95"/>
      <c r="M126" s="97">
        <f t="shared" si="9"/>
        <v>0</v>
      </c>
      <c r="S126" s="85"/>
      <c r="T126" s="85"/>
      <c r="U126" s="85"/>
      <c r="V126" s="85"/>
      <c r="W126" s="85"/>
      <c r="X126" s="85"/>
      <c r="Y126" s="85"/>
      <c r="Z126" s="85"/>
      <c r="AA126" s="85"/>
      <c r="AB126" s="85"/>
      <c r="AC126" s="85"/>
      <c r="AD126" s="85"/>
      <c r="AE126" s="85"/>
      <c r="AF126" s="85"/>
      <c r="AG126" s="85"/>
      <c r="AH126" s="85"/>
      <c r="AI126" s="85"/>
      <c r="AJ126" s="85"/>
      <c r="AK126" s="85"/>
      <c r="AL126" s="85"/>
    </row>
    <row r="127" spans="1:38" s="80" customFormat="1" x14ac:dyDescent="0.25">
      <c r="A127" s="116"/>
      <c r="B127" s="115"/>
      <c r="C127" s="115"/>
      <c r="D127" s="115"/>
      <c r="E127" s="115"/>
      <c r="F127" s="115"/>
      <c r="H127" s="95">
        <v>122</v>
      </c>
      <c r="I127" s="96" t="str">
        <f t="shared" si="7"/>
        <v/>
      </c>
      <c r="J127" s="95" t="e">
        <f t="shared" si="10"/>
        <v>#NUM!</v>
      </c>
      <c r="K127" s="95" t="e">
        <f t="shared" si="8"/>
        <v>#NUM!</v>
      </c>
      <c r="L127" s="95"/>
      <c r="M127" s="97">
        <f t="shared" si="9"/>
        <v>0</v>
      </c>
      <c r="S127" s="85"/>
      <c r="T127" s="85"/>
      <c r="U127" s="85"/>
      <c r="V127" s="85"/>
      <c r="W127" s="85"/>
      <c r="X127" s="85"/>
      <c r="Y127" s="85"/>
      <c r="Z127" s="85"/>
      <c r="AA127" s="85"/>
      <c r="AB127" s="85"/>
      <c r="AC127" s="85"/>
      <c r="AD127" s="85"/>
      <c r="AE127" s="85"/>
      <c r="AF127" s="85"/>
      <c r="AG127" s="85"/>
      <c r="AH127" s="85"/>
      <c r="AI127" s="85"/>
      <c r="AJ127" s="85"/>
      <c r="AK127" s="85"/>
      <c r="AL127" s="85"/>
    </row>
    <row r="128" spans="1:38" s="80" customFormat="1" x14ac:dyDescent="0.25">
      <c r="A128" s="116"/>
      <c r="B128" s="115"/>
      <c r="C128" s="115"/>
      <c r="D128" s="115"/>
      <c r="E128" s="115"/>
      <c r="F128" s="115"/>
      <c r="H128" s="95">
        <v>123</v>
      </c>
      <c r="I128" s="96" t="str">
        <f t="shared" si="7"/>
        <v/>
      </c>
      <c r="J128" s="95" t="e">
        <f t="shared" si="10"/>
        <v>#NUM!</v>
      </c>
      <c r="K128" s="95" t="e">
        <f t="shared" si="8"/>
        <v>#NUM!</v>
      </c>
      <c r="L128" s="95"/>
      <c r="M128" s="97">
        <f t="shared" si="9"/>
        <v>0</v>
      </c>
      <c r="S128" s="85"/>
      <c r="T128" s="85"/>
      <c r="U128" s="85"/>
      <c r="V128" s="85"/>
      <c r="W128" s="85"/>
      <c r="X128" s="85"/>
      <c r="Y128" s="85"/>
      <c r="Z128" s="85"/>
      <c r="AA128" s="85"/>
      <c r="AB128" s="85"/>
      <c r="AC128" s="85"/>
      <c r="AD128" s="85"/>
      <c r="AE128" s="85"/>
      <c r="AF128" s="85"/>
      <c r="AG128" s="85"/>
      <c r="AH128" s="85"/>
      <c r="AI128" s="85"/>
      <c r="AJ128" s="85"/>
      <c r="AK128" s="85"/>
      <c r="AL128" s="85"/>
    </row>
    <row r="129" spans="1:38" s="80" customFormat="1" x14ac:dyDescent="0.25">
      <c r="A129" s="116"/>
      <c r="B129" s="115"/>
      <c r="C129" s="115"/>
      <c r="D129" s="115"/>
      <c r="E129" s="115"/>
      <c r="F129" s="115"/>
      <c r="H129" s="95">
        <v>124</v>
      </c>
      <c r="I129" s="96" t="str">
        <f t="shared" si="7"/>
        <v/>
      </c>
      <c r="J129" s="95" t="e">
        <f t="shared" si="10"/>
        <v>#NUM!</v>
      </c>
      <c r="K129" s="95" t="e">
        <f t="shared" si="8"/>
        <v>#NUM!</v>
      </c>
      <c r="L129" s="95"/>
      <c r="M129" s="97">
        <f t="shared" si="9"/>
        <v>0</v>
      </c>
      <c r="S129" s="85"/>
      <c r="T129" s="85"/>
      <c r="U129" s="85"/>
      <c r="V129" s="85"/>
      <c r="W129" s="85"/>
      <c r="X129" s="85"/>
      <c r="Y129" s="85"/>
      <c r="Z129" s="85"/>
      <c r="AA129" s="85"/>
      <c r="AB129" s="85"/>
      <c r="AC129" s="85"/>
      <c r="AD129" s="85"/>
      <c r="AE129" s="85"/>
      <c r="AF129" s="85"/>
      <c r="AG129" s="85"/>
      <c r="AH129" s="85"/>
      <c r="AI129" s="85"/>
      <c r="AJ129" s="85"/>
      <c r="AK129" s="85"/>
      <c r="AL129" s="85"/>
    </row>
    <row r="130" spans="1:38" s="80" customFormat="1" x14ac:dyDescent="0.25">
      <c r="A130" s="116"/>
      <c r="B130" s="115"/>
      <c r="C130" s="115"/>
      <c r="D130" s="115"/>
      <c r="E130" s="115"/>
      <c r="F130" s="115"/>
      <c r="H130" s="95">
        <v>125</v>
      </c>
      <c r="I130" s="96" t="str">
        <f t="shared" si="7"/>
        <v/>
      </c>
      <c r="J130" s="95" t="e">
        <f t="shared" si="10"/>
        <v>#NUM!</v>
      </c>
      <c r="K130" s="95" t="e">
        <f t="shared" si="8"/>
        <v>#NUM!</v>
      </c>
      <c r="L130" s="95"/>
      <c r="M130" s="97">
        <f t="shared" si="9"/>
        <v>0</v>
      </c>
      <c r="S130" s="85"/>
      <c r="T130" s="85"/>
      <c r="U130" s="85"/>
      <c r="V130" s="85"/>
      <c r="W130" s="85"/>
      <c r="X130" s="85"/>
      <c r="Y130" s="85"/>
      <c r="Z130" s="85"/>
      <c r="AA130" s="85"/>
      <c r="AB130" s="85"/>
      <c r="AC130" s="85"/>
      <c r="AD130" s="85"/>
      <c r="AE130" s="85"/>
      <c r="AF130" s="85"/>
      <c r="AG130" s="85"/>
      <c r="AH130" s="85"/>
      <c r="AI130" s="85"/>
      <c r="AJ130" s="85"/>
      <c r="AK130" s="85"/>
      <c r="AL130" s="85"/>
    </row>
    <row r="131" spans="1:38" s="80" customFormat="1" x14ac:dyDescent="0.25">
      <c r="A131" s="116"/>
      <c r="B131" s="115"/>
      <c r="C131" s="115"/>
      <c r="D131" s="115"/>
      <c r="E131" s="115"/>
      <c r="F131" s="115"/>
      <c r="H131" s="95">
        <v>126</v>
      </c>
      <c r="I131" s="96" t="str">
        <f t="shared" si="7"/>
        <v/>
      </c>
      <c r="J131" s="95" t="e">
        <f t="shared" si="10"/>
        <v>#NUM!</v>
      </c>
      <c r="K131" s="95" t="e">
        <f t="shared" si="8"/>
        <v>#NUM!</v>
      </c>
      <c r="L131" s="95"/>
      <c r="M131" s="97">
        <f t="shared" si="9"/>
        <v>0</v>
      </c>
      <c r="S131" s="85"/>
      <c r="T131" s="85"/>
      <c r="U131" s="85"/>
      <c r="V131" s="85"/>
      <c r="W131" s="85"/>
      <c r="X131" s="85"/>
      <c r="Y131" s="85"/>
      <c r="Z131" s="85"/>
      <c r="AA131" s="85"/>
      <c r="AB131" s="85"/>
      <c r="AC131" s="85"/>
      <c r="AD131" s="85"/>
      <c r="AE131" s="85"/>
      <c r="AF131" s="85"/>
      <c r="AG131" s="85"/>
      <c r="AH131" s="85"/>
      <c r="AI131" s="85"/>
      <c r="AJ131" s="85"/>
      <c r="AK131" s="85"/>
      <c r="AL131" s="85"/>
    </row>
    <row r="132" spans="1:38" s="80" customFormat="1" x14ac:dyDescent="0.25">
      <c r="A132" s="116"/>
      <c r="B132" s="115"/>
      <c r="C132" s="115"/>
      <c r="D132" s="115"/>
      <c r="E132" s="115"/>
      <c r="F132" s="115"/>
      <c r="H132" s="95">
        <v>127</v>
      </c>
      <c r="I132" s="96" t="str">
        <f t="shared" si="7"/>
        <v/>
      </c>
      <c r="J132" s="95" t="e">
        <f t="shared" si="10"/>
        <v>#NUM!</v>
      </c>
      <c r="K132" s="95" t="e">
        <f t="shared" si="8"/>
        <v>#NUM!</v>
      </c>
      <c r="L132" s="95"/>
      <c r="M132" s="97">
        <f t="shared" si="9"/>
        <v>0</v>
      </c>
      <c r="S132" s="85"/>
      <c r="T132" s="85"/>
      <c r="U132" s="85"/>
      <c r="V132" s="85"/>
      <c r="W132" s="85"/>
      <c r="X132" s="85"/>
      <c r="Y132" s="85"/>
      <c r="Z132" s="85"/>
      <c r="AA132" s="85"/>
      <c r="AB132" s="85"/>
      <c r="AC132" s="85"/>
      <c r="AD132" s="85"/>
      <c r="AE132" s="85"/>
      <c r="AF132" s="85"/>
      <c r="AG132" s="85"/>
      <c r="AH132" s="85"/>
      <c r="AI132" s="85"/>
      <c r="AJ132" s="85"/>
      <c r="AK132" s="85"/>
      <c r="AL132" s="85"/>
    </row>
    <row r="133" spans="1:38" s="80" customFormat="1" x14ac:dyDescent="0.25">
      <c r="A133" s="116"/>
      <c r="B133" s="115"/>
      <c r="C133" s="115"/>
      <c r="D133" s="115"/>
      <c r="E133" s="115"/>
      <c r="F133" s="115"/>
      <c r="H133" s="95">
        <v>128</v>
      </c>
      <c r="I133" s="96" t="str">
        <f t="shared" si="7"/>
        <v/>
      </c>
      <c r="J133" s="95" t="e">
        <f t="shared" si="10"/>
        <v>#NUM!</v>
      </c>
      <c r="K133" s="95" t="e">
        <f t="shared" si="8"/>
        <v>#NUM!</v>
      </c>
      <c r="L133" s="95"/>
      <c r="M133" s="97">
        <f t="shared" si="9"/>
        <v>0</v>
      </c>
      <c r="S133" s="85"/>
      <c r="T133" s="85"/>
      <c r="U133" s="85"/>
      <c r="V133" s="85"/>
      <c r="W133" s="85"/>
      <c r="X133" s="85"/>
      <c r="Y133" s="85"/>
      <c r="Z133" s="85"/>
      <c r="AA133" s="85"/>
      <c r="AB133" s="85"/>
      <c r="AC133" s="85"/>
      <c r="AD133" s="85"/>
      <c r="AE133" s="85"/>
      <c r="AF133" s="85"/>
      <c r="AG133" s="85"/>
      <c r="AH133" s="85"/>
      <c r="AI133" s="85"/>
      <c r="AJ133" s="85"/>
      <c r="AK133" s="85"/>
      <c r="AL133" s="85"/>
    </row>
    <row r="134" spans="1:38" s="80" customFormat="1" x14ac:dyDescent="0.25">
      <c r="A134" s="116"/>
      <c r="B134" s="115"/>
      <c r="C134" s="115"/>
      <c r="D134" s="115"/>
      <c r="E134" s="115"/>
      <c r="F134" s="115"/>
      <c r="H134" s="95">
        <v>129</v>
      </c>
      <c r="I134" s="96" t="str">
        <f t="shared" ref="I134:I197" si="11">IF(H134&lt;$H$2+1,($I$2-($I$2-1)*(LOG(H134)/LOG($H$2))),"")</f>
        <v/>
      </c>
      <c r="J134" s="95" t="e">
        <f t="shared" si="10"/>
        <v>#NUM!</v>
      </c>
      <c r="K134" s="95" t="e">
        <f t="shared" ref="K134:K197" si="12">J134*$J$2</f>
        <v>#NUM!</v>
      </c>
      <c r="L134" s="95"/>
      <c r="M134" s="97">
        <f t="shared" ref="M134:M197" si="13">IF(I134&lt;&gt;"",K134+I134+L134,0)</f>
        <v>0</v>
      </c>
      <c r="S134" s="85"/>
      <c r="T134" s="85"/>
      <c r="U134" s="85"/>
      <c r="V134" s="85"/>
      <c r="W134" s="85"/>
      <c r="X134" s="85"/>
      <c r="Y134" s="85"/>
      <c r="Z134" s="85"/>
      <c r="AA134" s="85"/>
      <c r="AB134" s="85"/>
      <c r="AC134" s="85"/>
      <c r="AD134" s="85"/>
      <c r="AE134" s="85"/>
      <c r="AF134" s="85"/>
      <c r="AG134" s="85"/>
      <c r="AH134" s="85"/>
      <c r="AI134" s="85"/>
      <c r="AJ134" s="85"/>
      <c r="AK134" s="85"/>
      <c r="AL134" s="85"/>
    </row>
    <row r="135" spans="1:38" s="80" customFormat="1" x14ac:dyDescent="0.25">
      <c r="A135" s="116"/>
      <c r="B135" s="115"/>
      <c r="C135" s="115"/>
      <c r="D135" s="115"/>
      <c r="E135" s="115"/>
      <c r="F135" s="115"/>
      <c r="H135" s="95">
        <v>130</v>
      </c>
      <c r="I135" s="96" t="str">
        <f t="shared" si="11"/>
        <v/>
      </c>
      <c r="J135" s="95" t="e">
        <f t="shared" si="10"/>
        <v>#NUM!</v>
      </c>
      <c r="K135" s="95" t="e">
        <f t="shared" si="12"/>
        <v>#NUM!</v>
      </c>
      <c r="L135" s="95"/>
      <c r="M135" s="97">
        <f t="shared" si="13"/>
        <v>0</v>
      </c>
      <c r="S135" s="85"/>
      <c r="T135" s="85"/>
      <c r="U135" s="85"/>
      <c r="V135" s="85"/>
      <c r="W135" s="85"/>
      <c r="X135" s="85"/>
      <c r="Y135" s="85"/>
      <c r="Z135" s="85"/>
      <c r="AA135" s="85"/>
      <c r="AB135" s="85"/>
      <c r="AC135" s="85"/>
      <c r="AD135" s="85"/>
      <c r="AE135" s="85"/>
      <c r="AF135" s="85"/>
      <c r="AG135" s="85"/>
      <c r="AH135" s="85"/>
      <c r="AI135" s="85"/>
      <c r="AJ135" s="85"/>
      <c r="AK135" s="85"/>
      <c r="AL135" s="85"/>
    </row>
    <row r="136" spans="1:38" s="80" customFormat="1" x14ac:dyDescent="0.25">
      <c r="A136" s="116"/>
      <c r="B136" s="115"/>
      <c r="C136" s="115"/>
      <c r="D136" s="115"/>
      <c r="E136" s="115"/>
      <c r="F136" s="115"/>
      <c r="H136" s="95">
        <v>131</v>
      </c>
      <c r="I136" s="96" t="str">
        <f t="shared" si="11"/>
        <v/>
      </c>
      <c r="J136" s="95" t="e">
        <f t="shared" si="10"/>
        <v>#NUM!</v>
      </c>
      <c r="K136" s="95" t="e">
        <f t="shared" si="12"/>
        <v>#NUM!</v>
      </c>
      <c r="L136" s="95"/>
      <c r="M136" s="97">
        <f t="shared" si="13"/>
        <v>0</v>
      </c>
      <c r="S136" s="85"/>
      <c r="T136" s="85"/>
      <c r="U136" s="85"/>
      <c r="V136" s="85"/>
      <c r="W136" s="85"/>
      <c r="X136" s="85"/>
      <c r="Y136" s="85"/>
      <c r="Z136" s="85"/>
      <c r="AA136" s="85"/>
      <c r="AB136" s="85"/>
      <c r="AC136" s="85"/>
      <c r="AD136" s="85"/>
      <c r="AE136" s="85"/>
      <c r="AF136" s="85"/>
      <c r="AG136" s="85"/>
      <c r="AH136" s="85"/>
      <c r="AI136" s="85"/>
      <c r="AJ136" s="85"/>
      <c r="AK136" s="85"/>
      <c r="AL136" s="85"/>
    </row>
    <row r="137" spans="1:38" s="80" customFormat="1" x14ac:dyDescent="0.25">
      <c r="A137" s="116"/>
      <c r="B137" s="115"/>
      <c r="C137" s="115"/>
      <c r="D137" s="115"/>
      <c r="E137" s="115"/>
      <c r="F137" s="115"/>
      <c r="H137" s="95">
        <v>132</v>
      </c>
      <c r="I137" s="96" t="str">
        <f t="shared" si="11"/>
        <v/>
      </c>
      <c r="J137" s="95" t="e">
        <f t="shared" si="10"/>
        <v>#NUM!</v>
      </c>
      <c r="K137" s="95" t="e">
        <f t="shared" si="12"/>
        <v>#NUM!</v>
      </c>
      <c r="L137" s="95"/>
      <c r="M137" s="97">
        <f t="shared" si="13"/>
        <v>0</v>
      </c>
      <c r="S137" s="85"/>
      <c r="T137" s="85"/>
      <c r="U137" s="85"/>
      <c r="V137" s="85"/>
      <c r="W137" s="85"/>
      <c r="X137" s="85"/>
      <c r="Y137" s="85"/>
      <c r="Z137" s="85"/>
      <c r="AA137" s="85"/>
      <c r="AB137" s="85"/>
      <c r="AC137" s="85"/>
      <c r="AD137" s="85"/>
      <c r="AE137" s="85"/>
      <c r="AF137" s="85"/>
      <c r="AG137" s="85"/>
      <c r="AH137" s="85"/>
      <c r="AI137" s="85"/>
      <c r="AJ137" s="85"/>
      <c r="AK137" s="85"/>
      <c r="AL137" s="85"/>
    </row>
    <row r="138" spans="1:38" s="80" customFormat="1" x14ac:dyDescent="0.25">
      <c r="A138" s="116"/>
      <c r="B138" s="115"/>
      <c r="C138" s="115"/>
      <c r="D138" s="115"/>
      <c r="E138" s="115"/>
      <c r="F138" s="115"/>
      <c r="H138" s="95">
        <v>133</v>
      </c>
      <c r="I138" s="96" t="str">
        <f t="shared" si="11"/>
        <v/>
      </c>
      <c r="J138" s="95" t="e">
        <f t="shared" ref="J138:J201" si="14">INT(LOG($H$2,2))-ROUNDUP(LOG(H138,2),0)+IF(OR($H$2=1,$H$2=2,$H$2=4,$H$2=8,$H$2=16,$H$2=32,$H$2=64,$H$2=128,$H$2=256),0,1)</f>
        <v>#NUM!</v>
      </c>
      <c r="K138" s="95" t="e">
        <f t="shared" si="12"/>
        <v>#NUM!</v>
      </c>
      <c r="L138" s="95"/>
      <c r="M138" s="97">
        <f t="shared" si="13"/>
        <v>0</v>
      </c>
      <c r="S138" s="85"/>
      <c r="T138" s="85"/>
      <c r="U138" s="85"/>
      <c r="V138" s="85"/>
      <c r="W138" s="85"/>
      <c r="X138" s="85"/>
      <c r="Y138" s="85"/>
      <c r="Z138" s="85"/>
      <c r="AA138" s="85"/>
      <c r="AB138" s="85"/>
      <c r="AC138" s="85"/>
      <c r="AD138" s="85"/>
      <c r="AE138" s="85"/>
      <c r="AF138" s="85"/>
      <c r="AG138" s="85"/>
      <c r="AH138" s="85"/>
      <c r="AI138" s="85"/>
      <c r="AJ138" s="85"/>
      <c r="AK138" s="85"/>
      <c r="AL138" s="85"/>
    </row>
    <row r="139" spans="1:38" s="80" customFormat="1" x14ac:dyDescent="0.25">
      <c r="A139" s="116"/>
      <c r="B139" s="115"/>
      <c r="C139" s="115"/>
      <c r="D139" s="115"/>
      <c r="E139" s="115"/>
      <c r="F139" s="115"/>
      <c r="H139" s="95">
        <v>134</v>
      </c>
      <c r="I139" s="96" t="str">
        <f t="shared" si="11"/>
        <v/>
      </c>
      <c r="J139" s="95" t="e">
        <f t="shared" si="14"/>
        <v>#NUM!</v>
      </c>
      <c r="K139" s="95" t="e">
        <f t="shared" si="12"/>
        <v>#NUM!</v>
      </c>
      <c r="L139" s="95"/>
      <c r="M139" s="97">
        <f t="shared" si="13"/>
        <v>0</v>
      </c>
      <c r="S139" s="85"/>
      <c r="T139" s="85"/>
      <c r="U139" s="85"/>
      <c r="V139" s="85"/>
      <c r="W139" s="85"/>
      <c r="X139" s="85"/>
      <c r="Y139" s="85"/>
      <c r="Z139" s="85"/>
      <c r="AA139" s="85"/>
      <c r="AB139" s="85"/>
      <c r="AC139" s="85"/>
      <c r="AD139" s="85"/>
      <c r="AE139" s="85"/>
      <c r="AF139" s="85"/>
      <c r="AG139" s="85"/>
      <c r="AH139" s="85"/>
      <c r="AI139" s="85"/>
      <c r="AJ139" s="85"/>
      <c r="AK139" s="85"/>
      <c r="AL139" s="85"/>
    </row>
    <row r="140" spans="1:38" s="80" customFormat="1" x14ac:dyDescent="0.25">
      <c r="A140" s="116"/>
      <c r="B140" s="115"/>
      <c r="C140" s="115"/>
      <c r="D140" s="115"/>
      <c r="E140" s="115"/>
      <c r="F140" s="115"/>
      <c r="H140" s="95">
        <v>135</v>
      </c>
      <c r="I140" s="96" t="str">
        <f t="shared" si="11"/>
        <v/>
      </c>
      <c r="J140" s="95" t="e">
        <f t="shared" si="14"/>
        <v>#NUM!</v>
      </c>
      <c r="K140" s="95" t="e">
        <f t="shared" si="12"/>
        <v>#NUM!</v>
      </c>
      <c r="L140" s="95"/>
      <c r="M140" s="97">
        <f t="shared" si="13"/>
        <v>0</v>
      </c>
      <c r="S140" s="85"/>
      <c r="T140" s="85"/>
      <c r="U140" s="85"/>
      <c r="V140" s="85"/>
      <c r="W140" s="85"/>
      <c r="X140" s="85"/>
      <c r="Y140" s="85"/>
      <c r="Z140" s="85"/>
      <c r="AA140" s="85"/>
      <c r="AB140" s="85"/>
      <c r="AC140" s="85"/>
      <c r="AD140" s="85"/>
      <c r="AE140" s="85"/>
      <c r="AF140" s="85"/>
      <c r="AG140" s="85"/>
      <c r="AH140" s="85"/>
      <c r="AI140" s="85"/>
      <c r="AJ140" s="85"/>
      <c r="AK140" s="85"/>
      <c r="AL140" s="85"/>
    </row>
    <row r="141" spans="1:38" s="80" customFormat="1" x14ac:dyDescent="0.25">
      <c r="A141" s="116"/>
      <c r="B141" s="115"/>
      <c r="C141" s="115"/>
      <c r="D141" s="115"/>
      <c r="E141" s="115"/>
      <c r="F141" s="115"/>
      <c r="H141" s="95">
        <v>136</v>
      </c>
      <c r="I141" s="96" t="str">
        <f t="shared" si="11"/>
        <v/>
      </c>
      <c r="J141" s="95" t="e">
        <f t="shared" si="14"/>
        <v>#NUM!</v>
      </c>
      <c r="K141" s="95" t="e">
        <f t="shared" si="12"/>
        <v>#NUM!</v>
      </c>
      <c r="L141" s="95"/>
      <c r="M141" s="97">
        <f t="shared" si="13"/>
        <v>0</v>
      </c>
      <c r="S141" s="85"/>
      <c r="T141" s="85"/>
      <c r="U141" s="85"/>
      <c r="V141" s="85"/>
      <c r="W141" s="85"/>
      <c r="X141" s="85"/>
      <c r="Y141" s="85"/>
      <c r="Z141" s="85"/>
      <c r="AA141" s="85"/>
      <c r="AB141" s="85"/>
      <c r="AC141" s="85"/>
      <c r="AD141" s="85"/>
      <c r="AE141" s="85"/>
      <c r="AF141" s="85"/>
      <c r="AG141" s="85"/>
      <c r="AH141" s="85"/>
      <c r="AI141" s="85"/>
      <c r="AJ141" s="85"/>
      <c r="AK141" s="85"/>
      <c r="AL141" s="85"/>
    </row>
    <row r="142" spans="1:38" s="80" customFormat="1" x14ac:dyDescent="0.25">
      <c r="A142" s="116"/>
      <c r="B142" s="115"/>
      <c r="C142" s="115"/>
      <c r="D142" s="115"/>
      <c r="E142" s="115"/>
      <c r="F142" s="115"/>
      <c r="H142" s="95">
        <v>137</v>
      </c>
      <c r="I142" s="96" t="str">
        <f t="shared" si="11"/>
        <v/>
      </c>
      <c r="J142" s="95" t="e">
        <f t="shared" si="14"/>
        <v>#NUM!</v>
      </c>
      <c r="K142" s="95" t="e">
        <f t="shared" si="12"/>
        <v>#NUM!</v>
      </c>
      <c r="L142" s="95"/>
      <c r="M142" s="97">
        <f t="shared" si="13"/>
        <v>0</v>
      </c>
      <c r="S142" s="85"/>
      <c r="T142" s="85"/>
      <c r="U142" s="85"/>
      <c r="V142" s="85"/>
      <c r="W142" s="85"/>
      <c r="X142" s="85"/>
      <c r="Y142" s="85"/>
      <c r="Z142" s="85"/>
      <c r="AA142" s="85"/>
      <c r="AB142" s="85"/>
      <c r="AC142" s="85"/>
      <c r="AD142" s="85"/>
      <c r="AE142" s="85"/>
      <c r="AF142" s="85"/>
      <c r="AG142" s="85"/>
      <c r="AH142" s="85"/>
      <c r="AI142" s="85"/>
      <c r="AJ142" s="85"/>
      <c r="AK142" s="85"/>
      <c r="AL142" s="85"/>
    </row>
    <row r="143" spans="1:38" s="80" customFormat="1" x14ac:dyDescent="0.25">
      <c r="A143" s="116"/>
      <c r="B143" s="115"/>
      <c r="C143" s="115"/>
      <c r="D143" s="115"/>
      <c r="E143" s="115"/>
      <c r="F143" s="115"/>
      <c r="H143" s="95">
        <v>138</v>
      </c>
      <c r="I143" s="96" t="str">
        <f t="shared" si="11"/>
        <v/>
      </c>
      <c r="J143" s="95" t="e">
        <f t="shared" si="14"/>
        <v>#NUM!</v>
      </c>
      <c r="K143" s="95" t="e">
        <f t="shared" si="12"/>
        <v>#NUM!</v>
      </c>
      <c r="L143" s="95"/>
      <c r="M143" s="97">
        <f t="shared" si="13"/>
        <v>0</v>
      </c>
      <c r="S143" s="85"/>
      <c r="T143" s="85"/>
      <c r="U143" s="85"/>
      <c r="V143" s="85"/>
      <c r="W143" s="85"/>
      <c r="X143" s="85"/>
      <c r="Y143" s="85"/>
      <c r="Z143" s="85"/>
      <c r="AA143" s="85"/>
      <c r="AB143" s="85"/>
      <c r="AC143" s="85"/>
      <c r="AD143" s="85"/>
      <c r="AE143" s="85"/>
      <c r="AF143" s="85"/>
      <c r="AG143" s="85"/>
      <c r="AH143" s="85"/>
      <c r="AI143" s="85"/>
      <c r="AJ143" s="85"/>
      <c r="AK143" s="85"/>
      <c r="AL143" s="85"/>
    </row>
    <row r="144" spans="1:38" s="80" customFormat="1" x14ac:dyDescent="0.25">
      <c r="A144" s="116"/>
      <c r="B144" s="115"/>
      <c r="C144" s="115"/>
      <c r="D144" s="115"/>
      <c r="E144" s="115"/>
      <c r="F144" s="115"/>
      <c r="H144" s="95">
        <v>139</v>
      </c>
      <c r="I144" s="96" t="str">
        <f t="shared" si="11"/>
        <v/>
      </c>
      <c r="J144" s="95" t="e">
        <f t="shared" si="14"/>
        <v>#NUM!</v>
      </c>
      <c r="K144" s="95" t="e">
        <f t="shared" si="12"/>
        <v>#NUM!</v>
      </c>
      <c r="L144" s="95"/>
      <c r="M144" s="97">
        <f t="shared" si="13"/>
        <v>0</v>
      </c>
      <c r="S144" s="85"/>
      <c r="T144" s="85"/>
      <c r="U144" s="85"/>
      <c r="V144" s="85"/>
      <c r="W144" s="85"/>
      <c r="X144" s="85"/>
      <c r="Y144" s="85"/>
      <c r="Z144" s="85"/>
      <c r="AA144" s="85"/>
      <c r="AB144" s="85"/>
      <c r="AC144" s="85"/>
      <c r="AD144" s="85"/>
      <c r="AE144" s="85"/>
      <c r="AF144" s="85"/>
      <c r="AG144" s="85"/>
      <c r="AH144" s="85"/>
      <c r="AI144" s="85"/>
      <c r="AJ144" s="85"/>
      <c r="AK144" s="85"/>
      <c r="AL144" s="85"/>
    </row>
    <row r="145" spans="1:38" s="80" customFormat="1" x14ac:dyDescent="0.25">
      <c r="A145" s="116"/>
      <c r="B145" s="115"/>
      <c r="C145" s="115"/>
      <c r="D145" s="115"/>
      <c r="E145" s="115"/>
      <c r="F145" s="115"/>
      <c r="H145" s="95">
        <v>140</v>
      </c>
      <c r="I145" s="96" t="str">
        <f t="shared" si="11"/>
        <v/>
      </c>
      <c r="J145" s="95" t="e">
        <f t="shared" si="14"/>
        <v>#NUM!</v>
      </c>
      <c r="K145" s="95" t="e">
        <f t="shared" si="12"/>
        <v>#NUM!</v>
      </c>
      <c r="L145" s="95"/>
      <c r="M145" s="97">
        <f t="shared" si="13"/>
        <v>0</v>
      </c>
      <c r="S145" s="85"/>
      <c r="T145" s="85"/>
      <c r="U145" s="85"/>
      <c r="V145" s="85"/>
      <c r="W145" s="85"/>
      <c r="X145" s="85"/>
      <c r="Y145" s="85"/>
      <c r="Z145" s="85"/>
      <c r="AA145" s="85"/>
      <c r="AB145" s="85"/>
      <c r="AC145" s="85"/>
      <c r="AD145" s="85"/>
      <c r="AE145" s="85"/>
      <c r="AF145" s="85"/>
      <c r="AG145" s="85"/>
      <c r="AH145" s="85"/>
      <c r="AI145" s="85"/>
      <c r="AJ145" s="85"/>
      <c r="AK145" s="85"/>
      <c r="AL145" s="85"/>
    </row>
    <row r="146" spans="1:38" s="80" customFormat="1" x14ac:dyDescent="0.25">
      <c r="A146" s="116"/>
      <c r="B146" s="115"/>
      <c r="C146" s="115"/>
      <c r="D146" s="115"/>
      <c r="E146" s="115"/>
      <c r="F146" s="115"/>
      <c r="H146" s="95">
        <v>141</v>
      </c>
      <c r="I146" s="96" t="str">
        <f t="shared" si="11"/>
        <v/>
      </c>
      <c r="J146" s="95" t="e">
        <f t="shared" si="14"/>
        <v>#NUM!</v>
      </c>
      <c r="K146" s="95" t="e">
        <f t="shared" si="12"/>
        <v>#NUM!</v>
      </c>
      <c r="L146" s="95"/>
      <c r="M146" s="97">
        <f t="shared" si="13"/>
        <v>0</v>
      </c>
      <c r="S146" s="85"/>
      <c r="T146" s="85"/>
      <c r="U146" s="85"/>
      <c r="V146" s="85"/>
      <c r="W146" s="85"/>
      <c r="X146" s="85"/>
      <c r="Y146" s="85"/>
      <c r="Z146" s="85"/>
      <c r="AA146" s="85"/>
      <c r="AB146" s="85"/>
      <c r="AC146" s="85"/>
      <c r="AD146" s="85"/>
      <c r="AE146" s="85"/>
      <c r="AF146" s="85"/>
      <c r="AG146" s="85"/>
      <c r="AH146" s="85"/>
      <c r="AI146" s="85"/>
      <c r="AJ146" s="85"/>
      <c r="AK146" s="85"/>
      <c r="AL146" s="85"/>
    </row>
    <row r="147" spans="1:38" s="80" customFormat="1" x14ac:dyDescent="0.25">
      <c r="A147" s="116"/>
      <c r="B147" s="115"/>
      <c r="C147" s="115"/>
      <c r="D147" s="115"/>
      <c r="E147" s="115"/>
      <c r="F147" s="115"/>
      <c r="H147" s="95">
        <v>142</v>
      </c>
      <c r="I147" s="96" t="str">
        <f t="shared" si="11"/>
        <v/>
      </c>
      <c r="J147" s="95" t="e">
        <f t="shared" si="14"/>
        <v>#NUM!</v>
      </c>
      <c r="K147" s="95" t="e">
        <f t="shared" si="12"/>
        <v>#NUM!</v>
      </c>
      <c r="L147" s="95"/>
      <c r="M147" s="97">
        <f t="shared" si="13"/>
        <v>0</v>
      </c>
      <c r="S147" s="85"/>
      <c r="T147" s="85"/>
      <c r="U147" s="85"/>
      <c r="V147" s="85"/>
      <c r="W147" s="85"/>
      <c r="X147" s="85"/>
      <c r="Y147" s="85"/>
      <c r="Z147" s="85"/>
      <c r="AA147" s="85"/>
      <c r="AB147" s="85"/>
      <c r="AC147" s="85"/>
      <c r="AD147" s="85"/>
      <c r="AE147" s="85"/>
      <c r="AF147" s="85"/>
      <c r="AG147" s="85"/>
      <c r="AH147" s="85"/>
      <c r="AI147" s="85"/>
      <c r="AJ147" s="85"/>
      <c r="AK147" s="85"/>
      <c r="AL147" s="85"/>
    </row>
    <row r="148" spans="1:38" s="80" customFormat="1" x14ac:dyDescent="0.25">
      <c r="A148" s="116"/>
      <c r="B148" s="115"/>
      <c r="C148" s="115"/>
      <c r="D148" s="115"/>
      <c r="E148" s="115"/>
      <c r="F148" s="115"/>
      <c r="H148" s="95">
        <v>143</v>
      </c>
      <c r="I148" s="96" t="str">
        <f t="shared" si="11"/>
        <v/>
      </c>
      <c r="J148" s="95" t="e">
        <f t="shared" si="14"/>
        <v>#NUM!</v>
      </c>
      <c r="K148" s="95" t="e">
        <f t="shared" si="12"/>
        <v>#NUM!</v>
      </c>
      <c r="L148" s="95"/>
      <c r="M148" s="97">
        <f t="shared" si="13"/>
        <v>0</v>
      </c>
      <c r="S148" s="85"/>
      <c r="T148" s="85"/>
      <c r="U148" s="85"/>
      <c r="V148" s="85"/>
      <c r="W148" s="85"/>
      <c r="X148" s="85"/>
      <c r="Y148" s="85"/>
      <c r="Z148" s="85"/>
      <c r="AA148" s="85"/>
      <c r="AB148" s="85"/>
      <c r="AC148" s="85"/>
      <c r="AD148" s="85"/>
      <c r="AE148" s="85"/>
      <c r="AF148" s="85"/>
      <c r="AG148" s="85"/>
      <c r="AH148" s="85"/>
      <c r="AI148" s="85"/>
      <c r="AJ148" s="85"/>
      <c r="AK148" s="85"/>
      <c r="AL148" s="85"/>
    </row>
    <row r="149" spans="1:38" s="80" customFormat="1" x14ac:dyDescent="0.25">
      <c r="A149" s="116"/>
      <c r="B149" s="115"/>
      <c r="C149" s="115"/>
      <c r="D149" s="115"/>
      <c r="E149" s="115"/>
      <c r="F149" s="115"/>
      <c r="H149" s="95">
        <v>144</v>
      </c>
      <c r="I149" s="96" t="str">
        <f t="shared" si="11"/>
        <v/>
      </c>
      <c r="J149" s="95" t="e">
        <f t="shared" si="14"/>
        <v>#NUM!</v>
      </c>
      <c r="K149" s="95" t="e">
        <f t="shared" si="12"/>
        <v>#NUM!</v>
      </c>
      <c r="L149" s="95"/>
      <c r="M149" s="97">
        <f t="shared" si="13"/>
        <v>0</v>
      </c>
      <c r="S149" s="85"/>
      <c r="T149" s="85"/>
      <c r="U149" s="85"/>
      <c r="V149" s="85"/>
      <c r="W149" s="85"/>
      <c r="X149" s="85"/>
      <c r="Y149" s="85"/>
      <c r="Z149" s="85"/>
      <c r="AA149" s="85"/>
      <c r="AB149" s="85"/>
      <c r="AC149" s="85"/>
      <c r="AD149" s="85"/>
      <c r="AE149" s="85"/>
      <c r="AF149" s="85"/>
      <c r="AG149" s="85"/>
      <c r="AH149" s="85"/>
      <c r="AI149" s="85"/>
      <c r="AJ149" s="85"/>
      <c r="AK149" s="85"/>
      <c r="AL149" s="85"/>
    </row>
    <row r="150" spans="1:38" s="80" customFormat="1" x14ac:dyDescent="0.25">
      <c r="A150" s="116"/>
      <c r="B150" s="115"/>
      <c r="C150" s="115"/>
      <c r="D150" s="115"/>
      <c r="E150" s="115"/>
      <c r="F150" s="115"/>
      <c r="H150" s="95">
        <v>145</v>
      </c>
      <c r="I150" s="96" t="str">
        <f t="shared" si="11"/>
        <v/>
      </c>
      <c r="J150" s="95" t="e">
        <f t="shared" si="14"/>
        <v>#NUM!</v>
      </c>
      <c r="K150" s="95" t="e">
        <f t="shared" si="12"/>
        <v>#NUM!</v>
      </c>
      <c r="L150" s="95"/>
      <c r="M150" s="97">
        <f t="shared" si="13"/>
        <v>0</v>
      </c>
      <c r="S150" s="85"/>
      <c r="T150" s="85"/>
      <c r="U150" s="85"/>
      <c r="V150" s="85"/>
      <c r="W150" s="85"/>
      <c r="X150" s="85"/>
      <c r="Y150" s="85"/>
      <c r="Z150" s="85"/>
      <c r="AA150" s="85"/>
      <c r="AB150" s="85"/>
      <c r="AC150" s="85"/>
      <c r="AD150" s="85"/>
      <c r="AE150" s="85"/>
      <c r="AF150" s="85"/>
      <c r="AG150" s="85"/>
      <c r="AH150" s="85"/>
      <c r="AI150" s="85"/>
      <c r="AJ150" s="85"/>
      <c r="AK150" s="85"/>
      <c r="AL150" s="85"/>
    </row>
    <row r="151" spans="1:38" s="80" customFormat="1" x14ac:dyDescent="0.25">
      <c r="A151" s="116"/>
      <c r="B151" s="115"/>
      <c r="C151" s="115"/>
      <c r="D151" s="115"/>
      <c r="E151" s="115"/>
      <c r="F151" s="115"/>
      <c r="H151" s="95">
        <v>146</v>
      </c>
      <c r="I151" s="96" t="str">
        <f t="shared" si="11"/>
        <v/>
      </c>
      <c r="J151" s="95" t="e">
        <f t="shared" si="14"/>
        <v>#NUM!</v>
      </c>
      <c r="K151" s="95" t="e">
        <f t="shared" si="12"/>
        <v>#NUM!</v>
      </c>
      <c r="L151" s="95"/>
      <c r="M151" s="97">
        <f t="shared" si="13"/>
        <v>0</v>
      </c>
      <c r="S151" s="85"/>
      <c r="T151" s="85"/>
      <c r="U151" s="85"/>
      <c r="V151" s="85"/>
      <c r="W151" s="85"/>
      <c r="X151" s="85"/>
      <c r="Y151" s="85"/>
      <c r="Z151" s="85"/>
      <c r="AA151" s="85"/>
      <c r="AB151" s="85"/>
      <c r="AC151" s="85"/>
      <c r="AD151" s="85"/>
      <c r="AE151" s="85"/>
      <c r="AF151" s="85"/>
      <c r="AG151" s="85"/>
      <c r="AH151" s="85"/>
      <c r="AI151" s="85"/>
      <c r="AJ151" s="85"/>
      <c r="AK151" s="85"/>
      <c r="AL151" s="85"/>
    </row>
    <row r="152" spans="1:38" s="80" customFormat="1" x14ac:dyDescent="0.25">
      <c r="A152" s="116"/>
      <c r="B152" s="115"/>
      <c r="C152" s="115"/>
      <c r="D152" s="115"/>
      <c r="E152" s="115"/>
      <c r="F152" s="115"/>
      <c r="H152" s="95">
        <v>147</v>
      </c>
      <c r="I152" s="96" t="str">
        <f t="shared" si="11"/>
        <v/>
      </c>
      <c r="J152" s="95" t="e">
        <f t="shared" si="14"/>
        <v>#NUM!</v>
      </c>
      <c r="K152" s="95" t="e">
        <f t="shared" si="12"/>
        <v>#NUM!</v>
      </c>
      <c r="L152" s="95"/>
      <c r="M152" s="97">
        <f t="shared" si="13"/>
        <v>0</v>
      </c>
      <c r="S152" s="85"/>
      <c r="T152" s="85"/>
      <c r="U152" s="85"/>
      <c r="V152" s="85"/>
      <c r="W152" s="85"/>
      <c r="X152" s="85"/>
      <c r="Y152" s="85"/>
      <c r="Z152" s="85"/>
      <c r="AA152" s="85"/>
      <c r="AB152" s="85"/>
      <c r="AC152" s="85"/>
      <c r="AD152" s="85"/>
      <c r="AE152" s="85"/>
      <c r="AF152" s="85"/>
      <c r="AG152" s="85"/>
      <c r="AH152" s="85"/>
      <c r="AI152" s="85"/>
      <c r="AJ152" s="85"/>
      <c r="AK152" s="85"/>
      <c r="AL152" s="85"/>
    </row>
    <row r="153" spans="1:38" s="80" customFormat="1" x14ac:dyDescent="0.25">
      <c r="A153" s="116"/>
      <c r="B153" s="115"/>
      <c r="C153" s="115"/>
      <c r="D153" s="115"/>
      <c r="E153" s="115"/>
      <c r="F153" s="115"/>
      <c r="H153" s="95">
        <v>148</v>
      </c>
      <c r="I153" s="96" t="str">
        <f t="shared" si="11"/>
        <v/>
      </c>
      <c r="J153" s="95" t="e">
        <f t="shared" si="14"/>
        <v>#NUM!</v>
      </c>
      <c r="K153" s="95" t="e">
        <f t="shared" si="12"/>
        <v>#NUM!</v>
      </c>
      <c r="L153" s="95"/>
      <c r="M153" s="97">
        <f t="shared" si="13"/>
        <v>0</v>
      </c>
      <c r="S153" s="85"/>
      <c r="T153" s="85"/>
      <c r="U153" s="85"/>
      <c r="V153" s="85"/>
      <c r="W153" s="85"/>
      <c r="X153" s="85"/>
      <c r="Y153" s="85"/>
      <c r="Z153" s="85"/>
      <c r="AA153" s="85"/>
      <c r="AB153" s="85"/>
      <c r="AC153" s="85"/>
      <c r="AD153" s="85"/>
      <c r="AE153" s="85"/>
      <c r="AF153" s="85"/>
      <c r="AG153" s="85"/>
      <c r="AH153" s="85"/>
      <c r="AI153" s="85"/>
      <c r="AJ153" s="85"/>
      <c r="AK153" s="85"/>
      <c r="AL153" s="85"/>
    </row>
    <row r="154" spans="1:38" s="80" customFormat="1" x14ac:dyDescent="0.25">
      <c r="A154" s="116"/>
      <c r="B154" s="115"/>
      <c r="C154" s="115"/>
      <c r="D154" s="115"/>
      <c r="E154" s="115"/>
      <c r="F154" s="115"/>
      <c r="H154" s="95">
        <v>149</v>
      </c>
      <c r="I154" s="96" t="str">
        <f t="shared" si="11"/>
        <v/>
      </c>
      <c r="J154" s="95" t="e">
        <f t="shared" si="14"/>
        <v>#NUM!</v>
      </c>
      <c r="K154" s="95" t="e">
        <f t="shared" si="12"/>
        <v>#NUM!</v>
      </c>
      <c r="L154" s="95"/>
      <c r="M154" s="97">
        <f t="shared" si="13"/>
        <v>0</v>
      </c>
      <c r="S154" s="85"/>
      <c r="T154" s="85"/>
      <c r="U154" s="85"/>
      <c r="V154" s="85"/>
      <c r="W154" s="85"/>
      <c r="X154" s="85"/>
      <c r="Y154" s="85"/>
      <c r="Z154" s="85"/>
      <c r="AA154" s="85"/>
      <c r="AB154" s="85"/>
      <c r="AC154" s="85"/>
      <c r="AD154" s="85"/>
      <c r="AE154" s="85"/>
      <c r="AF154" s="85"/>
      <c r="AG154" s="85"/>
      <c r="AH154" s="85"/>
      <c r="AI154" s="85"/>
      <c r="AJ154" s="85"/>
      <c r="AK154" s="85"/>
      <c r="AL154" s="85"/>
    </row>
    <row r="155" spans="1:38" s="80" customFormat="1" x14ac:dyDescent="0.25">
      <c r="A155" s="116"/>
      <c r="B155" s="115"/>
      <c r="C155" s="115"/>
      <c r="D155" s="115"/>
      <c r="E155" s="115"/>
      <c r="F155" s="115"/>
      <c r="H155" s="95">
        <v>150</v>
      </c>
      <c r="I155" s="96" t="str">
        <f t="shared" si="11"/>
        <v/>
      </c>
      <c r="J155" s="95" t="e">
        <f t="shared" si="14"/>
        <v>#NUM!</v>
      </c>
      <c r="K155" s="95" t="e">
        <f t="shared" si="12"/>
        <v>#NUM!</v>
      </c>
      <c r="L155" s="95"/>
      <c r="M155" s="97">
        <f t="shared" si="13"/>
        <v>0</v>
      </c>
      <c r="S155" s="85"/>
      <c r="T155" s="85"/>
      <c r="U155" s="85"/>
      <c r="V155" s="85"/>
      <c r="W155" s="85"/>
      <c r="X155" s="85"/>
      <c r="Y155" s="85"/>
      <c r="Z155" s="85"/>
      <c r="AA155" s="85"/>
      <c r="AB155" s="85"/>
      <c r="AC155" s="85"/>
      <c r="AD155" s="85"/>
      <c r="AE155" s="85"/>
      <c r="AF155" s="85"/>
      <c r="AG155" s="85"/>
      <c r="AH155" s="85"/>
      <c r="AI155" s="85"/>
      <c r="AJ155" s="85"/>
      <c r="AK155" s="85"/>
      <c r="AL155" s="85"/>
    </row>
    <row r="156" spans="1:38" s="80" customFormat="1" x14ac:dyDescent="0.25">
      <c r="A156" s="116"/>
      <c r="B156" s="115"/>
      <c r="C156" s="115"/>
      <c r="D156" s="115"/>
      <c r="E156" s="115"/>
      <c r="F156" s="115"/>
      <c r="H156" s="95">
        <v>151</v>
      </c>
      <c r="I156" s="96" t="str">
        <f t="shared" si="11"/>
        <v/>
      </c>
      <c r="J156" s="95" t="e">
        <f t="shared" si="14"/>
        <v>#NUM!</v>
      </c>
      <c r="K156" s="95" t="e">
        <f t="shared" si="12"/>
        <v>#NUM!</v>
      </c>
      <c r="L156" s="95"/>
      <c r="M156" s="97">
        <f t="shared" si="13"/>
        <v>0</v>
      </c>
      <c r="S156" s="85"/>
      <c r="T156" s="85"/>
      <c r="U156" s="85"/>
      <c r="V156" s="85"/>
      <c r="W156" s="85"/>
      <c r="X156" s="85"/>
      <c r="Y156" s="85"/>
      <c r="Z156" s="85"/>
      <c r="AA156" s="85"/>
      <c r="AB156" s="85"/>
      <c r="AC156" s="85"/>
      <c r="AD156" s="85"/>
      <c r="AE156" s="85"/>
      <c r="AF156" s="85"/>
      <c r="AG156" s="85"/>
      <c r="AH156" s="85"/>
      <c r="AI156" s="85"/>
      <c r="AJ156" s="85"/>
      <c r="AK156" s="85"/>
      <c r="AL156" s="85"/>
    </row>
    <row r="157" spans="1:38" s="80" customFormat="1" x14ac:dyDescent="0.25">
      <c r="A157" s="116"/>
      <c r="B157" s="115"/>
      <c r="C157" s="115"/>
      <c r="D157" s="115"/>
      <c r="E157" s="115"/>
      <c r="F157" s="115"/>
      <c r="H157" s="95">
        <v>152</v>
      </c>
      <c r="I157" s="96" t="str">
        <f t="shared" si="11"/>
        <v/>
      </c>
      <c r="J157" s="95" t="e">
        <f t="shared" si="14"/>
        <v>#NUM!</v>
      </c>
      <c r="K157" s="95" t="e">
        <f t="shared" si="12"/>
        <v>#NUM!</v>
      </c>
      <c r="L157" s="95"/>
      <c r="M157" s="97">
        <f t="shared" si="13"/>
        <v>0</v>
      </c>
      <c r="S157" s="85"/>
      <c r="T157" s="85"/>
      <c r="U157" s="85"/>
      <c r="V157" s="85"/>
      <c r="W157" s="85"/>
      <c r="X157" s="85"/>
      <c r="Y157" s="85"/>
      <c r="Z157" s="85"/>
      <c r="AA157" s="85"/>
      <c r="AB157" s="85"/>
      <c r="AC157" s="85"/>
      <c r="AD157" s="85"/>
      <c r="AE157" s="85"/>
      <c r="AF157" s="85"/>
      <c r="AG157" s="85"/>
      <c r="AH157" s="85"/>
      <c r="AI157" s="85"/>
      <c r="AJ157" s="85"/>
      <c r="AK157" s="85"/>
      <c r="AL157" s="85"/>
    </row>
    <row r="158" spans="1:38" s="80" customFormat="1" x14ac:dyDescent="0.25">
      <c r="A158" s="116"/>
      <c r="B158" s="115"/>
      <c r="C158" s="115"/>
      <c r="D158" s="115"/>
      <c r="E158" s="115"/>
      <c r="F158" s="115"/>
      <c r="H158" s="95">
        <v>153</v>
      </c>
      <c r="I158" s="96" t="str">
        <f t="shared" si="11"/>
        <v/>
      </c>
      <c r="J158" s="95" t="e">
        <f t="shared" si="14"/>
        <v>#NUM!</v>
      </c>
      <c r="K158" s="95" t="e">
        <f t="shared" si="12"/>
        <v>#NUM!</v>
      </c>
      <c r="L158" s="95"/>
      <c r="M158" s="97">
        <f t="shared" si="13"/>
        <v>0</v>
      </c>
      <c r="S158" s="85"/>
      <c r="T158" s="85"/>
      <c r="U158" s="85"/>
      <c r="V158" s="85"/>
      <c r="W158" s="85"/>
      <c r="X158" s="85"/>
      <c r="Y158" s="85"/>
      <c r="Z158" s="85"/>
      <c r="AA158" s="85"/>
      <c r="AB158" s="85"/>
      <c r="AC158" s="85"/>
      <c r="AD158" s="85"/>
      <c r="AE158" s="85"/>
      <c r="AF158" s="85"/>
      <c r="AG158" s="85"/>
      <c r="AH158" s="85"/>
      <c r="AI158" s="85"/>
      <c r="AJ158" s="85"/>
      <c r="AK158" s="85"/>
      <c r="AL158" s="85"/>
    </row>
    <row r="159" spans="1:38" s="80" customFormat="1" x14ac:dyDescent="0.25">
      <c r="A159" s="116"/>
      <c r="B159" s="115"/>
      <c r="C159" s="115"/>
      <c r="D159" s="115"/>
      <c r="E159" s="115"/>
      <c r="F159" s="115"/>
      <c r="H159" s="95">
        <v>154</v>
      </c>
      <c r="I159" s="96" t="str">
        <f t="shared" si="11"/>
        <v/>
      </c>
      <c r="J159" s="95" t="e">
        <f t="shared" si="14"/>
        <v>#NUM!</v>
      </c>
      <c r="K159" s="95" t="e">
        <f t="shared" si="12"/>
        <v>#NUM!</v>
      </c>
      <c r="L159" s="95"/>
      <c r="M159" s="97">
        <f t="shared" si="13"/>
        <v>0</v>
      </c>
      <c r="S159" s="85"/>
      <c r="T159" s="85"/>
      <c r="U159" s="85"/>
      <c r="V159" s="85"/>
      <c r="W159" s="85"/>
      <c r="X159" s="85"/>
      <c r="Y159" s="85"/>
      <c r="Z159" s="85"/>
      <c r="AA159" s="85"/>
      <c r="AB159" s="85"/>
      <c r="AC159" s="85"/>
      <c r="AD159" s="85"/>
      <c r="AE159" s="85"/>
      <c r="AF159" s="85"/>
      <c r="AG159" s="85"/>
      <c r="AH159" s="85"/>
      <c r="AI159" s="85"/>
      <c r="AJ159" s="85"/>
      <c r="AK159" s="85"/>
      <c r="AL159" s="85"/>
    </row>
    <row r="160" spans="1:38" s="80" customFormat="1" x14ac:dyDescent="0.25">
      <c r="A160" s="116"/>
      <c r="B160" s="115"/>
      <c r="C160" s="115"/>
      <c r="D160" s="115"/>
      <c r="E160" s="115"/>
      <c r="F160" s="115"/>
      <c r="H160" s="95">
        <v>155</v>
      </c>
      <c r="I160" s="96" t="str">
        <f t="shared" si="11"/>
        <v/>
      </c>
      <c r="J160" s="95" t="e">
        <f t="shared" si="14"/>
        <v>#NUM!</v>
      </c>
      <c r="K160" s="95" t="e">
        <f t="shared" si="12"/>
        <v>#NUM!</v>
      </c>
      <c r="L160" s="95"/>
      <c r="M160" s="97">
        <f t="shared" si="13"/>
        <v>0</v>
      </c>
      <c r="S160" s="85"/>
      <c r="T160" s="85"/>
      <c r="U160" s="85"/>
      <c r="V160" s="85"/>
      <c r="W160" s="85"/>
      <c r="X160" s="85"/>
      <c r="Y160" s="85"/>
      <c r="Z160" s="85"/>
      <c r="AA160" s="85"/>
      <c r="AB160" s="85"/>
      <c r="AC160" s="85"/>
      <c r="AD160" s="85"/>
      <c r="AE160" s="85"/>
      <c r="AF160" s="85"/>
      <c r="AG160" s="85"/>
      <c r="AH160" s="85"/>
      <c r="AI160" s="85"/>
      <c r="AJ160" s="85"/>
      <c r="AK160" s="85"/>
      <c r="AL160" s="85"/>
    </row>
    <row r="161" spans="1:38" s="80" customFormat="1" x14ac:dyDescent="0.25">
      <c r="A161" s="116"/>
      <c r="B161" s="115"/>
      <c r="C161" s="115"/>
      <c r="D161" s="115"/>
      <c r="E161" s="115"/>
      <c r="F161" s="115"/>
      <c r="H161" s="95">
        <v>156</v>
      </c>
      <c r="I161" s="96" t="str">
        <f t="shared" si="11"/>
        <v/>
      </c>
      <c r="J161" s="95" t="e">
        <f t="shared" si="14"/>
        <v>#NUM!</v>
      </c>
      <c r="K161" s="95" t="e">
        <f t="shared" si="12"/>
        <v>#NUM!</v>
      </c>
      <c r="L161" s="95"/>
      <c r="M161" s="97">
        <f t="shared" si="13"/>
        <v>0</v>
      </c>
      <c r="S161" s="85"/>
      <c r="T161" s="85"/>
      <c r="U161" s="85"/>
      <c r="V161" s="85"/>
      <c r="W161" s="85"/>
      <c r="X161" s="85"/>
      <c r="Y161" s="85"/>
      <c r="Z161" s="85"/>
      <c r="AA161" s="85"/>
      <c r="AB161" s="85"/>
      <c r="AC161" s="85"/>
      <c r="AD161" s="85"/>
      <c r="AE161" s="85"/>
      <c r="AF161" s="85"/>
      <c r="AG161" s="85"/>
      <c r="AH161" s="85"/>
      <c r="AI161" s="85"/>
      <c r="AJ161" s="85"/>
      <c r="AK161" s="85"/>
      <c r="AL161" s="85"/>
    </row>
    <row r="162" spans="1:38" s="80" customFormat="1" x14ac:dyDescent="0.25">
      <c r="A162" s="116"/>
      <c r="B162" s="115"/>
      <c r="C162" s="115"/>
      <c r="D162" s="115"/>
      <c r="E162" s="115"/>
      <c r="F162" s="115"/>
      <c r="H162" s="95">
        <v>157</v>
      </c>
      <c r="I162" s="96" t="str">
        <f t="shared" si="11"/>
        <v/>
      </c>
      <c r="J162" s="95" t="e">
        <f t="shared" si="14"/>
        <v>#NUM!</v>
      </c>
      <c r="K162" s="95" t="e">
        <f t="shared" si="12"/>
        <v>#NUM!</v>
      </c>
      <c r="L162" s="95"/>
      <c r="M162" s="97">
        <f t="shared" si="13"/>
        <v>0</v>
      </c>
      <c r="S162" s="85"/>
      <c r="T162" s="85"/>
      <c r="U162" s="85"/>
      <c r="V162" s="85"/>
      <c r="W162" s="85"/>
      <c r="X162" s="85"/>
      <c r="Y162" s="85"/>
      <c r="Z162" s="85"/>
      <c r="AA162" s="85"/>
      <c r="AB162" s="85"/>
      <c r="AC162" s="85"/>
      <c r="AD162" s="85"/>
      <c r="AE162" s="85"/>
      <c r="AF162" s="85"/>
      <c r="AG162" s="85"/>
      <c r="AH162" s="85"/>
      <c r="AI162" s="85"/>
      <c r="AJ162" s="85"/>
      <c r="AK162" s="85"/>
      <c r="AL162" s="85"/>
    </row>
    <row r="163" spans="1:38" s="80" customFormat="1" x14ac:dyDescent="0.25">
      <c r="A163" s="116"/>
      <c r="B163" s="115"/>
      <c r="C163" s="115"/>
      <c r="D163" s="115"/>
      <c r="E163" s="115"/>
      <c r="F163" s="115"/>
      <c r="H163" s="95">
        <v>158</v>
      </c>
      <c r="I163" s="96" t="str">
        <f t="shared" si="11"/>
        <v/>
      </c>
      <c r="J163" s="95" t="e">
        <f t="shared" si="14"/>
        <v>#NUM!</v>
      </c>
      <c r="K163" s="95" t="e">
        <f t="shared" si="12"/>
        <v>#NUM!</v>
      </c>
      <c r="L163" s="95"/>
      <c r="M163" s="97">
        <f t="shared" si="13"/>
        <v>0</v>
      </c>
      <c r="S163" s="85"/>
      <c r="T163" s="85"/>
      <c r="U163" s="85"/>
      <c r="V163" s="85"/>
      <c r="W163" s="85"/>
      <c r="X163" s="85"/>
      <c r="Y163" s="85"/>
      <c r="Z163" s="85"/>
      <c r="AA163" s="85"/>
      <c r="AB163" s="85"/>
      <c r="AC163" s="85"/>
      <c r="AD163" s="85"/>
      <c r="AE163" s="85"/>
      <c r="AF163" s="85"/>
      <c r="AG163" s="85"/>
      <c r="AH163" s="85"/>
      <c r="AI163" s="85"/>
      <c r="AJ163" s="85"/>
      <c r="AK163" s="85"/>
      <c r="AL163" s="85"/>
    </row>
    <row r="164" spans="1:38" s="80" customFormat="1" x14ac:dyDescent="0.25">
      <c r="A164" s="116"/>
      <c r="B164" s="115"/>
      <c r="C164" s="115"/>
      <c r="D164" s="115"/>
      <c r="E164" s="115"/>
      <c r="F164" s="115"/>
      <c r="H164" s="95">
        <v>159</v>
      </c>
      <c r="I164" s="96" t="str">
        <f t="shared" si="11"/>
        <v/>
      </c>
      <c r="J164" s="95" t="e">
        <f t="shared" si="14"/>
        <v>#NUM!</v>
      </c>
      <c r="K164" s="95" t="e">
        <f t="shared" si="12"/>
        <v>#NUM!</v>
      </c>
      <c r="L164" s="95"/>
      <c r="M164" s="97">
        <f t="shared" si="13"/>
        <v>0</v>
      </c>
      <c r="S164" s="85"/>
      <c r="T164" s="85"/>
      <c r="U164" s="85"/>
      <c r="V164" s="85"/>
      <c r="W164" s="85"/>
      <c r="X164" s="85"/>
      <c r="Y164" s="85"/>
      <c r="Z164" s="85"/>
      <c r="AA164" s="85"/>
      <c r="AB164" s="85"/>
      <c r="AC164" s="85"/>
      <c r="AD164" s="85"/>
      <c r="AE164" s="85"/>
      <c r="AF164" s="85"/>
      <c r="AG164" s="85"/>
      <c r="AH164" s="85"/>
      <c r="AI164" s="85"/>
      <c r="AJ164" s="85"/>
      <c r="AK164" s="85"/>
      <c r="AL164" s="85"/>
    </row>
    <row r="165" spans="1:38" s="80" customFormat="1" x14ac:dyDescent="0.25">
      <c r="A165" s="116"/>
      <c r="B165" s="115"/>
      <c r="C165" s="115"/>
      <c r="D165" s="115"/>
      <c r="E165" s="115"/>
      <c r="F165" s="115"/>
      <c r="H165" s="95">
        <v>160</v>
      </c>
      <c r="I165" s="96" t="str">
        <f t="shared" si="11"/>
        <v/>
      </c>
      <c r="J165" s="95" t="e">
        <f t="shared" si="14"/>
        <v>#NUM!</v>
      </c>
      <c r="K165" s="95" t="e">
        <f t="shared" si="12"/>
        <v>#NUM!</v>
      </c>
      <c r="L165" s="95"/>
      <c r="M165" s="97">
        <f t="shared" si="13"/>
        <v>0</v>
      </c>
      <c r="S165" s="85"/>
      <c r="T165" s="85"/>
      <c r="U165" s="85"/>
      <c r="V165" s="85"/>
      <c r="W165" s="85"/>
      <c r="X165" s="85"/>
      <c r="Y165" s="85"/>
      <c r="Z165" s="85"/>
      <c r="AA165" s="85"/>
      <c r="AB165" s="85"/>
      <c r="AC165" s="85"/>
      <c r="AD165" s="85"/>
      <c r="AE165" s="85"/>
      <c r="AF165" s="85"/>
      <c r="AG165" s="85"/>
      <c r="AH165" s="85"/>
      <c r="AI165" s="85"/>
      <c r="AJ165" s="85"/>
      <c r="AK165" s="85"/>
      <c r="AL165" s="85"/>
    </row>
    <row r="166" spans="1:38" s="80" customFormat="1" x14ac:dyDescent="0.25">
      <c r="A166" s="116"/>
      <c r="B166" s="115"/>
      <c r="C166" s="115"/>
      <c r="D166" s="115"/>
      <c r="E166" s="115"/>
      <c r="F166" s="115"/>
      <c r="H166" s="95">
        <v>161</v>
      </c>
      <c r="I166" s="96" t="str">
        <f t="shared" si="11"/>
        <v/>
      </c>
      <c r="J166" s="95" t="e">
        <f t="shared" si="14"/>
        <v>#NUM!</v>
      </c>
      <c r="K166" s="95" t="e">
        <f t="shared" si="12"/>
        <v>#NUM!</v>
      </c>
      <c r="L166" s="95"/>
      <c r="M166" s="97">
        <f t="shared" si="13"/>
        <v>0</v>
      </c>
      <c r="S166" s="85"/>
      <c r="T166" s="85"/>
      <c r="U166" s="85"/>
      <c r="V166" s="85"/>
      <c r="W166" s="85"/>
      <c r="X166" s="85"/>
      <c r="Y166" s="85"/>
      <c r="Z166" s="85"/>
      <c r="AA166" s="85"/>
      <c r="AB166" s="85"/>
      <c r="AC166" s="85"/>
      <c r="AD166" s="85"/>
      <c r="AE166" s="85"/>
      <c r="AF166" s="85"/>
      <c r="AG166" s="85"/>
      <c r="AH166" s="85"/>
      <c r="AI166" s="85"/>
      <c r="AJ166" s="85"/>
      <c r="AK166" s="85"/>
      <c r="AL166" s="85"/>
    </row>
    <row r="167" spans="1:38" s="80" customFormat="1" x14ac:dyDescent="0.25">
      <c r="A167" s="116"/>
      <c r="B167" s="115"/>
      <c r="C167" s="115"/>
      <c r="D167" s="115"/>
      <c r="E167" s="115"/>
      <c r="F167" s="115"/>
      <c r="H167" s="95">
        <v>162</v>
      </c>
      <c r="I167" s="96" t="str">
        <f t="shared" si="11"/>
        <v/>
      </c>
      <c r="J167" s="95" t="e">
        <f t="shared" si="14"/>
        <v>#NUM!</v>
      </c>
      <c r="K167" s="95" t="e">
        <f t="shared" si="12"/>
        <v>#NUM!</v>
      </c>
      <c r="L167" s="95"/>
      <c r="M167" s="97">
        <f t="shared" si="13"/>
        <v>0</v>
      </c>
      <c r="S167" s="85"/>
      <c r="T167" s="85"/>
      <c r="U167" s="85"/>
      <c r="V167" s="85"/>
      <c r="W167" s="85"/>
      <c r="X167" s="85"/>
      <c r="Y167" s="85"/>
      <c r="Z167" s="85"/>
      <c r="AA167" s="85"/>
      <c r="AB167" s="85"/>
      <c r="AC167" s="85"/>
      <c r="AD167" s="85"/>
      <c r="AE167" s="85"/>
      <c r="AF167" s="85"/>
      <c r="AG167" s="85"/>
      <c r="AH167" s="85"/>
      <c r="AI167" s="85"/>
      <c r="AJ167" s="85"/>
      <c r="AK167" s="85"/>
      <c r="AL167" s="85"/>
    </row>
    <row r="168" spans="1:38" s="80" customFormat="1" x14ac:dyDescent="0.25">
      <c r="A168" s="116"/>
      <c r="B168" s="115"/>
      <c r="C168" s="115"/>
      <c r="D168" s="115"/>
      <c r="E168" s="115"/>
      <c r="F168" s="115"/>
      <c r="H168" s="95">
        <v>163</v>
      </c>
      <c r="I168" s="96" t="str">
        <f t="shared" si="11"/>
        <v/>
      </c>
      <c r="J168" s="95" t="e">
        <f t="shared" si="14"/>
        <v>#NUM!</v>
      </c>
      <c r="K168" s="95" t="e">
        <f t="shared" si="12"/>
        <v>#NUM!</v>
      </c>
      <c r="L168" s="95"/>
      <c r="M168" s="97">
        <f t="shared" si="13"/>
        <v>0</v>
      </c>
      <c r="S168" s="85"/>
      <c r="T168" s="85"/>
      <c r="U168" s="85"/>
      <c r="V168" s="85"/>
      <c r="W168" s="85"/>
      <c r="X168" s="85"/>
      <c r="Y168" s="85"/>
      <c r="Z168" s="85"/>
      <c r="AA168" s="85"/>
      <c r="AB168" s="85"/>
      <c r="AC168" s="85"/>
      <c r="AD168" s="85"/>
      <c r="AE168" s="85"/>
      <c r="AF168" s="85"/>
      <c r="AG168" s="85"/>
      <c r="AH168" s="85"/>
      <c r="AI168" s="85"/>
      <c r="AJ168" s="85"/>
      <c r="AK168" s="85"/>
      <c r="AL168" s="85"/>
    </row>
    <row r="169" spans="1:38" s="80" customFormat="1" x14ac:dyDescent="0.25">
      <c r="A169" s="116"/>
      <c r="B169" s="115"/>
      <c r="C169" s="115" t="s">
        <v>40</v>
      </c>
      <c r="D169" s="115"/>
      <c r="E169" s="115"/>
      <c r="F169" s="115"/>
      <c r="H169" s="95">
        <v>164</v>
      </c>
      <c r="I169" s="96" t="str">
        <f t="shared" si="11"/>
        <v/>
      </c>
      <c r="J169" s="95" t="e">
        <f t="shared" si="14"/>
        <v>#NUM!</v>
      </c>
      <c r="K169" s="95" t="e">
        <f t="shared" si="12"/>
        <v>#NUM!</v>
      </c>
      <c r="L169" s="95"/>
      <c r="M169" s="97">
        <f t="shared" si="13"/>
        <v>0</v>
      </c>
      <c r="S169" s="85"/>
      <c r="T169" s="85"/>
      <c r="U169" s="85"/>
      <c r="V169" s="85"/>
      <c r="W169" s="85"/>
      <c r="X169" s="85"/>
      <c r="Y169" s="85"/>
      <c r="Z169" s="85"/>
      <c r="AA169" s="85"/>
      <c r="AB169" s="85"/>
      <c r="AC169" s="85"/>
      <c r="AD169" s="85"/>
      <c r="AE169" s="85"/>
      <c r="AF169" s="85"/>
      <c r="AG169" s="85"/>
      <c r="AH169" s="85"/>
      <c r="AI169" s="85"/>
      <c r="AJ169" s="85"/>
      <c r="AK169" s="85"/>
      <c r="AL169" s="85"/>
    </row>
    <row r="170" spans="1:38" s="80" customFormat="1" x14ac:dyDescent="0.25">
      <c r="A170" s="116"/>
      <c r="B170" s="115"/>
      <c r="C170" s="115"/>
      <c r="D170" s="115"/>
      <c r="E170" s="115"/>
      <c r="F170" s="115"/>
      <c r="H170" s="95">
        <v>165</v>
      </c>
      <c r="I170" s="96" t="str">
        <f t="shared" si="11"/>
        <v/>
      </c>
      <c r="J170" s="95" t="e">
        <f t="shared" si="14"/>
        <v>#NUM!</v>
      </c>
      <c r="K170" s="95" t="e">
        <f t="shared" si="12"/>
        <v>#NUM!</v>
      </c>
      <c r="L170" s="95"/>
      <c r="M170" s="97">
        <f t="shared" si="13"/>
        <v>0</v>
      </c>
      <c r="S170" s="85"/>
      <c r="T170" s="85"/>
      <c r="U170" s="85"/>
      <c r="V170" s="85"/>
      <c r="W170" s="85"/>
      <c r="X170" s="85"/>
      <c r="Y170" s="85"/>
      <c r="Z170" s="85"/>
      <c r="AA170" s="85"/>
      <c r="AB170" s="85"/>
      <c r="AC170" s="85"/>
      <c r="AD170" s="85"/>
      <c r="AE170" s="85"/>
      <c r="AF170" s="85"/>
      <c r="AG170" s="85"/>
      <c r="AH170" s="85"/>
      <c r="AI170" s="85"/>
      <c r="AJ170" s="85"/>
      <c r="AK170" s="85"/>
      <c r="AL170" s="85"/>
    </row>
    <row r="171" spans="1:38" s="80" customFormat="1" x14ac:dyDescent="0.25">
      <c r="A171" s="116"/>
      <c r="B171" s="115"/>
      <c r="C171" s="115"/>
      <c r="D171" s="115"/>
      <c r="E171" s="115"/>
      <c r="F171" s="115"/>
      <c r="H171" s="95">
        <v>166</v>
      </c>
      <c r="I171" s="96" t="str">
        <f t="shared" si="11"/>
        <v/>
      </c>
      <c r="J171" s="95" t="e">
        <f t="shared" si="14"/>
        <v>#NUM!</v>
      </c>
      <c r="K171" s="95" t="e">
        <f t="shared" si="12"/>
        <v>#NUM!</v>
      </c>
      <c r="L171" s="95"/>
      <c r="M171" s="97">
        <f t="shared" si="13"/>
        <v>0</v>
      </c>
      <c r="S171" s="85"/>
      <c r="T171" s="85"/>
      <c r="U171" s="85"/>
      <c r="V171" s="85"/>
      <c r="W171" s="85"/>
      <c r="X171" s="85"/>
      <c r="Y171" s="85"/>
      <c r="Z171" s="85"/>
      <c r="AA171" s="85"/>
      <c r="AB171" s="85"/>
      <c r="AC171" s="85"/>
      <c r="AD171" s="85"/>
      <c r="AE171" s="85"/>
      <c r="AF171" s="85"/>
      <c r="AG171" s="85"/>
      <c r="AH171" s="85"/>
      <c r="AI171" s="85"/>
      <c r="AJ171" s="85"/>
      <c r="AK171" s="85"/>
      <c r="AL171" s="85"/>
    </row>
    <row r="172" spans="1:38" s="80" customFormat="1" x14ac:dyDescent="0.25">
      <c r="A172" s="116"/>
      <c r="B172" s="115"/>
      <c r="C172" s="115"/>
      <c r="D172" s="115"/>
      <c r="E172" s="115"/>
      <c r="F172" s="115"/>
      <c r="H172" s="95">
        <v>167</v>
      </c>
      <c r="I172" s="96" t="str">
        <f t="shared" si="11"/>
        <v/>
      </c>
      <c r="J172" s="95" t="e">
        <f t="shared" si="14"/>
        <v>#NUM!</v>
      </c>
      <c r="K172" s="95" t="e">
        <f t="shared" si="12"/>
        <v>#NUM!</v>
      </c>
      <c r="L172" s="95"/>
      <c r="M172" s="97">
        <f t="shared" si="13"/>
        <v>0</v>
      </c>
      <c r="S172" s="85"/>
      <c r="T172" s="85"/>
      <c r="U172" s="85"/>
      <c r="V172" s="85"/>
      <c r="W172" s="85"/>
      <c r="X172" s="85"/>
      <c r="Y172" s="85"/>
      <c r="Z172" s="85"/>
      <c r="AA172" s="85"/>
      <c r="AB172" s="85"/>
      <c r="AC172" s="85"/>
      <c r="AD172" s="85"/>
      <c r="AE172" s="85"/>
      <c r="AF172" s="85"/>
      <c r="AG172" s="85"/>
      <c r="AH172" s="85"/>
      <c r="AI172" s="85"/>
      <c r="AJ172" s="85"/>
      <c r="AK172" s="85"/>
      <c r="AL172" s="85"/>
    </row>
    <row r="173" spans="1:38" s="80" customFormat="1" x14ac:dyDescent="0.25">
      <c r="A173" s="116"/>
      <c r="B173" s="115"/>
      <c r="C173" s="115"/>
      <c r="D173" s="115"/>
      <c r="E173" s="115"/>
      <c r="F173" s="115"/>
      <c r="H173" s="95">
        <v>168</v>
      </c>
      <c r="I173" s="96" t="str">
        <f t="shared" si="11"/>
        <v/>
      </c>
      <c r="J173" s="95" t="e">
        <f t="shared" si="14"/>
        <v>#NUM!</v>
      </c>
      <c r="K173" s="95" t="e">
        <f t="shared" si="12"/>
        <v>#NUM!</v>
      </c>
      <c r="L173" s="95"/>
      <c r="M173" s="97">
        <f t="shared" si="13"/>
        <v>0</v>
      </c>
      <c r="S173" s="85"/>
      <c r="T173" s="85"/>
      <c r="U173" s="85"/>
      <c r="V173" s="85"/>
      <c r="W173" s="85"/>
      <c r="X173" s="85"/>
      <c r="Y173" s="85"/>
      <c r="Z173" s="85"/>
      <c r="AA173" s="85"/>
      <c r="AB173" s="85"/>
      <c r="AC173" s="85"/>
      <c r="AD173" s="85"/>
      <c r="AE173" s="85"/>
      <c r="AF173" s="85"/>
      <c r="AG173" s="85"/>
      <c r="AH173" s="85"/>
      <c r="AI173" s="85"/>
      <c r="AJ173" s="85"/>
      <c r="AK173" s="85"/>
      <c r="AL173" s="85"/>
    </row>
    <row r="174" spans="1:38" s="80" customFormat="1" x14ac:dyDescent="0.25">
      <c r="A174" s="116"/>
      <c r="B174" s="115"/>
      <c r="C174" s="115"/>
      <c r="D174" s="115"/>
      <c r="E174" s="115"/>
      <c r="F174" s="115"/>
      <c r="H174" s="95">
        <v>169</v>
      </c>
      <c r="I174" s="96" t="str">
        <f t="shared" si="11"/>
        <v/>
      </c>
      <c r="J174" s="95" t="e">
        <f t="shared" si="14"/>
        <v>#NUM!</v>
      </c>
      <c r="K174" s="95" t="e">
        <f t="shared" si="12"/>
        <v>#NUM!</v>
      </c>
      <c r="L174" s="95"/>
      <c r="M174" s="97">
        <f t="shared" si="13"/>
        <v>0</v>
      </c>
      <c r="S174" s="85"/>
      <c r="T174" s="85"/>
      <c r="U174" s="85"/>
      <c r="V174" s="85"/>
      <c r="W174" s="85"/>
      <c r="X174" s="85"/>
      <c r="Y174" s="85"/>
      <c r="Z174" s="85"/>
      <c r="AA174" s="85"/>
      <c r="AB174" s="85"/>
      <c r="AC174" s="85"/>
      <c r="AD174" s="85"/>
      <c r="AE174" s="85"/>
      <c r="AF174" s="85"/>
      <c r="AG174" s="85"/>
      <c r="AH174" s="85"/>
      <c r="AI174" s="85"/>
      <c r="AJ174" s="85"/>
      <c r="AK174" s="85"/>
      <c r="AL174" s="85"/>
    </row>
    <row r="175" spans="1:38" s="80" customFormat="1" x14ac:dyDescent="0.25">
      <c r="A175" s="116"/>
      <c r="B175" s="115"/>
      <c r="C175" s="115"/>
      <c r="D175" s="115"/>
      <c r="E175" s="115"/>
      <c r="F175" s="115"/>
      <c r="H175" s="95">
        <v>170</v>
      </c>
      <c r="I175" s="96" t="str">
        <f t="shared" si="11"/>
        <v/>
      </c>
      <c r="J175" s="95" t="e">
        <f t="shared" si="14"/>
        <v>#NUM!</v>
      </c>
      <c r="K175" s="95" t="e">
        <f t="shared" si="12"/>
        <v>#NUM!</v>
      </c>
      <c r="L175" s="95"/>
      <c r="M175" s="97">
        <f t="shared" si="13"/>
        <v>0</v>
      </c>
      <c r="S175" s="85"/>
      <c r="T175" s="85"/>
      <c r="U175" s="85"/>
      <c r="V175" s="85"/>
      <c r="W175" s="85"/>
      <c r="X175" s="85"/>
      <c r="Y175" s="85"/>
      <c r="Z175" s="85"/>
      <c r="AA175" s="85"/>
      <c r="AB175" s="85"/>
      <c r="AC175" s="85"/>
      <c r="AD175" s="85"/>
      <c r="AE175" s="85"/>
      <c r="AF175" s="85"/>
      <c r="AG175" s="85"/>
      <c r="AH175" s="85"/>
      <c r="AI175" s="85"/>
      <c r="AJ175" s="85"/>
      <c r="AK175" s="85"/>
      <c r="AL175" s="85"/>
    </row>
    <row r="176" spans="1:38" s="80" customFormat="1" x14ac:dyDescent="0.25">
      <c r="A176" s="116"/>
      <c r="B176" s="115"/>
      <c r="C176" s="115"/>
      <c r="D176" s="115"/>
      <c r="E176" s="115"/>
      <c r="F176" s="115"/>
      <c r="H176" s="95">
        <v>171</v>
      </c>
      <c r="I176" s="96" t="str">
        <f t="shared" si="11"/>
        <v/>
      </c>
      <c r="J176" s="95" t="e">
        <f t="shared" si="14"/>
        <v>#NUM!</v>
      </c>
      <c r="K176" s="95" t="e">
        <f t="shared" si="12"/>
        <v>#NUM!</v>
      </c>
      <c r="L176" s="95"/>
      <c r="M176" s="97">
        <f t="shared" si="13"/>
        <v>0</v>
      </c>
      <c r="S176" s="85"/>
      <c r="T176" s="85"/>
      <c r="U176" s="85"/>
      <c r="V176" s="85"/>
      <c r="W176" s="85"/>
      <c r="X176" s="85"/>
      <c r="Y176" s="85"/>
      <c r="Z176" s="85"/>
      <c r="AA176" s="85"/>
      <c r="AB176" s="85"/>
      <c r="AC176" s="85"/>
      <c r="AD176" s="85"/>
      <c r="AE176" s="85"/>
      <c r="AF176" s="85"/>
      <c r="AG176" s="85"/>
      <c r="AH176" s="85"/>
      <c r="AI176" s="85"/>
      <c r="AJ176" s="85"/>
      <c r="AK176" s="85"/>
      <c r="AL176" s="85"/>
    </row>
    <row r="177" spans="1:38" s="80" customFormat="1" x14ac:dyDescent="0.25">
      <c r="A177" s="116"/>
      <c r="B177" s="115"/>
      <c r="C177" s="115"/>
      <c r="D177" s="115"/>
      <c r="E177" s="115"/>
      <c r="F177" s="115"/>
      <c r="H177" s="95">
        <v>172</v>
      </c>
      <c r="I177" s="96" t="str">
        <f t="shared" si="11"/>
        <v/>
      </c>
      <c r="J177" s="95" t="e">
        <f t="shared" si="14"/>
        <v>#NUM!</v>
      </c>
      <c r="K177" s="95" t="e">
        <f t="shared" si="12"/>
        <v>#NUM!</v>
      </c>
      <c r="L177" s="95"/>
      <c r="M177" s="97">
        <f t="shared" si="13"/>
        <v>0</v>
      </c>
      <c r="S177" s="85"/>
      <c r="T177" s="85"/>
      <c r="U177" s="85"/>
      <c r="V177" s="85"/>
      <c r="W177" s="85"/>
      <c r="X177" s="85"/>
      <c r="Y177" s="85"/>
      <c r="Z177" s="85"/>
      <c r="AA177" s="85"/>
      <c r="AB177" s="85"/>
      <c r="AC177" s="85"/>
      <c r="AD177" s="85"/>
      <c r="AE177" s="85"/>
      <c r="AF177" s="85"/>
      <c r="AG177" s="85"/>
      <c r="AH177" s="85"/>
      <c r="AI177" s="85"/>
      <c r="AJ177" s="85"/>
      <c r="AK177" s="85"/>
      <c r="AL177" s="85"/>
    </row>
    <row r="178" spans="1:38" s="80" customFormat="1" x14ac:dyDescent="0.25">
      <c r="A178" s="116"/>
      <c r="B178" s="115"/>
      <c r="C178" s="115"/>
      <c r="D178" s="115"/>
      <c r="E178" s="115"/>
      <c r="F178" s="115"/>
      <c r="H178" s="95">
        <v>173</v>
      </c>
      <c r="I178" s="96" t="str">
        <f t="shared" si="11"/>
        <v/>
      </c>
      <c r="J178" s="95" t="e">
        <f t="shared" si="14"/>
        <v>#NUM!</v>
      </c>
      <c r="K178" s="95" t="e">
        <f t="shared" si="12"/>
        <v>#NUM!</v>
      </c>
      <c r="L178" s="95"/>
      <c r="M178" s="97">
        <f t="shared" si="13"/>
        <v>0</v>
      </c>
      <c r="S178" s="85"/>
      <c r="T178" s="85"/>
      <c r="U178" s="85"/>
      <c r="V178" s="85"/>
      <c r="W178" s="85"/>
      <c r="X178" s="85"/>
      <c r="Y178" s="85"/>
      <c r="Z178" s="85"/>
      <c r="AA178" s="85"/>
      <c r="AB178" s="85"/>
      <c r="AC178" s="85"/>
      <c r="AD178" s="85"/>
      <c r="AE178" s="85"/>
      <c r="AF178" s="85"/>
      <c r="AG178" s="85"/>
      <c r="AH178" s="85"/>
      <c r="AI178" s="85"/>
      <c r="AJ178" s="85"/>
      <c r="AK178" s="85"/>
      <c r="AL178" s="85"/>
    </row>
    <row r="179" spans="1:38" s="80" customFormat="1" x14ac:dyDescent="0.25">
      <c r="A179" s="116"/>
      <c r="B179" s="115"/>
      <c r="C179" s="115"/>
      <c r="D179" s="115"/>
      <c r="E179" s="115"/>
      <c r="F179" s="115"/>
      <c r="H179" s="95">
        <v>174</v>
      </c>
      <c r="I179" s="96" t="str">
        <f t="shared" si="11"/>
        <v/>
      </c>
      <c r="J179" s="95" t="e">
        <f t="shared" si="14"/>
        <v>#NUM!</v>
      </c>
      <c r="K179" s="95" t="e">
        <f t="shared" si="12"/>
        <v>#NUM!</v>
      </c>
      <c r="L179" s="95"/>
      <c r="M179" s="97">
        <f t="shared" si="13"/>
        <v>0</v>
      </c>
      <c r="S179" s="85"/>
      <c r="T179" s="85"/>
      <c r="U179" s="85"/>
      <c r="V179" s="85"/>
      <c r="W179" s="85"/>
      <c r="X179" s="85"/>
      <c r="Y179" s="85"/>
      <c r="Z179" s="85"/>
      <c r="AA179" s="85"/>
      <c r="AB179" s="85"/>
      <c r="AC179" s="85"/>
      <c r="AD179" s="85"/>
      <c r="AE179" s="85"/>
      <c r="AF179" s="85"/>
      <c r="AG179" s="85"/>
      <c r="AH179" s="85"/>
      <c r="AI179" s="85"/>
      <c r="AJ179" s="85"/>
      <c r="AK179" s="85"/>
      <c r="AL179" s="85"/>
    </row>
    <row r="180" spans="1:38" s="80" customFormat="1" x14ac:dyDescent="0.25">
      <c r="A180" s="116"/>
      <c r="B180" s="115"/>
      <c r="C180" s="115"/>
      <c r="D180" s="115"/>
      <c r="E180" s="115"/>
      <c r="F180" s="115"/>
      <c r="H180" s="95">
        <v>175</v>
      </c>
      <c r="I180" s="96" t="str">
        <f t="shared" si="11"/>
        <v/>
      </c>
      <c r="J180" s="95" t="e">
        <f t="shared" si="14"/>
        <v>#NUM!</v>
      </c>
      <c r="K180" s="95" t="e">
        <f t="shared" si="12"/>
        <v>#NUM!</v>
      </c>
      <c r="L180" s="95"/>
      <c r="M180" s="97">
        <f t="shared" si="13"/>
        <v>0</v>
      </c>
      <c r="S180" s="85"/>
      <c r="T180" s="85"/>
      <c r="U180" s="85"/>
      <c r="V180" s="85"/>
      <c r="W180" s="85"/>
      <c r="X180" s="85"/>
      <c r="Y180" s="85"/>
      <c r="Z180" s="85"/>
      <c r="AA180" s="85"/>
      <c r="AB180" s="85"/>
      <c r="AC180" s="85"/>
      <c r="AD180" s="85"/>
      <c r="AE180" s="85"/>
      <c r="AF180" s="85"/>
      <c r="AG180" s="85"/>
      <c r="AH180" s="85"/>
      <c r="AI180" s="85"/>
      <c r="AJ180" s="85"/>
      <c r="AK180" s="85"/>
      <c r="AL180" s="85"/>
    </row>
    <row r="181" spans="1:38" s="80" customFormat="1" x14ac:dyDescent="0.25">
      <c r="A181" s="116"/>
      <c r="B181" s="115"/>
      <c r="C181" s="115"/>
      <c r="D181" s="115"/>
      <c r="E181" s="115"/>
      <c r="F181" s="115"/>
      <c r="H181" s="95">
        <v>176</v>
      </c>
      <c r="I181" s="96" t="str">
        <f t="shared" si="11"/>
        <v/>
      </c>
      <c r="J181" s="95" t="e">
        <f t="shared" si="14"/>
        <v>#NUM!</v>
      </c>
      <c r="K181" s="95" t="e">
        <f t="shared" si="12"/>
        <v>#NUM!</v>
      </c>
      <c r="L181" s="95"/>
      <c r="M181" s="97">
        <f t="shared" si="13"/>
        <v>0</v>
      </c>
      <c r="S181" s="85"/>
      <c r="T181" s="85"/>
      <c r="U181" s="85"/>
      <c r="V181" s="85"/>
      <c r="W181" s="85"/>
      <c r="X181" s="85"/>
      <c r="Y181" s="85"/>
      <c r="Z181" s="85"/>
      <c r="AA181" s="85"/>
      <c r="AB181" s="85"/>
      <c r="AC181" s="85"/>
      <c r="AD181" s="85"/>
      <c r="AE181" s="85"/>
      <c r="AF181" s="85"/>
      <c r="AG181" s="85"/>
      <c r="AH181" s="85"/>
      <c r="AI181" s="85"/>
      <c r="AJ181" s="85"/>
      <c r="AK181" s="85"/>
      <c r="AL181" s="85"/>
    </row>
    <row r="182" spans="1:38" s="80" customFormat="1" x14ac:dyDescent="0.25">
      <c r="A182" s="116"/>
      <c r="B182" s="115"/>
      <c r="C182" s="115"/>
      <c r="D182" s="115"/>
      <c r="E182" s="115"/>
      <c r="F182" s="115"/>
      <c r="H182" s="95">
        <v>177</v>
      </c>
      <c r="I182" s="96" t="str">
        <f t="shared" si="11"/>
        <v/>
      </c>
      <c r="J182" s="95" t="e">
        <f t="shared" si="14"/>
        <v>#NUM!</v>
      </c>
      <c r="K182" s="95" t="e">
        <f t="shared" si="12"/>
        <v>#NUM!</v>
      </c>
      <c r="L182" s="95"/>
      <c r="M182" s="97">
        <f t="shared" si="13"/>
        <v>0</v>
      </c>
      <c r="S182" s="85"/>
      <c r="T182" s="85"/>
      <c r="U182" s="85"/>
      <c r="V182" s="85"/>
      <c r="W182" s="85"/>
      <c r="X182" s="85"/>
      <c r="Y182" s="85"/>
      <c r="Z182" s="85"/>
      <c r="AA182" s="85"/>
      <c r="AB182" s="85"/>
      <c r="AC182" s="85"/>
      <c r="AD182" s="85"/>
      <c r="AE182" s="85"/>
      <c r="AF182" s="85"/>
      <c r="AG182" s="85"/>
      <c r="AH182" s="85"/>
      <c r="AI182" s="85"/>
      <c r="AJ182" s="85"/>
      <c r="AK182" s="85"/>
      <c r="AL182" s="85"/>
    </row>
    <row r="183" spans="1:38" s="80" customFormat="1" x14ac:dyDescent="0.25">
      <c r="A183" s="116"/>
      <c r="B183" s="115"/>
      <c r="C183" s="115"/>
      <c r="D183" s="115"/>
      <c r="E183" s="115"/>
      <c r="F183" s="115"/>
      <c r="H183" s="95">
        <v>178</v>
      </c>
      <c r="I183" s="96" t="str">
        <f t="shared" si="11"/>
        <v/>
      </c>
      <c r="J183" s="95" t="e">
        <f t="shared" si="14"/>
        <v>#NUM!</v>
      </c>
      <c r="K183" s="95" t="e">
        <f t="shared" si="12"/>
        <v>#NUM!</v>
      </c>
      <c r="L183" s="95"/>
      <c r="M183" s="97">
        <f t="shared" si="13"/>
        <v>0</v>
      </c>
      <c r="S183" s="85"/>
      <c r="T183" s="85"/>
      <c r="U183" s="85"/>
      <c r="V183" s="85"/>
      <c r="W183" s="85"/>
      <c r="X183" s="85"/>
      <c r="Y183" s="85"/>
      <c r="Z183" s="85"/>
      <c r="AA183" s="85"/>
      <c r="AB183" s="85"/>
      <c r="AC183" s="85"/>
      <c r="AD183" s="85"/>
      <c r="AE183" s="85"/>
      <c r="AF183" s="85"/>
      <c r="AG183" s="85"/>
      <c r="AH183" s="85"/>
      <c r="AI183" s="85"/>
      <c r="AJ183" s="85"/>
      <c r="AK183" s="85"/>
      <c r="AL183" s="85"/>
    </row>
    <row r="184" spans="1:38" s="80" customFormat="1" x14ac:dyDescent="0.25">
      <c r="A184" s="116"/>
      <c r="B184" s="115"/>
      <c r="C184" s="115"/>
      <c r="D184" s="115"/>
      <c r="E184" s="115"/>
      <c r="F184" s="115"/>
      <c r="H184" s="95">
        <v>179</v>
      </c>
      <c r="I184" s="96" t="str">
        <f t="shared" si="11"/>
        <v/>
      </c>
      <c r="J184" s="95" t="e">
        <f t="shared" si="14"/>
        <v>#NUM!</v>
      </c>
      <c r="K184" s="95" t="e">
        <f t="shared" si="12"/>
        <v>#NUM!</v>
      </c>
      <c r="L184" s="95"/>
      <c r="M184" s="97">
        <f t="shared" si="13"/>
        <v>0</v>
      </c>
      <c r="S184" s="85"/>
      <c r="T184" s="85"/>
      <c r="U184" s="85"/>
      <c r="V184" s="85"/>
      <c r="W184" s="85"/>
      <c r="X184" s="85"/>
      <c r="Y184" s="85"/>
      <c r="Z184" s="85"/>
      <c r="AA184" s="85"/>
      <c r="AB184" s="85"/>
      <c r="AC184" s="85"/>
      <c r="AD184" s="85"/>
      <c r="AE184" s="85"/>
      <c r="AF184" s="85"/>
      <c r="AG184" s="85"/>
      <c r="AH184" s="85"/>
      <c r="AI184" s="85"/>
      <c r="AJ184" s="85"/>
      <c r="AK184" s="85"/>
      <c r="AL184" s="85"/>
    </row>
    <row r="185" spans="1:38" s="80" customFormat="1" x14ac:dyDescent="0.25">
      <c r="A185" s="116"/>
      <c r="B185" s="115"/>
      <c r="C185" s="115"/>
      <c r="D185" s="115"/>
      <c r="E185" s="115"/>
      <c r="F185" s="115"/>
      <c r="H185" s="95">
        <v>180</v>
      </c>
      <c r="I185" s="96" t="str">
        <f t="shared" si="11"/>
        <v/>
      </c>
      <c r="J185" s="95" t="e">
        <f t="shared" si="14"/>
        <v>#NUM!</v>
      </c>
      <c r="K185" s="95" t="e">
        <f t="shared" si="12"/>
        <v>#NUM!</v>
      </c>
      <c r="L185" s="95"/>
      <c r="M185" s="97">
        <f t="shared" si="13"/>
        <v>0</v>
      </c>
      <c r="S185" s="85"/>
      <c r="T185" s="85"/>
      <c r="U185" s="85"/>
      <c r="V185" s="85"/>
      <c r="W185" s="85"/>
      <c r="X185" s="85"/>
      <c r="Y185" s="85"/>
      <c r="Z185" s="85"/>
      <c r="AA185" s="85"/>
      <c r="AB185" s="85"/>
      <c r="AC185" s="85"/>
      <c r="AD185" s="85"/>
      <c r="AE185" s="85"/>
      <c r="AF185" s="85"/>
      <c r="AG185" s="85"/>
      <c r="AH185" s="85"/>
      <c r="AI185" s="85"/>
      <c r="AJ185" s="85"/>
      <c r="AK185" s="85"/>
      <c r="AL185" s="85"/>
    </row>
    <row r="186" spans="1:38" s="80" customFormat="1" x14ac:dyDescent="0.25">
      <c r="A186" s="116"/>
      <c r="B186" s="115"/>
      <c r="C186" s="115"/>
      <c r="D186" s="115"/>
      <c r="E186" s="115"/>
      <c r="F186" s="115"/>
      <c r="H186" s="95">
        <v>181</v>
      </c>
      <c r="I186" s="96" t="str">
        <f t="shared" si="11"/>
        <v/>
      </c>
      <c r="J186" s="95" t="e">
        <f t="shared" si="14"/>
        <v>#NUM!</v>
      </c>
      <c r="K186" s="95" t="e">
        <f t="shared" si="12"/>
        <v>#NUM!</v>
      </c>
      <c r="L186" s="95"/>
      <c r="M186" s="97">
        <f t="shared" si="13"/>
        <v>0</v>
      </c>
      <c r="S186" s="85"/>
      <c r="T186" s="85"/>
      <c r="U186" s="85"/>
      <c r="V186" s="85"/>
      <c r="W186" s="85"/>
      <c r="X186" s="85"/>
      <c r="Y186" s="85"/>
      <c r="Z186" s="85"/>
      <c r="AA186" s="85"/>
      <c r="AB186" s="85"/>
      <c r="AC186" s="85"/>
      <c r="AD186" s="85"/>
      <c r="AE186" s="85"/>
      <c r="AF186" s="85"/>
      <c r="AG186" s="85"/>
      <c r="AH186" s="85"/>
      <c r="AI186" s="85"/>
      <c r="AJ186" s="85"/>
      <c r="AK186" s="85"/>
      <c r="AL186" s="85"/>
    </row>
    <row r="187" spans="1:38" s="80" customFormat="1" x14ac:dyDescent="0.25">
      <c r="A187" s="116"/>
      <c r="B187" s="115"/>
      <c r="C187" s="115"/>
      <c r="D187" s="115"/>
      <c r="E187" s="115"/>
      <c r="F187" s="115"/>
      <c r="H187" s="95">
        <v>182</v>
      </c>
      <c r="I187" s="96" t="str">
        <f t="shared" si="11"/>
        <v/>
      </c>
      <c r="J187" s="95" t="e">
        <f t="shared" si="14"/>
        <v>#NUM!</v>
      </c>
      <c r="K187" s="95" t="e">
        <f t="shared" si="12"/>
        <v>#NUM!</v>
      </c>
      <c r="L187" s="95"/>
      <c r="M187" s="97">
        <f t="shared" si="13"/>
        <v>0</v>
      </c>
      <c r="S187" s="85"/>
      <c r="T187" s="85"/>
      <c r="U187" s="85"/>
      <c r="V187" s="85"/>
      <c r="W187" s="85"/>
      <c r="X187" s="85"/>
      <c r="Y187" s="85"/>
      <c r="Z187" s="85"/>
      <c r="AA187" s="85"/>
      <c r="AB187" s="85"/>
      <c r="AC187" s="85"/>
      <c r="AD187" s="85"/>
      <c r="AE187" s="85"/>
      <c r="AF187" s="85"/>
      <c r="AG187" s="85"/>
      <c r="AH187" s="85"/>
      <c r="AI187" s="85"/>
      <c r="AJ187" s="85"/>
      <c r="AK187" s="85"/>
      <c r="AL187" s="85"/>
    </row>
    <row r="188" spans="1:38" s="80" customFormat="1" x14ac:dyDescent="0.25">
      <c r="A188" s="116"/>
      <c r="B188" s="115"/>
      <c r="C188" s="115"/>
      <c r="D188" s="115"/>
      <c r="E188" s="115"/>
      <c r="F188" s="115"/>
      <c r="H188" s="95">
        <v>183</v>
      </c>
      <c r="I188" s="96" t="str">
        <f t="shared" si="11"/>
        <v/>
      </c>
      <c r="J188" s="95" t="e">
        <f t="shared" si="14"/>
        <v>#NUM!</v>
      </c>
      <c r="K188" s="95" t="e">
        <f t="shared" si="12"/>
        <v>#NUM!</v>
      </c>
      <c r="L188" s="95"/>
      <c r="M188" s="97">
        <f t="shared" si="13"/>
        <v>0</v>
      </c>
      <c r="S188" s="85"/>
      <c r="T188" s="85"/>
      <c r="U188" s="85"/>
      <c r="V188" s="85"/>
      <c r="W188" s="85"/>
      <c r="X188" s="85"/>
      <c r="Y188" s="85"/>
      <c r="Z188" s="85"/>
      <c r="AA188" s="85"/>
      <c r="AB188" s="85"/>
      <c r="AC188" s="85"/>
      <c r="AD188" s="85"/>
      <c r="AE188" s="85"/>
      <c r="AF188" s="85"/>
      <c r="AG188" s="85"/>
      <c r="AH188" s="85"/>
      <c r="AI188" s="85"/>
      <c r="AJ188" s="85"/>
      <c r="AK188" s="85"/>
      <c r="AL188" s="85"/>
    </row>
    <row r="189" spans="1:38" s="80" customFormat="1" x14ac:dyDescent="0.25">
      <c r="A189" s="116"/>
      <c r="B189" s="115"/>
      <c r="C189" s="115"/>
      <c r="D189" s="115"/>
      <c r="E189" s="115"/>
      <c r="F189" s="115"/>
      <c r="H189" s="95">
        <v>184</v>
      </c>
      <c r="I189" s="96" t="str">
        <f t="shared" si="11"/>
        <v/>
      </c>
      <c r="J189" s="95" t="e">
        <f t="shared" si="14"/>
        <v>#NUM!</v>
      </c>
      <c r="K189" s="95" t="e">
        <f t="shared" si="12"/>
        <v>#NUM!</v>
      </c>
      <c r="L189" s="95"/>
      <c r="M189" s="97">
        <f t="shared" si="13"/>
        <v>0</v>
      </c>
      <c r="S189" s="85"/>
      <c r="T189" s="85"/>
      <c r="U189" s="85"/>
      <c r="V189" s="85"/>
      <c r="W189" s="85"/>
      <c r="X189" s="85"/>
      <c r="Y189" s="85"/>
      <c r="Z189" s="85"/>
      <c r="AA189" s="85"/>
      <c r="AB189" s="85"/>
      <c r="AC189" s="85"/>
      <c r="AD189" s="85"/>
      <c r="AE189" s="85"/>
      <c r="AF189" s="85"/>
      <c r="AG189" s="85"/>
      <c r="AH189" s="85"/>
      <c r="AI189" s="85"/>
      <c r="AJ189" s="85"/>
      <c r="AK189" s="85"/>
      <c r="AL189" s="85"/>
    </row>
    <row r="190" spans="1:38" s="80" customFormat="1" x14ac:dyDescent="0.25">
      <c r="A190" s="116"/>
      <c r="B190" s="115"/>
      <c r="C190" s="115"/>
      <c r="D190" s="115"/>
      <c r="E190" s="115"/>
      <c r="F190" s="115"/>
      <c r="H190" s="95">
        <v>185</v>
      </c>
      <c r="I190" s="96" t="str">
        <f t="shared" si="11"/>
        <v/>
      </c>
      <c r="J190" s="95" t="e">
        <f t="shared" si="14"/>
        <v>#NUM!</v>
      </c>
      <c r="K190" s="95" t="e">
        <f t="shared" si="12"/>
        <v>#NUM!</v>
      </c>
      <c r="L190" s="95"/>
      <c r="M190" s="97">
        <f t="shared" si="13"/>
        <v>0</v>
      </c>
      <c r="S190" s="85"/>
      <c r="T190" s="85"/>
      <c r="U190" s="85"/>
      <c r="V190" s="85"/>
      <c r="W190" s="85"/>
      <c r="X190" s="85"/>
      <c r="Y190" s="85"/>
      <c r="Z190" s="85"/>
      <c r="AA190" s="85"/>
      <c r="AB190" s="85"/>
      <c r="AC190" s="85"/>
      <c r="AD190" s="85"/>
      <c r="AE190" s="85"/>
      <c r="AF190" s="85"/>
      <c r="AG190" s="85"/>
      <c r="AH190" s="85"/>
      <c r="AI190" s="85"/>
      <c r="AJ190" s="85"/>
      <c r="AK190" s="85"/>
      <c r="AL190" s="85"/>
    </row>
    <row r="191" spans="1:38" s="80" customFormat="1" x14ac:dyDescent="0.25">
      <c r="A191" s="116"/>
      <c r="B191" s="115"/>
      <c r="C191" s="115"/>
      <c r="D191" s="115"/>
      <c r="E191" s="115"/>
      <c r="F191" s="115"/>
      <c r="H191" s="95">
        <v>186</v>
      </c>
      <c r="I191" s="96" t="str">
        <f t="shared" si="11"/>
        <v/>
      </c>
      <c r="J191" s="95" t="e">
        <f t="shared" si="14"/>
        <v>#NUM!</v>
      </c>
      <c r="K191" s="95" t="e">
        <f t="shared" si="12"/>
        <v>#NUM!</v>
      </c>
      <c r="L191" s="95"/>
      <c r="M191" s="97">
        <f t="shared" si="13"/>
        <v>0</v>
      </c>
      <c r="S191" s="85"/>
      <c r="T191" s="85"/>
      <c r="U191" s="85"/>
      <c r="V191" s="85"/>
      <c r="W191" s="85"/>
      <c r="X191" s="85"/>
      <c r="Y191" s="85"/>
      <c r="Z191" s="85"/>
      <c r="AA191" s="85"/>
      <c r="AB191" s="85"/>
      <c r="AC191" s="85"/>
      <c r="AD191" s="85"/>
      <c r="AE191" s="85"/>
      <c r="AF191" s="85"/>
      <c r="AG191" s="85"/>
      <c r="AH191" s="85"/>
      <c r="AI191" s="85"/>
      <c r="AJ191" s="85"/>
      <c r="AK191" s="85"/>
      <c r="AL191" s="85"/>
    </row>
    <row r="192" spans="1:38" s="80" customFormat="1" x14ac:dyDescent="0.25">
      <c r="A192" s="116"/>
      <c r="B192" s="115"/>
      <c r="C192" s="115"/>
      <c r="D192" s="115"/>
      <c r="E192" s="115"/>
      <c r="F192" s="115"/>
      <c r="H192" s="95">
        <v>187</v>
      </c>
      <c r="I192" s="96" t="str">
        <f t="shared" si="11"/>
        <v/>
      </c>
      <c r="J192" s="95" t="e">
        <f t="shared" si="14"/>
        <v>#NUM!</v>
      </c>
      <c r="K192" s="95" t="e">
        <f t="shared" si="12"/>
        <v>#NUM!</v>
      </c>
      <c r="L192" s="95"/>
      <c r="M192" s="97">
        <f t="shared" si="13"/>
        <v>0</v>
      </c>
      <c r="S192" s="85"/>
      <c r="T192" s="85"/>
      <c r="U192" s="85"/>
      <c r="V192" s="85"/>
      <c r="W192" s="85"/>
      <c r="X192" s="85"/>
      <c r="Y192" s="85"/>
      <c r="Z192" s="85"/>
      <c r="AA192" s="85"/>
      <c r="AB192" s="85"/>
      <c r="AC192" s="85"/>
      <c r="AD192" s="85"/>
      <c r="AE192" s="85"/>
      <c r="AF192" s="85"/>
      <c r="AG192" s="85"/>
      <c r="AH192" s="85"/>
      <c r="AI192" s="85"/>
      <c r="AJ192" s="85"/>
      <c r="AK192" s="85"/>
      <c r="AL192" s="85"/>
    </row>
    <row r="193" spans="1:38" s="80" customFormat="1" x14ac:dyDescent="0.25">
      <c r="A193" s="116"/>
      <c r="B193" s="115"/>
      <c r="C193" s="115"/>
      <c r="D193" s="115"/>
      <c r="E193" s="115"/>
      <c r="F193" s="115"/>
      <c r="H193" s="95">
        <v>188</v>
      </c>
      <c r="I193" s="96" t="str">
        <f t="shared" si="11"/>
        <v/>
      </c>
      <c r="J193" s="95" t="e">
        <f t="shared" si="14"/>
        <v>#NUM!</v>
      </c>
      <c r="K193" s="95" t="e">
        <f t="shared" si="12"/>
        <v>#NUM!</v>
      </c>
      <c r="L193" s="95"/>
      <c r="M193" s="97">
        <f t="shared" si="13"/>
        <v>0</v>
      </c>
      <c r="S193" s="85"/>
      <c r="T193" s="85"/>
      <c r="U193" s="85"/>
      <c r="V193" s="85"/>
      <c r="W193" s="85"/>
      <c r="X193" s="85"/>
      <c r="Y193" s="85"/>
      <c r="Z193" s="85"/>
      <c r="AA193" s="85"/>
      <c r="AB193" s="85"/>
      <c r="AC193" s="85"/>
      <c r="AD193" s="85"/>
      <c r="AE193" s="85"/>
      <c r="AF193" s="85"/>
      <c r="AG193" s="85"/>
      <c r="AH193" s="85"/>
      <c r="AI193" s="85"/>
      <c r="AJ193" s="85"/>
      <c r="AK193" s="85"/>
      <c r="AL193" s="85"/>
    </row>
    <row r="194" spans="1:38" s="80" customFormat="1" x14ac:dyDescent="0.25">
      <c r="A194" s="116"/>
      <c r="B194" s="115"/>
      <c r="C194" s="115"/>
      <c r="D194" s="115"/>
      <c r="E194" s="115"/>
      <c r="F194" s="115"/>
      <c r="H194" s="95">
        <v>189</v>
      </c>
      <c r="I194" s="96" t="str">
        <f t="shared" si="11"/>
        <v/>
      </c>
      <c r="J194" s="95" t="e">
        <f t="shared" si="14"/>
        <v>#NUM!</v>
      </c>
      <c r="K194" s="95" t="e">
        <f t="shared" si="12"/>
        <v>#NUM!</v>
      </c>
      <c r="L194" s="95"/>
      <c r="M194" s="97">
        <f t="shared" si="13"/>
        <v>0</v>
      </c>
      <c r="S194" s="85"/>
      <c r="T194" s="85"/>
      <c r="U194" s="85"/>
      <c r="V194" s="85"/>
      <c r="W194" s="85"/>
      <c r="X194" s="85"/>
      <c r="Y194" s="85"/>
      <c r="Z194" s="85"/>
      <c r="AA194" s="85"/>
      <c r="AB194" s="85"/>
      <c r="AC194" s="85"/>
      <c r="AD194" s="85"/>
      <c r="AE194" s="85"/>
      <c r="AF194" s="85"/>
      <c r="AG194" s="85"/>
      <c r="AH194" s="85"/>
      <c r="AI194" s="85"/>
      <c r="AJ194" s="85"/>
      <c r="AK194" s="85"/>
      <c r="AL194" s="85"/>
    </row>
    <row r="195" spans="1:38" s="80" customFormat="1" x14ac:dyDescent="0.25">
      <c r="A195" s="116"/>
      <c r="B195" s="115"/>
      <c r="C195" s="115"/>
      <c r="D195" s="115"/>
      <c r="E195" s="115"/>
      <c r="F195" s="115"/>
      <c r="H195" s="95">
        <v>190</v>
      </c>
      <c r="I195" s="96" t="str">
        <f t="shared" si="11"/>
        <v/>
      </c>
      <c r="J195" s="95" t="e">
        <f t="shared" si="14"/>
        <v>#NUM!</v>
      </c>
      <c r="K195" s="95" t="e">
        <f t="shared" si="12"/>
        <v>#NUM!</v>
      </c>
      <c r="L195" s="95"/>
      <c r="M195" s="97">
        <f t="shared" si="13"/>
        <v>0</v>
      </c>
      <c r="S195" s="85"/>
      <c r="T195" s="85"/>
      <c r="U195" s="85"/>
      <c r="V195" s="85"/>
      <c r="W195" s="85"/>
      <c r="X195" s="85"/>
      <c r="Y195" s="85"/>
      <c r="Z195" s="85"/>
      <c r="AA195" s="85"/>
      <c r="AB195" s="85"/>
      <c r="AC195" s="85"/>
      <c r="AD195" s="85"/>
      <c r="AE195" s="85"/>
      <c r="AF195" s="85"/>
      <c r="AG195" s="85"/>
      <c r="AH195" s="85"/>
      <c r="AI195" s="85"/>
      <c r="AJ195" s="85"/>
      <c r="AK195" s="85"/>
      <c r="AL195" s="85"/>
    </row>
    <row r="196" spans="1:38" s="80" customFormat="1" x14ac:dyDescent="0.25">
      <c r="A196" s="116"/>
      <c r="B196" s="115"/>
      <c r="C196" s="115"/>
      <c r="D196" s="115"/>
      <c r="E196" s="115"/>
      <c r="F196" s="115"/>
      <c r="H196" s="95">
        <v>191</v>
      </c>
      <c r="I196" s="96" t="str">
        <f t="shared" si="11"/>
        <v/>
      </c>
      <c r="J196" s="95" t="e">
        <f t="shared" si="14"/>
        <v>#NUM!</v>
      </c>
      <c r="K196" s="95" t="e">
        <f t="shared" si="12"/>
        <v>#NUM!</v>
      </c>
      <c r="L196" s="95"/>
      <c r="M196" s="97">
        <f t="shared" si="13"/>
        <v>0</v>
      </c>
      <c r="S196" s="85"/>
      <c r="T196" s="85"/>
      <c r="U196" s="85"/>
      <c r="V196" s="85"/>
      <c r="W196" s="85"/>
      <c r="X196" s="85"/>
      <c r="Y196" s="85"/>
      <c r="Z196" s="85"/>
      <c r="AA196" s="85"/>
      <c r="AB196" s="85"/>
      <c r="AC196" s="85"/>
      <c r="AD196" s="85"/>
      <c r="AE196" s="85"/>
      <c r="AF196" s="85"/>
      <c r="AG196" s="85"/>
      <c r="AH196" s="85"/>
      <c r="AI196" s="85"/>
      <c r="AJ196" s="85"/>
      <c r="AK196" s="85"/>
      <c r="AL196" s="85"/>
    </row>
    <row r="197" spans="1:38" s="80" customFormat="1" x14ac:dyDescent="0.25">
      <c r="A197" s="116"/>
      <c r="B197" s="115"/>
      <c r="C197" s="115"/>
      <c r="D197" s="115"/>
      <c r="E197" s="115"/>
      <c r="F197" s="115"/>
      <c r="H197" s="95">
        <v>192</v>
      </c>
      <c r="I197" s="96" t="str">
        <f t="shared" si="11"/>
        <v/>
      </c>
      <c r="J197" s="95" t="e">
        <f t="shared" si="14"/>
        <v>#NUM!</v>
      </c>
      <c r="K197" s="95" t="e">
        <f t="shared" si="12"/>
        <v>#NUM!</v>
      </c>
      <c r="L197" s="95"/>
      <c r="M197" s="97">
        <f t="shared" si="13"/>
        <v>0</v>
      </c>
      <c r="S197" s="85"/>
      <c r="T197" s="85"/>
      <c r="U197" s="85"/>
      <c r="V197" s="85"/>
      <c r="W197" s="85"/>
      <c r="X197" s="85"/>
      <c r="Y197" s="85"/>
      <c r="Z197" s="85"/>
      <c r="AA197" s="85"/>
      <c r="AB197" s="85"/>
      <c r="AC197" s="85"/>
      <c r="AD197" s="85"/>
      <c r="AE197" s="85"/>
      <c r="AF197" s="85"/>
      <c r="AG197" s="85"/>
      <c r="AH197" s="85"/>
      <c r="AI197" s="85"/>
      <c r="AJ197" s="85"/>
      <c r="AK197" s="85"/>
      <c r="AL197" s="85"/>
    </row>
    <row r="198" spans="1:38" s="80" customFormat="1" x14ac:dyDescent="0.25">
      <c r="A198" s="116"/>
      <c r="B198" s="115"/>
      <c r="C198" s="115"/>
      <c r="D198" s="115"/>
      <c r="E198" s="115"/>
      <c r="F198" s="115"/>
      <c r="H198" s="95">
        <v>193</v>
      </c>
      <c r="I198" s="96" t="str">
        <f t="shared" ref="I198:I261" si="15">IF(H198&lt;$H$2+1,($I$2-($I$2-1)*(LOG(H198)/LOG($H$2))),"")</f>
        <v/>
      </c>
      <c r="J198" s="95" t="e">
        <f t="shared" si="14"/>
        <v>#NUM!</v>
      </c>
      <c r="K198" s="95" t="e">
        <f t="shared" ref="K198:K261" si="16">J198*$J$2</f>
        <v>#NUM!</v>
      </c>
      <c r="L198" s="95"/>
      <c r="M198" s="97">
        <f t="shared" ref="M198:M261" si="17">IF(I198&lt;&gt;"",K198+I198+L198,0)</f>
        <v>0</v>
      </c>
      <c r="S198" s="85"/>
      <c r="T198" s="85"/>
      <c r="U198" s="85"/>
      <c r="V198" s="85"/>
      <c r="W198" s="85"/>
      <c r="X198" s="85"/>
      <c r="Y198" s="85"/>
      <c r="Z198" s="85"/>
      <c r="AA198" s="85"/>
      <c r="AB198" s="85"/>
      <c r="AC198" s="85"/>
      <c r="AD198" s="85"/>
      <c r="AE198" s="85"/>
      <c r="AF198" s="85"/>
      <c r="AG198" s="85"/>
      <c r="AH198" s="85"/>
      <c r="AI198" s="85"/>
      <c r="AJ198" s="85"/>
      <c r="AK198" s="85"/>
      <c r="AL198" s="85"/>
    </row>
    <row r="199" spans="1:38" s="80" customFormat="1" x14ac:dyDescent="0.25">
      <c r="A199" s="116"/>
      <c r="B199" s="115"/>
      <c r="C199" s="115"/>
      <c r="D199" s="115"/>
      <c r="E199" s="115"/>
      <c r="F199" s="115"/>
      <c r="H199" s="95">
        <v>194</v>
      </c>
      <c r="I199" s="96" t="str">
        <f t="shared" si="15"/>
        <v/>
      </c>
      <c r="J199" s="95" t="e">
        <f t="shared" si="14"/>
        <v>#NUM!</v>
      </c>
      <c r="K199" s="95" t="e">
        <f t="shared" si="16"/>
        <v>#NUM!</v>
      </c>
      <c r="L199" s="95"/>
      <c r="M199" s="97">
        <f t="shared" si="17"/>
        <v>0</v>
      </c>
      <c r="S199" s="85"/>
      <c r="T199" s="85"/>
      <c r="U199" s="85"/>
      <c r="V199" s="85"/>
      <c r="W199" s="85"/>
      <c r="X199" s="85"/>
      <c r="Y199" s="85"/>
      <c r="Z199" s="85"/>
      <c r="AA199" s="85"/>
      <c r="AB199" s="85"/>
      <c r="AC199" s="85"/>
      <c r="AD199" s="85"/>
      <c r="AE199" s="85"/>
      <c r="AF199" s="85"/>
      <c r="AG199" s="85"/>
      <c r="AH199" s="85"/>
      <c r="AI199" s="85"/>
      <c r="AJ199" s="85"/>
      <c r="AK199" s="85"/>
      <c r="AL199" s="85"/>
    </row>
    <row r="200" spans="1:38" s="80" customFormat="1" x14ac:dyDescent="0.25">
      <c r="A200" s="116"/>
      <c r="B200" s="115"/>
      <c r="C200" s="115"/>
      <c r="D200" s="115"/>
      <c r="E200" s="115"/>
      <c r="F200" s="115"/>
      <c r="H200" s="95">
        <v>195</v>
      </c>
      <c r="I200" s="96" t="str">
        <f t="shared" si="15"/>
        <v/>
      </c>
      <c r="J200" s="95" t="e">
        <f t="shared" si="14"/>
        <v>#NUM!</v>
      </c>
      <c r="K200" s="95" t="e">
        <f t="shared" si="16"/>
        <v>#NUM!</v>
      </c>
      <c r="L200" s="95"/>
      <c r="M200" s="97">
        <f t="shared" si="17"/>
        <v>0</v>
      </c>
      <c r="S200" s="85"/>
      <c r="T200" s="85"/>
      <c r="U200" s="85"/>
      <c r="V200" s="85"/>
      <c r="W200" s="85"/>
      <c r="X200" s="85"/>
      <c r="Y200" s="85"/>
      <c r="Z200" s="85"/>
      <c r="AA200" s="85"/>
      <c r="AB200" s="85"/>
      <c r="AC200" s="85"/>
      <c r="AD200" s="85"/>
      <c r="AE200" s="85"/>
      <c r="AF200" s="85"/>
      <c r="AG200" s="85"/>
      <c r="AH200" s="85"/>
      <c r="AI200" s="85"/>
      <c r="AJ200" s="85"/>
      <c r="AK200" s="85"/>
      <c r="AL200" s="85"/>
    </row>
    <row r="201" spans="1:38" s="80" customFormat="1" x14ac:dyDescent="0.25">
      <c r="A201" s="116"/>
      <c r="B201" s="115"/>
      <c r="C201" s="115"/>
      <c r="D201" s="115"/>
      <c r="E201" s="115"/>
      <c r="F201" s="115"/>
      <c r="H201" s="95">
        <v>196</v>
      </c>
      <c r="I201" s="96" t="str">
        <f t="shared" si="15"/>
        <v/>
      </c>
      <c r="J201" s="95" t="e">
        <f t="shared" si="14"/>
        <v>#NUM!</v>
      </c>
      <c r="K201" s="95" t="e">
        <f t="shared" si="16"/>
        <v>#NUM!</v>
      </c>
      <c r="L201" s="95"/>
      <c r="M201" s="97">
        <f t="shared" si="17"/>
        <v>0</v>
      </c>
      <c r="S201" s="85"/>
      <c r="T201" s="85"/>
      <c r="U201" s="85"/>
      <c r="V201" s="85"/>
      <c r="W201" s="85"/>
      <c r="X201" s="85"/>
      <c r="Y201" s="85"/>
      <c r="Z201" s="85"/>
      <c r="AA201" s="85"/>
      <c r="AB201" s="85"/>
      <c r="AC201" s="85"/>
      <c r="AD201" s="85"/>
      <c r="AE201" s="85"/>
      <c r="AF201" s="85"/>
      <c r="AG201" s="85"/>
      <c r="AH201" s="85"/>
      <c r="AI201" s="85"/>
      <c r="AJ201" s="85"/>
      <c r="AK201" s="85"/>
      <c r="AL201" s="85"/>
    </row>
    <row r="202" spans="1:38" s="80" customFormat="1" x14ac:dyDescent="0.25">
      <c r="A202" s="116"/>
      <c r="B202" s="115"/>
      <c r="C202" s="115"/>
      <c r="D202" s="115"/>
      <c r="E202" s="115"/>
      <c r="F202" s="115"/>
      <c r="H202" s="95">
        <v>197</v>
      </c>
      <c r="I202" s="96" t="str">
        <f t="shared" si="15"/>
        <v/>
      </c>
      <c r="J202" s="95" t="e">
        <f t="shared" ref="J202:J265" si="18">INT(LOG($H$2,2))-ROUNDUP(LOG(H202,2),0)+IF(OR($H$2=1,$H$2=2,$H$2=4,$H$2=8,$H$2=16,$H$2=32,$H$2=64,$H$2=128,$H$2=256),0,1)</f>
        <v>#NUM!</v>
      </c>
      <c r="K202" s="95" t="e">
        <f t="shared" si="16"/>
        <v>#NUM!</v>
      </c>
      <c r="L202" s="95"/>
      <c r="M202" s="97">
        <f t="shared" si="17"/>
        <v>0</v>
      </c>
      <c r="S202" s="85"/>
      <c r="T202" s="85"/>
      <c r="U202" s="85"/>
      <c r="V202" s="85"/>
      <c r="W202" s="85"/>
      <c r="X202" s="85"/>
      <c r="Y202" s="85"/>
      <c r="Z202" s="85"/>
      <c r="AA202" s="85"/>
      <c r="AB202" s="85"/>
      <c r="AC202" s="85"/>
      <c r="AD202" s="85"/>
      <c r="AE202" s="85"/>
      <c r="AF202" s="85"/>
      <c r="AG202" s="85"/>
      <c r="AH202" s="85"/>
      <c r="AI202" s="85"/>
      <c r="AJ202" s="85"/>
      <c r="AK202" s="85"/>
      <c r="AL202" s="85"/>
    </row>
    <row r="203" spans="1:38" s="80" customFormat="1" x14ac:dyDescent="0.25">
      <c r="A203" s="116"/>
      <c r="B203" s="115"/>
      <c r="C203" s="115"/>
      <c r="D203" s="115"/>
      <c r="E203" s="115"/>
      <c r="F203" s="115"/>
      <c r="H203" s="95">
        <v>198</v>
      </c>
      <c r="I203" s="96" t="str">
        <f t="shared" si="15"/>
        <v/>
      </c>
      <c r="J203" s="95" t="e">
        <f t="shared" si="18"/>
        <v>#NUM!</v>
      </c>
      <c r="K203" s="95" t="e">
        <f t="shared" si="16"/>
        <v>#NUM!</v>
      </c>
      <c r="L203" s="95"/>
      <c r="M203" s="97">
        <f t="shared" si="17"/>
        <v>0</v>
      </c>
      <c r="S203" s="85"/>
      <c r="T203" s="85"/>
      <c r="U203" s="85"/>
      <c r="V203" s="85"/>
      <c r="W203" s="85"/>
      <c r="X203" s="85"/>
      <c r="Y203" s="85"/>
      <c r="Z203" s="85"/>
      <c r="AA203" s="85"/>
      <c r="AB203" s="85"/>
      <c r="AC203" s="85"/>
      <c r="AD203" s="85"/>
      <c r="AE203" s="85"/>
      <c r="AF203" s="85"/>
      <c r="AG203" s="85"/>
      <c r="AH203" s="85"/>
      <c r="AI203" s="85"/>
      <c r="AJ203" s="85"/>
      <c r="AK203" s="85"/>
      <c r="AL203" s="85"/>
    </row>
    <row r="204" spans="1:38" s="80" customFormat="1" x14ac:dyDescent="0.25">
      <c r="A204" s="116"/>
      <c r="B204" s="115"/>
      <c r="C204" s="115"/>
      <c r="D204" s="115"/>
      <c r="E204" s="115"/>
      <c r="F204" s="115"/>
      <c r="H204" s="95">
        <v>199</v>
      </c>
      <c r="I204" s="96" t="str">
        <f t="shared" si="15"/>
        <v/>
      </c>
      <c r="J204" s="95" t="e">
        <f t="shared" si="18"/>
        <v>#NUM!</v>
      </c>
      <c r="K204" s="95" t="e">
        <f t="shared" si="16"/>
        <v>#NUM!</v>
      </c>
      <c r="L204" s="95"/>
      <c r="M204" s="97">
        <f t="shared" si="17"/>
        <v>0</v>
      </c>
      <c r="S204" s="85"/>
      <c r="T204" s="85"/>
      <c r="U204" s="85"/>
      <c r="V204" s="85"/>
      <c r="W204" s="85"/>
      <c r="X204" s="85"/>
      <c r="Y204" s="85"/>
      <c r="Z204" s="85"/>
      <c r="AA204" s="85"/>
      <c r="AB204" s="85"/>
      <c r="AC204" s="85"/>
      <c r="AD204" s="85"/>
      <c r="AE204" s="85"/>
      <c r="AF204" s="85"/>
      <c r="AG204" s="85"/>
      <c r="AH204" s="85"/>
      <c r="AI204" s="85"/>
      <c r="AJ204" s="85"/>
      <c r="AK204" s="85"/>
      <c r="AL204" s="85"/>
    </row>
    <row r="205" spans="1:38" s="80" customFormat="1" x14ac:dyDescent="0.25">
      <c r="A205" s="116"/>
      <c r="B205" s="115"/>
      <c r="C205" s="115"/>
      <c r="D205" s="115"/>
      <c r="E205" s="115"/>
      <c r="F205" s="115"/>
      <c r="H205" s="95">
        <v>200</v>
      </c>
      <c r="I205" s="96" t="str">
        <f t="shared" si="15"/>
        <v/>
      </c>
      <c r="J205" s="95" t="e">
        <f t="shared" si="18"/>
        <v>#NUM!</v>
      </c>
      <c r="K205" s="95" t="e">
        <f t="shared" si="16"/>
        <v>#NUM!</v>
      </c>
      <c r="L205" s="95"/>
      <c r="M205" s="97">
        <f t="shared" si="17"/>
        <v>0</v>
      </c>
      <c r="S205" s="85"/>
      <c r="T205" s="85"/>
      <c r="U205" s="85"/>
      <c r="V205" s="85"/>
      <c r="W205" s="85"/>
      <c r="X205" s="85"/>
      <c r="Y205" s="85"/>
      <c r="Z205" s="85"/>
      <c r="AA205" s="85"/>
      <c r="AB205" s="85"/>
      <c r="AC205" s="85"/>
      <c r="AD205" s="85"/>
      <c r="AE205" s="85"/>
      <c r="AF205" s="85"/>
      <c r="AG205" s="85"/>
      <c r="AH205" s="85"/>
      <c r="AI205" s="85"/>
      <c r="AJ205" s="85"/>
      <c r="AK205" s="85"/>
      <c r="AL205" s="85"/>
    </row>
    <row r="206" spans="1:38" s="80" customFormat="1" x14ac:dyDescent="0.25">
      <c r="A206" s="116"/>
      <c r="B206" s="115"/>
      <c r="C206" s="115"/>
      <c r="D206" s="115"/>
      <c r="E206" s="115"/>
      <c r="F206" s="115"/>
      <c r="H206" s="95">
        <v>201</v>
      </c>
      <c r="I206" s="96" t="str">
        <f t="shared" si="15"/>
        <v/>
      </c>
      <c r="J206" s="95" t="e">
        <f t="shared" si="18"/>
        <v>#NUM!</v>
      </c>
      <c r="K206" s="95" t="e">
        <f t="shared" si="16"/>
        <v>#NUM!</v>
      </c>
      <c r="L206" s="95"/>
      <c r="M206" s="97">
        <f t="shared" si="17"/>
        <v>0</v>
      </c>
      <c r="S206" s="85"/>
      <c r="T206" s="85"/>
      <c r="U206" s="85"/>
      <c r="V206" s="85"/>
      <c r="W206" s="85"/>
      <c r="X206" s="85"/>
      <c r="Y206" s="85"/>
      <c r="Z206" s="85"/>
      <c r="AA206" s="85"/>
      <c r="AB206" s="85"/>
      <c r="AC206" s="85"/>
      <c r="AD206" s="85"/>
      <c r="AE206" s="85"/>
      <c r="AF206" s="85"/>
      <c r="AG206" s="85"/>
      <c r="AH206" s="85"/>
      <c r="AI206" s="85"/>
      <c r="AJ206" s="85"/>
      <c r="AK206" s="85"/>
      <c r="AL206" s="85"/>
    </row>
    <row r="207" spans="1:38" s="80" customFormat="1" x14ac:dyDescent="0.25">
      <c r="A207" s="116"/>
      <c r="B207" s="115"/>
      <c r="C207" s="115"/>
      <c r="D207" s="115"/>
      <c r="E207" s="115"/>
      <c r="F207" s="115"/>
      <c r="H207" s="95">
        <v>202</v>
      </c>
      <c r="I207" s="96" t="str">
        <f t="shared" si="15"/>
        <v/>
      </c>
      <c r="J207" s="95" t="e">
        <f t="shared" si="18"/>
        <v>#NUM!</v>
      </c>
      <c r="K207" s="95" t="e">
        <f t="shared" si="16"/>
        <v>#NUM!</v>
      </c>
      <c r="L207" s="95"/>
      <c r="M207" s="97">
        <f t="shared" si="17"/>
        <v>0</v>
      </c>
      <c r="S207" s="85"/>
      <c r="T207" s="85"/>
      <c r="U207" s="85"/>
      <c r="V207" s="85"/>
      <c r="W207" s="85"/>
      <c r="X207" s="85"/>
      <c r="Y207" s="85"/>
      <c r="Z207" s="85"/>
      <c r="AA207" s="85"/>
      <c r="AB207" s="85"/>
      <c r="AC207" s="85"/>
      <c r="AD207" s="85"/>
      <c r="AE207" s="85"/>
      <c r="AF207" s="85"/>
      <c r="AG207" s="85"/>
      <c r="AH207" s="85"/>
      <c r="AI207" s="85"/>
      <c r="AJ207" s="85"/>
      <c r="AK207" s="85"/>
      <c r="AL207" s="85"/>
    </row>
    <row r="208" spans="1:38" s="80" customFormat="1" x14ac:dyDescent="0.25">
      <c r="A208" s="116"/>
      <c r="B208" s="115"/>
      <c r="C208" s="115"/>
      <c r="D208" s="115"/>
      <c r="E208" s="115"/>
      <c r="F208" s="115"/>
      <c r="H208" s="95">
        <v>203</v>
      </c>
      <c r="I208" s="96" t="str">
        <f t="shared" si="15"/>
        <v/>
      </c>
      <c r="J208" s="95" t="e">
        <f t="shared" si="18"/>
        <v>#NUM!</v>
      </c>
      <c r="K208" s="95" t="e">
        <f t="shared" si="16"/>
        <v>#NUM!</v>
      </c>
      <c r="L208" s="95"/>
      <c r="M208" s="97">
        <f t="shared" si="17"/>
        <v>0</v>
      </c>
      <c r="S208" s="85"/>
      <c r="T208" s="85"/>
      <c r="U208" s="85"/>
      <c r="V208" s="85"/>
      <c r="W208" s="85"/>
      <c r="X208" s="85"/>
      <c r="Y208" s="85"/>
      <c r="Z208" s="85"/>
      <c r="AA208" s="85"/>
      <c r="AB208" s="85"/>
      <c r="AC208" s="85"/>
      <c r="AD208" s="85"/>
      <c r="AE208" s="85"/>
      <c r="AF208" s="85"/>
      <c r="AG208" s="85"/>
      <c r="AH208" s="85"/>
      <c r="AI208" s="85"/>
      <c r="AJ208" s="85"/>
      <c r="AK208" s="85"/>
      <c r="AL208" s="85"/>
    </row>
    <row r="209" spans="1:38" s="80" customFormat="1" x14ac:dyDescent="0.25">
      <c r="A209" s="116"/>
      <c r="B209" s="115"/>
      <c r="C209" s="115"/>
      <c r="D209" s="115"/>
      <c r="E209" s="115"/>
      <c r="F209" s="115"/>
      <c r="H209" s="95">
        <v>204</v>
      </c>
      <c r="I209" s="96" t="str">
        <f t="shared" si="15"/>
        <v/>
      </c>
      <c r="J209" s="95" t="e">
        <f t="shared" si="18"/>
        <v>#NUM!</v>
      </c>
      <c r="K209" s="95" t="e">
        <f t="shared" si="16"/>
        <v>#NUM!</v>
      </c>
      <c r="L209" s="95"/>
      <c r="M209" s="97">
        <f t="shared" si="17"/>
        <v>0</v>
      </c>
      <c r="S209" s="85"/>
      <c r="T209" s="85"/>
      <c r="U209" s="85"/>
      <c r="V209" s="85"/>
      <c r="W209" s="85"/>
      <c r="X209" s="85"/>
      <c r="Y209" s="85"/>
      <c r="Z209" s="85"/>
      <c r="AA209" s="85"/>
      <c r="AB209" s="85"/>
      <c r="AC209" s="85"/>
      <c r="AD209" s="85"/>
      <c r="AE209" s="85"/>
      <c r="AF209" s="85"/>
      <c r="AG209" s="85"/>
      <c r="AH209" s="85"/>
      <c r="AI209" s="85"/>
      <c r="AJ209" s="85"/>
      <c r="AK209" s="85"/>
      <c r="AL209" s="85"/>
    </row>
    <row r="210" spans="1:38" s="80" customFormat="1" x14ac:dyDescent="0.25">
      <c r="A210" s="116"/>
      <c r="B210" s="115"/>
      <c r="C210" s="115"/>
      <c r="D210" s="115"/>
      <c r="E210" s="115"/>
      <c r="F210" s="115"/>
      <c r="H210" s="95">
        <v>205</v>
      </c>
      <c r="I210" s="96" t="str">
        <f t="shared" si="15"/>
        <v/>
      </c>
      <c r="J210" s="95" t="e">
        <f t="shared" si="18"/>
        <v>#NUM!</v>
      </c>
      <c r="K210" s="95" t="e">
        <f t="shared" si="16"/>
        <v>#NUM!</v>
      </c>
      <c r="L210" s="95"/>
      <c r="M210" s="97">
        <f t="shared" si="17"/>
        <v>0</v>
      </c>
      <c r="S210" s="85"/>
      <c r="T210" s="85"/>
      <c r="U210" s="85"/>
      <c r="V210" s="85"/>
      <c r="W210" s="85"/>
      <c r="X210" s="85"/>
      <c r="Y210" s="85"/>
      <c r="Z210" s="85"/>
      <c r="AA210" s="85"/>
      <c r="AB210" s="85"/>
      <c r="AC210" s="85"/>
      <c r="AD210" s="85"/>
      <c r="AE210" s="85"/>
      <c r="AF210" s="85"/>
      <c r="AG210" s="85"/>
      <c r="AH210" s="85"/>
      <c r="AI210" s="85"/>
      <c r="AJ210" s="85"/>
      <c r="AK210" s="85"/>
      <c r="AL210" s="85"/>
    </row>
    <row r="211" spans="1:38" s="80" customFormat="1" x14ac:dyDescent="0.25">
      <c r="A211" s="116"/>
      <c r="B211" s="115"/>
      <c r="C211" s="115"/>
      <c r="D211" s="115"/>
      <c r="E211" s="115"/>
      <c r="F211" s="115"/>
      <c r="H211" s="95">
        <v>206</v>
      </c>
      <c r="I211" s="96" t="str">
        <f t="shared" si="15"/>
        <v/>
      </c>
      <c r="J211" s="95" t="e">
        <f t="shared" si="18"/>
        <v>#NUM!</v>
      </c>
      <c r="K211" s="95" t="e">
        <f t="shared" si="16"/>
        <v>#NUM!</v>
      </c>
      <c r="L211" s="95"/>
      <c r="M211" s="97">
        <f t="shared" si="17"/>
        <v>0</v>
      </c>
      <c r="S211" s="85"/>
      <c r="T211" s="85"/>
      <c r="U211" s="85"/>
      <c r="V211" s="85"/>
      <c r="W211" s="85"/>
      <c r="X211" s="85"/>
      <c r="Y211" s="85"/>
      <c r="Z211" s="85"/>
      <c r="AA211" s="85"/>
      <c r="AB211" s="85"/>
      <c r="AC211" s="85"/>
      <c r="AD211" s="85"/>
      <c r="AE211" s="85"/>
      <c r="AF211" s="85"/>
      <c r="AG211" s="85"/>
      <c r="AH211" s="85"/>
      <c r="AI211" s="85"/>
      <c r="AJ211" s="85"/>
      <c r="AK211" s="85"/>
      <c r="AL211" s="85"/>
    </row>
    <row r="212" spans="1:38" s="80" customFormat="1" x14ac:dyDescent="0.25">
      <c r="A212" s="116"/>
      <c r="B212" s="115"/>
      <c r="C212" s="115"/>
      <c r="D212" s="115"/>
      <c r="E212" s="115"/>
      <c r="F212" s="115"/>
      <c r="H212" s="95">
        <v>207</v>
      </c>
      <c r="I212" s="96" t="str">
        <f t="shared" si="15"/>
        <v/>
      </c>
      <c r="J212" s="95" t="e">
        <f t="shared" si="18"/>
        <v>#NUM!</v>
      </c>
      <c r="K212" s="95" t="e">
        <f t="shared" si="16"/>
        <v>#NUM!</v>
      </c>
      <c r="L212" s="95"/>
      <c r="M212" s="97">
        <f t="shared" si="17"/>
        <v>0</v>
      </c>
      <c r="S212" s="85"/>
      <c r="T212" s="85"/>
      <c r="U212" s="85"/>
      <c r="V212" s="85"/>
      <c r="W212" s="85"/>
      <c r="X212" s="85"/>
      <c r="Y212" s="85"/>
      <c r="Z212" s="85"/>
      <c r="AA212" s="85"/>
      <c r="AB212" s="85"/>
      <c r="AC212" s="85"/>
      <c r="AD212" s="85"/>
      <c r="AE212" s="85"/>
      <c r="AF212" s="85"/>
      <c r="AG212" s="85"/>
      <c r="AH212" s="85"/>
      <c r="AI212" s="85"/>
      <c r="AJ212" s="85"/>
      <c r="AK212" s="85"/>
      <c r="AL212" s="85"/>
    </row>
    <row r="213" spans="1:38" s="80" customFormat="1" x14ac:dyDescent="0.25">
      <c r="A213" s="116"/>
      <c r="B213" s="115"/>
      <c r="C213" s="115"/>
      <c r="D213" s="115"/>
      <c r="E213" s="115"/>
      <c r="F213" s="115"/>
      <c r="H213" s="95">
        <v>208</v>
      </c>
      <c r="I213" s="96" t="str">
        <f t="shared" si="15"/>
        <v/>
      </c>
      <c r="J213" s="95" t="e">
        <f t="shared" si="18"/>
        <v>#NUM!</v>
      </c>
      <c r="K213" s="95" t="e">
        <f t="shared" si="16"/>
        <v>#NUM!</v>
      </c>
      <c r="L213" s="95"/>
      <c r="M213" s="97">
        <f t="shared" si="17"/>
        <v>0</v>
      </c>
      <c r="S213" s="85"/>
      <c r="T213" s="85"/>
      <c r="U213" s="85"/>
      <c r="V213" s="85"/>
      <c r="W213" s="85"/>
      <c r="X213" s="85"/>
      <c r="Y213" s="85"/>
      <c r="Z213" s="85"/>
      <c r="AA213" s="85"/>
      <c r="AB213" s="85"/>
      <c r="AC213" s="85"/>
      <c r="AD213" s="85"/>
      <c r="AE213" s="85"/>
      <c r="AF213" s="85"/>
      <c r="AG213" s="85"/>
      <c r="AH213" s="85"/>
      <c r="AI213" s="85"/>
      <c r="AJ213" s="85"/>
      <c r="AK213" s="85"/>
      <c r="AL213" s="85"/>
    </row>
    <row r="214" spans="1:38" s="80" customFormat="1" x14ac:dyDescent="0.25">
      <c r="A214" s="116"/>
      <c r="B214" s="115"/>
      <c r="C214" s="115"/>
      <c r="D214" s="115"/>
      <c r="E214" s="115"/>
      <c r="F214" s="115"/>
      <c r="H214" s="95">
        <v>209</v>
      </c>
      <c r="I214" s="96" t="str">
        <f t="shared" si="15"/>
        <v/>
      </c>
      <c r="J214" s="95" t="e">
        <f t="shared" si="18"/>
        <v>#NUM!</v>
      </c>
      <c r="K214" s="95" t="e">
        <f t="shared" si="16"/>
        <v>#NUM!</v>
      </c>
      <c r="L214" s="95"/>
      <c r="M214" s="97">
        <f t="shared" si="17"/>
        <v>0</v>
      </c>
      <c r="S214" s="85"/>
      <c r="T214" s="85"/>
      <c r="U214" s="85"/>
      <c r="V214" s="85"/>
      <c r="W214" s="85"/>
      <c r="X214" s="85"/>
      <c r="Y214" s="85"/>
      <c r="Z214" s="85"/>
      <c r="AA214" s="85"/>
      <c r="AB214" s="85"/>
      <c r="AC214" s="85"/>
      <c r="AD214" s="85"/>
      <c r="AE214" s="85"/>
      <c r="AF214" s="85"/>
      <c r="AG214" s="85"/>
      <c r="AH214" s="85"/>
      <c r="AI214" s="85"/>
      <c r="AJ214" s="85"/>
      <c r="AK214" s="85"/>
      <c r="AL214" s="85"/>
    </row>
    <row r="215" spans="1:38" s="80" customFormat="1" x14ac:dyDescent="0.25">
      <c r="A215" s="116"/>
      <c r="B215" s="115"/>
      <c r="C215" s="115"/>
      <c r="D215" s="115"/>
      <c r="E215" s="115"/>
      <c r="F215" s="115"/>
      <c r="H215" s="95">
        <v>210</v>
      </c>
      <c r="I215" s="96" t="str">
        <f t="shared" si="15"/>
        <v/>
      </c>
      <c r="J215" s="95" t="e">
        <f t="shared" si="18"/>
        <v>#NUM!</v>
      </c>
      <c r="K215" s="95" t="e">
        <f t="shared" si="16"/>
        <v>#NUM!</v>
      </c>
      <c r="L215" s="95"/>
      <c r="M215" s="97">
        <f t="shared" si="17"/>
        <v>0</v>
      </c>
      <c r="S215" s="85"/>
      <c r="T215" s="85"/>
      <c r="U215" s="85"/>
      <c r="V215" s="85"/>
      <c r="W215" s="85"/>
      <c r="X215" s="85"/>
      <c r="Y215" s="85"/>
      <c r="Z215" s="85"/>
      <c r="AA215" s="85"/>
      <c r="AB215" s="85"/>
      <c r="AC215" s="85"/>
      <c r="AD215" s="85"/>
      <c r="AE215" s="85"/>
      <c r="AF215" s="85"/>
      <c r="AG215" s="85"/>
      <c r="AH215" s="85"/>
      <c r="AI215" s="85"/>
      <c r="AJ215" s="85"/>
      <c r="AK215" s="85"/>
      <c r="AL215" s="85"/>
    </row>
    <row r="216" spans="1:38" s="80" customFormat="1" x14ac:dyDescent="0.25">
      <c r="A216" s="116"/>
      <c r="B216" s="115"/>
      <c r="C216" s="115"/>
      <c r="D216" s="115"/>
      <c r="E216" s="115"/>
      <c r="F216" s="115"/>
      <c r="H216" s="95">
        <v>211</v>
      </c>
      <c r="I216" s="96" t="str">
        <f t="shared" si="15"/>
        <v/>
      </c>
      <c r="J216" s="95" t="e">
        <f t="shared" si="18"/>
        <v>#NUM!</v>
      </c>
      <c r="K216" s="95" t="e">
        <f t="shared" si="16"/>
        <v>#NUM!</v>
      </c>
      <c r="L216" s="95"/>
      <c r="M216" s="97">
        <f t="shared" si="17"/>
        <v>0</v>
      </c>
      <c r="S216" s="85"/>
      <c r="T216" s="85"/>
      <c r="U216" s="85"/>
      <c r="V216" s="85"/>
      <c r="W216" s="85"/>
      <c r="X216" s="85"/>
      <c r="Y216" s="85"/>
      <c r="Z216" s="85"/>
      <c r="AA216" s="85"/>
      <c r="AB216" s="85"/>
      <c r="AC216" s="85"/>
      <c r="AD216" s="85"/>
      <c r="AE216" s="85"/>
      <c r="AF216" s="85"/>
      <c r="AG216" s="85"/>
      <c r="AH216" s="85"/>
      <c r="AI216" s="85"/>
      <c r="AJ216" s="85"/>
      <c r="AK216" s="85"/>
      <c r="AL216" s="85"/>
    </row>
    <row r="217" spans="1:38" s="80" customFormat="1" x14ac:dyDescent="0.25">
      <c r="A217" s="116"/>
      <c r="B217" s="115"/>
      <c r="C217" s="115"/>
      <c r="D217" s="115"/>
      <c r="E217" s="115"/>
      <c r="F217" s="115"/>
      <c r="H217" s="95">
        <v>212</v>
      </c>
      <c r="I217" s="96" t="str">
        <f t="shared" si="15"/>
        <v/>
      </c>
      <c r="J217" s="95" t="e">
        <f t="shared" si="18"/>
        <v>#NUM!</v>
      </c>
      <c r="K217" s="95" t="e">
        <f t="shared" si="16"/>
        <v>#NUM!</v>
      </c>
      <c r="L217" s="95"/>
      <c r="M217" s="97">
        <f t="shared" si="17"/>
        <v>0</v>
      </c>
      <c r="S217" s="85"/>
      <c r="T217" s="85"/>
      <c r="U217" s="85"/>
      <c r="V217" s="85"/>
      <c r="W217" s="85"/>
      <c r="X217" s="85"/>
      <c r="Y217" s="85"/>
      <c r="Z217" s="85"/>
      <c r="AA217" s="85"/>
      <c r="AB217" s="85"/>
      <c r="AC217" s="85"/>
      <c r="AD217" s="85"/>
      <c r="AE217" s="85"/>
      <c r="AF217" s="85"/>
      <c r="AG217" s="85"/>
      <c r="AH217" s="85"/>
      <c r="AI217" s="85"/>
      <c r="AJ217" s="85"/>
      <c r="AK217" s="85"/>
      <c r="AL217" s="85"/>
    </row>
    <row r="218" spans="1:38" s="80" customFormat="1" x14ac:dyDescent="0.25">
      <c r="A218" s="116"/>
      <c r="B218" s="115"/>
      <c r="C218" s="115"/>
      <c r="D218" s="115"/>
      <c r="E218" s="115"/>
      <c r="F218" s="115"/>
      <c r="H218" s="95">
        <v>213</v>
      </c>
      <c r="I218" s="96" t="str">
        <f t="shared" si="15"/>
        <v/>
      </c>
      <c r="J218" s="95" t="e">
        <f t="shared" si="18"/>
        <v>#NUM!</v>
      </c>
      <c r="K218" s="95" t="e">
        <f t="shared" si="16"/>
        <v>#NUM!</v>
      </c>
      <c r="L218" s="95"/>
      <c r="M218" s="97">
        <f t="shared" si="17"/>
        <v>0</v>
      </c>
      <c r="S218" s="85"/>
      <c r="T218" s="85"/>
      <c r="U218" s="85"/>
      <c r="V218" s="85"/>
      <c r="W218" s="85"/>
      <c r="X218" s="85"/>
      <c r="Y218" s="85"/>
      <c r="Z218" s="85"/>
      <c r="AA218" s="85"/>
      <c r="AB218" s="85"/>
      <c r="AC218" s="85"/>
      <c r="AD218" s="85"/>
      <c r="AE218" s="85"/>
      <c r="AF218" s="85"/>
      <c r="AG218" s="85"/>
      <c r="AH218" s="85"/>
      <c r="AI218" s="85"/>
      <c r="AJ218" s="85"/>
      <c r="AK218" s="85"/>
      <c r="AL218" s="85"/>
    </row>
    <row r="219" spans="1:38" s="80" customFormat="1" x14ac:dyDescent="0.25">
      <c r="A219" s="116"/>
      <c r="B219" s="115"/>
      <c r="C219" s="115"/>
      <c r="D219" s="115"/>
      <c r="E219" s="115"/>
      <c r="F219" s="115"/>
      <c r="H219" s="95">
        <v>214</v>
      </c>
      <c r="I219" s="96" t="str">
        <f t="shared" si="15"/>
        <v/>
      </c>
      <c r="J219" s="95" t="e">
        <f t="shared" si="18"/>
        <v>#NUM!</v>
      </c>
      <c r="K219" s="95" t="e">
        <f t="shared" si="16"/>
        <v>#NUM!</v>
      </c>
      <c r="L219" s="95"/>
      <c r="M219" s="97">
        <f t="shared" si="17"/>
        <v>0</v>
      </c>
      <c r="S219" s="85"/>
      <c r="T219" s="85"/>
      <c r="U219" s="85"/>
      <c r="V219" s="85"/>
      <c r="W219" s="85"/>
      <c r="X219" s="85"/>
      <c r="Y219" s="85"/>
      <c r="Z219" s="85"/>
      <c r="AA219" s="85"/>
      <c r="AB219" s="85"/>
      <c r="AC219" s="85"/>
      <c r="AD219" s="85"/>
      <c r="AE219" s="85"/>
      <c r="AF219" s="85"/>
      <c r="AG219" s="85"/>
      <c r="AH219" s="85"/>
      <c r="AI219" s="85"/>
      <c r="AJ219" s="85"/>
      <c r="AK219" s="85"/>
      <c r="AL219" s="85"/>
    </row>
    <row r="220" spans="1:38" s="80" customFormat="1" x14ac:dyDescent="0.25">
      <c r="A220" s="116"/>
      <c r="B220" s="115"/>
      <c r="C220" s="115"/>
      <c r="D220" s="115"/>
      <c r="E220" s="115"/>
      <c r="F220" s="115"/>
      <c r="H220" s="95">
        <v>215</v>
      </c>
      <c r="I220" s="96" t="str">
        <f t="shared" si="15"/>
        <v/>
      </c>
      <c r="J220" s="95" t="e">
        <f t="shared" si="18"/>
        <v>#NUM!</v>
      </c>
      <c r="K220" s="95" t="e">
        <f t="shared" si="16"/>
        <v>#NUM!</v>
      </c>
      <c r="L220" s="95"/>
      <c r="M220" s="97">
        <f t="shared" si="17"/>
        <v>0</v>
      </c>
      <c r="S220" s="85"/>
      <c r="T220" s="85"/>
      <c r="U220" s="85"/>
      <c r="V220" s="85"/>
      <c r="W220" s="85"/>
      <c r="X220" s="85"/>
      <c r="Y220" s="85"/>
      <c r="Z220" s="85"/>
      <c r="AA220" s="85"/>
      <c r="AB220" s="85"/>
      <c r="AC220" s="85"/>
      <c r="AD220" s="85"/>
      <c r="AE220" s="85"/>
      <c r="AF220" s="85"/>
      <c r="AG220" s="85"/>
      <c r="AH220" s="85"/>
      <c r="AI220" s="85"/>
      <c r="AJ220" s="85"/>
      <c r="AK220" s="85"/>
      <c r="AL220" s="85"/>
    </row>
    <row r="221" spans="1:38" s="80" customFormat="1" x14ac:dyDescent="0.25">
      <c r="A221" s="116"/>
      <c r="B221" s="115"/>
      <c r="C221" s="115"/>
      <c r="D221" s="115"/>
      <c r="E221" s="115"/>
      <c r="F221" s="115"/>
      <c r="H221" s="95">
        <v>216</v>
      </c>
      <c r="I221" s="96" t="str">
        <f t="shared" si="15"/>
        <v/>
      </c>
      <c r="J221" s="95" t="e">
        <f t="shared" si="18"/>
        <v>#NUM!</v>
      </c>
      <c r="K221" s="95" t="e">
        <f t="shared" si="16"/>
        <v>#NUM!</v>
      </c>
      <c r="L221" s="95"/>
      <c r="M221" s="97">
        <f t="shared" si="17"/>
        <v>0</v>
      </c>
      <c r="S221" s="85"/>
      <c r="T221" s="85"/>
      <c r="U221" s="85"/>
      <c r="V221" s="85"/>
      <c r="W221" s="85"/>
      <c r="X221" s="85"/>
      <c r="Y221" s="85"/>
      <c r="Z221" s="85"/>
      <c r="AA221" s="85"/>
      <c r="AB221" s="85"/>
      <c r="AC221" s="85"/>
      <c r="AD221" s="85"/>
      <c r="AE221" s="85"/>
      <c r="AF221" s="85"/>
      <c r="AG221" s="85"/>
      <c r="AH221" s="85"/>
      <c r="AI221" s="85"/>
      <c r="AJ221" s="85"/>
      <c r="AK221" s="85"/>
      <c r="AL221" s="85"/>
    </row>
    <row r="222" spans="1:38" s="80" customFormat="1" x14ac:dyDescent="0.25">
      <c r="A222" s="116"/>
      <c r="B222" s="115"/>
      <c r="C222" s="115"/>
      <c r="D222" s="115"/>
      <c r="E222" s="115"/>
      <c r="F222" s="115"/>
      <c r="H222" s="95">
        <v>217</v>
      </c>
      <c r="I222" s="96" t="str">
        <f t="shared" si="15"/>
        <v/>
      </c>
      <c r="J222" s="95" t="e">
        <f t="shared" si="18"/>
        <v>#NUM!</v>
      </c>
      <c r="K222" s="95" t="e">
        <f t="shared" si="16"/>
        <v>#NUM!</v>
      </c>
      <c r="L222" s="95"/>
      <c r="M222" s="97">
        <f t="shared" si="17"/>
        <v>0</v>
      </c>
      <c r="S222" s="85"/>
      <c r="T222" s="85"/>
      <c r="U222" s="85"/>
      <c r="V222" s="85"/>
      <c r="W222" s="85"/>
      <c r="X222" s="85"/>
      <c r="Y222" s="85"/>
      <c r="Z222" s="85"/>
      <c r="AA222" s="85"/>
      <c r="AB222" s="85"/>
      <c r="AC222" s="85"/>
      <c r="AD222" s="85"/>
      <c r="AE222" s="85"/>
      <c r="AF222" s="85"/>
      <c r="AG222" s="85"/>
      <c r="AH222" s="85"/>
      <c r="AI222" s="85"/>
      <c r="AJ222" s="85"/>
      <c r="AK222" s="85"/>
      <c r="AL222" s="85"/>
    </row>
    <row r="223" spans="1:38" s="80" customFormat="1" x14ac:dyDescent="0.25">
      <c r="A223" s="116"/>
      <c r="B223" s="115"/>
      <c r="C223" s="115"/>
      <c r="D223" s="115"/>
      <c r="E223" s="115"/>
      <c r="F223" s="115"/>
      <c r="H223" s="95">
        <v>218</v>
      </c>
      <c r="I223" s="96" t="str">
        <f t="shared" si="15"/>
        <v/>
      </c>
      <c r="J223" s="95" t="e">
        <f t="shared" si="18"/>
        <v>#NUM!</v>
      </c>
      <c r="K223" s="95" t="e">
        <f t="shared" si="16"/>
        <v>#NUM!</v>
      </c>
      <c r="L223" s="95"/>
      <c r="M223" s="97">
        <f t="shared" si="17"/>
        <v>0</v>
      </c>
      <c r="S223" s="85"/>
      <c r="T223" s="85"/>
      <c r="U223" s="85"/>
      <c r="V223" s="85"/>
      <c r="W223" s="85"/>
      <c r="X223" s="85"/>
      <c r="Y223" s="85"/>
      <c r="Z223" s="85"/>
      <c r="AA223" s="85"/>
      <c r="AB223" s="85"/>
      <c r="AC223" s="85"/>
      <c r="AD223" s="85"/>
      <c r="AE223" s="85"/>
      <c r="AF223" s="85"/>
      <c r="AG223" s="85"/>
      <c r="AH223" s="85"/>
      <c r="AI223" s="85"/>
      <c r="AJ223" s="85"/>
      <c r="AK223" s="85"/>
      <c r="AL223" s="85"/>
    </row>
    <row r="224" spans="1:38" s="80" customFormat="1" x14ac:dyDescent="0.25">
      <c r="A224" s="116"/>
      <c r="B224" s="115"/>
      <c r="C224" s="115"/>
      <c r="D224" s="115"/>
      <c r="E224" s="115"/>
      <c r="F224" s="115"/>
      <c r="H224" s="95">
        <v>219</v>
      </c>
      <c r="I224" s="96" t="str">
        <f t="shared" si="15"/>
        <v/>
      </c>
      <c r="J224" s="95" t="e">
        <f t="shared" si="18"/>
        <v>#NUM!</v>
      </c>
      <c r="K224" s="95" t="e">
        <f t="shared" si="16"/>
        <v>#NUM!</v>
      </c>
      <c r="L224" s="95"/>
      <c r="M224" s="97">
        <f t="shared" si="17"/>
        <v>0</v>
      </c>
      <c r="S224" s="85"/>
      <c r="T224" s="85"/>
      <c r="U224" s="85"/>
      <c r="V224" s="85"/>
      <c r="W224" s="85"/>
      <c r="X224" s="85"/>
      <c r="Y224" s="85"/>
      <c r="Z224" s="85"/>
      <c r="AA224" s="85"/>
      <c r="AB224" s="85"/>
      <c r="AC224" s="85"/>
      <c r="AD224" s="85"/>
      <c r="AE224" s="85"/>
      <c r="AF224" s="85"/>
      <c r="AG224" s="85"/>
      <c r="AH224" s="85"/>
      <c r="AI224" s="85"/>
      <c r="AJ224" s="85"/>
      <c r="AK224" s="85"/>
      <c r="AL224" s="85"/>
    </row>
    <row r="225" spans="1:38" s="80" customFormat="1" x14ac:dyDescent="0.25">
      <c r="A225" s="116"/>
      <c r="B225" s="115"/>
      <c r="C225" s="115"/>
      <c r="D225" s="115"/>
      <c r="E225" s="115"/>
      <c r="F225" s="115"/>
      <c r="H225" s="95">
        <v>220</v>
      </c>
      <c r="I225" s="96" t="str">
        <f t="shared" si="15"/>
        <v/>
      </c>
      <c r="J225" s="95" t="e">
        <f t="shared" si="18"/>
        <v>#NUM!</v>
      </c>
      <c r="K225" s="95" t="e">
        <f t="shared" si="16"/>
        <v>#NUM!</v>
      </c>
      <c r="L225" s="95"/>
      <c r="M225" s="97">
        <f t="shared" si="17"/>
        <v>0</v>
      </c>
      <c r="S225" s="85"/>
      <c r="T225" s="85"/>
      <c r="U225" s="85"/>
      <c r="V225" s="85"/>
      <c r="W225" s="85"/>
      <c r="X225" s="85"/>
      <c r="Y225" s="85"/>
      <c r="Z225" s="85"/>
      <c r="AA225" s="85"/>
      <c r="AB225" s="85"/>
      <c r="AC225" s="85"/>
      <c r="AD225" s="85"/>
      <c r="AE225" s="85"/>
      <c r="AF225" s="85"/>
      <c r="AG225" s="85"/>
      <c r="AH225" s="85"/>
      <c r="AI225" s="85"/>
      <c r="AJ225" s="85"/>
      <c r="AK225" s="85"/>
      <c r="AL225" s="85"/>
    </row>
    <row r="226" spans="1:38" s="80" customFormat="1" x14ac:dyDescent="0.25">
      <c r="A226" s="116"/>
      <c r="B226" s="115"/>
      <c r="C226" s="115"/>
      <c r="D226" s="115"/>
      <c r="E226" s="115"/>
      <c r="F226" s="115"/>
      <c r="H226" s="95">
        <v>221</v>
      </c>
      <c r="I226" s="96" t="str">
        <f t="shared" si="15"/>
        <v/>
      </c>
      <c r="J226" s="95" t="e">
        <f t="shared" si="18"/>
        <v>#NUM!</v>
      </c>
      <c r="K226" s="95" t="e">
        <f t="shared" si="16"/>
        <v>#NUM!</v>
      </c>
      <c r="L226" s="95"/>
      <c r="M226" s="97">
        <f t="shared" si="17"/>
        <v>0</v>
      </c>
      <c r="S226" s="85"/>
      <c r="T226" s="85"/>
      <c r="U226" s="85"/>
      <c r="V226" s="85"/>
      <c r="W226" s="85"/>
      <c r="X226" s="85"/>
      <c r="Y226" s="85"/>
      <c r="Z226" s="85"/>
      <c r="AA226" s="85"/>
      <c r="AB226" s="85"/>
      <c r="AC226" s="85"/>
      <c r="AD226" s="85"/>
      <c r="AE226" s="85"/>
      <c r="AF226" s="85"/>
      <c r="AG226" s="85"/>
      <c r="AH226" s="85"/>
      <c r="AI226" s="85"/>
      <c r="AJ226" s="85"/>
      <c r="AK226" s="85"/>
      <c r="AL226" s="85"/>
    </row>
    <row r="227" spans="1:38" s="80" customFormat="1" x14ac:dyDescent="0.25">
      <c r="A227" s="116"/>
      <c r="B227" s="115"/>
      <c r="C227" s="115"/>
      <c r="D227" s="115"/>
      <c r="E227" s="115"/>
      <c r="F227" s="115"/>
      <c r="H227" s="95">
        <v>222</v>
      </c>
      <c r="I227" s="96" t="str">
        <f t="shared" si="15"/>
        <v/>
      </c>
      <c r="J227" s="95" t="e">
        <f t="shared" si="18"/>
        <v>#NUM!</v>
      </c>
      <c r="K227" s="95" t="e">
        <f t="shared" si="16"/>
        <v>#NUM!</v>
      </c>
      <c r="L227" s="95"/>
      <c r="M227" s="97">
        <f t="shared" si="17"/>
        <v>0</v>
      </c>
      <c r="S227" s="85"/>
      <c r="T227" s="85"/>
      <c r="U227" s="85"/>
      <c r="V227" s="85"/>
      <c r="W227" s="85"/>
      <c r="X227" s="85"/>
      <c r="Y227" s="85"/>
      <c r="Z227" s="85"/>
      <c r="AA227" s="85"/>
      <c r="AB227" s="85"/>
      <c r="AC227" s="85"/>
      <c r="AD227" s="85"/>
      <c r="AE227" s="85"/>
      <c r="AF227" s="85"/>
      <c r="AG227" s="85"/>
      <c r="AH227" s="85"/>
      <c r="AI227" s="85"/>
      <c r="AJ227" s="85"/>
      <c r="AK227" s="85"/>
      <c r="AL227" s="85"/>
    </row>
    <row r="228" spans="1:38" s="80" customFormat="1" x14ac:dyDescent="0.25">
      <c r="A228" s="116"/>
      <c r="B228" s="115"/>
      <c r="C228" s="115"/>
      <c r="D228" s="115"/>
      <c r="E228" s="115"/>
      <c r="F228" s="115"/>
      <c r="H228" s="95">
        <v>223</v>
      </c>
      <c r="I228" s="96" t="str">
        <f t="shared" si="15"/>
        <v/>
      </c>
      <c r="J228" s="95" t="e">
        <f t="shared" si="18"/>
        <v>#NUM!</v>
      </c>
      <c r="K228" s="95" t="e">
        <f t="shared" si="16"/>
        <v>#NUM!</v>
      </c>
      <c r="L228" s="95"/>
      <c r="M228" s="97">
        <f t="shared" si="17"/>
        <v>0</v>
      </c>
      <c r="S228" s="85"/>
      <c r="T228" s="85"/>
      <c r="U228" s="85"/>
      <c r="V228" s="85"/>
      <c r="W228" s="85"/>
      <c r="X228" s="85"/>
      <c r="Y228" s="85"/>
      <c r="Z228" s="85"/>
      <c r="AA228" s="85"/>
      <c r="AB228" s="85"/>
      <c r="AC228" s="85"/>
      <c r="AD228" s="85"/>
      <c r="AE228" s="85"/>
      <c r="AF228" s="85"/>
      <c r="AG228" s="85"/>
      <c r="AH228" s="85"/>
      <c r="AI228" s="85"/>
      <c r="AJ228" s="85"/>
      <c r="AK228" s="85"/>
      <c r="AL228" s="85"/>
    </row>
    <row r="229" spans="1:38" s="80" customFormat="1" x14ac:dyDescent="0.25">
      <c r="A229" s="116"/>
      <c r="B229" s="115"/>
      <c r="C229" s="115"/>
      <c r="D229" s="115"/>
      <c r="E229" s="115"/>
      <c r="F229" s="115"/>
      <c r="H229" s="95">
        <v>224</v>
      </c>
      <c r="I229" s="96" t="str">
        <f t="shared" si="15"/>
        <v/>
      </c>
      <c r="J229" s="95" t="e">
        <f t="shared" si="18"/>
        <v>#NUM!</v>
      </c>
      <c r="K229" s="95" t="e">
        <f t="shared" si="16"/>
        <v>#NUM!</v>
      </c>
      <c r="L229" s="95"/>
      <c r="M229" s="97">
        <f t="shared" si="17"/>
        <v>0</v>
      </c>
      <c r="S229" s="85"/>
      <c r="T229" s="85"/>
      <c r="U229" s="85"/>
      <c r="V229" s="85"/>
      <c r="W229" s="85"/>
      <c r="X229" s="85"/>
      <c r="Y229" s="85"/>
      <c r="Z229" s="85"/>
      <c r="AA229" s="85"/>
      <c r="AB229" s="85"/>
      <c r="AC229" s="85"/>
      <c r="AD229" s="85"/>
      <c r="AE229" s="85"/>
      <c r="AF229" s="85"/>
      <c r="AG229" s="85"/>
      <c r="AH229" s="85"/>
      <c r="AI229" s="85"/>
      <c r="AJ229" s="85"/>
      <c r="AK229" s="85"/>
      <c r="AL229" s="85"/>
    </row>
    <row r="230" spans="1:38" s="80" customFormat="1" x14ac:dyDescent="0.25">
      <c r="A230" s="116"/>
      <c r="B230" s="115"/>
      <c r="C230" s="115"/>
      <c r="D230" s="115"/>
      <c r="E230" s="115"/>
      <c r="F230" s="115"/>
      <c r="H230" s="95">
        <v>225</v>
      </c>
      <c r="I230" s="96" t="str">
        <f t="shared" si="15"/>
        <v/>
      </c>
      <c r="J230" s="95" t="e">
        <f t="shared" si="18"/>
        <v>#NUM!</v>
      </c>
      <c r="K230" s="95" t="e">
        <f t="shared" si="16"/>
        <v>#NUM!</v>
      </c>
      <c r="L230" s="95"/>
      <c r="M230" s="97">
        <f t="shared" si="17"/>
        <v>0</v>
      </c>
      <c r="S230" s="85"/>
      <c r="T230" s="85"/>
      <c r="U230" s="85"/>
      <c r="V230" s="85"/>
      <c r="W230" s="85"/>
      <c r="X230" s="85"/>
      <c r="Y230" s="85"/>
      <c r="Z230" s="85"/>
      <c r="AA230" s="85"/>
      <c r="AB230" s="85"/>
      <c r="AC230" s="85"/>
      <c r="AD230" s="85"/>
      <c r="AE230" s="85"/>
      <c r="AF230" s="85"/>
      <c r="AG230" s="85"/>
      <c r="AH230" s="85"/>
      <c r="AI230" s="85"/>
      <c r="AJ230" s="85"/>
      <c r="AK230" s="85"/>
      <c r="AL230" s="85"/>
    </row>
    <row r="231" spans="1:38" s="80" customFormat="1" x14ac:dyDescent="0.25">
      <c r="A231" s="116"/>
      <c r="B231" s="115"/>
      <c r="C231" s="115"/>
      <c r="D231" s="115"/>
      <c r="E231" s="115"/>
      <c r="F231" s="115"/>
      <c r="H231" s="95">
        <v>226</v>
      </c>
      <c r="I231" s="96" t="str">
        <f t="shared" si="15"/>
        <v/>
      </c>
      <c r="J231" s="95" t="e">
        <f t="shared" si="18"/>
        <v>#NUM!</v>
      </c>
      <c r="K231" s="95" t="e">
        <f t="shared" si="16"/>
        <v>#NUM!</v>
      </c>
      <c r="L231" s="95"/>
      <c r="M231" s="97">
        <f t="shared" si="17"/>
        <v>0</v>
      </c>
      <c r="S231" s="85"/>
      <c r="T231" s="85"/>
      <c r="U231" s="85"/>
      <c r="V231" s="85"/>
      <c r="W231" s="85"/>
      <c r="X231" s="85"/>
      <c r="Y231" s="85"/>
      <c r="Z231" s="85"/>
      <c r="AA231" s="85"/>
      <c r="AB231" s="85"/>
      <c r="AC231" s="85"/>
      <c r="AD231" s="85"/>
      <c r="AE231" s="85"/>
      <c r="AF231" s="85"/>
      <c r="AG231" s="85"/>
      <c r="AH231" s="85"/>
      <c r="AI231" s="85"/>
      <c r="AJ231" s="85"/>
      <c r="AK231" s="85"/>
      <c r="AL231" s="85"/>
    </row>
    <row r="232" spans="1:38" s="80" customFormat="1" x14ac:dyDescent="0.25">
      <c r="A232" s="116"/>
      <c r="B232" s="115"/>
      <c r="C232" s="115"/>
      <c r="D232" s="115"/>
      <c r="E232" s="115"/>
      <c r="F232" s="115"/>
      <c r="H232" s="95">
        <v>227</v>
      </c>
      <c r="I232" s="96" t="str">
        <f t="shared" si="15"/>
        <v/>
      </c>
      <c r="J232" s="95" t="e">
        <f t="shared" si="18"/>
        <v>#NUM!</v>
      </c>
      <c r="K232" s="95" t="e">
        <f t="shared" si="16"/>
        <v>#NUM!</v>
      </c>
      <c r="L232" s="95"/>
      <c r="M232" s="97">
        <f t="shared" si="17"/>
        <v>0</v>
      </c>
      <c r="S232" s="85"/>
      <c r="T232" s="85"/>
      <c r="U232" s="85"/>
      <c r="V232" s="85"/>
      <c r="W232" s="85"/>
      <c r="X232" s="85"/>
      <c r="Y232" s="85"/>
      <c r="Z232" s="85"/>
      <c r="AA232" s="85"/>
      <c r="AB232" s="85"/>
      <c r="AC232" s="85"/>
      <c r="AD232" s="85"/>
      <c r="AE232" s="85"/>
      <c r="AF232" s="85"/>
      <c r="AG232" s="85"/>
      <c r="AH232" s="85"/>
      <c r="AI232" s="85"/>
      <c r="AJ232" s="85"/>
      <c r="AK232" s="85"/>
      <c r="AL232" s="85"/>
    </row>
    <row r="233" spans="1:38" s="80" customFormat="1" x14ac:dyDescent="0.25">
      <c r="A233" s="116"/>
      <c r="B233" s="115"/>
      <c r="C233" s="115"/>
      <c r="D233" s="115"/>
      <c r="E233" s="115"/>
      <c r="F233" s="115"/>
      <c r="H233" s="95">
        <v>228</v>
      </c>
      <c r="I233" s="96" t="str">
        <f t="shared" si="15"/>
        <v/>
      </c>
      <c r="J233" s="95" t="e">
        <f t="shared" si="18"/>
        <v>#NUM!</v>
      </c>
      <c r="K233" s="95" t="e">
        <f t="shared" si="16"/>
        <v>#NUM!</v>
      </c>
      <c r="L233" s="95"/>
      <c r="M233" s="97">
        <f t="shared" si="17"/>
        <v>0</v>
      </c>
      <c r="S233" s="85"/>
      <c r="T233" s="85"/>
      <c r="U233" s="85"/>
      <c r="V233" s="85"/>
      <c r="W233" s="85"/>
      <c r="X233" s="85"/>
      <c r="Y233" s="85"/>
      <c r="Z233" s="85"/>
      <c r="AA233" s="85"/>
      <c r="AB233" s="85"/>
      <c r="AC233" s="85"/>
      <c r="AD233" s="85"/>
      <c r="AE233" s="85"/>
      <c r="AF233" s="85"/>
      <c r="AG233" s="85"/>
      <c r="AH233" s="85"/>
      <c r="AI233" s="85"/>
      <c r="AJ233" s="85"/>
      <c r="AK233" s="85"/>
      <c r="AL233" s="85"/>
    </row>
    <row r="234" spans="1:38" s="80" customFormat="1" x14ac:dyDescent="0.25">
      <c r="A234" s="116"/>
      <c r="B234" s="115"/>
      <c r="C234" s="115"/>
      <c r="D234" s="115"/>
      <c r="E234" s="115"/>
      <c r="F234" s="115"/>
      <c r="H234" s="95">
        <v>229</v>
      </c>
      <c r="I234" s="96" t="str">
        <f t="shared" si="15"/>
        <v/>
      </c>
      <c r="J234" s="95" t="e">
        <f t="shared" si="18"/>
        <v>#NUM!</v>
      </c>
      <c r="K234" s="95" t="e">
        <f t="shared" si="16"/>
        <v>#NUM!</v>
      </c>
      <c r="L234" s="95"/>
      <c r="M234" s="97">
        <f t="shared" si="17"/>
        <v>0</v>
      </c>
      <c r="S234" s="85"/>
      <c r="T234" s="85"/>
      <c r="U234" s="85"/>
      <c r="V234" s="85"/>
      <c r="W234" s="85"/>
      <c r="X234" s="85"/>
      <c r="Y234" s="85"/>
      <c r="Z234" s="85"/>
      <c r="AA234" s="85"/>
      <c r="AB234" s="85"/>
      <c r="AC234" s="85"/>
      <c r="AD234" s="85"/>
      <c r="AE234" s="85"/>
      <c r="AF234" s="85"/>
      <c r="AG234" s="85"/>
      <c r="AH234" s="85"/>
      <c r="AI234" s="85"/>
      <c r="AJ234" s="85"/>
      <c r="AK234" s="85"/>
      <c r="AL234" s="85"/>
    </row>
    <row r="235" spans="1:38" s="80" customFormat="1" x14ac:dyDescent="0.25">
      <c r="A235" s="116"/>
      <c r="B235" s="115"/>
      <c r="C235" s="115"/>
      <c r="D235" s="115"/>
      <c r="E235" s="115"/>
      <c r="F235" s="115"/>
      <c r="H235" s="95">
        <v>230</v>
      </c>
      <c r="I235" s="96" t="str">
        <f t="shared" si="15"/>
        <v/>
      </c>
      <c r="J235" s="95" t="e">
        <f t="shared" si="18"/>
        <v>#NUM!</v>
      </c>
      <c r="K235" s="95" t="e">
        <f t="shared" si="16"/>
        <v>#NUM!</v>
      </c>
      <c r="L235" s="95"/>
      <c r="M235" s="97">
        <f t="shared" si="17"/>
        <v>0</v>
      </c>
      <c r="S235" s="85"/>
      <c r="T235" s="85"/>
      <c r="U235" s="85"/>
      <c r="V235" s="85"/>
      <c r="W235" s="85"/>
      <c r="X235" s="85"/>
      <c r="Y235" s="85"/>
      <c r="Z235" s="85"/>
      <c r="AA235" s="85"/>
      <c r="AB235" s="85"/>
      <c r="AC235" s="85"/>
      <c r="AD235" s="85"/>
      <c r="AE235" s="85"/>
      <c r="AF235" s="85"/>
      <c r="AG235" s="85"/>
      <c r="AH235" s="85"/>
      <c r="AI235" s="85"/>
      <c r="AJ235" s="85"/>
      <c r="AK235" s="85"/>
      <c r="AL235" s="85"/>
    </row>
    <row r="236" spans="1:38" s="80" customFormat="1" x14ac:dyDescent="0.25">
      <c r="A236" s="116"/>
      <c r="B236" s="115"/>
      <c r="C236" s="115"/>
      <c r="D236" s="115"/>
      <c r="E236" s="115"/>
      <c r="F236" s="115"/>
      <c r="H236" s="95">
        <v>231</v>
      </c>
      <c r="I236" s="96" t="str">
        <f t="shared" si="15"/>
        <v/>
      </c>
      <c r="J236" s="95" t="e">
        <f t="shared" si="18"/>
        <v>#NUM!</v>
      </c>
      <c r="K236" s="95" t="e">
        <f t="shared" si="16"/>
        <v>#NUM!</v>
      </c>
      <c r="L236" s="95"/>
      <c r="M236" s="97">
        <f t="shared" si="17"/>
        <v>0</v>
      </c>
      <c r="S236" s="85"/>
      <c r="T236" s="85"/>
      <c r="U236" s="85"/>
      <c r="V236" s="85"/>
      <c r="W236" s="85"/>
      <c r="X236" s="85"/>
      <c r="Y236" s="85"/>
      <c r="Z236" s="85"/>
      <c r="AA236" s="85"/>
      <c r="AB236" s="85"/>
      <c r="AC236" s="85"/>
      <c r="AD236" s="85"/>
      <c r="AE236" s="85"/>
      <c r="AF236" s="85"/>
      <c r="AG236" s="85"/>
      <c r="AH236" s="85"/>
      <c r="AI236" s="85"/>
      <c r="AJ236" s="85"/>
      <c r="AK236" s="85"/>
      <c r="AL236" s="85"/>
    </row>
    <row r="237" spans="1:38" s="80" customFormat="1" x14ac:dyDescent="0.25">
      <c r="A237" s="116"/>
      <c r="B237" s="115"/>
      <c r="C237" s="115"/>
      <c r="D237" s="115"/>
      <c r="E237" s="115"/>
      <c r="F237" s="115"/>
      <c r="H237" s="95">
        <v>232</v>
      </c>
      <c r="I237" s="96" t="str">
        <f t="shared" si="15"/>
        <v/>
      </c>
      <c r="J237" s="95" t="e">
        <f t="shared" si="18"/>
        <v>#NUM!</v>
      </c>
      <c r="K237" s="95" t="e">
        <f t="shared" si="16"/>
        <v>#NUM!</v>
      </c>
      <c r="L237" s="95"/>
      <c r="M237" s="97">
        <f t="shared" si="17"/>
        <v>0</v>
      </c>
      <c r="S237" s="85"/>
      <c r="T237" s="85"/>
      <c r="U237" s="85"/>
      <c r="V237" s="85"/>
      <c r="W237" s="85"/>
      <c r="X237" s="85"/>
      <c r="Y237" s="85"/>
      <c r="Z237" s="85"/>
      <c r="AA237" s="85"/>
      <c r="AB237" s="85"/>
      <c r="AC237" s="85"/>
      <c r="AD237" s="85"/>
      <c r="AE237" s="85"/>
      <c r="AF237" s="85"/>
      <c r="AG237" s="85"/>
      <c r="AH237" s="85"/>
      <c r="AI237" s="85"/>
      <c r="AJ237" s="85"/>
      <c r="AK237" s="85"/>
      <c r="AL237" s="85"/>
    </row>
    <row r="238" spans="1:38" s="80" customFormat="1" x14ac:dyDescent="0.25">
      <c r="A238" s="116"/>
      <c r="B238" s="115"/>
      <c r="C238" s="115"/>
      <c r="D238" s="115"/>
      <c r="E238" s="115"/>
      <c r="F238" s="115"/>
      <c r="H238" s="95">
        <v>233</v>
      </c>
      <c r="I238" s="96" t="str">
        <f t="shared" si="15"/>
        <v/>
      </c>
      <c r="J238" s="95" t="e">
        <f t="shared" si="18"/>
        <v>#NUM!</v>
      </c>
      <c r="K238" s="95" t="e">
        <f t="shared" si="16"/>
        <v>#NUM!</v>
      </c>
      <c r="L238" s="95"/>
      <c r="M238" s="97">
        <f t="shared" si="17"/>
        <v>0</v>
      </c>
      <c r="S238" s="85"/>
      <c r="T238" s="85"/>
      <c r="U238" s="85"/>
      <c r="V238" s="85"/>
      <c r="W238" s="85"/>
      <c r="X238" s="85"/>
      <c r="Y238" s="85"/>
      <c r="Z238" s="85"/>
      <c r="AA238" s="85"/>
      <c r="AB238" s="85"/>
      <c r="AC238" s="85"/>
      <c r="AD238" s="85"/>
      <c r="AE238" s="85"/>
      <c r="AF238" s="85"/>
      <c r="AG238" s="85"/>
      <c r="AH238" s="85"/>
      <c r="AI238" s="85"/>
      <c r="AJ238" s="85"/>
      <c r="AK238" s="85"/>
      <c r="AL238" s="85"/>
    </row>
    <row r="239" spans="1:38" s="80" customFormat="1" x14ac:dyDescent="0.25">
      <c r="A239" s="116"/>
      <c r="B239" s="115"/>
      <c r="C239" s="115"/>
      <c r="D239" s="115"/>
      <c r="E239" s="115"/>
      <c r="F239" s="115"/>
      <c r="H239" s="95">
        <v>234</v>
      </c>
      <c r="I239" s="96" t="str">
        <f t="shared" si="15"/>
        <v/>
      </c>
      <c r="J239" s="95" t="e">
        <f t="shared" si="18"/>
        <v>#NUM!</v>
      </c>
      <c r="K239" s="95" t="e">
        <f t="shared" si="16"/>
        <v>#NUM!</v>
      </c>
      <c r="L239" s="95"/>
      <c r="M239" s="97">
        <f t="shared" si="17"/>
        <v>0</v>
      </c>
      <c r="S239" s="85"/>
      <c r="T239" s="85"/>
      <c r="U239" s="85"/>
      <c r="V239" s="85"/>
      <c r="W239" s="85"/>
      <c r="X239" s="85"/>
      <c r="Y239" s="85"/>
      <c r="Z239" s="85"/>
      <c r="AA239" s="85"/>
      <c r="AB239" s="85"/>
      <c r="AC239" s="85"/>
      <c r="AD239" s="85"/>
      <c r="AE239" s="85"/>
      <c r="AF239" s="85"/>
      <c r="AG239" s="85"/>
      <c r="AH239" s="85"/>
      <c r="AI239" s="85"/>
      <c r="AJ239" s="85"/>
      <c r="AK239" s="85"/>
      <c r="AL239" s="85"/>
    </row>
    <row r="240" spans="1:38" s="80" customFormat="1" x14ac:dyDescent="0.25">
      <c r="A240" s="116"/>
      <c r="B240" s="115"/>
      <c r="C240" s="115"/>
      <c r="D240" s="115"/>
      <c r="E240" s="115"/>
      <c r="F240" s="115"/>
      <c r="H240" s="95">
        <v>235</v>
      </c>
      <c r="I240" s="96" t="str">
        <f t="shared" si="15"/>
        <v/>
      </c>
      <c r="J240" s="95" t="e">
        <f t="shared" si="18"/>
        <v>#NUM!</v>
      </c>
      <c r="K240" s="95" t="e">
        <f t="shared" si="16"/>
        <v>#NUM!</v>
      </c>
      <c r="L240" s="95"/>
      <c r="M240" s="97">
        <f t="shared" si="17"/>
        <v>0</v>
      </c>
      <c r="S240" s="85"/>
      <c r="T240" s="85"/>
      <c r="U240" s="85"/>
      <c r="V240" s="85"/>
      <c r="W240" s="85"/>
      <c r="X240" s="85"/>
      <c r="Y240" s="85"/>
      <c r="Z240" s="85"/>
      <c r="AA240" s="85"/>
      <c r="AB240" s="85"/>
      <c r="AC240" s="85"/>
      <c r="AD240" s="85"/>
      <c r="AE240" s="85"/>
      <c r="AF240" s="85"/>
      <c r="AG240" s="85"/>
      <c r="AH240" s="85"/>
      <c r="AI240" s="85"/>
      <c r="AJ240" s="85"/>
      <c r="AK240" s="85"/>
      <c r="AL240" s="85"/>
    </row>
    <row r="241" spans="1:38" s="80" customFormat="1" x14ac:dyDescent="0.25">
      <c r="A241" s="116"/>
      <c r="B241" s="115"/>
      <c r="C241" s="115"/>
      <c r="D241" s="115"/>
      <c r="E241" s="115"/>
      <c r="F241" s="115"/>
      <c r="H241" s="95">
        <v>236</v>
      </c>
      <c r="I241" s="96" t="str">
        <f t="shared" si="15"/>
        <v/>
      </c>
      <c r="J241" s="95" t="e">
        <f t="shared" si="18"/>
        <v>#NUM!</v>
      </c>
      <c r="K241" s="95" t="e">
        <f t="shared" si="16"/>
        <v>#NUM!</v>
      </c>
      <c r="L241" s="95"/>
      <c r="M241" s="97">
        <f t="shared" si="17"/>
        <v>0</v>
      </c>
      <c r="S241" s="85"/>
      <c r="T241" s="85"/>
      <c r="U241" s="85"/>
      <c r="V241" s="85"/>
      <c r="W241" s="85"/>
      <c r="X241" s="85"/>
      <c r="Y241" s="85"/>
      <c r="Z241" s="85"/>
      <c r="AA241" s="85"/>
      <c r="AB241" s="85"/>
      <c r="AC241" s="85"/>
      <c r="AD241" s="85"/>
      <c r="AE241" s="85"/>
      <c r="AF241" s="85"/>
      <c r="AG241" s="85"/>
      <c r="AH241" s="85"/>
      <c r="AI241" s="85"/>
      <c r="AJ241" s="85"/>
      <c r="AK241" s="85"/>
      <c r="AL241" s="85"/>
    </row>
    <row r="242" spans="1:38" s="80" customFormat="1" x14ac:dyDescent="0.25">
      <c r="A242" s="116"/>
      <c r="B242" s="115"/>
      <c r="C242" s="115"/>
      <c r="D242" s="115"/>
      <c r="E242" s="115"/>
      <c r="F242" s="115"/>
      <c r="H242" s="95">
        <v>237</v>
      </c>
      <c r="I242" s="96" t="str">
        <f t="shared" si="15"/>
        <v/>
      </c>
      <c r="J242" s="95" t="e">
        <f t="shared" si="18"/>
        <v>#NUM!</v>
      </c>
      <c r="K242" s="95" t="e">
        <f t="shared" si="16"/>
        <v>#NUM!</v>
      </c>
      <c r="L242" s="95"/>
      <c r="M242" s="97">
        <f t="shared" si="17"/>
        <v>0</v>
      </c>
      <c r="S242" s="85"/>
      <c r="T242" s="85"/>
      <c r="U242" s="85"/>
      <c r="V242" s="85"/>
      <c r="W242" s="85"/>
      <c r="X242" s="85"/>
      <c r="Y242" s="85"/>
      <c r="Z242" s="85"/>
      <c r="AA242" s="85"/>
      <c r="AB242" s="85"/>
      <c r="AC242" s="85"/>
      <c r="AD242" s="85"/>
      <c r="AE242" s="85"/>
      <c r="AF242" s="85"/>
      <c r="AG242" s="85"/>
      <c r="AH242" s="85"/>
      <c r="AI242" s="85"/>
      <c r="AJ242" s="85"/>
      <c r="AK242" s="85"/>
      <c r="AL242" s="85"/>
    </row>
    <row r="243" spans="1:38" s="80" customFormat="1" x14ac:dyDescent="0.25">
      <c r="A243" s="116"/>
      <c r="B243" s="115"/>
      <c r="C243" s="115"/>
      <c r="D243" s="115"/>
      <c r="E243" s="115"/>
      <c r="F243" s="115"/>
      <c r="H243" s="95">
        <v>238</v>
      </c>
      <c r="I243" s="96" t="str">
        <f t="shared" si="15"/>
        <v/>
      </c>
      <c r="J243" s="95" t="e">
        <f t="shared" si="18"/>
        <v>#NUM!</v>
      </c>
      <c r="K243" s="95" t="e">
        <f t="shared" si="16"/>
        <v>#NUM!</v>
      </c>
      <c r="L243" s="95"/>
      <c r="M243" s="97">
        <f t="shared" si="17"/>
        <v>0</v>
      </c>
      <c r="S243" s="85"/>
      <c r="T243" s="85"/>
      <c r="U243" s="85"/>
      <c r="V243" s="85"/>
      <c r="W243" s="85"/>
      <c r="X243" s="85"/>
      <c r="Y243" s="85"/>
      <c r="Z243" s="85"/>
      <c r="AA243" s="85"/>
      <c r="AB243" s="85"/>
      <c r="AC243" s="85"/>
      <c r="AD243" s="85"/>
      <c r="AE243" s="85"/>
      <c r="AF243" s="85"/>
      <c r="AG243" s="85"/>
      <c r="AH243" s="85"/>
      <c r="AI243" s="85"/>
      <c r="AJ243" s="85"/>
      <c r="AK243" s="85"/>
      <c r="AL243" s="85"/>
    </row>
    <row r="244" spans="1:38" s="80" customFormat="1" x14ac:dyDescent="0.25">
      <c r="A244" s="116"/>
      <c r="B244" s="115"/>
      <c r="C244" s="115"/>
      <c r="D244" s="115"/>
      <c r="E244" s="115"/>
      <c r="F244" s="115"/>
      <c r="H244" s="95">
        <v>239</v>
      </c>
      <c r="I244" s="96" t="str">
        <f t="shared" si="15"/>
        <v/>
      </c>
      <c r="J244" s="95" t="e">
        <f t="shared" si="18"/>
        <v>#NUM!</v>
      </c>
      <c r="K244" s="95" t="e">
        <f t="shared" si="16"/>
        <v>#NUM!</v>
      </c>
      <c r="L244" s="95"/>
      <c r="M244" s="97">
        <f t="shared" si="17"/>
        <v>0</v>
      </c>
      <c r="S244" s="85"/>
      <c r="T244" s="85"/>
      <c r="U244" s="85"/>
      <c r="V244" s="85"/>
      <c r="W244" s="85"/>
      <c r="X244" s="85"/>
      <c r="Y244" s="85"/>
      <c r="Z244" s="85"/>
      <c r="AA244" s="85"/>
      <c r="AB244" s="85"/>
      <c r="AC244" s="85"/>
      <c r="AD244" s="85"/>
      <c r="AE244" s="85"/>
      <c r="AF244" s="85"/>
      <c r="AG244" s="85"/>
      <c r="AH244" s="85"/>
      <c r="AI244" s="85"/>
      <c r="AJ244" s="85"/>
      <c r="AK244" s="85"/>
      <c r="AL244" s="85"/>
    </row>
    <row r="245" spans="1:38" s="80" customFormat="1" x14ac:dyDescent="0.25">
      <c r="A245" s="116"/>
      <c r="B245" s="115"/>
      <c r="C245" s="115"/>
      <c r="D245" s="115"/>
      <c r="E245" s="115"/>
      <c r="F245" s="115"/>
      <c r="H245" s="95">
        <v>240</v>
      </c>
      <c r="I245" s="96" t="str">
        <f t="shared" si="15"/>
        <v/>
      </c>
      <c r="J245" s="95" t="e">
        <f t="shared" si="18"/>
        <v>#NUM!</v>
      </c>
      <c r="K245" s="95" t="e">
        <f t="shared" si="16"/>
        <v>#NUM!</v>
      </c>
      <c r="L245" s="95"/>
      <c r="M245" s="97">
        <f t="shared" si="17"/>
        <v>0</v>
      </c>
      <c r="S245" s="85"/>
      <c r="T245" s="85"/>
      <c r="U245" s="85"/>
      <c r="V245" s="85"/>
      <c r="W245" s="85"/>
      <c r="X245" s="85"/>
      <c r="Y245" s="85"/>
      <c r="Z245" s="85"/>
      <c r="AA245" s="85"/>
      <c r="AB245" s="85"/>
      <c r="AC245" s="85"/>
      <c r="AD245" s="85"/>
      <c r="AE245" s="85"/>
      <c r="AF245" s="85"/>
      <c r="AG245" s="85"/>
      <c r="AH245" s="85"/>
      <c r="AI245" s="85"/>
      <c r="AJ245" s="85"/>
      <c r="AK245" s="85"/>
      <c r="AL245" s="85"/>
    </row>
    <row r="246" spans="1:38" s="80" customFormat="1" x14ac:dyDescent="0.25">
      <c r="A246" s="116"/>
      <c r="B246" s="115"/>
      <c r="C246" s="115"/>
      <c r="D246" s="115"/>
      <c r="E246" s="115"/>
      <c r="F246" s="115"/>
      <c r="H246" s="95">
        <v>241</v>
      </c>
      <c r="I246" s="96" t="str">
        <f t="shared" si="15"/>
        <v/>
      </c>
      <c r="J246" s="95" t="e">
        <f t="shared" si="18"/>
        <v>#NUM!</v>
      </c>
      <c r="K246" s="95" t="e">
        <f t="shared" si="16"/>
        <v>#NUM!</v>
      </c>
      <c r="L246" s="95"/>
      <c r="M246" s="97">
        <f t="shared" si="17"/>
        <v>0</v>
      </c>
      <c r="S246" s="85"/>
      <c r="T246" s="85"/>
      <c r="U246" s="85"/>
      <c r="V246" s="85"/>
      <c r="W246" s="85"/>
      <c r="X246" s="85"/>
      <c r="Y246" s="85"/>
      <c r="Z246" s="85"/>
      <c r="AA246" s="85"/>
      <c r="AB246" s="85"/>
      <c r="AC246" s="85"/>
      <c r="AD246" s="85"/>
      <c r="AE246" s="85"/>
      <c r="AF246" s="85"/>
      <c r="AG246" s="85"/>
      <c r="AH246" s="85"/>
      <c r="AI246" s="85"/>
      <c r="AJ246" s="85"/>
      <c r="AK246" s="85"/>
      <c r="AL246" s="85"/>
    </row>
    <row r="247" spans="1:38" s="80" customFormat="1" x14ac:dyDescent="0.25">
      <c r="A247" s="116"/>
      <c r="B247" s="115"/>
      <c r="C247" s="115"/>
      <c r="D247" s="115"/>
      <c r="E247" s="115"/>
      <c r="F247" s="115"/>
      <c r="H247" s="95">
        <v>242</v>
      </c>
      <c r="I247" s="96" t="str">
        <f t="shared" si="15"/>
        <v/>
      </c>
      <c r="J247" s="95" t="e">
        <f t="shared" si="18"/>
        <v>#NUM!</v>
      </c>
      <c r="K247" s="95" t="e">
        <f t="shared" si="16"/>
        <v>#NUM!</v>
      </c>
      <c r="L247" s="95"/>
      <c r="M247" s="97">
        <f t="shared" si="17"/>
        <v>0</v>
      </c>
      <c r="S247" s="85"/>
      <c r="T247" s="85"/>
      <c r="U247" s="85"/>
      <c r="V247" s="85"/>
      <c r="W247" s="85"/>
      <c r="X247" s="85"/>
      <c r="Y247" s="85"/>
      <c r="Z247" s="85"/>
      <c r="AA247" s="85"/>
      <c r="AB247" s="85"/>
      <c r="AC247" s="85"/>
      <c r="AD247" s="85"/>
      <c r="AE247" s="85"/>
      <c r="AF247" s="85"/>
      <c r="AG247" s="85"/>
      <c r="AH247" s="85"/>
      <c r="AI247" s="85"/>
      <c r="AJ247" s="85"/>
      <c r="AK247" s="85"/>
      <c r="AL247" s="85"/>
    </row>
    <row r="248" spans="1:38" s="80" customFormat="1" x14ac:dyDescent="0.25">
      <c r="A248" s="116"/>
      <c r="B248" s="115"/>
      <c r="C248" s="115"/>
      <c r="D248" s="115"/>
      <c r="E248" s="115"/>
      <c r="F248" s="115"/>
      <c r="H248" s="95">
        <v>243</v>
      </c>
      <c r="I248" s="96" t="str">
        <f t="shared" si="15"/>
        <v/>
      </c>
      <c r="J248" s="95" t="e">
        <f t="shared" si="18"/>
        <v>#NUM!</v>
      </c>
      <c r="K248" s="95" t="e">
        <f t="shared" si="16"/>
        <v>#NUM!</v>
      </c>
      <c r="L248" s="95"/>
      <c r="M248" s="97">
        <f t="shared" si="17"/>
        <v>0</v>
      </c>
      <c r="S248" s="85"/>
      <c r="T248" s="85"/>
      <c r="U248" s="85"/>
      <c r="V248" s="85"/>
      <c r="W248" s="85"/>
      <c r="X248" s="85"/>
      <c r="Y248" s="85"/>
      <c r="Z248" s="85"/>
      <c r="AA248" s="85"/>
      <c r="AB248" s="85"/>
      <c r="AC248" s="85"/>
      <c r="AD248" s="85"/>
      <c r="AE248" s="85"/>
      <c r="AF248" s="85"/>
      <c r="AG248" s="85"/>
      <c r="AH248" s="85"/>
      <c r="AI248" s="85"/>
      <c r="AJ248" s="85"/>
      <c r="AK248" s="85"/>
      <c r="AL248" s="85"/>
    </row>
    <row r="249" spans="1:38" s="80" customFormat="1" x14ac:dyDescent="0.25">
      <c r="A249" s="116"/>
      <c r="B249" s="115"/>
      <c r="C249" s="115"/>
      <c r="D249" s="115"/>
      <c r="E249" s="115"/>
      <c r="F249" s="115"/>
      <c r="H249" s="95">
        <v>244</v>
      </c>
      <c r="I249" s="96" t="str">
        <f t="shared" si="15"/>
        <v/>
      </c>
      <c r="J249" s="95" t="e">
        <f t="shared" si="18"/>
        <v>#NUM!</v>
      </c>
      <c r="K249" s="95" t="e">
        <f t="shared" si="16"/>
        <v>#NUM!</v>
      </c>
      <c r="L249" s="95"/>
      <c r="M249" s="97">
        <f t="shared" si="17"/>
        <v>0</v>
      </c>
      <c r="S249" s="85"/>
      <c r="T249" s="85"/>
      <c r="U249" s="85"/>
      <c r="V249" s="85"/>
      <c r="W249" s="85"/>
      <c r="X249" s="85"/>
      <c r="Y249" s="85"/>
      <c r="Z249" s="85"/>
      <c r="AA249" s="85"/>
      <c r="AB249" s="85"/>
      <c r="AC249" s="85"/>
      <c r="AD249" s="85"/>
      <c r="AE249" s="85"/>
      <c r="AF249" s="85"/>
      <c r="AG249" s="85"/>
      <c r="AH249" s="85"/>
      <c r="AI249" s="85"/>
      <c r="AJ249" s="85"/>
      <c r="AK249" s="85"/>
      <c r="AL249" s="85"/>
    </row>
    <row r="250" spans="1:38" s="80" customFormat="1" x14ac:dyDescent="0.25">
      <c r="A250" s="116"/>
      <c r="B250" s="115"/>
      <c r="C250" s="115"/>
      <c r="D250" s="115"/>
      <c r="E250" s="115"/>
      <c r="F250" s="115"/>
      <c r="H250" s="95">
        <v>245</v>
      </c>
      <c r="I250" s="96" t="str">
        <f t="shared" si="15"/>
        <v/>
      </c>
      <c r="J250" s="95" t="e">
        <f t="shared" si="18"/>
        <v>#NUM!</v>
      </c>
      <c r="K250" s="95" t="e">
        <f t="shared" si="16"/>
        <v>#NUM!</v>
      </c>
      <c r="L250" s="95"/>
      <c r="M250" s="97">
        <f t="shared" si="17"/>
        <v>0</v>
      </c>
      <c r="S250" s="85"/>
      <c r="T250" s="85"/>
      <c r="U250" s="85"/>
      <c r="V250" s="85"/>
      <c r="W250" s="85"/>
      <c r="X250" s="85"/>
      <c r="Y250" s="85"/>
      <c r="Z250" s="85"/>
      <c r="AA250" s="85"/>
      <c r="AB250" s="85"/>
      <c r="AC250" s="85"/>
      <c r="AD250" s="85"/>
      <c r="AE250" s="85"/>
      <c r="AF250" s="85"/>
      <c r="AG250" s="85"/>
      <c r="AH250" s="85"/>
      <c r="AI250" s="85"/>
      <c r="AJ250" s="85"/>
      <c r="AK250" s="85"/>
      <c r="AL250" s="85"/>
    </row>
    <row r="251" spans="1:38" s="80" customFormat="1" x14ac:dyDescent="0.25">
      <c r="A251" s="116"/>
      <c r="B251" s="115"/>
      <c r="C251" s="115"/>
      <c r="D251" s="115"/>
      <c r="E251" s="115"/>
      <c r="F251" s="115"/>
      <c r="H251" s="95">
        <v>246</v>
      </c>
      <c r="I251" s="96" t="str">
        <f t="shared" si="15"/>
        <v/>
      </c>
      <c r="J251" s="95" t="e">
        <f t="shared" si="18"/>
        <v>#NUM!</v>
      </c>
      <c r="K251" s="95" t="e">
        <f t="shared" si="16"/>
        <v>#NUM!</v>
      </c>
      <c r="L251" s="95"/>
      <c r="M251" s="97">
        <f t="shared" si="17"/>
        <v>0</v>
      </c>
      <c r="S251" s="85"/>
      <c r="T251" s="85"/>
      <c r="U251" s="85"/>
      <c r="V251" s="85"/>
      <c r="W251" s="85"/>
      <c r="X251" s="85"/>
      <c r="Y251" s="85"/>
      <c r="Z251" s="85"/>
      <c r="AA251" s="85"/>
      <c r="AB251" s="85"/>
      <c r="AC251" s="85"/>
      <c r="AD251" s="85"/>
      <c r="AE251" s="85"/>
      <c r="AF251" s="85"/>
      <c r="AG251" s="85"/>
      <c r="AH251" s="85"/>
      <c r="AI251" s="85"/>
      <c r="AJ251" s="85"/>
      <c r="AK251" s="85"/>
      <c r="AL251" s="85"/>
    </row>
    <row r="252" spans="1:38" s="80" customFormat="1" x14ac:dyDescent="0.25">
      <c r="A252" s="116"/>
      <c r="B252" s="115"/>
      <c r="C252" s="115"/>
      <c r="D252" s="115"/>
      <c r="E252" s="115"/>
      <c r="F252" s="115"/>
      <c r="H252" s="95">
        <v>247</v>
      </c>
      <c r="I252" s="96" t="str">
        <f t="shared" si="15"/>
        <v/>
      </c>
      <c r="J252" s="95" t="e">
        <f t="shared" si="18"/>
        <v>#NUM!</v>
      </c>
      <c r="K252" s="95" t="e">
        <f t="shared" si="16"/>
        <v>#NUM!</v>
      </c>
      <c r="L252" s="95"/>
      <c r="M252" s="97">
        <f t="shared" si="17"/>
        <v>0</v>
      </c>
      <c r="S252" s="85"/>
      <c r="T252" s="85"/>
      <c r="U252" s="85"/>
      <c r="V252" s="85"/>
      <c r="W252" s="85"/>
      <c r="X252" s="85"/>
      <c r="Y252" s="85"/>
      <c r="Z252" s="85"/>
      <c r="AA252" s="85"/>
      <c r="AB252" s="85"/>
      <c r="AC252" s="85"/>
      <c r="AD252" s="85"/>
      <c r="AE252" s="85"/>
      <c r="AF252" s="85"/>
      <c r="AG252" s="85"/>
      <c r="AH252" s="85"/>
      <c r="AI252" s="85"/>
      <c r="AJ252" s="85"/>
      <c r="AK252" s="85"/>
      <c r="AL252" s="85"/>
    </row>
    <row r="253" spans="1:38" s="80" customFormat="1" x14ac:dyDescent="0.25">
      <c r="A253" s="116"/>
      <c r="B253" s="115"/>
      <c r="C253" s="115"/>
      <c r="D253" s="115"/>
      <c r="E253" s="115"/>
      <c r="F253" s="115"/>
      <c r="H253" s="95">
        <v>248</v>
      </c>
      <c r="I253" s="96" t="str">
        <f t="shared" si="15"/>
        <v/>
      </c>
      <c r="J253" s="95" t="e">
        <f t="shared" si="18"/>
        <v>#NUM!</v>
      </c>
      <c r="K253" s="95" t="e">
        <f t="shared" si="16"/>
        <v>#NUM!</v>
      </c>
      <c r="L253" s="95"/>
      <c r="M253" s="97">
        <f t="shared" si="17"/>
        <v>0</v>
      </c>
      <c r="S253" s="85"/>
      <c r="T253" s="85"/>
      <c r="U253" s="85"/>
      <c r="V253" s="85"/>
      <c r="W253" s="85"/>
      <c r="X253" s="85"/>
      <c r="Y253" s="85"/>
      <c r="Z253" s="85"/>
      <c r="AA253" s="85"/>
      <c r="AB253" s="85"/>
      <c r="AC253" s="85"/>
      <c r="AD253" s="85"/>
      <c r="AE253" s="85"/>
      <c r="AF253" s="85"/>
      <c r="AG253" s="85"/>
      <c r="AH253" s="85"/>
      <c r="AI253" s="85"/>
      <c r="AJ253" s="85"/>
      <c r="AK253" s="85"/>
      <c r="AL253" s="85"/>
    </row>
    <row r="254" spans="1:38" s="80" customFormat="1" x14ac:dyDescent="0.25">
      <c r="A254" s="116"/>
      <c r="B254" s="115"/>
      <c r="C254" s="115"/>
      <c r="D254" s="115"/>
      <c r="E254" s="115"/>
      <c r="F254" s="115"/>
      <c r="H254" s="95">
        <v>249</v>
      </c>
      <c r="I254" s="96" t="str">
        <f t="shared" si="15"/>
        <v/>
      </c>
      <c r="J254" s="95" t="e">
        <f t="shared" si="18"/>
        <v>#NUM!</v>
      </c>
      <c r="K254" s="95" t="e">
        <f t="shared" si="16"/>
        <v>#NUM!</v>
      </c>
      <c r="L254" s="95"/>
      <c r="M254" s="97">
        <f t="shared" si="17"/>
        <v>0</v>
      </c>
      <c r="S254" s="85"/>
      <c r="T254" s="85"/>
      <c r="U254" s="85"/>
      <c r="V254" s="85"/>
      <c r="W254" s="85"/>
      <c r="X254" s="85"/>
      <c r="Y254" s="85"/>
      <c r="Z254" s="85"/>
      <c r="AA254" s="85"/>
      <c r="AB254" s="85"/>
      <c r="AC254" s="85"/>
      <c r="AD254" s="85"/>
      <c r="AE254" s="85"/>
      <c r="AF254" s="85"/>
      <c r="AG254" s="85"/>
      <c r="AH254" s="85"/>
      <c r="AI254" s="85"/>
      <c r="AJ254" s="85"/>
      <c r="AK254" s="85"/>
      <c r="AL254" s="85"/>
    </row>
    <row r="255" spans="1:38" s="80" customFormat="1" x14ac:dyDescent="0.25">
      <c r="A255" s="116"/>
      <c r="B255" s="115"/>
      <c r="C255" s="115"/>
      <c r="D255" s="115"/>
      <c r="E255" s="115"/>
      <c r="F255" s="115"/>
      <c r="H255" s="95">
        <v>250</v>
      </c>
      <c r="I255" s="96" t="str">
        <f t="shared" si="15"/>
        <v/>
      </c>
      <c r="J255" s="95" t="e">
        <f t="shared" si="18"/>
        <v>#NUM!</v>
      </c>
      <c r="K255" s="95" t="e">
        <f t="shared" si="16"/>
        <v>#NUM!</v>
      </c>
      <c r="L255" s="95"/>
      <c r="M255" s="97">
        <f t="shared" si="17"/>
        <v>0</v>
      </c>
      <c r="S255" s="85"/>
      <c r="T255" s="85"/>
      <c r="U255" s="85"/>
      <c r="V255" s="85"/>
      <c r="W255" s="85"/>
      <c r="X255" s="85"/>
      <c r="Y255" s="85"/>
      <c r="Z255" s="85"/>
      <c r="AA255" s="85"/>
      <c r="AB255" s="85"/>
      <c r="AC255" s="85"/>
      <c r="AD255" s="85"/>
      <c r="AE255" s="85"/>
      <c r="AF255" s="85"/>
      <c r="AG255" s="85"/>
      <c r="AH255" s="85"/>
      <c r="AI255" s="85"/>
      <c r="AJ255" s="85"/>
      <c r="AK255" s="85"/>
      <c r="AL255" s="85"/>
    </row>
    <row r="256" spans="1:38" s="80" customFormat="1" x14ac:dyDescent="0.25">
      <c r="A256" s="116"/>
      <c r="B256" s="115"/>
      <c r="C256" s="115"/>
      <c r="D256" s="115"/>
      <c r="E256" s="115"/>
      <c r="F256" s="115"/>
      <c r="H256" s="95">
        <v>251</v>
      </c>
      <c r="I256" s="96" t="str">
        <f t="shared" si="15"/>
        <v/>
      </c>
      <c r="J256" s="95" t="e">
        <f t="shared" si="18"/>
        <v>#NUM!</v>
      </c>
      <c r="K256" s="95" t="e">
        <f t="shared" si="16"/>
        <v>#NUM!</v>
      </c>
      <c r="L256" s="95"/>
      <c r="M256" s="97">
        <f t="shared" si="17"/>
        <v>0</v>
      </c>
      <c r="S256" s="85"/>
      <c r="T256" s="85"/>
      <c r="U256" s="85"/>
      <c r="V256" s="85"/>
      <c r="W256" s="85"/>
      <c r="X256" s="85"/>
      <c r="Y256" s="85"/>
      <c r="Z256" s="85"/>
      <c r="AA256" s="85"/>
      <c r="AB256" s="85"/>
      <c r="AC256" s="85"/>
      <c r="AD256" s="85"/>
      <c r="AE256" s="85"/>
      <c r="AF256" s="85"/>
      <c r="AG256" s="85"/>
      <c r="AH256" s="85"/>
      <c r="AI256" s="85"/>
      <c r="AJ256" s="85"/>
      <c r="AK256" s="85"/>
      <c r="AL256" s="85"/>
    </row>
    <row r="257" spans="1:38" s="80" customFormat="1" x14ac:dyDescent="0.25">
      <c r="A257" s="116"/>
      <c r="B257" s="115"/>
      <c r="C257" s="115"/>
      <c r="D257" s="115"/>
      <c r="E257" s="115"/>
      <c r="F257" s="115"/>
      <c r="H257" s="95">
        <v>252</v>
      </c>
      <c r="I257" s="96" t="str">
        <f t="shared" si="15"/>
        <v/>
      </c>
      <c r="J257" s="95" t="e">
        <f t="shared" si="18"/>
        <v>#NUM!</v>
      </c>
      <c r="K257" s="95" t="e">
        <f t="shared" si="16"/>
        <v>#NUM!</v>
      </c>
      <c r="L257" s="95"/>
      <c r="M257" s="97">
        <f t="shared" si="17"/>
        <v>0</v>
      </c>
      <c r="S257" s="85"/>
      <c r="T257" s="85"/>
      <c r="U257" s="85"/>
      <c r="V257" s="85"/>
      <c r="W257" s="85"/>
      <c r="X257" s="85"/>
      <c r="Y257" s="85"/>
      <c r="Z257" s="85"/>
      <c r="AA257" s="85"/>
      <c r="AB257" s="85"/>
      <c r="AC257" s="85"/>
      <c r="AD257" s="85"/>
      <c r="AE257" s="85"/>
      <c r="AF257" s="85"/>
      <c r="AG257" s="85"/>
      <c r="AH257" s="85"/>
      <c r="AI257" s="85"/>
      <c r="AJ257" s="85"/>
      <c r="AK257" s="85"/>
      <c r="AL257" s="85"/>
    </row>
    <row r="258" spans="1:38" s="80" customFormat="1" x14ac:dyDescent="0.25">
      <c r="A258" s="116"/>
      <c r="B258" s="115"/>
      <c r="C258" s="115"/>
      <c r="D258" s="115"/>
      <c r="E258" s="115"/>
      <c r="F258" s="115"/>
      <c r="H258" s="95">
        <v>253</v>
      </c>
      <c r="I258" s="96" t="str">
        <f t="shared" si="15"/>
        <v/>
      </c>
      <c r="J258" s="95" t="e">
        <f t="shared" si="18"/>
        <v>#NUM!</v>
      </c>
      <c r="K258" s="95" t="e">
        <f t="shared" si="16"/>
        <v>#NUM!</v>
      </c>
      <c r="L258" s="95"/>
      <c r="M258" s="97">
        <f t="shared" si="17"/>
        <v>0</v>
      </c>
      <c r="S258" s="85"/>
      <c r="T258" s="85"/>
      <c r="U258" s="85"/>
      <c r="V258" s="85"/>
      <c r="W258" s="85"/>
      <c r="X258" s="85"/>
      <c r="Y258" s="85"/>
      <c r="Z258" s="85"/>
      <c r="AA258" s="85"/>
      <c r="AB258" s="85"/>
      <c r="AC258" s="85"/>
      <c r="AD258" s="85"/>
      <c r="AE258" s="85"/>
      <c r="AF258" s="85"/>
      <c r="AG258" s="85"/>
      <c r="AH258" s="85"/>
      <c r="AI258" s="85"/>
      <c r="AJ258" s="85"/>
      <c r="AK258" s="85"/>
      <c r="AL258" s="85"/>
    </row>
    <row r="259" spans="1:38" s="80" customFormat="1" x14ac:dyDescent="0.25">
      <c r="A259" s="116"/>
      <c r="B259" s="115"/>
      <c r="C259" s="115"/>
      <c r="D259" s="115"/>
      <c r="E259" s="115"/>
      <c r="F259" s="115"/>
      <c r="H259" s="95">
        <v>254</v>
      </c>
      <c r="I259" s="96" t="str">
        <f t="shared" si="15"/>
        <v/>
      </c>
      <c r="J259" s="95" t="e">
        <f t="shared" si="18"/>
        <v>#NUM!</v>
      </c>
      <c r="K259" s="95" t="e">
        <f t="shared" si="16"/>
        <v>#NUM!</v>
      </c>
      <c r="L259" s="95"/>
      <c r="M259" s="97">
        <f t="shared" si="17"/>
        <v>0</v>
      </c>
      <c r="S259" s="85"/>
      <c r="T259" s="85"/>
      <c r="U259" s="85"/>
      <c r="V259" s="85"/>
      <c r="W259" s="85"/>
      <c r="X259" s="85"/>
      <c r="Y259" s="85"/>
      <c r="Z259" s="85"/>
      <c r="AA259" s="85"/>
      <c r="AB259" s="85"/>
      <c r="AC259" s="85"/>
      <c r="AD259" s="85"/>
      <c r="AE259" s="85"/>
      <c r="AF259" s="85"/>
      <c r="AG259" s="85"/>
      <c r="AH259" s="85"/>
      <c r="AI259" s="85"/>
      <c r="AJ259" s="85"/>
      <c r="AK259" s="85"/>
      <c r="AL259" s="85"/>
    </row>
    <row r="260" spans="1:38" s="80" customFormat="1" x14ac:dyDescent="0.25">
      <c r="A260" s="116"/>
      <c r="B260" s="115"/>
      <c r="C260" s="115"/>
      <c r="D260" s="115"/>
      <c r="E260" s="115"/>
      <c r="F260" s="115"/>
      <c r="H260" s="95">
        <v>255</v>
      </c>
      <c r="I260" s="96" t="str">
        <f t="shared" si="15"/>
        <v/>
      </c>
      <c r="J260" s="95" t="e">
        <f t="shared" si="18"/>
        <v>#NUM!</v>
      </c>
      <c r="K260" s="95" t="e">
        <f t="shared" si="16"/>
        <v>#NUM!</v>
      </c>
      <c r="L260" s="95"/>
      <c r="M260" s="97">
        <f t="shared" si="17"/>
        <v>0</v>
      </c>
      <c r="S260" s="85"/>
      <c r="T260" s="85"/>
      <c r="U260" s="85"/>
      <c r="V260" s="85"/>
      <c r="W260" s="85"/>
      <c r="X260" s="85"/>
      <c r="Y260" s="85"/>
      <c r="Z260" s="85"/>
      <c r="AA260" s="85"/>
      <c r="AB260" s="85"/>
      <c r="AC260" s="85"/>
      <c r="AD260" s="85"/>
      <c r="AE260" s="85"/>
      <c r="AF260" s="85"/>
      <c r="AG260" s="85"/>
      <c r="AH260" s="85"/>
      <c r="AI260" s="85"/>
      <c r="AJ260" s="85"/>
      <c r="AK260" s="85"/>
      <c r="AL260" s="85"/>
    </row>
    <row r="261" spans="1:38" s="80" customFormat="1" x14ac:dyDescent="0.25">
      <c r="A261" s="116"/>
      <c r="B261" s="115"/>
      <c r="C261" s="115"/>
      <c r="D261" s="115"/>
      <c r="E261" s="115"/>
      <c r="F261" s="115"/>
      <c r="H261" s="95">
        <v>256</v>
      </c>
      <c r="I261" s="96" t="str">
        <f t="shared" si="15"/>
        <v/>
      </c>
      <c r="J261" s="95" t="e">
        <f t="shared" si="18"/>
        <v>#NUM!</v>
      </c>
      <c r="K261" s="95" t="e">
        <f t="shared" si="16"/>
        <v>#NUM!</v>
      </c>
      <c r="L261" s="95"/>
      <c r="M261" s="97">
        <f t="shared" si="17"/>
        <v>0</v>
      </c>
      <c r="S261" s="85"/>
      <c r="T261" s="85"/>
      <c r="U261" s="85"/>
      <c r="V261" s="85"/>
      <c r="W261" s="85"/>
      <c r="X261" s="85"/>
      <c r="Y261" s="85"/>
      <c r="Z261" s="85"/>
      <c r="AA261" s="85"/>
      <c r="AB261" s="85"/>
      <c r="AC261" s="85"/>
      <c r="AD261" s="85"/>
      <c r="AE261" s="85"/>
      <c r="AF261" s="85"/>
      <c r="AG261" s="85"/>
      <c r="AH261" s="85"/>
      <c r="AI261" s="85"/>
      <c r="AJ261" s="85"/>
      <c r="AK261" s="85"/>
      <c r="AL261" s="85"/>
    </row>
    <row r="262" spans="1:38" s="80" customFormat="1" x14ac:dyDescent="0.25">
      <c r="A262" s="116"/>
      <c r="B262" s="115"/>
      <c r="C262" s="115"/>
      <c r="D262" s="115"/>
      <c r="E262" s="115"/>
      <c r="F262" s="115"/>
      <c r="H262" s="95">
        <v>257</v>
      </c>
      <c r="I262" s="96" t="str">
        <f t="shared" ref="I262:I305" si="19">IF(H262&lt;$H$2+1,($I$2-($I$2-1)*(LOG(H262)/LOG($H$2))),"")</f>
        <v/>
      </c>
      <c r="J262" s="95" t="e">
        <f t="shared" si="18"/>
        <v>#NUM!</v>
      </c>
      <c r="K262" s="95" t="e">
        <f t="shared" ref="K262:K305" si="20">J262*$J$2</f>
        <v>#NUM!</v>
      </c>
      <c r="L262" s="95"/>
      <c r="M262" s="97">
        <f t="shared" ref="M262:M305" si="21">IF(I262&lt;&gt;"",K262+I262+L262,0)</f>
        <v>0</v>
      </c>
      <c r="S262" s="85"/>
      <c r="T262" s="85"/>
      <c r="U262" s="85"/>
      <c r="V262" s="85"/>
      <c r="W262" s="85"/>
      <c r="X262" s="85"/>
      <c r="Y262" s="85"/>
      <c r="Z262" s="85"/>
      <c r="AA262" s="85"/>
      <c r="AB262" s="85"/>
      <c r="AC262" s="85"/>
      <c r="AD262" s="85"/>
      <c r="AE262" s="85"/>
      <c r="AF262" s="85"/>
      <c r="AG262" s="85"/>
      <c r="AH262" s="85"/>
      <c r="AI262" s="85"/>
      <c r="AJ262" s="85"/>
      <c r="AK262" s="85"/>
      <c r="AL262" s="85"/>
    </row>
    <row r="263" spans="1:38" s="80" customFormat="1" x14ac:dyDescent="0.25">
      <c r="A263" s="116"/>
      <c r="B263" s="115"/>
      <c r="C263" s="115"/>
      <c r="D263" s="115"/>
      <c r="E263" s="115"/>
      <c r="F263" s="115"/>
      <c r="H263" s="95">
        <v>258</v>
      </c>
      <c r="I263" s="96" t="str">
        <f t="shared" si="19"/>
        <v/>
      </c>
      <c r="J263" s="95" t="e">
        <f t="shared" si="18"/>
        <v>#NUM!</v>
      </c>
      <c r="K263" s="95" t="e">
        <f t="shared" si="20"/>
        <v>#NUM!</v>
      </c>
      <c r="L263" s="95"/>
      <c r="M263" s="97">
        <f t="shared" si="21"/>
        <v>0</v>
      </c>
      <c r="S263" s="85"/>
      <c r="T263" s="85"/>
      <c r="U263" s="85"/>
      <c r="V263" s="85"/>
      <c r="W263" s="85"/>
      <c r="X263" s="85"/>
      <c r="Y263" s="85"/>
      <c r="Z263" s="85"/>
      <c r="AA263" s="85"/>
      <c r="AB263" s="85"/>
      <c r="AC263" s="85"/>
      <c r="AD263" s="85"/>
      <c r="AE263" s="85"/>
      <c r="AF263" s="85"/>
      <c r="AG263" s="85"/>
      <c r="AH263" s="85"/>
      <c r="AI263" s="85"/>
      <c r="AJ263" s="85"/>
      <c r="AK263" s="85"/>
      <c r="AL263" s="85"/>
    </row>
    <row r="264" spans="1:38" s="80" customFormat="1" x14ac:dyDescent="0.25">
      <c r="A264" s="116"/>
      <c r="B264" s="115"/>
      <c r="C264" s="115"/>
      <c r="D264" s="115"/>
      <c r="E264" s="115"/>
      <c r="F264" s="115"/>
      <c r="H264" s="95">
        <v>259</v>
      </c>
      <c r="I264" s="96" t="str">
        <f t="shared" si="19"/>
        <v/>
      </c>
      <c r="J264" s="95" t="e">
        <f t="shared" si="18"/>
        <v>#NUM!</v>
      </c>
      <c r="K264" s="95" t="e">
        <f t="shared" si="20"/>
        <v>#NUM!</v>
      </c>
      <c r="L264" s="95"/>
      <c r="M264" s="97">
        <f t="shared" si="21"/>
        <v>0</v>
      </c>
      <c r="S264" s="85"/>
      <c r="T264" s="85"/>
      <c r="U264" s="85"/>
      <c r="V264" s="85"/>
      <c r="W264" s="85"/>
      <c r="X264" s="85"/>
      <c r="Y264" s="85"/>
      <c r="Z264" s="85"/>
      <c r="AA264" s="85"/>
      <c r="AB264" s="85"/>
      <c r="AC264" s="85"/>
      <c r="AD264" s="85"/>
      <c r="AE264" s="85"/>
      <c r="AF264" s="85"/>
      <c r="AG264" s="85"/>
      <c r="AH264" s="85"/>
      <c r="AI264" s="85"/>
      <c r="AJ264" s="85"/>
      <c r="AK264" s="85"/>
      <c r="AL264" s="85"/>
    </row>
    <row r="265" spans="1:38" s="80" customFormat="1" x14ac:dyDescent="0.25">
      <c r="A265" s="116"/>
      <c r="B265" s="115"/>
      <c r="C265" s="115"/>
      <c r="D265" s="115"/>
      <c r="E265" s="115"/>
      <c r="F265" s="115"/>
      <c r="H265" s="95">
        <v>260</v>
      </c>
      <c r="I265" s="96" t="str">
        <f t="shared" si="19"/>
        <v/>
      </c>
      <c r="J265" s="95" t="e">
        <f t="shared" si="18"/>
        <v>#NUM!</v>
      </c>
      <c r="K265" s="95" t="e">
        <f t="shared" si="20"/>
        <v>#NUM!</v>
      </c>
      <c r="L265" s="95"/>
      <c r="M265" s="97">
        <f t="shared" si="21"/>
        <v>0</v>
      </c>
      <c r="S265" s="85"/>
      <c r="T265" s="85"/>
      <c r="U265" s="85"/>
      <c r="V265" s="85"/>
      <c r="W265" s="85"/>
      <c r="X265" s="85"/>
      <c r="Y265" s="85"/>
      <c r="Z265" s="85"/>
      <c r="AA265" s="85"/>
      <c r="AB265" s="85"/>
      <c r="AC265" s="85"/>
      <c r="AD265" s="85"/>
      <c r="AE265" s="85"/>
      <c r="AF265" s="85"/>
      <c r="AG265" s="85"/>
      <c r="AH265" s="85"/>
      <c r="AI265" s="85"/>
      <c r="AJ265" s="85"/>
      <c r="AK265" s="85"/>
      <c r="AL265" s="85"/>
    </row>
    <row r="266" spans="1:38" s="80" customFormat="1" x14ac:dyDescent="0.25">
      <c r="A266" s="116"/>
      <c r="B266" s="115"/>
      <c r="C266" s="115"/>
      <c r="D266" s="115"/>
      <c r="E266" s="115"/>
      <c r="F266" s="115"/>
      <c r="H266" s="95">
        <v>261</v>
      </c>
      <c r="I266" s="96" t="str">
        <f t="shared" si="19"/>
        <v/>
      </c>
      <c r="J266" s="95" t="e">
        <f t="shared" ref="J266:J305" si="22">INT(LOG($H$2,2))-ROUNDUP(LOG(H266,2),0)+IF(OR($H$2=1,$H$2=2,$H$2=4,$H$2=8,$H$2=16,$H$2=32,$H$2=64,$H$2=128,$H$2=256),0,1)</f>
        <v>#NUM!</v>
      </c>
      <c r="K266" s="95" t="e">
        <f t="shared" si="20"/>
        <v>#NUM!</v>
      </c>
      <c r="L266" s="95"/>
      <c r="M266" s="97">
        <f t="shared" si="21"/>
        <v>0</v>
      </c>
      <c r="S266" s="85"/>
      <c r="T266" s="85"/>
      <c r="U266" s="85"/>
      <c r="V266" s="85"/>
      <c r="W266" s="85"/>
      <c r="X266" s="85"/>
      <c r="Y266" s="85"/>
      <c r="Z266" s="85"/>
      <c r="AA266" s="85"/>
      <c r="AB266" s="85"/>
      <c r="AC266" s="85"/>
      <c r="AD266" s="85"/>
      <c r="AE266" s="85"/>
      <c r="AF266" s="85"/>
      <c r="AG266" s="85"/>
      <c r="AH266" s="85"/>
      <c r="AI266" s="85"/>
      <c r="AJ266" s="85"/>
      <c r="AK266" s="85"/>
      <c r="AL266" s="85"/>
    </row>
    <row r="267" spans="1:38" s="80" customFormat="1" x14ac:dyDescent="0.25">
      <c r="A267" s="116"/>
      <c r="B267" s="115"/>
      <c r="C267" s="115"/>
      <c r="D267" s="115"/>
      <c r="E267" s="115"/>
      <c r="F267" s="115"/>
      <c r="H267" s="95">
        <v>262</v>
      </c>
      <c r="I267" s="96" t="str">
        <f t="shared" si="19"/>
        <v/>
      </c>
      <c r="J267" s="95" t="e">
        <f t="shared" si="22"/>
        <v>#NUM!</v>
      </c>
      <c r="K267" s="95" t="e">
        <f t="shared" si="20"/>
        <v>#NUM!</v>
      </c>
      <c r="L267" s="95"/>
      <c r="M267" s="97">
        <f t="shared" si="21"/>
        <v>0</v>
      </c>
      <c r="S267" s="85"/>
      <c r="T267" s="85"/>
      <c r="U267" s="85"/>
      <c r="V267" s="85"/>
      <c r="W267" s="85"/>
      <c r="X267" s="85"/>
      <c r="Y267" s="85"/>
      <c r="Z267" s="85"/>
      <c r="AA267" s="85"/>
      <c r="AB267" s="85"/>
      <c r="AC267" s="85"/>
      <c r="AD267" s="85"/>
      <c r="AE267" s="85"/>
      <c r="AF267" s="85"/>
      <c r="AG267" s="85"/>
      <c r="AH267" s="85"/>
      <c r="AI267" s="85"/>
      <c r="AJ267" s="85"/>
      <c r="AK267" s="85"/>
      <c r="AL267" s="85"/>
    </row>
    <row r="268" spans="1:38" s="80" customFormat="1" x14ac:dyDescent="0.25">
      <c r="A268" s="116"/>
      <c r="B268" s="115"/>
      <c r="C268" s="115"/>
      <c r="D268" s="115"/>
      <c r="E268" s="115"/>
      <c r="F268" s="115"/>
      <c r="H268" s="95">
        <v>263</v>
      </c>
      <c r="I268" s="96" t="str">
        <f t="shared" si="19"/>
        <v/>
      </c>
      <c r="J268" s="95" t="e">
        <f t="shared" si="22"/>
        <v>#NUM!</v>
      </c>
      <c r="K268" s="95" t="e">
        <f t="shared" si="20"/>
        <v>#NUM!</v>
      </c>
      <c r="L268" s="95"/>
      <c r="M268" s="97">
        <f t="shared" si="21"/>
        <v>0</v>
      </c>
      <c r="S268" s="85"/>
      <c r="T268" s="85"/>
      <c r="U268" s="85"/>
      <c r="V268" s="85"/>
      <c r="W268" s="85"/>
      <c r="X268" s="85"/>
      <c r="Y268" s="85"/>
      <c r="Z268" s="85"/>
      <c r="AA268" s="85"/>
      <c r="AB268" s="85"/>
      <c r="AC268" s="85"/>
      <c r="AD268" s="85"/>
      <c r="AE268" s="85"/>
      <c r="AF268" s="85"/>
      <c r="AG268" s="85"/>
      <c r="AH268" s="85"/>
      <c r="AI268" s="85"/>
      <c r="AJ268" s="85"/>
      <c r="AK268" s="85"/>
      <c r="AL268" s="85"/>
    </row>
    <row r="269" spans="1:38" s="80" customFormat="1" x14ac:dyDescent="0.25">
      <c r="A269" s="116"/>
      <c r="B269" s="115"/>
      <c r="C269" s="115"/>
      <c r="D269" s="115"/>
      <c r="E269" s="115"/>
      <c r="F269" s="115"/>
      <c r="H269" s="95">
        <v>264</v>
      </c>
      <c r="I269" s="96" t="str">
        <f t="shared" si="19"/>
        <v/>
      </c>
      <c r="J269" s="95" t="e">
        <f t="shared" si="22"/>
        <v>#NUM!</v>
      </c>
      <c r="K269" s="95" t="e">
        <f t="shared" si="20"/>
        <v>#NUM!</v>
      </c>
      <c r="L269" s="95"/>
      <c r="M269" s="97">
        <f t="shared" si="21"/>
        <v>0</v>
      </c>
      <c r="S269" s="85"/>
      <c r="T269" s="85"/>
      <c r="U269" s="85"/>
      <c r="V269" s="85"/>
      <c r="W269" s="85"/>
      <c r="X269" s="85"/>
      <c r="Y269" s="85"/>
      <c r="Z269" s="85"/>
      <c r="AA269" s="85"/>
      <c r="AB269" s="85"/>
      <c r="AC269" s="85"/>
      <c r="AD269" s="85"/>
      <c r="AE269" s="85"/>
      <c r="AF269" s="85"/>
      <c r="AG269" s="85"/>
      <c r="AH269" s="85"/>
      <c r="AI269" s="85"/>
      <c r="AJ269" s="85"/>
      <c r="AK269" s="85"/>
      <c r="AL269" s="85"/>
    </row>
    <row r="270" spans="1:38" s="80" customFormat="1" x14ac:dyDescent="0.25">
      <c r="A270" s="116"/>
      <c r="B270" s="115"/>
      <c r="C270" s="115"/>
      <c r="D270" s="115"/>
      <c r="E270" s="115"/>
      <c r="F270" s="115"/>
      <c r="H270" s="95">
        <v>265</v>
      </c>
      <c r="I270" s="96" t="str">
        <f t="shared" si="19"/>
        <v/>
      </c>
      <c r="J270" s="95" t="e">
        <f t="shared" si="22"/>
        <v>#NUM!</v>
      </c>
      <c r="K270" s="95" t="e">
        <f t="shared" si="20"/>
        <v>#NUM!</v>
      </c>
      <c r="L270" s="95"/>
      <c r="M270" s="97">
        <f t="shared" si="21"/>
        <v>0</v>
      </c>
      <c r="S270" s="85"/>
      <c r="T270" s="85"/>
      <c r="U270" s="85"/>
      <c r="V270" s="85"/>
      <c r="W270" s="85"/>
      <c r="X270" s="85"/>
      <c r="Y270" s="85"/>
      <c r="Z270" s="85"/>
      <c r="AA270" s="85"/>
      <c r="AB270" s="85"/>
      <c r="AC270" s="85"/>
      <c r="AD270" s="85"/>
      <c r="AE270" s="85"/>
      <c r="AF270" s="85"/>
      <c r="AG270" s="85"/>
      <c r="AH270" s="85"/>
      <c r="AI270" s="85"/>
      <c r="AJ270" s="85"/>
      <c r="AK270" s="85"/>
      <c r="AL270" s="85"/>
    </row>
    <row r="271" spans="1:38" s="80" customFormat="1" x14ac:dyDescent="0.25">
      <c r="A271" s="116"/>
      <c r="B271" s="115"/>
      <c r="C271" s="115"/>
      <c r="D271" s="115"/>
      <c r="E271" s="115"/>
      <c r="F271" s="115"/>
      <c r="H271" s="95">
        <v>266</v>
      </c>
      <c r="I271" s="96" t="str">
        <f t="shared" si="19"/>
        <v/>
      </c>
      <c r="J271" s="95" t="e">
        <f t="shared" si="22"/>
        <v>#NUM!</v>
      </c>
      <c r="K271" s="95" t="e">
        <f t="shared" si="20"/>
        <v>#NUM!</v>
      </c>
      <c r="L271" s="95"/>
      <c r="M271" s="97">
        <f t="shared" si="21"/>
        <v>0</v>
      </c>
      <c r="S271" s="85"/>
      <c r="T271" s="85"/>
      <c r="U271" s="85"/>
      <c r="V271" s="85"/>
      <c r="W271" s="85"/>
      <c r="X271" s="85"/>
      <c r="Y271" s="85"/>
      <c r="Z271" s="85"/>
      <c r="AA271" s="85"/>
      <c r="AB271" s="85"/>
      <c r="AC271" s="85"/>
      <c r="AD271" s="85"/>
      <c r="AE271" s="85"/>
      <c r="AF271" s="85"/>
      <c r="AG271" s="85"/>
      <c r="AH271" s="85"/>
      <c r="AI271" s="85"/>
      <c r="AJ271" s="85"/>
      <c r="AK271" s="85"/>
      <c r="AL271" s="85"/>
    </row>
    <row r="272" spans="1:38" s="80" customFormat="1" x14ac:dyDescent="0.25">
      <c r="A272" s="116"/>
      <c r="B272" s="115"/>
      <c r="C272" s="115"/>
      <c r="D272" s="115"/>
      <c r="E272" s="115"/>
      <c r="F272" s="115"/>
      <c r="H272" s="95">
        <v>267</v>
      </c>
      <c r="I272" s="96" t="str">
        <f t="shared" si="19"/>
        <v/>
      </c>
      <c r="J272" s="95" t="e">
        <f t="shared" si="22"/>
        <v>#NUM!</v>
      </c>
      <c r="K272" s="95" t="e">
        <f t="shared" si="20"/>
        <v>#NUM!</v>
      </c>
      <c r="L272" s="95"/>
      <c r="M272" s="97">
        <f t="shared" si="21"/>
        <v>0</v>
      </c>
      <c r="S272" s="85"/>
      <c r="T272" s="85"/>
      <c r="U272" s="85"/>
      <c r="V272" s="85"/>
      <c r="W272" s="85"/>
      <c r="X272" s="85"/>
      <c r="Y272" s="85"/>
      <c r="Z272" s="85"/>
      <c r="AA272" s="85"/>
      <c r="AB272" s="85"/>
      <c r="AC272" s="85"/>
      <c r="AD272" s="85"/>
      <c r="AE272" s="85"/>
      <c r="AF272" s="85"/>
      <c r="AG272" s="85"/>
      <c r="AH272" s="85"/>
      <c r="AI272" s="85"/>
      <c r="AJ272" s="85"/>
      <c r="AK272" s="85"/>
      <c r="AL272" s="85"/>
    </row>
    <row r="273" spans="1:38" s="80" customFormat="1" x14ac:dyDescent="0.25">
      <c r="A273" s="116"/>
      <c r="B273" s="115"/>
      <c r="C273" s="115"/>
      <c r="D273" s="115"/>
      <c r="E273" s="115"/>
      <c r="F273" s="115"/>
      <c r="H273" s="95">
        <v>268</v>
      </c>
      <c r="I273" s="96" t="str">
        <f t="shared" si="19"/>
        <v/>
      </c>
      <c r="J273" s="95" t="e">
        <f t="shared" si="22"/>
        <v>#NUM!</v>
      </c>
      <c r="K273" s="95" t="e">
        <f t="shared" si="20"/>
        <v>#NUM!</v>
      </c>
      <c r="L273" s="95"/>
      <c r="M273" s="97">
        <f t="shared" si="21"/>
        <v>0</v>
      </c>
      <c r="S273" s="85"/>
      <c r="T273" s="85"/>
      <c r="U273" s="85"/>
      <c r="V273" s="85"/>
      <c r="W273" s="85"/>
      <c r="X273" s="85"/>
      <c r="Y273" s="85"/>
      <c r="Z273" s="85"/>
      <c r="AA273" s="85"/>
      <c r="AB273" s="85"/>
      <c r="AC273" s="85"/>
      <c r="AD273" s="85"/>
      <c r="AE273" s="85"/>
      <c r="AF273" s="85"/>
      <c r="AG273" s="85"/>
      <c r="AH273" s="85"/>
      <c r="AI273" s="85"/>
      <c r="AJ273" s="85"/>
      <c r="AK273" s="85"/>
      <c r="AL273" s="85"/>
    </row>
    <row r="274" spans="1:38" s="80" customFormat="1" x14ac:dyDescent="0.25">
      <c r="A274" s="116"/>
      <c r="B274" s="115"/>
      <c r="C274" s="115"/>
      <c r="D274" s="115"/>
      <c r="E274" s="115"/>
      <c r="F274" s="115"/>
      <c r="H274" s="95">
        <v>269</v>
      </c>
      <c r="I274" s="96" t="str">
        <f t="shared" si="19"/>
        <v/>
      </c>
      <c r="J274" s="95" t="e">
        <f t="shared" si="22"/>
        <v>#NUM!</v>
      </c>
      <c r="K274" s="95" t="e">
        <f t="shared" si="20"/>
        <v>#NUM!</v>
      </c>
      <c r="L274" s="95"/>
      <c r="M274" s="97">
        <f t="shared" si="21"/>
        <v>0</v>
      </c>
      <c r="S274" s="85"/>
      <c r="T274" s="85"/>
      <c r="U274" s="85"/>
      <c r="V274" s="85"/>
      <c r="W274" s="85"/>
      <c r="X274" s="85"/>
      <c r="Y274" s="85"/>
      <c r="Z274" s="85"/>
      <c r="AA274" s="85"/>
      <c r="AB274" s="85"/>
      <c r="AC274" s="85"/>
      <c r="AD274" s="85"/>
      <c r="AE274" s="85"/>
      <c r="AF274" s="85"/>
      <c r="AG274" s="85"/>
      <c r="AH274" s="85"/>
      <c r="AI274" s="85"/>
      <c r="AJ274" s="85"/>
      <c r="AK274" s="85"/>
      <c r="AL274" s="85"/>
    </row>
    <row r="275" spans="1:38" s="80" customFormat="1" x14ac:dyDescent="0.25">
      <c r="A275" s="116"/>
      <c r="B275" s="115"/>
      <c r="C275" s="115"/>
      <c r="D275" s="115"/>
      <c r="E275" s="115"/>
      <c r="F275" s="115"/>
      <c r="H275" s="95">
        <v>270</v>
      </c>
      <c r="I275" s="96" t="str">
        <f t="shared" si="19"/>
        <v/>
      </c>
      <c r="J275" s="95" t="e">
        <f t="shared" si="22"/>
        <v>#NUM!</v>
      </c>
      <c r="K275" s="95" t="e">
        <f t="shared" si="20"/>
        <v>#NUM!</v>
      </c>
      <c r="L275" s="95"/>
      <c r="M275" s="97">
        <f t="shared" si="21"/>
        <v>0</v>
      </c>
      <c r="S275" s="85"/>
      <c r="T275" s="85"/>
      <c r="U275" s="85"/>
      <c r="V275" s="85"/>
      <c r="W275" s="85"/>
      <c r="X275" s="85"/>
      <c r="Y275" s="85"/>
      <c r="Z275" s="85"/>
      <c r="AA275" s="85"/>
      <c r="AB275" s="85"/>
      <c r="AC275" s="85"/>
      <c r="AD275" s="85"/>
      <c r="AE275" s="85"/>
      <c r="AF275" s="85"/>
      <c r="AG275" s="85"/>
      <c r="AH275" s="85"/>
      <c r="AI275" s="85"/>
      <c r="AJ275" s="85"/>
      <c r="AK275" s="85"/>
      <c r="AL275" s="85"/>
    </row>
    <row r="276" spans="1:38" s="80" customFormat="1" x14ac:dyDescent="0.25">
      <c r="A276" s="116"/>
      <c r="B276" s="115"/>
      <c r="C276" s="115"/>
      <c r="D276" s="115"/>
      <c r="E276" s="115"/>
      <c r="F276" s="115"/>
      <c r="H276" s="95">
        <v>271</v>
      </c>
      <c r="I276" s="96" t="str">
        <f t="shared" si="19"/>
        <v/>
      </c>
      <c r="J276" s="95" t="e">
        <f t="shared" si="22"/>
        <v>#NUM!</v>
      </c>
      <c r="K276" s="95" t="e">
        <f t="shared" si="20"/>
        <v>#NUM!</v>
      </c>
      <c r="L276" s="95"/>
      <c r="M276" s="97">
        <f t="shared" si="21"/>
        <v>0</v>
      </c>
      <c r="S276" s="85"/>
      <c r="T276" s="85"/>
      <c r="U276" s="85"/>
      <c r="V276" s="85"/>
      <c r="W276" s="85"/>
      <c r="X276" s="85"/>
      <c r="Y276" s="85"/>
      <c r="Z276" s="85"/>
      <c r="AA276" s="85"/>
      <c r="AB276" s="85"/>
      <c r="AC276" s="85"/>
      <c r="AD276" s="85"/>
      <c r="AE276" s="85"/>
      <c r="AF276" s="85"/>
      <c r="AG276" s="85"/>
      <c r="AH276" s="85"/>
      <c r="AI276" s="85"/>
      <c r="AJ276" s="85"/>
      <c r="AK276" s="85"/>
      <c r="AL276" s="85"/>
    </row>
    <row r="277" spans="1:38" s="80" customFormat="1" x14ac:dyDescent="0.25">
      <c r="A277" s="116"/>
      <c r="B277" s="115"/>
      <c r="C277" s="115"/>
      <c r="D277" s="115"/>
      <c r="E277" s="115"/>
      <c r="F277" s="115"/>
      <c r="H277" s="95">
        <v>272</v>
      </c>
      <c r="I277" s="96" t="str">
        <f t="shared" si="19"/>
        <v/>
      </c>
      <c r="J277" s="95" t="e">
        <f t="shared" si="22"/>
        <v>#NUM!</v>
      </c>
      <c r="K277" s="95" t="e">
        <f t="shared" si="20"/>
        <v>#NUM!</v>
      </c>
      <c r="L277" s="95"/>
      <c r="M277" s="97">
        <f t="shared" si="21"/>
        <v>0</v>
      </c>
      <c r="S277" s="85"/>
      <c r="T277" s="85"/>
      <c r="U277" s="85"/>
      <c r="V277" s="85"/>
      <c r="W277" s="85"/>
      <c r="X277" s="85"/>
      <c r="Y277" s="85"/>
      <c r="Z277" s="85"/>
      <c r="AA277" s="85"/>
      <c r="AB277" s="85"/>
      <c r="AC277" s="85"/>
      <c r="AD277" s="85"/>
      <c r="AE277" s="85"/>
      <c r="AF277" s="85"/>
      <c r="AG277" s="85"/>
      <c r="AH277" s="85"/>
      <c r="AI277" s="85"/>
      <c r="AJ277" s="85"/>
      <c r="AK277" s="85"/>
      <c r="AL277" s="85"/>
    </row>
    <row r="278" spans="1:38" s="80" customFormat="1" x14ac:dyDescent="0.25">
      <c r="A278" s="116"/>
      <c r="B278" s="115"/>
      <c r="C278" s="115"/>
      <c r="D278" s="115"/>
      <c r="E278" s="115"/>
      <c r="F278" s="115"/>
      <c r="H278" s="95">
        <v>273</v>
      </c>
      <c r="I278" s="96" t="str">
        <f t="shared" si="19"/>
        <v/>
      </c>
      <c r="J278" s="95" t="e">
        <f t="shared" si="22"/>
        <v>#NUM!</v>
      </c>
      <c r="K278" s="95" t="e">
        <f t="shared" si="20"/>
        <v>#NUM!</v>
      </c>
      <c r="L278" s="95"/>
      <c r="M278" s="97">
        <f t="shared" si="21"/>
        <v>0</v>
      </c>
      <c r="S278" s="85"/>
      <c r="T278" s="85"/>
      <c r="U278" s="85"/>
      <c r="V278" s="85"/>
      <c r="W278" s="85"/>
      <c r="X278" s="85"/>
      <c r="Y278" s="85"/>
      <c r="Z278" s="85"/>
      <c r="AA278" s="85"/>
      <c r="AB278" s="85"/>
      <c r="AC278" s="85"/>
      <c r="AD278" s="85"/>
      <c r="AE278" s="85"/>
      <c r="AF278" s="85"/>
      <c r="AG278" s="85"/>
      <c r="AH278" s="85"/>
      <c r="AI278" s="85"/>
      <c r="AJ278" s="85"/>
      <c r="AK278" s="85"/>
      <c r="AL278" s="85"/>
    </row>
    <row r="279" spans="1:38" s="80" customFormat="1" x14ac:dyDescent="0.25">
      <c r="A279" s="116"/>
      <c r="B279" s="115"/>
      <c r="C279" s="115"/>
      <c r="D279" s="115"/>
      <c r="E279" s="115"/>
      <c r="F279" s="115"/>
      <c r="H279" s="95">
        <v>274</v>
      </c>
      <c r="I279" s="96" t="str">
        <f t="shared" si="19"/>
        <v/>
      </c>
      <c r="J279" s="95" t="e">
        <f t="shared" si="22"/>
        <v>#NUM!</v>
      </c>
      <c r="K279" s="95" t="e">
        <f t="shared" si="20"/>
        <v>#NUM!</v>
      </c>
      <c r="L279" s="95"/>
      <c r="M279" s="97">
        <f t="shared" si="21"/>
        <v>0</v>
      </c>
      <c r="S279" s="85"/>
      <c r="T279" s="85"/>
      <c r="U279" s="85"/>
      <c r="V279" s="85"/>
      <c r="W279" s="85"/>
      <c r="X279" s="85"/>
      <c r="Y279" s="85"/>
      <c r="Z279" s="85"/>
      <c r="AA279" s="85"/>
      <c r="AB279" s="85"/>
      <c r="AC279" s="85"/>
      <c r="AD279" s="85"/>
      <c r="AE279" s="85"/>
      <c r="AF279" s="85"/>
      <c r="AG279" s="85"/>
      <c r="AH279" s="85"/>
      <c r="AI279" s="85"/>
      <c r="AJ279" s="85"/>
      <c r="AK279" s="85"/>
      <c r="AL279" s="85"/>
    </row>
    <row r="280" spans="1:38" s="80" customFormat="1" x14ac:dyDescent="0.25">
      <c r="A280" s="116"/>
      <c r="B280" s="115"/>
      <c r="C280" s="115"/>
      <c r="D280" s="115"/>
      <c r="E280" s="115"/>
      <c r="F280" s="115"/>
      <c r="H280" s="95">
        <v>275</v>
      </c>
      <c r="I280" s="96" t="str">
        <f t="shared" si="19"/>
        <v/>
      </c>
      <c r="J280" s="95" t="e">
        <f t="shared" si="22"/>
        <v>#NUM!</v>
      </c>
      <c r="K280" s="95" t="e">
        <f t="shared" si="20"/>
        <v>#NUM!</v>
      </c>
      <c r="L280" s="95"/>
      <c r="M280" s="97">
        <f t="shared" si="21"/>
        <v>0</v>
      </c>
      <c r="S280" s="85"/>
      <c r="T280" s="85"/>
      <c r="U280" s="85"/>
      <c r="V280" s="85"/>
      <c r="W280" s="85"/>
      <c r="X280" s="85"/>
      <c r="Y280" s="85"/>
      <c r="Z280" s="85"/>
      <c r="AA280" s="85"/>
      <c r="AB280" s="85"/>
      <c r="AC280" s="85"/>
      <c r="AD280" s="85"/>
      <c r="AE280" s="85"/>
      <c r="AF280" s="85"/>
      <c r="AG280" s="85"/>
      <c r="AH280" s="85"/>
      <c r="AI280" s="85"/>
      <c r="AJ280" s="85"/>
      <c r="AK280" s="85"/>
      <c r="AL280" s="85"/>
    </row>
    <row r="281" spans="1:38" s="80" customFormat="1" x14ac:dyDescent="0.25">
      <c r="A281" s="116"/>
      <c r="B281" s="115"/>
      <c r="C281" s="115"/>
      <c r="D281" s="115"/>
      <c r="E281" s="115"/>
      <c r="F281" s="115"/>
      <c r="H281" s="95">
        <v>276</v>
      </c>
      <c r="I281" s="96" t="str">
        <f t="shared" si="19"/>
        <v/>
      </c>
      <c r="J281" s="95" t="e">
        <f t="shared" si="22"/>
        <v>#NUM!</v>
      </c>
      <c r="K281" s="95" t="e">
        <f t="shared" si="20"/>
        <v>#NUM!</v>
      </c>
      <c r="L281" s="95"/>
      <c r="M281" s="97">
        <f t="shared" si="21"/>
        <v>0</v>
      </c>
      <c r="S281" s="85"/>
      <c r="T281" s="85"/>
      <c r="U281" s="85"/>
      <c r="V281" s="85"/>
      <c r="W281" s="85"/>
      <c r="X281" s="85"/>
      <c r="Y281" s="85"/>
      <c r="Z281" s="85"/>
      <c r="AA281" s="85"/>
      <c r="AB281" s="85"/>
      <c r="AC281" s="85"/>
      <c r="AD281" s="85"/>
      <c r="AE281" s="85"/>
      <c r="AF281" s="85"/>
      <c r="AG281" s="85"/>
      <c r="AH281" s="85"/>
      <c r="AI281" s="85"/>
      <c r="AJ281" s="85"/>
      <c r="AK281" s="85"/>
      <c r="AL281" s="85"/>
    </row>
    <row r="282" spans="1:38" s="80" customFormat="1" x14ac:dyDescent="0.25">
      <c r="A282" s="116"/>
      <c r="B282" s="115"/>
      <c r="C282" s="115"/>
      <c r="D282" s="115"/>
      <c r="E282" s="115"/>
      <c r="F282" s="115"/>
      <c r="H282" s="95">
        <v>277</v>
      </c>
      <c r="I282" s="96" t="str">
        <f t="shared" si="19"/>
        <v/>
      </c>
      <c r="J282" s="95" t="e">
        <f t="shared" si="22"/>
        <v>#NUM!</v>
      </c>
      <c r="K282" s="95" t="e">
        <f t="shared" si="20"/>
        <v>#NUM!</v>
      </c>
      <c r="L282" s="95"/>
      <c r="M282" s="97">
        <f t="shared" si="21"/>
        <v>0</v>
      </c>
      <c r="S282" s="85"/>
      <c r="T282" s="85"/>
      <c r="U282" s="85"/>
      <c r="V282" s="85"/>
      <c r="W282" s="85"/>
      <c r="X282" s="85"/>
      <c r="Y282" s="85"/>
      <c r="Z282" s="85"/>
      <c r="AA282" s="85"/>
      <c r="AB282" s="85"/>
      <c r="AC282" s="85"/>
      <c r="AD282" s="85"/>
      <c r="AE282" s="85"/>
      <c r="AF282" s="85"/>
      <c r="AG282" s="85"/>
      <c r="AH282" s="85"/>
      <c r="AI282" s="85"/>
      <c r="AJ282" s="85"/>
      <c r="AK282" s="85"/>
      <c r="AL282" s="85"/>
    </row>
    <row r="283" spans="1:38" s="80" customFormat="1" x14ac:dyDescent="0.25">
      <c r="A283" s="116"/>
      <c r="B283" s="115"/>
      <c r="C283" s="115"/>
      <c r="D283" s="115"/>
      <c r="E283" s="115"/>
      <c r="F283" s="115"/>
      <c r="H283" s="95">
        <v>278</v>
      </c>
      <c r="I283" s="96" t="str">
        <f t="shared" si="19"/>
        <v/>
      </c>
      <c r="J283" s="95" t="e">
        <f t="shared" si="22"/>
        <v>#NUM!</v>
      </c>
      <c r="K283" s="95" t="e">
        <f t="shared" si="20"/>
        <v>#NUM!</v>
      </c>
      <c r="L283" s="95"/>
      <c r="M283" s="97">
        <f t="shared" si="21"/>
        <v>0</v>
      </c>
      <c r="S283" s="85"/>
      <c r="T283" s="85"/>
      <c r="U283" s="85"/>
      <c r="V283" s="85"/>
      <c r="W283" s="85"/>
      <c r="X283" s="85"/>
      <c r="Y283" s="85"/>
      <c r="Z283" s="85"/>
      <c r="AA283" s="85"/>
      <c r="AB283" s="85"/>
      <c r="AC283" s="85"/>
      <c r="AD283" s="85"/>
      <c r="AE283" s="85"/>
      <c r="AF283" s="85"/>
      <c r="AG283" s="85"/>
      <c r="AH283" s="85"/>
      <c r="AI283" s="85"/>
      <c r="AJ283" s="85"/>
      <c r="AK283" s="85"/>
      <c r="AL283" s="85"/>
    </row>
    <row r="284" spans="1:38" s="80" customFormat="1" x14ac:dyDescent="0.25">
      <c r="A284" s="116"/>
      <c r="B284" s="115"/>
      <c r="C284" s="115"/>
      <c r="D284" s="115"/>
      <c r="E284" s="115"/>
      <c r="F284" s="115"/>
      <c r="H284" s="95">
        <v>279</v>
      </c>
      <c r="I284" s="96" t="str">
        <f t="shared" si="19"/>
        <v/>
      </c>
      <c r="J284" s="95" t="e">
        <f t="shared" si="22"/>
        <v>#NUM!</v>
      </c>
      <c r="K284" s="95" t="e">
        <f t="shared" si="20"/>
        <v>#NUM!</v>
      </c>
      <c r="L284" s="95"/>
      <c r="M284" s="97">
        <f t="shared" si="21"/>
        <v>0</v>
      </c>
      <c r="S284" s="85"/>
      <c r="T284" s="85"/>
      <c r="U284" s="85"/>
      <c r="V284" s="85"/>
      <c r="W284" s="85"/>
      <c r="X284" s="85"/>
      <c r="Y284" s="85"/>
      <c r="Z284" s="85"/>
      <c r="AA284" s="85"/>
      <c r="AB284" s="85"/>
      <c r="AC284" s="85"/>
      <c r="AD284" s="85"/>
      <c r="AE284" s="85"/>
      <c r="AF284" s="85"/>
      <c r="AG284" s="85"/>
      <c r="AH284" s="85"/>
      <c r="AI284" s="85"/>
      <c r="AJ284" s="85"/>
      <c r="AK284" s="85"/>
      <c r="AL284" s="85"/>
    </row>
    <row r="285" spans="1:38" s="80" customFormat="1" x14ac:dyDescent="0.25">
      <c r="A285" s="116"/>
      <c r="B285" s="115"/>
      <c r="C285" s="115"/>
      <c r="D285" s="115"/>
      <c r="E285" s="115"/>
      <c r="F285" s="115"/>
      <c r="H285" s="95">
        <v>280</v>
      </c>
      <c r="I285" s="96" t="str">
        <f t="shared" si="19"/>
        <v/>
      </c>
      <c r="J285" s="95" t="e">
        <f t="shared" si="22"/>
        <v>#NUM!</v>
      </c>
      <c r="K285" s="95" t="e">
        <f t="shared" si="20"/>
        <v>#NUM!</v>
      </c>
      <c r="L285" s="95"/>
      <c r="M285" s="97">
        <f t="shared" si="21"/>
        <v>0</v>
      </c>
      <c r="S285" s="85"/>
      <c r="T285" s="85"/>
      <c r="U285" s="85"/>
      <c r="V285" s="85"/>
      <c r="W285" s="85"/>
      <c r="X285" s="85"/>
      <c r="Y285" s="85"/>
      <c r="Z285" s="85"/>
      <c r="AA285" s="85"/>
      <c r="AB285" s="85"/>
      <c r="AC285" s="85"/>
      <c r="AD285" s="85"/>
      <c r="AE285" s="85"/>
      <c r="AF285" s="85"/>
      <c r="AG285" s="85"/>
      <c r="AH285" s="85"/>
      <c r="AI285" s="85"/>
      <c r="AJ285" s="85"/>
      <c r="AK285" s="85"/>
      <c r="AL285" s="85"/>
    </row>
    <row r="286" spans="1:38" s="80" customFormat="1" x14ac:dyDescent="0.25">
      <c r="A286" s="116"/>
      <c r="B286" s="115"/>
      <c r="C286" s="115"/>
      <c r="D286" s="115"/>
      <c r="E286" s="115"/>
      <c r="F286" s="115"/>
      <c r="H286" s="95">
        <v>281</v>
      </c>
      <c r="I286" s="96" t="str">
        <f t="shared" si="19"/>
        <v/>
      </c>
      <c r="J286" s="95" t="e">
        <f t="shared" si="22"/>
        <v>#NUM!</v>
      </c>
      <c r="K286" s="95" t="e">
        <f t="shared" si="20"/>
        <v>#NUM!</v>
      </c>
      <c r="L286" s="95"/>
      <c r="M286" s="97">
        <f t="shared" si="21"/>
        <v>0</v>
      </c>
      <c r="S286" s="85"/>
      <c r="T286" s="85"/>
      <c r="U286" s="85"/>
      <c r="V286" s="85"/>
      <c r="W286" s="85"/>
      <c r="X286" s="85"/>
      <c r="Y286" s="85"/>
      <c r="Z286" s="85"/>
      <c r="AA286" s="85"/>
      <c r="AB286" s="85"/>
      <c r="AC286" s="85"/>
      <c r="AD286" s="85"/>
      <c r="AE286" s="85"/>
      <c r="AF286" s="85"/>
      <c r="AG286" s="85"/>
      <c r="AH286" s="85"/>
      <c r="AI286" s="85"/>
      <c r="AJ286" s="85"/>
      <c r="AK286" s="85"/>
      <c r="AL286" s="85"/>
    </row>
    <row r="287" spans="1:38" s="80" customFormat="1" x14ac:dyDescent="0.25">
      <c r="A287" s="116"/>
      <c r="B287" s="115"/>
      <c r="C287" s="115"/>
      <c r="D287" s="115"/>
      <c r="E287" s="115"/>
      <c r="F287" s="115"/>
      <c r="H287" s="95">
        <v>282</v>
      </c>
      <c r="I287" s="96" t="str">
        <f t="shared" si="19"/>
        <v/>
      </c>
      <c r="J287" s="95" t="e">
        <f t="shared" si="22"/>
        <v>#NUM!</v>
      </c>
      <c r="K287" s="95" t="e">
        <f t="shared" si="20"/>
        <v>#NUM!</v>
      </c>
      <c r="L287" s="95"/>
      <c r="M287" s="97">
        <f t="shared" si="21"/>
        <v>0</v>
      </c>
      <c r="S287" s="85"/>
      <c r="T287" s="85"/>
      <c r="U287" s="85"/>
      <c r="V287" s="85"/>
      <c r="W287" s="85"/>
      <c r="X287" s="85"/>
      <c r="Y287" s="85"/>
      <c r="Z287" s="85"/>
      <c r="AA287" s="85"/>
      <c r="AB287" s="85"/>
      <c r="AC287" s="85"/>
      <c r="AD287" s="85"/>
      <c r="AE287" s="85"/>
      <c r="AF287" s="85"/>
      <c r="AG287" s="85"/>
      <c r="AH287" s="85"/>
      <c r="AI287" s="85"/>
      <c r="AJ287" s="85"/>
      <c r="AK287" s="85"/>
      <c r="AL287" s="85"/>
    </row>
    <row r="288" spans="1:38" s="80" customFormat="1" x14ac:dyDescent="0.25">
      <c r="A288" s="116"/>
      <c r="B288" s="115"/>
      <c r="C288" s="115"/>
      <c r="D288" s="115"/>
      <c r="E288" s="115"/>
      <c r="F288" s="115"/>
      <c r="H288" s="95">
        <v>283</v>
      </c>
      <c r="I288" s="96" t="str">
        <f t="shared" si="19"/>
        <v/>
      </c>
      <c r="J288" s="95" t="e">
        <f t="shared" si="22"/>
        <v>#NUM!</v>
      </c>
      <c r="K288" s="95" t="e">
        <f t="shared" si="20"/>
        <v>#NUM!</v>
      </c>
      <c r="L288" s="95"/>
      <c r="M288" s="97">
        <f t="shared" si="21"/>
        <v>0</v>
      </c>
      <c r="S288" s="85"/>
      <c r="T288" s="85"/>
      <c r="U288" s="85"/>
      <c r="V288" s="85"/>
      <c r="W288" s="85"/>
      <c r="X288" s="85"/>
      <c r="Y288" s="85"/>
      <c r="Z288" s="85"/>
      <c r="AA288" s="85"/>
      <c r="AB288" s="85"/>
      <c r="AC288" s="85"/>
      <c r="AD288" s="85"/>
      <c r="AE288" s="85"/>
      <c r="AF288" s="85"/>
      <c r="AG288" s="85"/>
      <c r="AH288" s="85"/>
      <c r="AI288" s="85"/>
      <c r="AJ288" s="85"/>
      <c r="AK288" s="85"/>
      <c r="AL288" s="85"/>
    </row>
    <row r="289" spans="1:38" s="80" customFormat="1" x14ac:dyDescent="0.25">
      <c r="A289" s="116"/>
      <c r="B289" s="115"/>
      <c r="C289" s="115"/>
      <c r="D289" s="115"/>
      <c r="E289" s="115"/>
      <c r="F289" s="115"/>
      <c r="H289" s="95">
        <v>284</v>
      </c>
      <c r="I289" s="96" t="str">
        <f t="shared" si="19"/>
        <v/>
      </c>
      <c r="J289" s="95" t="e">
        <f t="shared" si="22"/>
        <v>#NUM!</v>
      </c>
      <c r="K289" s="95" t="e">
        <f t="shared" si="20"/>
        <v>#NUM!</v>
      </c>
      <c r="L289" s="95"/>
      <c r="M289" s="97">
        <f t="shared" si="21"/>
        <v>0</v>
      </c>
      <c r="S289" s="85"/>
      <c r="T289" s="85"/>
      <c r="U289" s="85"/>
      <c r="V289" s="85"/>
      <c r="W289" s="85"/>
      <c r="X289" s="85"/>
      <c r="Y289" s="85"/>
      <c r="Z289" s="85"/>
      <c r="AA289" s="85"/>
      <c r="AB289" s="85"/>
      <c r="AC289" s="85"/>
      <c r="AD289" s="85"/>
      <c r="AE289" s="85"/>
      <c r="AF289" s="85"/>
      <c r="AG289" s="85"/>
      <c r="AH289" s="85"/>
      <c r="AI289" s="85"/>
      <c r="AJ289" s="85"/>
      <c r="AK289" s="85"/>
      <c r="AL289" s="85"/>
    </row>
    <row r="290" spans="1:38" s="80" customFormat="1" x14ac:dyDescent="0.25">
      <c r="A290" s="116"/>
      <c r="B290" s="115"/>
      <c r="C290" s="115"/>
      <c r="D290" s="115"/>
      <c r="E290" s="115"/>
      <c r="F290" s="115"/>
      <c r="H290" s="95">
        <v>285</v>
      </c>
      <c r="I290" s="96" t="str">
        <f t="shared" si="19"/>
        <v/>
      </c>
      <c r="J290" s="95" t="e">
        <f t="shared" si="22"/>
        <v>#NUM!</v>
      </c>
      <c r="K290" s="95" t="e">
        <f t="shared" si="20"/>
        <v>#NUM!</v>
      </c>
      <c r="L290" s="95"/>
      <c r="M290" s="97">
        <f t="shared" si="21"/>
        <v>0</v>
      </c>
      <c r="S290" s="85"/>
      <c r="T290" s="85"/>
      <c r="U290" s="85"/>
      <c r="V290" s="85"/>
      <c r="W290" s="85"/>
      <c r="X290" s="85"/>
      <c r="Y290" s="85"/>
      <c r="Z290" s="85"/>
      <c r="AA290" s="85"/>
      <c r="AB290" s="85"/>
      <c r="AC290" s="85"/>
      <c r="AD290" s="85"/>
      <c r="AE290" s="85"/>
      <c r="AF290" s="85"/>
      <c r="AG290" s="85"/>
      <c r="AH290" s="85"/>
      <c r="AI290" s="85"/>
      <c r="AJ290" s="85"/>
      <c r="AK290" s="85"/>
      <c r="AL290" s="85"/>
    </row>
    <row r="291" spans="1:38" s="80" customFormat="1" x14ac:dyDescent="0.25">
      <c r="A291" s="116"/>
      <c r="B291" s="115"/>
      <c r="C291" s="115"/>
      <c r="D291" s="115"/>
      <c r="E291" s="115"/>
      <c r="F291" s="115"/>
      <c r="H291" s="95">
        <v>286</v>
      </c>
      <c r="I291" s="96" t="str">
        <f t="shared" si="19"/>
        <v/>
      </c>
      <c r="J291" s="95" t="e">
        <f t="shared" si="22"/>
        <v>#NUM!</v>
      </c>
      <c r="K291" s="95" t="e">
        <f t="shared" si="20"/>
        <v>#NUM!</v>
      </c>
      <c r="L291" s="95"/>
      <c r="M291" s="97">
        <f t="shared" si="21"/>
        <v>0</v>
      </c>
      <c r="S291" s="85"/>
      <c r="T291" s="85"/>
      <c r="U291" s="85"/>
      <c r="V291" s="85"/>
      <c r="W291" s="85"/>
      <c r="X291" s="85"/>
      <c r="Y291" s="85"/>
      <c r="Z291" s="85"/>
      <c r="AA291" s="85"/>
      <c r="AB291" s="85"/>
      <c r="AC291" s="85"/>
      <c r="AD291" s="85"/>
      <c r="AE291" s="85"/>
      <c r="AF291" s="85"/>
      <c r="AG291" s="85"/>
      <c r="AH291" s="85"/>
      <c r="AI291" s="85"/>
      <c r="AJ291" s="85"/>
      <c r="AK291" s="85"/>
      <c r="AL291" s="85"/>
    </row>
    <row r="292" spans="1:38" s="80" customFormat="1" x14ac:dyDescent="0.25">
      <c r="A292" s="116"/>
      <c r="B292" s="115"/>
      <c r="C292" s="115"/>
      <c r="D292" s="115"/>
      <c r="E292" s="115"/>
      <c r="F292" s="115"/>
      <c r="H292" s="95">
        <v>287</v>
      </c>
      <c r="I292" s="96" t="str">
        <f t="shared" si="19"/>
        <v/>
      </c>
      <c r="J292" s="95" t="e">
        <f t="shared" si="22"/>
        <v>#NUM!</v>
      </c>
      <c r="K292" s="95" t="e">
        <f t="shared" si="20"/>
        <v>#NUM!</v>
      </c>
      <c r="L292" s="95"/>
      <c r="M292" s="97">
        <f t="shared" si="21"/>
        <v>0</v>
      </c>
      <c r="S292" s="85"/>
      <c r="T292" s="85"/>
      <c r="U292" s="85"/>
      <c r="V292" s="85"/>
      <c r="W292" s="85"/>
      <c r="X292" s="85"/>
      <c r="Y292" s="85"/>
      <c r="Z292" s="85"/>
      <c r="AA292" s="85"/>
      <c r="AB292" s="85"/>
      <c r="AC292" s="85"/>
      <c r="AD292" s="85"/>
      <c r="AE292" s="85"/>
      <c r="AF292" s="85"/>
      <c r="AG292" s="85"/>
      <c r="AH292" s="85"/>
      <c r="AI292" s="85"/>
      <c r="AJ292" s="85"/>
      <c r="AK292" s="85"/>
      <c r="AL292" s="85"/>
    </row>
    <row r="293" spans="1:38" s="80" customFormat="1" x14ac:dyDescent="0.25">
      <c r="A293" s="116"/>
      <c r="B293" s="115"/>
      <c r="C293" s="115"/>
      <c r="D293" s="115"/>
      <c r="E293" s="115"/>
      <c r="F293" s="115"/>
      <c r="H293" s="95">
        <v>288</v>
      </c>
      <c r="I293" s="96" t="str">
        <f t="shared" si="19"/>
        <v/>
      </c>
      <c r="J293" s="95" t="e">
        <f t="shared" si="22"/>
        <v>#NUM!</v>
      </c>
      <c r="K293" s="95" t="e">
        <f t="shared" si="20"/>
        <v>#NUM!</v>
      </c>
      <c r="L293" s="95"/>
      <c r="M293" s="97">
        <f t="shared" si="21"/>
        <v>0</v>
      </c>
      <c r="S293" s="85"/>
      <c r="T293" s="85"/>
      <c r="U293" s="85"/>
      <c r="V293" s="85"/>
      <c r="W293" s="85"/>
      <c r="X293" s="85"/>
      <c r="Y293" s="85"/>
      <c r="Z293" s="85"/>
      <c r="AA293" s="85"/>
      <c r="AB293" s="85"/>
      <c r="AC293" s="85"/>
      <c r="AD293" s="85"/>
      <c r="AE293" s="85"/>
      <c r="AF293" s="85"/>
      <c r="AG293" s="85"/>
      <c r="AH293" s="85"/>
      <c r="AI293" s="85"/>
      <c r="AJ293" s="85"/>
      <c r="AK293" s="85"/>
      <c r="AL293" s="85"/>
    </row>
    <row r="294" spans="1:38" s="80" customFormat="1" x14ac:dyDescent="0.25">
      <c r="A294" s="116"/>
      <c r="B294" s="115"/>
      <c r="C294" s="115"/>
      <c r="D294" s="115"/>
      <c r="E294" s="115"/>
      <c r="F294" s="115"/>
      <c r="H294" s="95">
        <v>289</v>
      </c>
      <c r="I294" s="96" t="str">
        <f t="shared" si="19"/>
        <v/>
      </c>
      <c r="J294" s="95" t="e">
        <f t="shared" si="22"/>
        <v>#NUM!</v>
      </c>
      <c r="K294" s="95" t="e">
        <f t="shared" si="20"/>
        <v>#NUM!</v>
      </c>
      <c r="L294" s="95"/>
      <c r="M294" s="97">
        <f t="shared" si="21"/>
        <v>0</v>
      </c>
      <c r="S294" s="85"/>
      <c r="T294" s="85"/>
      <c r="U294" s="85"/>
      <c r="V294" s="85"/>
      <c r="W294" s="85"/>
      <c r="X294" s="85"/>
      <c r="Y294" s="85"/>
      <c r="Z294" s="85"/>
      <c r="AA294" s="85"/>
      <c r="AB294" s="85"/>
      <c r="AC294" s="85"/>
      <c r="AD294" s="85"/>
      <c r="AE294" s="85"/>
      <c r="AF294" s="85"/>
      <c r="AG294" s="85"/>
      <c r="AH294" s="85"/>
      <c r="AI294" s="85"/>
      <c r="AJ294" s="85"/>
      <c r="AK294" s="85"/>
      <c r="AL294" s="85"/>
    </row>
    <row r="295" spans="1:38" s="80" customFormat="1" x14ac:dyDescent="0.25">
      <c r="A295" s="116"/>
      <c r="B295" s="115"/>
      <c r="C295" s="115"/>
      <c r="D295" s="115"/>
      <c r="E295" s="115"/>
      <c r="F295" s="115"/>
      <c r="H295" s="95">
        <v>290</v>
      </c>
      <c r="I295" s="96" t="str">
        <f t="shared" si="19"/>
        <v/>
      </c>
      <c r="J295" s="95" t="e">
        <f t="shared" si="22"/>
        <v>#NUM!</v>
      </c>
      <c r="K295" s="95" t="e">
        <f t="shared" si="20"/>
        <v>#NUM!</v>
      </c>
      <c r="L295" s="95"/>
      <c r="M295" s="97">
        <f t="shared" si="21"/>
        <v>0</v>
      </c>
      <c r="S295" s="85"/>
      <c r="T295" s="85"/>
      <c r="U295" s="85"/>
      <c r="V295" s="85"/>
      <c r="W295" s="85"/>
      <c r="X295" s="85"/>
      <c r="Y295" s="85"/>
      <c r="Z295" s="85"/>
      <c r="AA295" s="85"/>
      <c r="AB295" s="85"/>
      <c r="AC295" s="85"/>
      <c r="AD295" s="85"/>
      <c r="AE295" s="85"/>
      <c r="AF295" s="85"/>
      <c r="AG295" s="85"/>
      <c r="AH295" s="85"/>
      <c r="AI295" s="85"/>
      <c r="AJ295" s="85"/>
      <c r="AK295" s="85"/>
      <c r="AL295" s="85"/>
    </row>
    <row r="296" spans="1:38" s="80" customFormat="1" x14ac:dyDescent="0.25">
      <c r="A296" s="116"/>
      <c r="B296" s="115"/>
      <c r="C296" s="115"/>
      <c r="D296" s="115"/>
      <c r="E296" s="115"/>
      <c r="F296" s="115"/>
      <c r="H296" s="95">
        <v>291</v>
      </c>
      <c r="I296" s="96" t="str">
        <f t="shared" si="19"/>
        <v/>
      </c>
      <c r="J296" s="95" t="e">
        <f t="shared" si="22"/>
        <v>#NUM!</v>
      </c>
      <c r="K296" s="95" t="e">
        <f t="shared" si="20"/>
        <v>#NUM!</v>
      </c>
      <c r="L296" s="95"/>
      <c r="M296" s="97">
        <f t="shared" si="21"/>
        <v>0</v>
      </c>
      <c r="S296" s="85"/>
      <c r="T296" s="85"/>
      <c r="U296" s="85"/>
      <c r="V296" s="85"/>
      <c r="W296" s="85"/>
      <c r="X296" s="85"/>
      <c r="Y296" s="85"/>
      <c r="Z296" s="85"/>
      <c r="AA296" s="85"/>
      <c r="AB296" s="85"/>
      <c r="AC296" s="85"/>
      <c r="AD296" s="85"/>
      <c r="AE296" s="85"/>
      <c r="AF296" s="85"/>
      <c r="AG296" s="85"/>
      <c r="AH296" s="85"/>
      <c r="AI296" s="85"/>
      <c r="AJ296" s="85"/>
      <c r="AK296" s="85"/>
      <c r="AL296" s="85"/>
    </row>
    <row r="297" spans="1:38" s="80" customFormat="1" x14ac:dyDescent="0.25">
      <c r="A297" s="116"/>
      <c r="B297" s="115"/>
      <c r="C297" s="115"/>
      <c r="D297" s="115"/>
      <c r="E297" s="115"/>
      <c r="F297" s="115"/>
      <c r="H297" s="95">
        <v>292</v>
      </c>
      <c r="I297" s="96" t="str">
        <f t="shared" si="19"/>
        <v/>
      </c>
      <c r="J297" s="95" t="e">
        <f t="shared" si="22"/>
        <v>#NUM!</v>
      </c>
      <c r="K297" s="95" t="e">
        <f t="shared" si="20"/>
        <v>#NUM!</v>
      </c>
      <c r="L297" s="95"/>
      <c r="M297" s="97">
        <f t="shared" si="21"/>
        <v>0</v>
      </c>
      <c r="S297" s="85"/>
      <c r="T297" s="85"/>
      <c r="U297" s="85"/>
      <c r="V297" s="85"/>
      <c r="W297" s="85"/>
      <c r="X297" s="85"/>
      <c r="Y297" s="85"/>
      <c r="Z297" s="85"/>
      <c r="AA297" s="85"/>
      <c r="AB297" s="85"/>
      <c r="AC297" s="85"/>
      <c r="AD297" s="85"/>
      <c r="AE297" s="85"/>
      <c r="AF297" s="85"/>
      <c r="AG297" s="85"/>
      <c r="AH297" s="85"/>
      <c r="AI297" s="85"/>
      <c r="AJ297" s="85"/>
      <c r="AK297" s="85"/>
      <c r="AL297" s="85"/>
    </row>
    <row r="298" spans="1:38" s="80" customFormat="1" x14ac:dyDescent="0.25">
      <c r="A298" s="116"/>
      <c r="B298" s="115"/>
      <c r="C298" s="115"/>
      <c r="D298" s="115"/>
      <c r="E298" s="115"/>
      <c r="F298" s="115"/>
      <c r="H298" s="95">
        <v>293</v>
      </c>
      <c r="I298" s="96" t="str">
        <f t="shared" si="19"/>
        <v/>
      </c>
      <c r="J298" s="95" t="e">
        <f t="shared" si="22"/>
        <v>#NUM!</v>
      </c>
      <c r="K298" s="95" t="e">
        <f t="shared" si="20"/>
        <v>#NUM!</v>
      </c>
      <c r="L298" s="95"/>
      <c r="M298" s="97">
        <f t="shared" si="21"/>
        <v>0</v>
      </c>
      <c r="S298" s="85"/>
      <c r="T298" s="85"/>
      <c r="U298" s="85"/>
      <c r="V298" s="85"/>
      <c r="W298" s="85"/>
      <c r="X298" s="85"/>
      <c r="Y298" s="85"/>
      <c r="Z298" s="85"/>
      <c r="AA298" s="85"/>
      <c r="AB298" s="85"/>
      <c r="AC298" s="85"/>
      <c r="AD298" s="85"/>
      <c r="AE298" s="85"/>
      <c r="AF298" s="85"/>
      <c r="AG298" s="85"/>
      <c r="AH298" s="85"/>
      <c r="AI298" s="85"/>
      <c r="AJ298" s="85"/>
      <c r="AK298" s="85"/>
      <c r="AL298" s="85"/>
    </row>
    <row r="299" spans="1:38" s="80" customFormat="1" x14ac:dyDescent="0.25">
      <c r="A299" s="116"/>
      <c r="B299" s="115"/>
      <c r="C299" s="115"/>
      <c r="D299" s="115"/>
      <c r="E299" s="115"/>
      <c r="F299" s="115"/>
      <c r="H299" s="95">
        <v>294</v>
      </c>
      <c r="I299" s="96" t="str">
        <f t="shared" si="19"/>
        <v/>
      </c>
      <c r="J299" s="95" t="e">
        <f t="shared" si="22"/>
        <v>#NUM!</v>
      </c>
      <c r="K299" s="95" t="e">
        <f t="shared" si="20"/>
        <v>#NUM!</v>
      </c>
      <c r="L299" s="95"/>
      <c r="M299" s="97">
        <f t="shared" si="21"/>
        <v>0</v>
      </c>
      <c r="S299" s="85"/>
      <c r="T299" s="85"/>
      <c r="U299" s="85"/>
      <c r="V299" s="85"/>
      <c r="W299" s="85"/>
      <c r="X299" s="85"/>
      <c r="Y299" s="85"/>
      <c r="Z299" s="85"/>
      <c r="AA299" s="85"/>
      <c r="AB299" s="85"/>
      <c r="AC299" s="85"/>
      <c r="AD299" s="85"/>
      <c r="AE299" s="85"/>
      <c r="AF299" s="85"/>
      <c r="AG299" s="85"/>
      <c r="AH299" s="85"/>
      <c r="AI299" s="85"/>
      <c r="AJ299" s="85"/>
      <c r="AK299" s="85"/>
      <c r="AL299" s="85"/>
    </row>
    <row r="300" spans="1:38" s="80" customFormat="1" x14ac:dyDescent="0.25">
      <c r="A300" s="116"/>
      <c r="B300" s="115"/>
      <c r="C300" s="115"/>
      <c r="D300" s="115"/>
      <c r="E300" s="115"/>
      <c r="F300" s="115"/>
      <c r="H300" s="95">
        <v>295</v>
      </c>
      <c r="I300" s="96" t="str">
        <f t="shared" si="19"/>
        <v/>
      </c>
      <c r="J300" s="95" t="e">
        <f t="shared" si="22"/>
        <v>#NUM!</v>
      </c>
      <c r="K300" s="95" t="e">
        <f t="shared" si="20"/>
        <v>#NUM!</v>
      </c>
      <c r="L300" s="95"/>
      <c r="M300" s="97">
        <f t="shared" si="21"/>
        <v>0</v>
      </c>
      <c r="S300" s="85"/>
      <c r="T300" s="85"/>
      <c r="U300" s="85"/>
      <c r="V300" s="85"/>
      <c r="W300" s="85"/>
      <c r="X300" s="85"/>
      <c r="Y300" s="85"/>
      <c r="Z300" s="85"/>
      <c r="AA300" s="85"/>
      <c r="AB300" s="85"/>
      <c r="AC300" s="85"/>
      <c r="AD300" s="85"/>
      <c r="AE300" s="85"/>
      <c r="AF300" s="85"/>
      <c r="AG300" s="85"/>
      <c r="AH300" s="85"/>
      <c r="AI300" s="85"/>
      <c r="AJ300" s="85"/>
      <c r="AK300" s="85"/>
      <c r="AL300" s="85"/>
    </row>
    <row r="301" spans="1:38" s="80" customFormat="1" x14ac:dyDescent="0.25">
      <c r="A301" s="116"/>
      <c r="B301" s="115"/>
      <c r="C301" s="115"/>
      <c r="D301" s="115"/>
      <c r="E301" s="115"/>
      <c r="F301" s="115"/>
      <c r="H301" s="95">
        <v>296</v>
      </c>
      <c r="I301" s="96" t="str">
        <f t="shared" si="19"/>
        <v/>
      </c>
      <c r="J301" s="95" t="e">
        <f t="shared" si="22"/>
        <v>#NUM!</v>
      </c>
      <c r="K301" s="95" t="e">
        <f t="shared" si="20"/>
        <v>#NUM!</v>
      </c>
      <c r="L301" s="95"/>
      <c r="M301" s="97">
        <f t="shared" si="21"/>
        <v>0</v>
      </c>
      <c r="S301" s="85"/>
      <c r="T301" s="85"/>
      <c r="U301" s="85"/>
      <c r="V301" s="85"/>
      <c r="W301" s="85"/>
      <c r="X301" s="85"/>
      <c r="Y301" s="85"/>
      <c r="Z301" s="85"/>
      <c r="AA301" s="85"/>
      <c r="AB301" s="85"/>
      <c r="AC301" s="85"/>
      <c r="AD301" s="85"/>
      <c r="AE301" s="85"/>
      <c r="AF301" s="85"/>
      <c r="AG301" s="85"/>
      <c r="AH301" s="85"/>
      <c r="AI301" s="85"/>
      <c r="AJ301" s="85"/>
      <c r="AK301" s="85"/>
      <c r="AL301" s="85"/>
    </row>
    <row r="302" spans="1:38" s="80" customFormat="1" x14ac:dyDescent="0.25">
      <c r="A302" s="116"/>
      <c r="B302" s="115"/>
      <c r="C302" s="115"/>
      <c r="D302" s="115"/>
      <c r="E302" s="115"/>
      <c r="F302" s="115"/>
      <c r="H302" s="95">
        <v>297</v>
      </c>
      <c r="I302" s="96" t="str">
        <f t="shared" si="19"/>
        <v/>
      </c>
      <c r="J302" s="95" t="e">
        <f t="shared" si="22"/>
        <v>#NUM!</v>
      </c>
      <c r="K302" s="95" t="e">
        <f t="shared" si="20"/>
        <v>#NUM!</v>
      </c>
      <c r="L302" s="95"/>
      <c r="M302" s="97">
        <f t="shared" si="21"/>
        <v>0</v>
      </c>
      <c r="S302" s="85"/>
      <c r="T302" s="85"/>
      <c r="U302" s="85"/>
      <c r="V302" s="85"/>
      <c r="W302" s="85"/>
      <c r="X302" s="85"/>
      <c r="Y302" s="85"/>
      <c r="Z302" s="85"/>
      <c r="AA302" s="85"/>
      <c r="AB302" s="85"/>
      <c r="AC302" s="85"/>
      <c r="AD302" s="85"/>
      <c r="AE302" s="85"/>
      <c r="AF302" s="85"/>
      <c r="AG302" s="85"/>
      <c r="AH302" s="85"/>
      <c r="AI302" s="85"/>
      <c r="AJ302" s="85"/>
      <c r="AK302" s="85"/>
      <c r="AL302" s="85"/>
    </row>
    <row r="303" spans="1:38" s="80" customFormat="1" x14ac:dyDescent="0.25">
      <c r="A303" s="116"/>
      <c r="B303" s="115"/>
      <c r="C303" s="115"/>
      <c r="D303" s="115"/>
      <c r="E303" s="115"/>
      <c r="F303" s="115"/>
      <c r="H303" s="95">
        <v>298</v>
      </c>
      <c r="I303" s="96" t="str">
        <f t="shared" si="19"/>
        <v/>
      </c>
      <c r="J303" s="95" t="e">
        <f t="shared" si="22"/>
        <v>#NUM!</v>
      </c>
      <c r="K303" s="95" t="e">
        <f t="shared" si="20"/>
        <v>#NUM!</v>
      </c>
      <c r="L303" s="95"/>
      <c r="M303" s="97">
        <f t="shared" si="21"/>
        <v>0</v>
      </c>
      <c r="S303" s="85"/>
      <c r="T303" s="85"/>
      <c r="U303" s="85"/>
      <c r="V303" s="85"/>
      <c r="W303" s="85"/>
      <c r="X303" s="85"/>
      <c r="Y303" s="85"/>
      <c r="Z303" s="85"/>
      <c r="AA303" s="85"/>
      <c r="AB303" s="85"/>
      <c r="AC303" s="85"/>
      <c r="AD303" s="85"/>
      <c r="AE303" s="85"/>
      <c r="AF303" s="85"/>
      <c r="AG303" s="85"/>
      <c r="AH303" s="85"/>
      <c r="AI303" s="85"/>
      <c r="AJ303" s="85"/>
      <c r="AK303" s="85"/>
      <c r="AL303" s="85"/>
    </row>
    <row r="304" spans="1:38" s="80" customFormat="1" x14ac:dyDescent="0.25">
      <c r="A304" s="116"/>
      <c r="B304" s="115"/>
      <c r="C304" s="115"/>
      <c r="D304" s="115"/>
      <c r="E304" s="115"/>
      <c r="F304" s="115"/>
      <c r="H304" s="95">
        <v>299</v>
      </c>
      <c r="I304" s="96" t="str">
        <f t="shared" si="19"/>
        <v/>
      </c>
      <c r="J304" s="95" t="e">
        <f t="shared" si="22"/>
        <v>#NUM!</v>
      </c>
      <c r="K304" s="95" t="e">
        <f t="shared" si="20"/>
        <v>#NUM!</v>
      </c>
      <c r="L304" s="95"/>
      <c r="M304" s="97">
        <f t="shared" si="21"/>
        <v>0</v>
      </c>
      <c r="S304" s="85"/>
      <c r="T304" s="85"/>
      <c r="U304" s="85"/>
      <c r="V304" s="85"/>
      <c r="W304" s="85"/>
      <c r="X304" s="85"/>
      <c r="Y304" s="85"/>
      <c r="Z304" s="85"/>
      <c r="AA304" s="85"/>
      <c r="AB304" s="85"/>
      <c r="AC304" s="85"/>
      <c r="AD304" s="85"/>
      <c r="AE304" s="85"/>
      <c r="AF304" s="85"/>
      <c r="AG304" s="85"/>
      <c r="AH304" s="85"/>
      <c r="AI304" s="85"/>
      <c r="AJ304" s="85"/>
      <c r="AK304" s="85"/>
      <c r="AL304" s="85"/>
    </row>
    <row r="305" spans="1:38" s="80" customFormat="1" x14ac:dyDescent="0.25">
      <c r="A305" s="116"/>
      <c r="B305" s="115"/>
      <c r="C305" s="115"/>
      <c r="D305" s="115"/>
      <c r="E305" s="115"/>
      <c r="F305" s="115"/>
      <c r="H305" s="95">
        <v>300</v>
      </c>
      <c r="I305" s="96" t="str">
        <f t="shared" si="19"/>
        <v/>
      </c>
      <c r="J305" s="95" t="e">
        <f t="shared" si="22"/>
        <v>#NUM!</v>
      </c>
      <c r="K305" s="95" t="e">
        <f t="shared" si="20"/>
        <v>#NUM!</v>
      </c>
      <c r="L305" s="95"/>
      <c r="M305" s="97">
        <f t="shared" si="21"/>
        <v>0</v>
      </c>
      <c r="S305" s="85"/>
      <c r="T305" s="85"/>
      <c r="U305" s="85"/>
      <c r="V305" s="85"/>
      <c r="W305" s="85"/>
      <c r="X305" s="85"/>
      <c r="Y305" s="85"/>
      <c r="Z305" s="85"/>
      <c r="AA305" s="85"/>
      <c r="AB305" s="85"/>
      <c r="AC305" s="85"/>
      <c r="AD305" s="85"/>
      <c r="AE305" s="85"/>
      <c r="AF305" s="85"/>
      <c r="AG305" s="85"/>
      <c r="AH305" s="85"/>
      <c r="AI305" s="85"/>
      <c r="AJ305" s="85"/>
      <c r="AK305" s="85"/>
      <c r="AL305" s="85"/>
    </row>
    <row r="306" spans="1:38" s="80" customFormat="1" x14ac:dyDescent="0.25">
      <c r="A306" s="117"/>
      <c r="B306" s="115"/>
      <c r="C306" s="115"/>
      <c r="D306" s="115"/>
      <c r="E306" s="115"/>
      <c r="F306" s="115"/>
      <c r="G306" s="115"/>
      <c r="H306" s="118"/>
      <c r="I306" s="118"/>
      <c r="J306" s="118"/>
      <c r="K306" s="118"/>
      <c r="L306" s="118"/>
      <c r="M306" s="119"/>
      <c r="S306" s="85"/>
      <c r="T306" s="85"/>
      <c r="U306" s="85"/>
      <c r="V306" s="85"/>
      <c r="W306" s="85"/>
      <c r="X306" s="85"/>
      <c r="Y306" s="85"/>
      <c r="Z306" s="85"/>
      <c r="AA306" s="85"/>
      <c r="AB306" s="85"/>
      <c r="AC306" s="85"/>
      <c r="AD306" s="85"/>
      <c r="AE306" s="85"/>
      <c r="AF306" s="85"/>
      <c r="AG306" s="85"/>
      <c r="AH306" s="85"/>
      <c r="AI306" s="85"/>
      <c r="AJ306" s="85"/>
      <c r="AK306" s="85"/>
      <c r="AL306" s="85"/>
    </row>
    <row r="314" spans="1:38" s="80" customFormat="1" x14ac:dyDescent="0.25">
      <c r="A314" s="115"/>
      <c r="B314" s="115"/>
      <c r="C314" s="115"/>
      <c r="D314" s="115"/>
      <c r="E314" s="115"/>
      <c r="F314" s="115"/>
      <c r="G314" s="115"/>
      <c r="H314" s="118"/>
      <c r="I314" s="118"/>
      <c r="J314" s="118"/>
      <c r="K314" s="118"/>
      <c r="L314" s="120"/>
      <c r="M314" s="119"/>
      <c r="P314" s="107"/>
      <c r="S314" s="85"/>
      <c r="T314" s="85"/>
      <c r="U314" s="85"/>
      <c r="V314" s="85"/>
      <c r="W314" s="85"/>
      <c r="X314" s="85"/>
      <c r="Y314" s="85"/>
      <c r="Z314" s="85"/>
      <c r="AA314" s="85"/>
      <c r="AB314" s="85"/>
      <c r="AC314" s="85"/>
      <c r="AD314" s="85"/>
      <c r="AE314" s="85"/>
      <c r="AF314" s="85"/>
      <c r="AG314" s="85"/>
      <c r="AH314" s="85"/>
      <c r="AI314" s="85"/>
      <c r="AJ314" s="85"/>
      <c r="AK314" s="85"/>
      <c r="AL314" s="85"/>
    </row>
    <row r="315" spans="1:38" s="80" customFormat="1" x14ac:dyDescent="0.25">
      <c r="A315" s="115"/>
      <c r="B315" s="115"/>
      <c r="C315" s="115"/>
      <c r="D315" s="115"/>
      <c r="E315" s="115"/>
      <c r="F315" s="115"/>
      <c r="G315" s="115"/>
      <c r="H315" s="118"/>
      <c r="I315" s="118"/>
      <c r="J315" s="118"/>
      <c r="K315" s="118"/>
      <c r="L315" s="120"/>
      <c r="M315" s="119"/>
      <c r="P315" s="107"/>
      <c r="S315" s="85"/>
      <c r="T315" s="85"/>
      <c r="U315" s="85"/>
      <c r="V315" s="85"/>
      <c r="W315" s="85"/>
      <c r="X315" s="85"/>
      <c r="Y315" s="85"/>
      <c r="Z315" s="85"/>
      <c r="AA315" s="85"/>
      <c r="AB315" s="85"/>
      <c r="AC315" s="85"/>
      <c r="AD315" s="85"/>
      <c r="AE315" s="85"/>
      <c r="AF315" s="85"/>
      <c r="AG315" s="85"/>
      <c r="AH315" s="85"/>
      <c r="AI315" s="85"/>
      <c r="AJ315" s="85"/>
      <c r="AK315" s="85"/>
      <c r="AL315" s="85"/>
    </row>
    <row r="316" spans="1:38" s="80" customFormat="1" x14ac:dyDescent="0.25">
      <c r="A316" s="115"/>
      <c r="B316" s="115"/>
      <c r="C316" s="115"/>
      <c r="D316" s="115"/>
      <c r="E316" s="115"/>
      <c r="F316" s="115"/>
      <c r="G316" s="115"/>
      <c r="H316" s="118"/>
      <c r="I316" s="118"/>
      <c r="J316" s="118"/>
      <c r="K316" s="118"/>
      <c r="L316" s="120"/>
      <c r="M316" s="119"/>
      <c r="P316" s="107"/>
      <c r="S316" s="85"/>
      <c r="T316" s="85"/>
      <c r="U316" s="85"/>
      <c r="V316" s="85"/>
      <c r="W316" s="85"/>
      <c r="X316" s="85"/>
      <c r="Y316" s="85"/>
      <c r="Z316" s="85"/>
      <c r="AA316" s="85"/>
      <c r="AB316" s="85"/>
      <c r="AC316" s="85"/>
      <c r="AD316" s="85"/>
      <c r="AE316" s="85"/>
      <c r="AF316" s="85"/>
      <c r="AG316" s="85"/>
      <c r="AH316" s="85"/>
      <c r="AI316" s="85"/>
      <c r="AJ316" s="85"/>
      <c r="AK316" s="85"/>
      <c r="AL316" s="85"/>
    </row>
    <row r="317" spans="1:38" s="80" customFormat="1" x14ac:dyDescent="0.25">
      <c r="A317" s="115"/>
      <c r="B317" s="115"/>
      <c r="C317" s="115"/>
      <c r="D317" s="115"/>
      <c r="E317" s="115"/>
      <c r="F317" s="115"/>
      <c r="G317" s="115"/>
      <c r="H317" s="118"/>
      <c r="I317" s="118"/>
      <c r="J317" s="118"/>
      <c r="K317" s="118"/>
      <c r="L317" s="120"/>
      <c r="M317" s="119"/>
      <c r="P317" s="107"/>
      <c r="S317" s="85"/>
      <c r="T317" s="85"/>
      <c r="U317" s="85"/>
      <c r="V317" s="85"/>
      <c r="W317" s="85"/>
      <c r="X317" s="85"/>
      <c r="Y317" s="85"/>
      <c r="Z317" s="85"/>
      <c r="AA317" s="85"/>
      <c r="AB317" s="85"/>
      <c r="AC317" s="85"/>
      <c r="AD317" s="85"/>
      <c r="AE317" s="85"/>
      <c r="AF317" s="85"/>
      <c r="AG317" s="85"/>
      <c r="AH317" s="85"/>
      <c r="AI317" s="85"/>
      <c r="AJ317" s="85"/>
      <c r="AK317" s="85"/>
      <c r="AL317" s="85"/>
    </row>
  </sheetData>
  <conditionalFormatting sqref="J6:K305">
    <cfRule type="cellIs" dxfId="17" priority="1" operator="lessThanOrEqual">
      <formula>0</formula>
    </cfRule>
  </conditionalFormatting>
  <dataValidations count="1">
    <dataValidation type="list" allowBlank="1" showInputMessage="1" showErrorMessage="1" sqref="C38:C69" xr:uid="{093692EF-B29B-471E-A895-24046DBF26F6}">
      <formula1>#REF!</formula1>
    </dataValidation>
  </dataValidation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F6B08-2B33-4AA9-9712-D44290FD3437}">
  <sheetPr>
    <tabColor rgb="FF92D050"/>
  </sheetPr>
  <dimension ref="A1:AL317"/>
  <sheetViews>
    <sheetView workbookViewId="0">
      <selection activeCell="D16" sqref="D16"/>
    </sheetView>
  </sheetViews>
  <sheetFormatPr defaultColWidth="8.875" defaultRowHeight="14.3" x14ac:dyDescent="0.25"/>
  <cols>
    <col min="1" max="1" width="8" style="247" customWidth="1"/>
    <col min="2" max="2" width="8.25" style="247" customWidth="1"/>
    <col min="3" max="3" width="34.75" style="247" customWidth="1"/>
    <col min="4" max="4" width="11.25" style="247" customWidth="1"/>
    <col min="5" max="6" width="8.875" style="247"/>
    <col min="7" max="7" width="0.875" style="247" customWidth="1"/>
    <col min="8" max="8" width="8.875" style="250"/>
    <col min="9" max="9" width="11" style="250" customWidth="1"/>
    <col min="10" max="10" width="15.25" style="250" customWidth="1"/>
    <col min="11" max="11" width="8.75" style="250" customWidth="1"/>
    <col min="12" max="12" width="11" style="250" customWidth="1"/>
    <col min="13" max="13" width="12.25" style="251" customWidth="1"/>
    <col min="14" max="15" width="13.875" style="217" customWidth="1"/>
    <col min="16" max="18" width="8.875" style="217"/>
    <col min="19" max="20" width="8.875" style="222"/>
    <col min="21" max="21" width="12.125" style="222" customWidth="1"/>
    <col min="22" max="22" width="27.375" style="222" customWidth="1"/>
    <col min="23" max="38" width="8.875" style="222"/>
    <col min="39" max="16384" width="8.875" style="247"/>
  </cols>
  <sheetData>
    <row r="1" spans="1:36" x14ac:dyDescent="0.25">
      <c r="A1" s="217"/>
      <c r="B1" s="217"/>
      <c r="C1" s="217"/>
      <c r="D1" s="217"/>
      <c r="E1" s="217"/>
      <c r="F1" s="217"/>
      <c r="G1" s="217"/>
      <c r="H1" s="218" t="s">
        <v>20</v>
      </c>
      <c r="I1" s="219" t="s">
        <v>21</v>
      </c>
      <c r="J1" s="219" t="s">
        <v>22</v>
      </c>
      <c r="K1" s="220" t="s">
        <v>84</v>
      </c>
      <c r="L1" s="221"/>
      <c r="M1" s="221"/>
    </row>
    <row r="2" spans="1:36" x14ac:dyDescent="0.25">
      <c r="A2" s="217"/>
      <c r="B2" s="19" t="s">
        <v>24</v>
      </c>
      <c r="C2" s="127" t="s">
        <v>92</v>
      </c>
      <c r="D2" s="67"/>
      <c r="E2" s="20"/>
      <c r="F2" s="20"/>
      <c r="G2" s="20"/>
      <c r="H2" s="223">
        <v>0</v>
      </c>
      <c r="I2" s="224">
        <v>50</v>
      </c>
      <c r="J2" s="224">
        <v>10</v>
      </c>
      <c r="K2" s="225">
        <f>3*H2^(1/3)</f>
        <v>0</v>
      </c>
      <c r="L2" s="221"/>
      <c r="M2" s="221"/>
    </row>
    <row r="3" spans="1:36" x14ac:dyDescent="0.25">
      <c r="A3" s="217"/>
      <c r="B3" s="226" t="s">
        <v>26</v>
      </c>
      <c r="C3" s="68">
        <v>45114</v>
      </c>
      <c r="D3" s="68"/>
      <c r="E3" s="25"/>
      <c r="F3" s="25"/>
      <c r="G3" s="25"/>
      <c r="H3" s="221"/>
      <c r="I3" s="221"/>
      <c r="J3" s="227"/>
      <c r="K3" s="221"/>
      <c r="L3" s="221"/>
      <c r="M3" s="221"/>
    </row>
    <row r="4" spans="1:36" ht="10.199999999999999" customHeight="1" x14ac:dyDescent="0.25">
      <c r="A4" s="27"/>
      <c r="B4" s="25"/>
      <c r="C4" s="27"/>
      <c r="D4" s="27"/>
      <c r="E4" s="27"/>
      <c r="F4" s="27"/>
      <c r="G4" s="27"/>
      <c r="H4" s="221"/>
      <c r="I4" s="221"/>
      <c r="J4" s="227"/>
      <c r="K4" s="221"/>
      <c r="L4" s="221"/>
      <c r="M4" s="221"/>
    </row>
    <row r="5" spans="1:36" ht="34.65" x14ac:dyDescent="0.25">
      <c r="A5" s="1" t="s">
        <v>28</v>
      </c>
      <c r="B5" s="28" t="s">
        <v>29</v>
      </c>
      <c r="C5" s="1" t="s">
        <v>30</v>
      </c>
      <c r="D5" s="1" t="s">
        <v>31</v>
      </c>
      <c r="E5" s="1" t="s">
        <v>32</v>
      </c>
      <c r="F5" s="1" t="s">
        <v>33</v>
      </c>
      <c r="G5" s="27"/>
      <c r="H5" s="228" t="s">
        <v>34</v>
      </c>
      <c r="I5" s="229" t="s">
        <v>35</v>
      </c>
      <c r="J5" s="230" t="s">
        <v>36</v>
      </c>
      <c r="K5" s="229" t="s">
        <v>37</v>
      </c>
      <c r="L5" s="229" t="s">
        <v>38</v>
      </c>
      <c r="M5" s="228" t="s">
        <v>39</v>
      </c>
    </row>
    <row r="6" spans="1:36" ht="14.45" customHeight="1" x14ac:dyDescent="0.25">
      <c r="A6" s="94">
        <f>M6</f>
        <v>0</v>
      </c>
      <c r="B6" s="33" t="str">
        <f t="shared" ref="B6:B69" si="0">IF(H6&gt;$H$2,"",(ROW()-5))</f>
        <v/>
      </c>
      <c r="C6" s="34"/>
      <c r="D6" s="34"/>
      <c r="E6" s="34"/>
      <c r="F6" s="34"/>
      <c r="G6" s="27"/>
      <c r="H6" s="231">
        <v>1</v>
      </c>
      <c r="I6" s="232" t="str">
        <f t="shared" ref="I6:I69" si="1">IF(H6&lt;$H$2+1,($I$2-($I$2-1)*(LOG(H6)/LOG($H$2))),"")</f>
        <v/>
      </c>
      <c r="J6" s="231" t="e">
        <f>INT(LOG($H$2,2))-ROUNDUP(LOG(H6,2),0)+IF(OR($H$2=1,$H$2=2,$H$2=4,$H$2=8,$H$2=16,$H$2=32,$H$2=64,$H$2=128,$H$2=256),0,1)</f>
        <v>#NUM!</v>
      </c>
      <c r="K6" s="231" t="e">
        <f t="shared" ref="K6:K69" si="2">J6*$J$2</f>
        <v>#NUM!</v>
      </c>
      <c r="L6" s="233">
        <f>3*K2</f>
        <v>0</v>
      </c>
      <c r="M6" s="233">
        <f t="shared" ref="M6:M69" si="3">IF(I6&lt;&gt;"",K6+I6+L6,0)</f>
        <v>0</v>
      </c>
    </row>
    <row r="7" spans="1:36" ht="14.45" customHeight="1" x14ac:dyDescent="0.25">
      <c r="A7" s="98">
        <f t="shared" ref="A7:A70" si="4">M7</f>
        <v>0</v>
      </c>
      <c r="B7" s="39" t="str">
        <f t="shared" si="0"/>
        <v/>
      </c>
      <c r="C7" s="40"/>
      <c r="D7" s="40"/>
      <c r="E7" s="40"/>
      <c r="F7" s="40"/>
      <c r="G7" s="27"/>
      <c r="H7" s="234">
        <v>2</v>
      </c>
      <c r="I7" s="235" t="str">
        <f t="shared" si="1"/>
        <v/>
      </c>
      <c r="J7" s="234" t="e">
        <f t="shared" ref="J7:J70" si="5">INT(LOG($H$2,2))-ROUNDUP(LOG(H7,2),0)+IF(OR($H$2=1,$H$2=2,$H$2=4,$H$2=8,$H$2=16,$H$2=32,$H$2=64,$H$2=128,$H$2=256),0,1)</f>
        <v>#NUM!</v>
      </c>
      <c r="K7" s="234" t="e">
        <f t="shared" si="2"/>
        <v>#NUM!</v>
      </c>
      <c r="L7" s="236">
        <f>2*K2</f>
        <v>0</v>
      </c>
      <c r="M7" s="236">
        <f t="shared" si="3"/>
        <v>0</v>
      </c>
    </row>
    <row r="8" spans="1:36" ht="14.45" customHeight="1" x14ac:dyDescent="0.25">
      <c r="A8" s="94">
        <f t="shared" si="4"/>
        <v>0</v>
      </c>
      <c r="B8" s="33" t="str">
        <f t="shared" si="0"/>
        <v/>
      </c>
      <c r="C8" s="34"/>
      <c r="D8" s="34"/>
      <c r="E8" s="34"/>
      <c r="F8" s="34"/>
      <c r="G8" s="27"/>
      <c r="H8" s="231">
        <v>3</v>
      </c>
      <c r="I8" s="232" t="str">
        <f t="shared" si="1"/>
        <v/>
      </c>
      <c r="J8" s="231" t="e">
        <f t="shared" si="5"/>
        <v>#NUM!</v>
      </c>
      <c r="K8" s="231" t="e">
        <f t="shared" si="2"/>
        <v>#NUM!</v>
      </c>
      <c r="L8" s="233">
        <f>K2</f>
        <v>0</v>
      </c>
      <c r="M8" s="233">
        <f t="shared" si="3"/>
        <v>0</v>
      </c>
    </row>
    <row r="9" spans="1:36" s="222" customFormat="1" ht="14.45" customHeight="1" x14ac:dyDescent="0.25">
      <c r="A9" s="98">
        <f t="shared" si="4"/>
        <v>0</v>
      </c>
      <c r="B9" s="39" t="str">
        <f>IF(H9&gt;$H$2,"",3)</f>
        <v/>
      </c>
      <c r="C9" s="40"/>
      <c r="D9" s="40"/>
      <c r="E9" s="40"/>
      <c r="F9" s="40"/>
      <c r="G9" s="27"/>
      <c r="H9" s="234">
        <v>3</v>
      </c>
      <c r="I9" s="235" t="str">
        <f t="shared" si="1"/>
        <v/>
      </c>
      <c r="J9" s="234" t="e">
        <f t="shared" si="5"/>
        <v>#NUM!</v>
      </c>
      <c r="K9" s="234" t="e">
        <f t="shared" si="2"/>
        <v>#NUM!</v>
      </c>
      <c r="L9" s="236">
        <f>K2</f>
        <v>0</v>
      </c>
      <c r="M9" s="236">
        <f t="shared" si="3"/>
        <v>0</v>
      </c>
      <c r="N9" s="217"/>
      <c r="O9" s="217"/>
      <c r="P9" s="217"/>
      <c r="Q9" s="217"/>
      <c r="R9" s="217"/>
      <c r="V9" s="237"/>
      <c r="Z9" s="238"/>
      <c r="AA9" s="238"/>
      <c r="AG9" s="239"/>
      <c r="AH9" s="222" t="s">
        <v>40</v>
      </c>
      <c r="AI9" s="222">
        <v>23</v>
      </c>
    </row>
    <row r="10" spans="1:36" ht="14.45" customHeight="1" x14ac:dyDescent="0.25">
      <c r="A10" s="94">
        <f t="shared" si="4"/>
        <v>0</v>
      </c>
      <c r="B10" s="33" t="str">
        <f t="shared" si="0"/>
        <v/>
      </c>
      <c r="C10" s="34"/>
      <c r="D10" s="34"/>
      <c r="E10" s="34"/>
      <c r="F10" s="34"/>
      <c r="G10" s="27"/>
      <c r="H10" s="231">
        <v>5</v>
      </c>
      <c r="I10" s="232" t="str">
        <f t="shared" si="1"/>
        <v/>
      </c>
      <c r="J10" s="231" t="e">
        <f t="shared" si="5"/>
        <v>#NUM!</v>
      </c>
      <c r="K10" s="231" t="e">
        <f t="shared" si="2"/>
        <v>#NUM!</v>
      </c>
      <c r="L10" s="231"/>
      <c r="M10" s="233">
        <f t="shared" si="3"/>
        <v>0</v>
      </c>
      <c r="V10" s="237"/>
      <c r="Z10" s="238"/>
      <c r="AA10" s="238"/>
      <c r="AG10" s="239"/>
      <c r="AH10" s="222" t="s">
        <v>41</v>
      </c>
      <c r="AI10" s="222">
        <v>45</v>
      </c>
    </row>
    <row r="11" spans="1:36" ht="14.45" customHeight="1" x14ac:dyDescent="0.25">
      <c r="A11" s="98">
        <f t="shared" si="4"/>
        <v>0</v>
      </c>
      <c r="B11" s="39" t="str">
        <f t="shared" si="0"/>
        <v/>
      </c>
      <c r="C11" s="40"/>
      <c r="D11" s="40"/>
      <c r="E11" s="40"/>
      <c r="F11" s="40"/>
      <c r="G11" s="27"/>
      <c r="H11" s="234">
        <v>6</v>
      </c>
      <c r="I11" s="235" t="str">
        <f t="shared" si="1"/>
        <v/>
      </c>
      <c r="J11" s="234" t="e">
        <f t="shared" si="5"/>
        <v>#NUM!</v>
      </c>
      <c r="K11" s="234" t="e">
        <f t="shared" si="2"/>
        <v>#NUM!</v>
      </c>
      <c r="L11" s="234"/>
      <c r="M11" s="236">
        <f t="shared" si="3"/>
        <v>0</v>
      </c>
      <c r="V11" s="240"/>
      <c r="Z11" s="238"/>
      <c r="AA11" s="238"/>
      <c r="AG11" s="239"/>
      <c r="AH11" s="222" t="s">
        <v>42</v>
      </c>
      <c r="AI11" s="222">
        <v>50</v>
      </c>
    </row>
    <row r="12" spans="1:36" ht="14.45" customHeight="1" x14ac:dyDescent="0.25">
      <c r="A12" s="94">
        <f t="shared" si="4"/>
        <v>0</v>
      </c>
      <c r="B12" s="33" t="str">
        <f t="shared" si="0"/>
        <v/>
      </c>
      <c r="C12" s="34"/>
      <c r="D12" s="34"/>
      <c r="E12" s="34"/>
      <c r="F12" s="34"/>
      <c r="G12" s="27"/>
      <c r="H12" s="231">
        <v>7</v>
      </c>
      <c r="I12" s="232" t="str">
        <f t="shared" si="1"/>
        <v/>
      </c>
      <c r="J12" s="231" t="e">
        <f t="shared" si="5"/>
        <v>#NUM!</v>
      </c>
      <c r="K12" s="231" t="e">
        <f t="shared" si="2"/>
        <v>#NUM!</v>
      </c>
      <c r="L12" s="231"/>
      <c r="M12" s="233">
        <f t="shared" si="3"/>
        <v>0</v>
      </c>
      <c r="Z12" s="238"/>
      <c r="AA12" s="238"/>
      <c r="AG12" s="239"/>
      <c r="AH12" s="222" t="s">
        <v>43</v>
      </c>
      <c r="AI12" s="222">
        <f>AI11-1</f>
        <v>49</v>
      </c>
    </row>
    <row r="13" spans="1:36" ht="14.45" customHeight="1" x14ac:dyDescent="0.25">
      <c r="A13" s="98">
        <f t="shared" si="4"/>
        <v>0</v>
      </c>
      <c r="B13" s="39" t="str">
        <f t="shared" si="0"/>
        <v/>
      </c>
      <c r="C13" s="40"/>
      <c r="D13" s="40"/>
      <c r="E13" s="40"/>
      <c r="F13" s="40"/>
      <c r="G13" s="27"/>
      <c r="H13" s="234">
        <v>8</v>
      </c>
      <c r="I13" s="235" t="str">
        <f t="shared" si="1"/>
        <v/>
      </c>
      <c r="J13" s="234" t="e">
        <f t="shared" si="5"/>
        <v>#NUM!</v>
      </c>
      <c r="K13" s="234" t="e">
        <f t="shared" si="2"/>
        <v>#NUM!</v>
      </c>
      <c r="L13" s="234"/>
      <c r="M13" s="236">
        <f t="shared" si="3"/>
        <v>0</v>
      </c>
      <c r="X13" s="237"/>
      <c r="AG13" s="239"/>
      <c r="AH13" s="222" t="s">
        <v>44</v>
      </c>
      <c r="AI13" s="222">
        <f>LOG(AI9)</f>
        <v>1.3617278360175928</v>
      </c>
    </row>
    <row r="14" spans="1:36" x14ac:dyDescent="0.25">
      <c r="A14" s="94">
        <f t="shared" si="4"/>
        <v>0</v>
      </c>
      <c r="B14" s="33" t="str">
        <f t="shared" si="0"/>
        <v/>
      </c>
      <c r="C14" s="34"/>
      <c r="D14" s="34"/>
      <c r="E14" s="34"/>
      <c r="F14" s="34"/>
      <c r="G14" s="27"/>
      <c r="H14" s="231">
        <v>9</v>
      </c>
      <c r="I14" s="232" t="str">
        <f t="shared" si="1"/>
        <v/>
      </c>
      <c r="J14" s="231" t="e">
        <f t="shared" si="5"/>
        <v>#NUM!</v>
      </c>
      <c r="K14" s="231" t="e">
        <f t="shared" si="2"/>
        <v>#NUM!</v>
      </c>
      <c r="L14" s="231"/>
      <c r="M14" s="233">
        <f t="shared" si="3"/>
        <v>0</v>
      </c>
      <c r="X14" s="241"/>
      <c r="Z14" s="238"/>
      <c r="AA14" s="238"/>
      <c r="AG14" s="239"/>
      <c r="AH14" s="222" t="s">
        <v>45</v>
      </c>
      <c r="AI14" s="222">
        <f>LOG(AI10)</f>
        <v>1.6532125137753437</v>
      </c>
    </row>
    <row r="15" spans="1:36" x14ac:dyDescent="0.25">
      <c r="A15" s="98">
        <f t="shared" si="4"/>
        <v>0</v>
      </c>
      <c r="B15" s="39" t="str">
        <f t="shared" si="0"/>
        <v/>
      </c>
      <c r="C15" s="40"/>
      <c r="D15" s="40"/>
      <c r="E15" s="40"/>
      <c r="F15" s="40"/>
      <c r="G15" s="27"/>
      <c r="H15" s="234">
        <v>10</v>
      </c>
      <c r="I15" s="235" t="str">
        <f t="shared" si="1"/>
        <v/>
      </c>
      <c r="J15" s="234" t="e">
        <f t="shared" si="5"/>
        <v>#NUM!</v>
      </c>
      <c r="K15" s="234" t="e">
        <f t="shared" si="2"/>
        <v>#NUM!</v>
      </c>
      <c r="L15" s="234"/>
      <c r="M15" s="236">
        <f t="shared" si="3"/>
        <v>0</v>
      </c>
      <c r="X15" s="237"/>
      <c r="Z15" s="238"/>
      <c r="AA15" s="238"/>
    </row>
    <row r="16" spans="1:36" x14ac:dyDescent="0.25">
      <c r="A16" s="94">
        <f t="shared" si="4"/>
        <v>0</v>
      </c>
      <c r="B16" s="33" t="str">
        <f t="shared" si="0"/>
        <v/>
      </c>
      <c r="C16" s="34"/>
      <c r="D16" s="34"/>
      <c r="E16" s="34"/>
      <c r="F16" s="34"/>
      <c r="G16" s="27"/>
      <c r="H16" s="231">
        <v>11</v>
      </c>
      <c r="I16" s="232" t="str">
        <f t="shared" si="1"/>
        <v/>
      </c>
      <c r="J16" s="231" t="e">
        <f t="shared" si="5"/>
        <v>#NUM!</v>
      </c>
      <c r="K16" s="231" t="e">
        <f t="shared" si="2"/>
        <v>#NUM!</v>
      </c>
      <c r="L16" s="231"/>
      <c r="M16" s="233">
        <f t="shared" si="3"/>
        <v>0</v>
      </c>
      <c r="R16" s="242"/>
      <c r="Z16" s="238"/>
      <c r="AA16" s="238"/>
      <c r="AH16" s="243" t="s">
        <v>46</v>
      </c>
      <c r="AI16" s="222">
        <f>AI11-AI12*AI13/AI14</f>
        <v>9.6393909380186855</v>
      </c>
      <c r="AJ16" s="222" t="s">
        <v>47</v>
      </c>
    </row>
    <row r="17" spans="1:19" x14ac:dyDescent="0.25">
      <c r="A17" s="98">
        <f t="shared" si="4"/>
        <v>0</v>
      </c>
      <c r="B17" s="39" t="str">
        <f t="shared" si="0"/>
        <v/>
      </c>
      <c r="C17" s="40"/>
      <c r="D17" s="40"/>
      <c r="E17" s="40"/>
      <c r="F17" s="40"/>
      <c r="G17" s="27"/>
      <c r="H17" s="234">
        <v>12</v>
      </c>
      <c r="I17" s="235" t="str">
        <f t="shared" si="1"/>
        <v/>
      </c>
      <c r="J17" s="234" t="e">
        <f t="shared" si="5"/>
        <v>#NUM!</v>
      </c>
      <c r="K17" s="234" t="e">
        <f t="shared" si="2"/>
        <v>#NUM!</v>
      </c>
      <c r="L17" s="234"/>
      <c r="M17" s="236">
        <f t="shared" si="3"/>
        <v>0</v>
      </c>
    </row>
    <row r="18" spans="1:19" x14ac:dyDescent="0.25">
      <c r="A18" s="94">
        <f t="shared" si="4"/>
        <v>0</v>
      </c>
      <c r="B18" s="33" t="str">
        <f t="shared" si="0"/>
        <v/>
      </c>
      <c r="C18" s="34"/>
      <c r="D18" s="34"/>
      <c r="E18" s="34"/>
      <c r="F18" s="34"/>
      <c r="G18" s="27"/>
      <c r="H18" s="231">
        <v>13</v>
      </c>
      <c r="I18" s="232" t="str">
        <f t="shared" si="1"/>
        <v/>
      </c>
      <c r="J18" s="231" t="e">
        <f t="shared" si="5"/>
        <v>#NUM!</v>
      </c>
      <c r="K18" s="231" t="e">
        <f t="shared" si="2"/>
        <v>#NUM!</v>
      </c>
      <c r="L18" s="231"/>
      <c r="M18" s="233">
        <f t="shared" si="3"/>
        <v>0</v>
      </c>
    </row>
    <row r="19" spans="1:19" x14ac:dyDescent="0.25">
      <c r="A19" s="98">
        <f t="shared" si="4"/>
        <v>0</v>
      </c>
      <c r="B19" s="39" t="str">
        <f t="shared" si="0"/>
        <v/>
      </c>
      <c r="C19" s="40"/>
      <c r="D19" s="40"/>
      <c r="E19" s="40"/>
      <c r="F19" s="40"/>
      <c r="G19" s="27"/>
      <c r="H19" s="234">
        <v>14</v>
      </c>
      <c r="I19" s="235" t="str">
        <f t="shared" si="1"/>
        <v/>
      </c>
      <c r="J19" s="234" t="e">
        <f t="shared" si="5"/>
        <v>#NUM!</v>
      </c>
      <c r="K19" s="234" t="e">
        <f t="shared" si="2"/>
        <v>#NUM!</v>
      </c>
      <c r="L19" s="234"/>
      <c r="M19" s="236">
        <f t="shared" si="3"/>
        <v>0</v>
      </c>
    </row>
    <row r="20" spans="1:19" x14ac:dyDescent="0.25">
      <c r="A20" s="94">
        <f t="shared" si="4"/>
        <v>0</v>
      </c>
      <c r="B20" s="33" t="str">
        <f t="shared" si="0"/>
        <v/>
      </c>
      <c r="C20" s="34"/>
      <c r="D20" s="34"/>
      <c r="E20" s="34"/>
      <c r="F20" s="34"/>
      <c r="G20" s="27"/>
      <c r="H20" s="231">
        <v>15</v>
      </c>
      <c r="I20" s="232" t="str">
        <f t="shared" si="1"/>
        <v/>
      </c>
      <c r="J20" s="231" t="e">
        <f t="shared" si="5"/>
        <v>#NUM!</v>
      </c>
      <c r="K20" s="231" t="e">
        <f t="shared" si="2"/>
        <v>#NUM!</v>
      </c>
      <c r="L20" s="231"/>
      <c r="M20" s="233">
        <f t="shared" si="3"/>
        <v>0</v>
      </c>
      <c r="R20" s="244"/>
      <c r="S20" s="245"/>
    </row>
    <row r="21" spans="1:19" x14ac:dyDescent="0.25">
      <c r="A21" s="98">
        <f t="shared" si="4"/>
        <v>0</v>
      </c>
      <c r="B21" s="39" t="str">
        <f t="shared" si="0"/>
        <v/>
      </c>
      <c r="C21" s="40"/>
      <c r="D21" s="40"/>
      <c r="E21" s="40"/>
      <c r="F21" s="40"/>
      <c r="G21" s="27"/>
      <c r="H21" s="234">
        <v>16</v>
      </c>
      <c r="I21" s="235" t="str">
        <f t="shared" si="1"/>
        <v/>
      </c>
      <c r="J21" s="234" t="e">
        <f t="shared" si="5"/>
        <v>#NUM!</v>
      </c>
      <c r="K21" s="234" t="e">
        <f t="shared" si="2"/>
        <v>#NUM!</v>
      </c>
      <c r="L21" s="234"/>
      <c r="M21" s="236">
        <f t="shared" si="3"/>
        <v>0</v>
      </c>
    </row>
    <row r="22" spans="1:19" x14ac:dyDescent="0.25">
      <c r="A22" s="94">
        <f t="shared" si="4"/>
        <v>0</v>
      </c>
      <c r="B22" s="33" t="str">
        <f t="shared" si="0"/>
        <v/>
      </c>
      <c r="C22" s="34"/>
      <c r="D22" s="34"/>
      <c r="E22" s="34"/>
      <c r="F22" s="34"/>
      <c r="G22" s="27"/>
      <c r="H22" s="231">
        <v>17</v>
      </c>
      <c r="I22" s="232" t="str">
        <f t="shared" si="1"/>
        <v/>
      </c>
      <c r="J22" s="231" t="e">
        <f t="shared" si="5"/>
        <v>#NUM!</v>
      </c>
      <c r="K22" s="231" t="e">
        <f t="shared" si="2"/>
        <v>#NUM!</v>
      </c>
      <c r="L22" s="231"/>
      <c r="M22" s="233">
        <f t="shared" si="3"/>
        <v>0</v>
      </c>
    </row>
    <row r="23" spans="1:19" x14ac:dyDescent="0.25">
      <c r="A23" s="98">
        <f t="shared" si="4"/>
        <v>0</v>
      </c>
      <c r="B23" s="39" t="str">
        <f t="shared" si="0"/>
        <v/>
      </c>
      <c r="C23" s="40"/>
      <c r="D23" s="40"/>
      <c r="E23" s="40"/>
      <c r="F23" s="40"/>
      <c r="G23" s="27"/>
      <c r="H23" s="234">
        <v>18</v>
      </c>
      <c r="I23" s="235" t="str">
        <f t="shared" si="1"/>
        <v/>
      </c>
      <c r="J23" s="234" t="e">
        <f t="shared" si="5"/>
        <v>#NUM!</v>
      </c>
      <c r="K23" s="234" t="e">
        <f t="shared" si="2"/>
        <v>#NUM!</v>
      </c>
      <c r="L23" s="234"/>
      <c r="M23" s="236">
        <f t="shared" si="3"/>
        <v>0</v>
      </c>
    </row>
    <row r="24" spans="1:19" x14ac:dyDescent="0.25">
      <c r="A24" s="94">
        <f t="shared" si="4"/>
        <v>0</v>
      </c>
      <c r="B24" s="33" t="str">
        <f t="shared" si="0"/>
        <v/>
      </c>
      <c r="C24" s="34"/>
      <c r="D24" s="34"/>
      <c r="E24" s="34"/>
      <c r="F24" s="34"/>
      <c r="G24" s="27"/>
      <c r="H24" s="231">
        <v>19</v>
      </c>
      <c r="I24" s="232" t="str">
        <f t="shared" si="1"/>
        <v/>
      </c>
      <c r="J24" s="231" t="e">
        <f t="shared" si="5"/>
        <v>#NUM!</v>
      </c>
      <c r="K24" s="231" t="e">
        <f t="shared" si="2"/>
        <v>#NUM!</v>
      </c>
      <c r="L24" s="231"/>
      <c r="M24" s="233">
        <f t="shared" si="3"/>
        <v>0</v>
      </c>
      <c r="R24" s="244"/>
      <c r="S24" s="245"/>
    </row>
    <row r="25" spans="1:19" x14ac:dyDescent="0.25">
      <c r="A25" s="98">
        <f t="shared" si="4"/>
        <v>0</v>
      </c>
      <c r="B25" s="39" t="str">
        <f t="shared" si="0"/>
        <v/>
      </c>
      <c r="C25" s="40"/>
      <c r="D25" s="40"/>
      <c r="E25" s="40"/>
      <c r="F25" s="40"/>
      <c r="G25" s="27"/>
      <c r="H25" s="234">
        <v>20</v>
      </c>
      <c r="I25" s="235" t="str">
        <f t="shared" si="1"/>
        <v/>
      </c>
      <c r="J25" s="234" t="e">
        <f t="shared" si="5"/>
        <v>#NUM!</v>
      </c>
      <c r="K25" s="234" t="e">
        <f t="shared" si="2"/>
        <v>#NUM!</v>
      </c>
      <c r="L25" s="234"/>
      <c r="M25" s="236">
        <f t="shared" si="3"/>
        <v>0</v>
      </c>
    </row>
    <row r="26" spans="1:19" x14ac:dyDescent="0.25">
      <c r="A26" s="94">
        <f t="shared" si="4"/>
        <v>0</v>
      </c>
      <c r="B26" s="33" t="str">
        <f t="shared" si="0"/>
        <v/>
      </c>
      <c r="C26" s="34"/>
      <c r="D26" s="34"/>
      <c r="E26" s="34"/>
      <c r="F26" s="34"/>
      <c r="G26" s="27"/>
      <c r="H26" s="231">
        <v>21</v>
      </c>
      <c r="I26" s="232" t="str">
        <f t="shared" si="1"/>
        <v/>
      </c>
      <c r="J26" s="231" t="e">
        <f t="shared" si="5"/>
        <v>#NUM!</v>
      </c>
      <c r="K26" s="231" t="e">
        <f t="shared" si="2"/>
        <v>#NUM!</v>
      </c>
      <c r="L26" s="231"/>
      <c r="M26" s="233">
        <f t="shared" si="3"/>
        <v>0</v>
      </c>
    </row>
    <row r="27" spans="1:19" x14ac:dyDescent="0.25">
      <c r="A27" s="98">
        <f t="shared" si="4"/>
        <v>0</v>
      </c>
      <c r="B27" s="39" t="str">
        <f t="shared" si="0"/>
        <v/>
      </c>
      <c r="C27" s="40"/>
      <c r="D27" s="40"/>
      <c r="E27" s="40"/>
      <c r="F27" s="40"/>
      <c r="G27" s="27"/>
      <c r="H27" s="234">
        <v>22</v>
      </c>
      <c r="I27" s="235" t="str">
        <f t="shared" si="1"/>
        <v/>
      </c>
      <c r="J27" s="234" t="e">
        <f t="shared" si="5"/>
        <v>#NUM!</v>
      </c>
      <c r="K27" s="234" t="e">
        <f t="shared" si="2"/>
        <v>#NUM!</v>
      </c>
      <c r="L27" s="234"/>
      <c r="M27" s="236">
        <f t="shared" si="3"/>
        <v>0</v>
      </c>
    </row>
    <row r="28" spans="1:19" x14ac:dyDescent="0.25">
      <c r="A28" s="94">
        <f t="shared" si="4"/>
        <v>0</v>
      </c>
      <c r="B28" s="33" t="str">
        <f t="shared" si="0"/>
        <v/>
      </c>
      <c r="C28" s="34"/>
      <c r="D28" s="34"/>
      <c r="E28" s="34"/>
      <c r="F28" s="34"/>
      <c r="G28" s="27"/>
      <c r="H28" s="231">
        <v>23</v>
      </c>
      <c r="I28" s="232" t="str">
        <f t="shared" si="1"/>
        <v/>
      </c>
      <c r="J28" s="231" t="e">
        <f t="shared" si="5"/>
        <v>#NUM!</v>
      </c>
      <c r="K28" s="231" t="e">
        <f t="shared" si="2"/>
        <v>#NUM!</v>
      </c>
      <c r="L28" s="231"/>
      <c r="M28" s="233">
        <f t="shared" si="3"/>
        <v>0</v>
      </c>
      <c r="R28" s="244"/>
      <c r="S28" s="245"/>
    </row>
    <row r="29" spans="1:19" x14ac:dyDescent="0.25">
      <c r="A29" s="98">
        <f t="shared" si="4"/>
        <v>0</v>
      </c>
      <c r="B29" s="39" t="str">
        <f t="shared" si="0"/>
        <v/>
      </c>
      <c r="C29" s="40"/>
      <c r="D29" s="40"/>
      <c r="E29" s="40"/>
      <c r="F29" s="40"/>
      <c r="G29" s="217"/>
      <c r="H29" s="234">
        <v>24</v>
      </c>
      <c r="I29" s="235" t="str">
        <f t="shared" si="1"/>
        <v/>
      </c>
      <c r="J29" s="234" t="e">
        <f t="shared" si="5"/>
        <v>#NUM!</v>
      </c>
      <c r="K29" s="234" t="e">
        <f t="shared" si="2"/>
        <v>#NUM!</v>
      </c>
      <c r="L29" s="234"/>
      <c r="M29" s="236">
        <f t="shared" si="3"/>
        <v>0</v>
      </c>
    </row>
    <row r="30" spans="1:19" x14ac:dyDescent="0.25">
      <c r="A30" s="94">
        <f t="shared" si="4"/>
        <v>0</v>
      </c>
      <c r="B30" s="33" t="str">
        <f t="shared" si="0"/>
        <v/>
      </c>
      <c r="C30" s="34"/>
      <c r="D30" s="34"/>
      <c r="E30" s="34"/>
      <c r="F30" s="34"/>
      <c r="G30" s="217"/>
      <c r="H30" s="231">
        <v>25</v>
      </c>
      <c r="I30" s="232" t="str">
        <f t="shared" si="1"/>
        <v/>
      </c>
      <c r="J30" s="231" t="e">
        <f t="shared" si="5"/>
        <v>#NUM!</v>
      </c>
      <c r="K30" s="231" t="e">
        <f t="shared" si="2"/>
        <v>#NUM!</v>
      </c>
      <c r="L30" s="231"/>
      <c r="M30" s="233">
        <f t="shared" si="3"/>
        <v>0</v>
      </c>
    </row>
    <row r="31" spans="1:19" x14ac:dyDescent="0.25">
      <c r="A31" s="98">
        <f t="shared" si="4"/>
        <v>0</v>
      </c>
      <c r="B31" s="39" t="str">
        <f t="shared" si="0"/>
        <v/>
      </c>
      <c r="C31" s="40"/>
      <c r="D31" s="40"/>
      <c r="E31" s="40"/>
      <c r="F31" s="40"/>
      <c r="G31" s="217"/>
      <c r="H31" s="234">
        <v>26</v>
      </c>
      <c r="I31" s="235" t="str">
        <f t="shared" si="1"/>
        <v/>
      </c>
      <c r="J31" s="234" t="e">
        <f t="shared" si="5"/>
        <v>#NUM!</v>
      </c>
      <c r="K31" s="234" t="e">
        <f t="shared" si="2"/>
        <v>#NUM!</v>
      </c>
      <c r="L31" s="234"/>
      <c r="M31" s="236">
        <f t="shared" si="3"/>
        <v>0</v>
      </c>
    </row>
    <row r="32" spans="1:19" x14ac:dyDescent="0.25">
      <c r="A32" s="94">
        <f t="shared" si="4"/>
        <v>0</v>
      </c>
      <c r="B32" s="33" t="str">
        <f t="shared" si="0"/>
        <v/>
      </c>
      <c r="C32" s="34"/>
      <c r="D32" s="34"/>
      <c r="E32" s="34"/>
      <c r="F32" s="34"/>
      <c r="G32" s="217"/>
      <c r="H32" s="231">
        <v>27</v>
      </c>
      <c r="I32" s="232" t="str">
        <f t="shared" si="1"/>
        <v/>
      </c>
      <c r="J32" s="231" t="e">
        <f t="shared" si="5"/>
        <v>#NUM!</v>
      </c>
      <c r="K32" s="231" t="e">
        <f t="shared" si="2"/>
        <v>#NUM!</v>
      </c>
      <c r="L32" s="231"/>
      <c r="M32" s="233">
        <f t="shared" si="3"/>
        <v>0</v>
      </c>
      <c r="R32" s="244"/>
      <c r="S32" s="245"/>
    </row>
    <row r="33" spans="1:19" x14ac:dyDescent="0.25">
      <c r="A33" s="98">
        <f t="shared" si="4"/>
        <v>0</v>
      </c>
      <c r="B33" s="39" t="str">
        <f t="shared" si="0"/>
        <v/>
      </c>
      <c r="C33" s="40"/>
      <c r="D33" s="40"/>
      <c r="E33" s="40"/>
      <c r="F33" s="40"/>
      <c r="G33" s="217"/>
      <c r="H33" s="234">
        <v>28</v>
      </c>
      <c r="I33" s="235" t="str">
        <f t="shared" si="1"/>
        <v/>
      </c>
      <c r="J33" s="234" t="e">
        <f t="shared" si="5"/>
        <v>#NUM!</v>
      </c>
      <c r="K33" s="234" t="e">
        <f t="shared" si="2"/>
        <v>#NUM!</v>
      </c>
      <c r="L33" s="234"/>
      <c r="M33" s="236">
        <f t="shared" si="3"/>
        <v>0</v>
      </c>
    </row>
    <row r="34" spans="1:19" x14ac:dyDescent="0.25">
      <c r="A34" s="94">
        <f t="shared" si="4"/>
        <v>0</v>
      </c>
      <c r="B34" s="33" t="str">
        <f t="shared" si="0"/>
        <v/>
      </c>
      <c r="C34" s="34"/>
      <c r="D34" s="34"/>
      <c r="E34" s="34"/>
      <c r="F34" s="34"/>
      <c r="G34" s="217"/>
      <c r="H34" s="231">
        <v>29</v>
      </c>
      <c r="I34" s="232" t="str">
        <f t="shared" si="1"/>
        <v/>
      </c>
      <c r="J34" s="231" t="e">
        <f t="shared" si="5"/>
        <v>#NUM!</v>
      </c>
      <c r="K34" s="231" t="e">
        <f t="shared" si="2"/>
        <v>#NUM!</v>
      </c>
      <c r="L34" s="231"/>
      <c r="M34" s="233">
        <f t="shared" si="3"/>
        <v>0</v>
      </c>
    </row>
    <row r="35" spans="1:19" x14ac:dyDescent="0.25">
      <c r="A35" s="98">
        <f t="shared" si="4"/>
        <v>0</v>
      </c>
      <c r="B35" s="39" t="str">
        <f t="shared" si="0"/>
        <v/>
      </c>
      <c r="C35" s="40"/>
      <c r="D35" s="40"/>
      <c r="E35" s="40"/>
      <c r="F35" s="40"/>
      <c r="G35" s="217"/>
      <c r="H35" s="234">
        <v>30</v>
      </c>
      <c r="I35" s="235" t="str">
        <f t="shared" si="1"/>
        <v/>
      </c>
      <c r="J35" s="234" t="e">
        <f t="shared" si="5"/>
        <v>#NUM!</v>
      </c>
      <c r="K35" s="234" t="e">
        <f t="shared" si="2"/>
        <v>#NUM!</v>
      </c>
      <c r="L35" s="234"/>
      <c r="M35" s="236">
        <f t="shared" si="3"/>
        <v>0</v>
      </c>
    </row>
    <row r="36" spans="1:19" x14ac:dyDescent="0.25">
      <c r="A36" s="94">
        <f t="shared" si="4"/>
        <v>0</v>
      </c>
      <c r="B36" s="33" t="str">
        <f t="shared" si="0"/>
        <v/>
      </c>
      <c r="C36" s="34"/>
      <c r="D36" s="34"/>
      <c r="E36" s="34"/>
      <c r="F36" s="34"/>
      <c r="G36" s="217"/>
      <c r="H36" s="231">
        <v>31</v>
      </c>
      <c r="I36" s="232" t="str">
        <f t="shared" si="1"/>
        <v/>
      </c>
      <c r="J36" s="231" t="e">
        <f t="shared" si="5"/>
        <v>#NUM!</v>
      </c>
      <c r="K36" s="231" t="e">
        <f t="shared" si="2"/>
        <v>#NUM!</v>
      </c>
      <c r="L36" s="231"/>
      <c r="M36" s="233">
        <f t="shared" si="3"/>
        <v>0</v>
      </c>
      <c r="R36" s="244"/>
      <c r="S36" s="245"/>
    </row>
    <row r="37" spans="1:19" x14ac:dyDescent="0.25">
      <c r="A37" s="98">
        <f t="shared" si="4"/>
        <v>0</v>
      </c>
      <c r="B37" s="39" t="str">
        <f t="shared" si="0"/>
        <v/>
      </c>
      <c r="C37" s="40"/>
      <c r="D37" s="40"/>
      <c r="E37" s="40"/>
      <c r="F37" s="40"/>
      <c r="G37" s="217"/>
      <c r="H37" s="234">
        <v>32</v>
      </c>
      <c r="I37" s="235" t="str">
        <f t="shared" si="1"/>
        <v/>
      </c>
      <c r="J37" s="234" t="e">
        <f t="shared" si="5"/>
        <v>#NUM!</v>
      </c>
      <c r="K37" s="234" t="e">
        <f t="shared" si="2"/>
        <v>#NUM!</v>
      </c>
      <c r="L37" s="234"/>
      <c r="M37" s="236">
        <f t="shared" si="3"/>
        <v>0</v>
      </c>
    </row>
    <row r="38" spans="1:19" x14ac:dyDescent="0.25">
      <c r="A38" s="94">
        <f t="shared" si="4"/>
        <v>0</v>
      </c>
      <c r="B38" s="33" t="str">
        <f t="shared" si="0"/>
        <v/>
      </c>
      <c r="C38" s="34"/>
      <c r="D38" s="34"/>
      <c r="E38" s="34"/>
      <c r="F38" s="34"/>
      <c r="G38" s="217"/>
      <c r="H38" s="231">
        <v>33</v>
      </c>
      <c r="I38" s="232" t="str">
        <f t="shared" si="1"/>
        <v/>
      </c>
      <c r="J38" s="231" t="e">
        <f t="shared" si="5"/>
        <v>#NUM!</v>
      </c>
      <c r="K38" s="231" t="e">
        <f t="shared" si="2"/>
        <v>#NUM!</v>
      </c>
      <c r="L38" s="231"/>
      <c r="M38" s="233">
        <f t="shared" si="3"/>
        <v>0</v>
      </c>
    </row>
    <row r="39" spans="1:19" x14ac:dyDescent="0.25">
      <c r="A39" s="98">
        <f t="shared" si="4"/>
        <v>0</v>
      </c>
      <c r="B39" s="39" t="str">
        <f t="shared" si="0"/>
        <v/>
      </c>
      <c r="C39" s="40"/>
      <c r="D39" s="40"/>
      <c r="E39" s="40"/>
      <c r="F39" s="40"/>
      <c r="G39" s="217"/>
      <c r="H39" s="234">
        <v>34</v>
      </c>
      <c r="I39" s="235" t="str">
        <f t="shared" si="1"/>
        <v/>
      </c>
      <c r="J39" s="234" t="e">
        <f t="shared" si="5"/>
        <v>#NUM!</v>
      </c>
      <c r="K39" s="234" t="e">
        <f t="shared" si="2"/>
        <v>#NUM!</v>
      </c>
      <c r="L39" s="234"/>
      <c r="M39" s="236">
        <f t="shared" si="3"/>
        <v>0</v>
      </c>
    </row>
    <row r="40" spans="1:19" x14ac:dyDescent="0.25">
      <c r="A40" s="94">
        <f t="shared" si="4"/>
        <v>0</v>
      </c>
      <c r="B40" s="33" t="str">
        <f t="shared" si="0"/>
        <v/>
      </c>
      <c r="C40" s="34"/>
      <c r="D40" s="34"/>
      <c r="E40" s="34"/>
      <c r="F40" s="34"/>
      <c r="G40" s="217"/>
      <c r="H40" s="231">
        <v>35</v>
      </c>
      <c r="I40" s="232" t="str">
        <f t="shared" si="1"/>
        <v/>
      </c>
      <c r="J40" s="231" t="e">
        <f t="shared" si="5"/>
        <v>#NUM!</v>
      </c>
      <c r="K40" s="231" t="e">
        <f t="shared" si="2"/>
        <v>#NUM!</v>
      </c>
      <c r="L40" s="231"/>
      <c r="M40" s="233">
        <f t="shared" si="3"/>
        <v>0</v>
      </c>
    </row>
    <row r="41" spans="1:19" x14ac:dyDescent="0.25">
      <c r="A41" s="98">
        <f t="shared" si="4"/>
        <v>0</v>
      </c>
      <c r="B41" s="39" t="str">
        <f t="shared" si="0"/>
        <v/>
      </c>
      <c r="C41" s="40"/>
      <c r="D41" s="40"/>
      <c r="E41" s="40"/>
      <c r="F41" s="40"/>
      <c r="G41" s="217"/>
      <c r="H41" s="234">
        <v>36</v>
      </c>
      <c r="I41" s="235" t="str">
        <f t="shared" si="1"/>
        <v/>
      </c>
      <c r="J41" s="234" t="e">
        <f t="shared" si="5"/>
        <v>#NUM!</v>
      </c>
      <c r="K41" s="234" t="e">
        <f t="shared" si="2"/>
        <v>#NUM!</v>
      </c>
      <c r="L41" s="234"/>
      <c r="M41" s="236">
        <f t="shared" si="3"/>
        <v>0</v>
      </c>
      <c r="S41" s="246"/>
    </row>
    <row r="42" spans="1:19" x14ac:dyDescent="0.25">
      <c r="A42" s="94">
        <f t="shared" si="4"/>
        <v>0</v>
      </c>
      <c r="B42" s="33" t="str">
        <f t="shared" si="0"/>
        <v/>
      </c>
      <c r="C42" s="34"/>
      <c r="D42" s="34"/>
      <c r="E42" s="34"/>
      <c r="F42" s="34"/>
      <c r="G42" s="217"/>
      <c r="H42" s="231">
        <v>37</v>
      </c>
      <c r="I42" s="232" t="str">
        <f t="shared" si="1"/>
        <v/>
      </c>
      <c r="J42" s="231" t="e">
        <f t="shared" si="5"/>
        <v>#NUM!</v>
      </c>
      <c r="K42" s="231" t="e">
        <f t="shared" si="2"/>
        <v>#NUM!</v>
      </c>
      <c r="L42" s="231"/>
      <c r="M42" s="233">
        <f t="shared" si="3"/>
        <v>0</v>
      </c>
    </row>
    <row r="43" spans="1:19" x14ac:dyDescent="0.25">
      <c r="A43" s="98">
        <f t="shared" si="4"/>
        <v>0</v>
      </c>
      <c r="B43" s="39" t="str">
        <f t="shared" si="0"/>
        <v/>
      </c>
      <c r="C43" s="40"/>
      <c r="D43" s="40"/>
      <c r="E43" s="40"/>
      <c r="F43" s="40"/>
      <c r="G43" s="217"/>
      <c r="H43" s="234">
        <v>38</v>
      </c>
      <c r="I43" s="235" t="str">
        <f t="shared" si="1"/>
        <v/>
      </c>
      <c r="J43" s="234" t="e">
        <f t="shared" si="5"/>
        <v>#NUM!</v>
      </c>
      <c r="K43" s="234" t="e">
        <f t="shared" si="2"/>
        <v>#NUM!</v>
      </c>
      <c r="L43" s="234"/>
      <c r="M43" s="236">
        <f t="shared" si="3"/>
        <v>0</v>
      </c>
    </row>
    <row r="44" spans="1:19" x14ac:dyDescent="0.25">
      <c r="A44" s="94">
        <f t="shared" si="4"/>
        <v>0</v>
      </c>
      <c r="B44" s="33" t="str">
        <f t="shared" si="0"/>
        <v/>
      </c>
      <c r="C44" s="34"/>
      <c r="D44" s="34"/>
      <c r="E44" s="34"/>
      <c r="F44" s="34"/>
      <c r="G44" s="217"/>
      <c r="H44" s="231">
        <v>39</v>
      </c>
      <c r="I44" s="232" t="str">
        <f t="shared" si="1"/>
        <v/>
      </c>
      <c r="J44" s="231" t="e">
        <f t="shared" si="5"/>
        <v>#NUM!</v>
      </c>
      <c r="K44" s="231" t="e">
        <f t="shared" si="2"/>
        <v>#NUM!</v>
      </c>
      <c r="L44" s="231"/>
      <c r="M44" s="233">
        <f t="shared" si="3"/>
        <v>0</v>
      </c>
    </row>
    <row r="45" spans="1:19" x14ac:dyDescent="0.25">
      <c r="A45" s="98">
        <f t="shared" si="4"/>
        <v>0</v>
      </c>
      <c r="B45" s="39" t="str">
        <f t="shared" si="0"/>
        <v/>
      </c>
      <c r="C45" s="40"/>
      <c r="D45" s="40"/>
      <c r="E45" s="40"/>
      <c r="F45" s="40"/>
      <c r="G45" s="217"/>
      <c r="H45" s="234">
        <v>40</v>
      </c>
      <c r="I45" s="235" t="str">
        <f t="shared" si="1"/>
        <v/>
      </c>
      <c r="J45" s="234" t="e">
        <f t="shared" si="5"/>
        <v>#NUM!</v>
      </c>
      <c r="K45" s="234" t="e">
        <f t="shared" si="2"/>
        <v>#NUM!</v>
      </c>
      <c r="L45" s="234"/>
      <c r="M45" s="236">
        <f t="shared" si="3"/>
        <v>0</v>
      </c>
    </row>
    <row r="46" spans="1:19" x14ac:dyDescent="0.25">
      <c r="A46" s="94">
        <f t="shared" si="4"/>
        <v>0</v>
      </c>
      <c r="B46" s="33" t="str">
        <f t="shared" si="0"/>
        <v/>
      </c>
      <c r="C46" s="34"/>
      <c r="D46" s="34"/>
      <c r="E46" s="34"/>
      <c r="F46" s="34"/>
      <c r="G46" s="217"/>
      <c r="H46" s="231">
        <v>41</v>
      </c>
      <c r="I46" s="232" t="str">
        <f t="shared" si="1"/>
        <v/>
      </c>
      <c r="J46" s="231" t="e">
        <f t="shared" si="5"/>
        <v>#NUM!</v>
      </c>
      <c r="K46" s="231" t="e">
        <f t="shared" si="2"/>
        <v>#NUM!</v>
      </c>
      <c r="L46" s="231"/>
      <c r="M46" s="233">
        <f t="shared" si="3"/>
        <v>0</v>
      </c>
    </row>
    <row r="47" spans="1:19" x14ac:dyDescent="0.25">
      <c r="A47" s="98">
        <f t="shared" si="4"/>
        <v>0</v>
      </c>
      <c r="B47" s="39" t="str">
        <f t="shared" si="0"/>
        <v/>
      </c>
      <c r="C47" s="40"/>
      <c r="D47" s="40"/>
      <c r="E47" s="40"/>
      <c r="F47" s="40"/>
      <c r="G47" s="217"/>
      <c r="H47" s="234">
        <v>42</v>
      </c>
      <c r="I47" s="235" t="str">
        <f t="shared" si="1"/>
        <v/>
      </c>
      <c r="J47" s="234" t="e">
        <f t="shared" si="5"/>
        <v>#NUM!</v>
      </c>
      <c r="K47" s="234" t="e">
        <f t="shared" si="2"/>
        <v>#NUM!</v>
      </c>
      <c r="L47" s="234"/>
      <c r="M47" s="236">
        <f t="shared" si="3"/>
        <v>0</v>
      </c>
    </row>
    <row r="48" spans="1:19" x14ac:dyDescent="0.25">
      <c r="A48" s="94">
        <f t="shared" si="4"/>
        <v>0</v>
      </c>
      <c r="B48" s="33" t="str">
        <f t="shared" si="0"/>
        <v/>
      </c>
      <c r="C48" s="34"/>
      <c r="D48" s="34"/>
      <c r="E48" s="34"/>
      <c r="F48" s="34"/>
      <c r="G48" s="217"/>
      <c r="H48" s="231">
        <v>43</v>
      </c>
      <c r="I48" s="232" t="str">
        <f t="shared" si="1"/>
        <v/>
      </c>
      <c r="J48" s="231" t="e">
        <f t="shared" si="5"/>
        <v>#NUM!</v>
      </c>
      <c r="K48" s="231" t="e">
        <f t="shared" si="2"/>
        <v>#NUM!</v>
      </c>
      <c r="L48" s="231"/>
      <c r="M48" s="233">
        <f t="shared" si="3"/>
        <v>0</v>
      </c>
    </row>
    <row r="49" spans="1:38" x14ac:dyDescent="0.25">
      <c r="A49" s="98">
        <f t="shared" si="4"/>
        <v>0</v>
      </c>
      <c r="B49" s="39" t="str">
        <f t="shared" si="0"/>
        <v/>
      </c>
      <c r="C49" s="40"/>
      <c r="D49" s="40"/>
      <c r="E49" s="40"/>
      <c r="F49" s="40"/>
      <c r="G49" s="217"/>
      <c r="H49" s="234">
        <v>44</v>
      </c>
      <c r="I49" s="235" t="str">
        <f t="shared" si="1"/>
        <v/>
      </c>
      <c r="J49" s="234" t="e">
        <f t="shared" si="5"/>
        <v>#NUM!</v>
      </c>
      <c r="K49" s="234" t="e">
        <f t="shared" si="2"/>
        <v>#NUM!</v>
      </c>
      <c r="L49" s="234"/>
      <c r="M49" s="236">
        <f t="shared" si="3"/>
        <v>0</v>
      </c>
    </row>
    <row r="50" spans="1:38" x14ac:dyDescent="0.25">
      <c r="A50" s="94">
        <f t="shared" si="4"/>
        <v>0</v>
      </c>
      <c r="B50" s="33" t="str">
        <f t="shared" si="0"/>
        <v/>
      </c>
      <c r="C50" s="34"/>
      <c r="D50" s="34"/>
      <c r="E50" s="34"/>
      <c r="F50" s="34"/>
      <c r="G50" s="217"/>
      <c r="H50" s="231">
        <v>45</v>
      </c>
      <c r="I50" s="232" t="str">
        <f t="shared" si="1"/>
        <v/>
      </c>
      <c r="J50" s="231" t="e">
        <f t="shared" si="5"/>
        <v>#NUM!</v>
      </c>
      <c r="K50" s="231" t="e">
        <f t="shared" si="2"/>
        <v>#NUM!</v>
      </c>
      <c r="L50" s="231"/>
      <c r="M50" s="233">
        <f t="shared" si="3"/>
        <v>0</v>
      </c>
    </row>
    <row r="51" spans="1:38" x14ac:dyDescent="0.25">
      <c r="A51" s="98">
        <f t="shared" si="4"/>
        <v>0</v>
      </c>
      <c r="B51" s="39" t="str">
        <f t="shared" si="0"/>
        <v/>
      </c>
      <c r="C51" s="40"/>
      <c r="D51" s="40"/>
      <c r="E51" s="40"/>
      <c r="F51" s="40"/>
      <c r="G51" s="217"/>
      <c r="H51" s="234">
        <v>46</v>
      </c>
      <c r="I51" s="235" t="str">
        <f t="shared" si="1"/>
        <v/>
      </c>
      <c r="J51" s="234" t="e">
        <f t="shared" si="5"/>
        <v>#NUM!</v>
      </c>
      <c r="K51" s="234" t="e">
        <f t="shared" si="2"/>
        <v>#NUM!</v>
      </c>
      <c r="L51" s="234"/>
      <c r="M51" s="236">
        <f t="shared" si="3"/>
        <v>0</v>
      </c>
    </row>
    <row r="52" spans="1:38" x14ac:dyDescent="0.25">
      <c r="A52" s="94">
        <f t="shared" si="4"/>
        <v>0</v>
      </c>
      <c r="B52" s="33" t="str">
        <f t="shared" si="0"/>
        <v/>
      </c>
      <c r="C52" s="34"/>
      <c r="D52" s="34"/>
      <c r="E52" s="34"/>
      <c r="F52" s="34"/>
      <c r="G52" s="217"/>
      <c r="H52" s="231">
        <v>47</v>
      </c>
      <c r="I52" s="232" t="str">
        <f t="shared" si="1"/>
        <v/>
      </c>
      <c r="J52" s="231" t="e">
        <f t="shared" si="5"/>
        <v>#NUM!</v>
      </c>
      <c r="K52" s="231" t="e">
        <f t="shared" si="2"/>
        <v>#NUM!</v>
      </c>
      <c r="L52" s="231"/>
      <c r="M52" s="233">
        <f t="shared" si="3"/>
        <v>0</v>
      </c>
    </row>
    <row r="53" spans="1:38" x14ac:dyDescent="0.25">
      <c r="A53" s="98">
        <f t="shared" si="4"/>
        <v>0</v>
      </c>
      <c r="B53" s="39" t="str">
        <f t="shared" si="0"/>
        <v/>
      </c>
      <c r="C53" s="40"/>
      <c r="D53" s="40"/>
      <c r="E53" s="40"/>
      <c r="F53" s="40"/>
      <c r="G53" s="217"/>
      <c r="H53" s="234">
        <v>48</v>
      </c>
      <c r="I53" s="235" t="str">
        <f t="shared" si="1"/>
        <v/>
      </c>
      <c r="J53" s="234" t="e">
        <f t="shared" si="5"/>
        <v>#NUM!</v>
      </c>
      <c r="K53" s="234" t="e">
        <f t="shared" si="2"/>
        <v>#NUM!</v>
      </c>
      <c r="L53" s="234"/>
      <c r="M53" s="236">
        <f t="shared" si="3"/>
        <v>0</v>
      </c>
    </row>
    <row r="54" spans="1:38" x14ac:dyDescent="0.25">
      <c r="A54" s="94">
        <f t="shared" si="4"/>
        <v>0</v>
      </c>
      <c r="B54" s="33" t="str">
        <f t="shared" si="0"/>
        <v/>
      </c>
      <c r="C54" s="34"/>
      <c r="D54" s="34"/>
      <c r="E54" s="34"/>
      <c r="F54" s="34"/>
      <c r="G54" s="217"/>
      <c r="H54" s="231">
        <v>49</v>
      </c>
      <c r="I54" s="232" t="str">
        <f t="shared" si="1"/>
        <v/>
      </c>
      <c r="J54" s="231" t="e">
        <f t="shared" si="5"/>
        <v>#NUM!</v>
      </c>
      <c r="K54" s="231" t="e">
        <f t="shared" si="2"/>
        <v>#NUM!</v>
      </c>
      <c r="L54" s="231"/>
      <c r="M54" s="233">
        <f t="shared" si="3"/>
        <v>0</v>
      </c>
    </row>
    <row r="55" spans="1:38" x14ac:dyDescent="0.25">
      <c r="A55" s="98">
        <f t="shared" si="4"/>
        <v>0</v>
      </c>
      <c r="B55" s="39" t="str">
        <f t="shared" si="0"/>
        <v/>
      </c>
      <c r="C55" s="40"/>
      <c r="D55" s="40"/>
      <c r="E55" s="40"/>
      <c r="F55" s="40"/>
      <c r="G55" s="217"/>
      <c r="H55" s="234">
        <v>50</v>
      </c>
      <c r="I55" s="235" t="str">
        <f t="shared" si="1"/>
        <v/>
      </c>
      <c r="J55" s="234" t="e">
        <f t="shared" si="5"/>
        <v>#NUM!</v>
      </c>
      <c r="K55" s="234" t="e">
        <f t="shared" si="2"/>
        <v>#NUM!</v>
      </c>
      <c r="L55" s="234"/>
      <c r="M55" s="236">
        <f t="shared" si="3"/>
        <v>0</v>
      </c>
    </row>
    <row r="56" spans="1:38" x14ac:dyDescent="0.25">
      <c r="A56" s="94">
        <f t="shared" si="4"/>
        <v>0</v>
      </c>
      <c r="B56" s="33" t="str">
        <f t="shared" si="0"/>
        <v/>
      </c>
      <c r="C56" s="34"/>
      <c r="D56" s="34"/>
      <c r="E56" s="34"/>
      <c r="F56" s="34"/>
      <c r="G56" s="217"/>
      <c r="H56" s="231">
        <v>51</v>
      </c>
      <c r="I56" s="232" t="str">
        <f t="shared" si="1"/>
        <v/>
      </c>
      <c r="J56" s="231" t="e">
        <f t="shared" si="5"/>
        <v>#NUM!</v>
      </c>
      <c r="K56" s="231" t="e">
        <f t="shared" si="2"/>
        <v>#NUM!</v>
      </c>
      <c r="L56" s="231"/>
      <c r="M56" s="233">
        <f t="shared" si="3"/>
        <v>0</v>
      </c>
    </row>
    <row r="57" spans="1:38" s="217" customFormat="1" x14ac:dyDescent="0.25">
      <c r="A57" s="98">
        <f t="shared" si="4"/>
        <v>0</v>
      </c>
      <c r="B57" s="39" t="str">
        <f t="shared" si="0"/>
        <v/>
      </c>
      <c r="C57" s="40"/>
      <c r="D57" s="40"/>
      <c r="E57" s="40"/>
      <c r="F57" s="40"/>
      <c r="H57" s="234">
        <v>52</v>
      </c>
      <c r="I57" s="235" t="str">
        <f t="shared" si="1"/>
        <v/>
      </c>
      <c r="J57" s="234" t="e">
        <f t="shared" si="5"/>
        <v>#NUM!</v>
      </c>
      <c r="K57" s="234" t="e">
        <f t="shared" si="2"/>
        <v>#NUM!</v>
      </c>
      <c r="L57" s="234"/>
      <c r="M57" s="236">
        <f t="shared" si="3"/>
        <v>0</v>
      </c>
      <c r="S57" s="222"/>
      <c r="T57" s="222"/>
      <c r="U57" s="222"/>
      <c r="V57" s="222"/>
      <c r="W57" s="222"/>
      <c r="X57" s="222"/>
      <c r="Y57" s="222"/>
      <c r="Z57" s="222"/>
      <c r="AA57" s="222"/>
      <c r="AB57" s="222"/>
      <c r="AC57" s="222"/>
      <c r="AD57" s="222"/>
      <c r="AE57" s="222"/>
      <c r="AF57" s="222"/>
      <c r="AG57" s="222"/>
      <c r="AH57" s="222"/>
      <c r="AI57" s="222"/>
      <c r="AJ57" s="222"/>
      <c r="AK57" s="222"/>
      <c r="AL57" s="222"/>
    </row>
    <row r="58" spans="1:38" s="217" customFormat="1" x14ac:dyDescent="0.25">
      <c r="A58" s="94">
        <f t="shared" si="4"/>
        <v>0</v>
      </c>
      <c r="B58" s="33" t="str">
        <f t="shared" si="0"/>
        <v/>
      </c>
      <c r="C58" s="34"/>
      <c r="D58" s="34"/>
      <c r="E58" s="34"/>
      <c r="F58" s="34"/>
      <c r="H58" s="231">
        <v>53</v>
      </c>
      <c r="I58" s="232" t="str">
        <f t="shared" si="1"/>
        <v/>
      </c>
      <c r="J58" s="231" t="e">
        <f t="shared" si="5"/>
        <v>#NUM!</v>
      </c>
      <c r="K58" s="231" t="e">
        <f t="shared" si="2"/>
        <v>#NUM!</v>
      </c>
      <c r="L58" s="231"/>
      <c r="M58" s="233">
        <f t="shared" si="3"/>
        <v>0</v>
      </c>
      <c r="S58" s="222"/>
      <c r="T58" s="222"/>
      <c r="U58" s="222"/>
      <c r="V58" s="222"/>
      <c r="W58" s="222"/>
      <c r="X58" s="222"/>
      <c r="Y58" s="222"/>
      <c r="Z58" s="222"/>
      <c r="AA58" s="222"/>
      <c r="AB58" s="222"/>
      <c r="AC58" s="222"/>
      <c r="AD58" s="222"/>
      <c r="AE58" s="222"/>
      <c r="AF58" s="222"/>
      <c r="AG58" s="222"/>
      <c r="AH58" s="222"/>
      <c r="AI58" s="222"/>
      <c r="AJ58" s="222"/>
      <c r="AK58" s="222"/>
      <c r="AL58" s="222"/>
    </row>
    <row r="59" spans="1:38" s="217" customFormat="1" x14ac:dyDescent="0.25">
      <c r="A59" s="98">
        <f t="shared" si="4"/>
        <v>0</v>
      </c>
      <c r="B59" s="39" t="str">
        <f t="shared" si="0"/>
        <v/>
      </c>
      <c r="C59" s="40"/>
      <c r="D59" s="40"/>
      <c r="E59" s="40"/>
      <c r="F59" s="40"/>
      <c r="H59" s="234">
        <v>54</v>
      </c>
      <c r="I59" s="235" t="str">
        <f t="shared" si="1"/>
        <v/>
      </c>
      <c r="J59" s="234" t="e">
        <f t="shared" si="5"/>
        <v>#NUM!</v>
      </c>
      <c r="K59" s="234" t="e">
        <f t="shared" si="2"/>
        <v>#NUM!</v>
      </c>
      <c r="L59" s="234"/>
      <c r="M59" s="236">
        <f t="shared" si="3"/>
        <v>0</v>
      </c>
      <c r="S59" s="222"/>
      <c r="T59" s="222"/>
      <c r="U59" s="222"/>
      <c r="V59" s="222"/>
      <c r="W59" s="222"/>
      <c r="X59" s="222"/>
      <c r="Y59" s="222"/>
      <c r="Z59" s="222"/>
      <c r="AA59" s="222"/>
      <c r="AB59" s="222"/>
      <c r="AC59" s="222"/>
      <c r="AD59" s="222"/>
      <c r="AE59" s="222"/>
      <c r="AF59" s="222"/>
      <c r="AG59" s="222"/>
      <c r="AH59" s="222"/>
      <c r="AI59" s="222"/>
      <c r="AJ59" s="222"/>
      <c r="AK59" s="222"/>
      <c r="AL59" s="222"/>
    </row>
    <row r="60" spans="1:38" s="217" customFormat="1" x14ac:dyDescent="0.25">
      <c r="A60" s="94">
        <f t="shared" si="4"/>
        <v>0</v>
      </c>
      <c r="B60" s="33" t="str">
        <f t="shared" si="0"/>
        <v/>
      </c>
      <c r="C60" s="34"/>
      <c r="D60" s="34"/>
      <c r="E60" s="34"/>
      <c r="F60" s="34"/>
      <c r="H60" s="231">
        <v>55</v>
      </c>
      <c r="I60" s="232" t="str">
        <f t="shared" si="1"/>
        <v/>
      </c>
      <c r="J60" s="231" t="e">
        <f t="shared" si="5"/>
        <v>#NUM!</v>
      </c>
      <c r="K60" s="231" t="e">
        <f t="shared" si="2"/>
        <v>#NUM!</v>
      </c>
      <c r="L60" s="231"/>
      <c r="M60" s="233">
        <f t="shared" si="3"/>
        <v>0</v>
      </c>
      <c r="S60" s="222"/>
      <c r="T60" s="222"/>
      <c r="U60" s="222"/>
      <c r="V60" s="222"/>
      <c r="W60" s="222"/>
      <c r="X60" s="222"/>
      <c r="Y60" s="222"/>
      <c r="Z60" s="222"/>
      <c r="AA60" s="222"/>
      <c r="AB60" s="222"/>
      <c r="AC60" s="222"/>
      <c r="AD60" s="222"/>
      <c r="AE60" s="222"/>
      <c r="AF60" s="222"/>
      <c r="AG60" s="222"/>
      <c r="AH60" s="222"/>
      <c r="AI60" s="222"/>
      <c r="AJ60" s="222"/>
      <c r="AK60" s="222"/>
      <c r="AL60" s="222"/>
    </row>
    <row r="61" spans="1:38" s="217" customFormat="1" x14ac:dyDescent="0.25">
      <c r="A61" s="98">
        <f t="shared" si="4"/>
        <v>0</v>
      </c>
      <c r="B61" s="39" t="str">
        <f t="shared" si="0"/>
        <v/>
      </c>
      <c r="C61" s="40"/>
      <c r="D61" s="40"/>
      <c r="E61" s="40"/>
      <c r="F61" s="40"/>
      <c r="H61" s="234">
        <v>56</v>
      </c>
      <c r="I61" s="235" t="str">
        <f t="shared" si="1"/>
        <v/>
      </c>
      <c r="J61" s="234" t="e">
        <f t="shared" si="5"/>
        <v>#NUM!</v>
      </c>
      <c r="K61" s="234" t="e">
        <f t="shared" si="2"/>
        <v>#NUM!</v>
      </c>
      <c r="L61" s="234"/>
      <c r="M61" s="236">
        <f t="shared" si="3"/>
        <v>0</v>
      </c>
      <c r="S61" s="222"/>
      <c r="T61" s="222"/>
      <c r="U61" s="222"/>
      <c r="V61" s="222"/>
      <c r="W61" s="222"/>
      <c r="X61" s="222"/>
      <c r="Y61" s="222"/>
      <c r="Z61" s="222"/>
      <c r="AA61" s="222"/>
      <c r="AB61" s="222"/>
      <c r="AC61" s="222"/>
      <c r="AD61" s="222"/>
      <c r="AE61" s="222"/>
      <c r="AF61" s="222"/>
      <c r="AG61" s="222"/>
      <c r="AH61" s="222"/>
      <c r="AI61" s="222"/>
      <c r="AJ61" s="222"/>
      <c r="AK61" s="222"/>
      <c r="AL61" s="222"/>
    </row>
    <row r="62" spans="1:38" s="217" customFormat="1" x14ac:dyDescent="0.25">
      <c r="A62" s="94">
        <f t="shared" si="4"/>
        <v>0</v>
      </c>
      <c r="B62" s="33" t="str">
        <f t="shared" si="0"/>
        <v/>
      </c>
      <c r="C62" s="34"/>
      <c r="D62" s="34"/>
      <c r="E62" s="34"/>
      <c r="F62" s="34"/>
      <c r="H62" s="231">
        <v>57</v>
      </c>
      <c r="I62" s="232" t="str">
        <f t="shared" si="1"/>
        <v/>
      </c>
      <c r="J62" s="231" t="e">
        <f t="shared" si="5"/>
        <v>#NUM!</v>
      </c>
      <c r="K62" s="231" t="e">
        <f t="shared" si="2"/>
        <v>#NUM!</v>
      </c>
      <c r="L62" s="231"/>
      <c r="M62" s="233">
        <f t="shared" si="3"/>
        <v>0</v>
      </c>
      <c r="S62" s="222"/>
      <c r="T62" s="222"/>
      <c r="U62" s="222"/>
      <c r="V62" s="222"/>
      <c r="W62" s="222"/>
      <c r="X62" s="222"/>
      <c r="Y62" s="222"/>
      <c r="Z62" s="222"/>
      <c r="AA62" s="222"/>
      <c r="AB62" s="222"/>
      <c r="AC62" s="222"/>
      <c r="AD62" s="222"/>
      <c r="AE62" s="222"/>
      <c r="AF62" s="222"/>
      <c r="AG62" s="222"/>
      <c r="AH62" s="222"/>
      <c r="AI62" s="222"/>
      <c r="AJ62" s="222"/>
      <c r="AK62" s="222"/>
      <c r="AL62" s="222"/>
    </row>
    <row r="63" spans="1:38" s="217" customFormat="1" x14ac:dyDescent="0.25">
      <c r="A63" s="98">
        <f t="shared" si="4"/>
        <v>0</v>
      </c>
      <c r="B63" s="39" t="str">
        <f t="shared" si="0"/>
        <v/>
      </c>
      <c r="C63" s="40"/>
      <c r="D63" s="40"/>
      <c r="E63" s="40"/>
      <c r="F63" s="40"/>
      <c r="H63" s="234">
        <v>58</v>
      </c>
      <c r="I63" s="235" t="str">
        <f t="shared" si="1"/>
        <v/>
      </c>
      <c r="J63" s="234" t="e">
        <f t="shared" si="5"/>
        <v>#NUM!</v>
      </c>
      <c r="K63" s="234" t="e">
        <f t="shared" si="2"/>
        <v>#NUM!</v>
      </c>
      <c r="L63" s="234"/>
      <c r="M63" s="236">
        <f t="shared" si="3"/>
        <v>0</v>
      </c>
      <c r="S63" s="222"/>
      <c r="T63" s="222"/>
      <c r="U63" s="222"/>
      <c r="V63" s="222"/>
      <c r="W63" s="222"/>
      <c r="X63" s="222"/>
      <c r="Y63" s="222"/>
      <c r="Z63" s="222"/>
      <c r="AA63" s="222"/>
      <c r="AB63" s="222"/>
      <c r="AC63" s="222"/>
      <c r="AD63" s="222"/>
      <c r="AE63" s="222"/>
      <c r="AF63" s="222"/>
      <c r="AG63" s="222"/>
      <c r="AH63" s="222"/>
      <c r="AI63" s="222"/>
      <c r="AJ63" s="222"/>
      <c r="AK63" s="222"/>
      <c r="AL63" s="222"/>
    </row>
    <row r="64" spans="1:38" s="217" customFormat="1" x14ac:dyDescent="0.25">
      <c r="A64" s="94">
        <f t="shared" si="4"/>
        <v>0</v>
      </c>
      <c r="B64" s="33" t="str">
        <f t="shared" si="0"/>
        <v/>
      </c>
      <c r="C64" s="34"/>
      <c r="D64" s="34"/>
      <c r="E64" s="34"/>
      <c r="F64" s="34"/>
      <c r="H64" s="231">
        <v>59</v>
      </c>
      <c r="I64" s="232" t="str">
        <f t="shared" si="1"/>
        <v/>
      </c>
      <c r="J64" s="231" t="e">
        <f t="shared" si="5"/>
        <v>#NUM!</v>
      </c>
      <c r="K64" s="231" t="e">
        <f t="shared" si="2"/>
        <v>#NUM!</v>
      </c>
      <c r="L64" s="231"/>
      <c r="M64" s="233">
        <f t="shared" si="3"/>
        <v>0</v>
      </c>
      <c r="S64" s="222"/>
      <c r="T64" s="222"/>
      <c r="U64" s="222"/>
      <c r="V64" s="222"/>
      <c r="W64" s="222"/>
      <c r="X64" s="222"/>
      <c r="Y64" s="222"/>
      <c r="Z64" s="222"/>
      <c r="AA64" s="222"/>
      <c r="AB64" s="222"/>
      <c r="AC64" s="222"/>
      <c r="AD64" s="222"/>
      <c r="AE64" s="222"/>
      <c r="AF64" s="222"/>
      <c r="AG64" s="222"/>
      <c r="AH64" s="222"/>
      <c r="AI64" s="222"/>
      <c r="AJ64" s="222"/>
      <c r="AK64" s="222"/>
      <c r="AL64" s="222"/>
    </row>
    <row r="65" spans="1:38" s="217" customFormat="1" x14ac:dyDescent="0.25">
      <c r="A65" s="98">
        <f t="shared" si="4"/>
        <v>0</v>
      </c>
      <c r="B65" s="39" t="str">
        <f t="shared" si="0"/>
        <v/>
      </c>
      <c r="C65" s="40"/>
      <c r="D65" s="40"/>
      <c r="E65" s="40"/>
      <c r="F65" s="40"/>
      <c r="H65" s="234">
        <v>60</v>
      </c>
      <c r="I65" s="235" t="str">
        <f t="shared" si="1"/>
        <v/>
      </c>
      <c r="J65" s="234" t="e">
        <f t="shared" si="5"/>
        <v>#NUM!</v>
      </c>
      <c r="K65" s="234" t="e">
        <f t="shared" si="2"/>
        <v>#NUM!</v>
      </c>
      <c r="L65" s="234"/>
      <c r="M65" s="236">
        <f t="shared" si="3"/>
        <v>0</v>
      </c>
      <c r="S65" s="222"/>
      <c r="T65" s="222"/>
      <c r="U65" s="222"/>
      <c r="V65" s="222"/>
      <c r="W65" s="222"/>
      <c r="X65" s="222"/>
      <c r="Y65" s="222"/>
      <c r="Z65" s="222"/>
      <c r="AA65" s="222"/>
      <c r="AB65" s="222"/>
      <c r="AC65" s="222"/>
      <c r="AD65" s="222"/>
      <c r="AE65" s="222"/>
      <c r="AF65" s="222"/>
      <c r="AG65" s="222"/>
      <c r="AH65" s="222"/>
      <c r="AI65" s="222"/>
      <c r="AJ65" s="222"/>
      <c r="AK65" s="222"/>
      <c r="AL65" s="222"/>
    </row>
    <row r="66" spans="1:38" s="217" customFormat="1" x14ac:dyDescent="0.25">
      <c r="A66" s="94">
        <f t="shared" si="4"/>
        <v>0</v>
      </c>
      <c r="B66" s="33" t="str">
        <f t="shared" si="0"/>
        <v/>
      </c>
      <c r="C66" s="34"/>
      <c r="D66" s="34"/>
      <c r="E66" s="34"/>
      <c r="F66" s="34"/>
      <c r="H66" s="231">
        <v>61</v>
      </c>
      <c r="I66" s="232" t="str">
        <f t="shared" si="1"/>
        <v/>
      </c>
      <c r="J66" s="231" t="e">
        <f t="shared" si="5"/>
        <v>#NUM!</v>
      </c>
      <c r="K66" s="231" t="e">
        <f t="shared" si="2"/>
        <v>#NUM!</v>
      </c>
      <c r="L66" s="231"/>
      <c r="M66" s="233">
        <f t="shared" si="3"/>
        <v>0</v>
      </c>
      <c r="S66" s="222"/>
      <c r="T66" s="222"/>
      <c r="U66" s="222"/>
      <c r="V66" s="222"/>
      <c r="W66" s="222"/>
      <c r="X66" s="222"/>
      <c r="Y66" s="222"/>
      <c r="Z66" s="222"/>
      <c r="AA66" s="222"/>
      <c r="AB66" s="222"/>
      <c r="AC66" s="222"/>
      <c r="AD66" s="222"/>
      <c r="AE66" s="222"/>
      <c r="AF66" s="222"/>
      <c r="AG66" s="222"/>
      <c r="AH66" s="222"/>
      <c r="AI66" s="222"/>
      <c r="AJ66" s="222"/>
      <c r="AK66" s="222"/>
      <c r="AL66" s="222"/>
    </row>
    <row r="67" spans="1:38" s="217" customFormat="1" x14ac:dyDescent="0.25">
      <c r="A67" s="98">
        <f t="shared" si="4"/>
        <v>0</v>
      </c>
      <c r="B67" s="39" t="str">
        <f t="shared" si="0"/>
        <v/>
      </c>
      <c r="C67" s="40"/>
      <c r="D67" s="40"/>
      <c r="E67" s="40"/>
      <c r="F67" s="40"/>
      <c r="H67" s="234">
        <v>62</v>
      </c>
      <c r="I67" s="235" t="str">
        <f t="shared" si="1"/>
        <v/>
      </c>
      <c r="J67" s="234" t="e">
        <f t="shared" si="5"/>
        <v>#NUM!</v>
      </c>
      <c r="K67" s="234" t="e">
        <f t="shared" si="2"/>
        <v>#NUM!</v>
      </c>
      <c r="L67" s="234"/>
      <c r="M67" s="236">
        <f t="shared" si="3"/>
        <v>0</v>
      </c>
      <c r="S67" s="222"/>
      <c r="T67" s="222"/>
      <c r="U67" s="222"/>
      <c r="V67" s="222"/>
      <c r="W67" s="222"/>
      <c r="X67" s="222"/>
      <c r="Y67" s="222"/>
      <c r="Z67" s="222"/>
      <c r="AA67" s="222"/>
      <c r="AB67" s="222"/>
      <c r="AC67" s="222"/>
      <c r="AD67" s="222"/>
      <c r="AE67" s="222"/>
      <c r="AF67" s="222"/>
      <c r="AG67" s="222"/>
      <c r="AH67" s="222"/>
      <c r="AI67" s="222"/>
      <c r="AJ67" s="222"/>
      <c r="AK67" s="222"/>
      <c r="AL67" s="222"/>
    </row>
    <row r="68" spans="1:38" s="217" customFormat="1" x14ac:dyDescent="0.25">
      <c r="A68" s="94">
        <f t="shared" si="4"/>
        <v>0</v>
      </c>
      <c r="B68" s="33" t="str">
        <f t="shared" si="0"/>
        <v/>
      </c>
      <c r="C68" s="34"/>
      <c r="D68" s="34"/>
      <c r="E68" s="34"/>
      <c r="F68" s="34"/>
      <c r="H68" s="231">
        <v>63</v>
      </c>
      <c r="I68" s="232" t="str">
        <f t="shared" si="1"/>
        <v/>
      </c>
      <c r="J68" s="231" t="e">
        <f t="shared" si="5"/>
        <v>#NUM!</v>
      </c>
      <c r="K68" s="231" t="e">
        <f t="shared" si="2"/>
        <v>#NUM!</v>
      </c>
      <c r="L68" s="231"/>
      <c r="M68" s="233">
        <f t="shared" si="3"/>
        <v>0</v>
      </c>
      <c r="S68" s="222"/>
      <c r="T68" s="222"/>
      <c r="U68" s="222"/>
      <c r="V68" s="222"/>
      <c r="W68" s="222"/>
      <c r="X68" s="222"/>
      <c r="Y68" s="222"/>
      <c r="Z68" s="222"/>
      <c r="AA68" s="222"/>
      <c r="AB68" s="222"/>
      <c r="AC68" s="222"/>
      <c r="AD68" s="222"/>
      <c r="AE68" s="222"/>
      <c r="AF68" s="222"/>
      <c r="AG68" s="222"/>
      <c r="AH68" s="222"/>
      <c r="AI68" s="222"/>
      <c r="AJ68" s="222"/>
      <c r="AK68" s="222"/>
      <c r="AL68" s="222"/>
    </row>
    <row r="69" spans="1:38" s="217" customFormat="1" x14ac:dyDescent="0.25">
      <c r="A69" s="98">
        <f t="shared" si="4"/>
        <v>0</v>
      </c>
      <c r="B69" s="39" t="str">
        <f t="shared" si="0"/>
        <v/>
      </c>
      <c r="C69" s="40"/>
      <c r="D69" s="40"/>
      <c r="E69" s="40"/>
      <c r="F69" s="40"/>
      <c r="H69" s="234">
        <v>64</v>
      </c>
      <c r="I69" s="235" t="str">
        <f t="shared" si="1"/>
        <v/>
      </c>
      <c r="J69" s="234" t="e">
        <f t="shared" si="5"/>
        <v>#NUM!</v>
      </c>
      <c r="K69" s="234" t="e">
        <f t="shared" si="2"/>
        <v>#NUM!</v>
      </c>
      <c r="L69" s="234"/>
      <c r="M69" s="236">
        <f t="shared" si="3"/>
        <v>0</v>
      </c>
      <c r="S69" s="222"/>
      <c r="T69" s="222"/>
      <c r="U69" s="222"/>
      <c r="V69" s="222"/>
      <c r="W69" s="222"/>
      <c r="X69" s="222"/>
      <c r="Y69" s="222"/>
      <c r="Z69" s="222"/>
      <c r="AA69" s="222"/>
      <c r="AB69" s="222"/>
      <c r="AC69" s="222"/>
      <c r="AD69" s="222"/>
      <c r="AE69" s="222"/>
      <c r="AF69" s="222"/>
      <c r="AG69" s="222"/>
      <c r="AH69" s="222"/>
      <c r="AI69" s="222"/>
      <c r="AJ69" s="222"/>
      <c r="AK69" s="222"/>
      <c r="AL69" s="222"/>
    </row>
    <row r="70" spans="1:38" s="217" customFormat="1" x14ac:dyDescent="0.25">
      <c r="A70" s="94">
        <f t="shared" si="4"/>
        <v>0</v>
      </c>
      <c r="B70" s="33" t="str">
        <f t="shared" ref="B70:B133" si="6">IF(H70&gt;$H$2,"",(ROW()-5))</f>
        <v/>
      </c>
      <c r="C70" s="34"/>
      <c r="D70" s="34"/>
      <c r="E70" s="34"/>
      <c r="F70" s="34"/>
      <c r="H70" s="231">
        <v>65</v>
      </c>
      <c r="I70" s="232" t="str">
        <f t="shared" ref="I70:I133" si="7">IF(H70&lt;$H$2+1,($I$2-($I$2-1)*(LOG(H70)/LOG($H$2))),"")</f>
        <v/>
      </c>
      <c r="J70" s="231" t="e">
        <f t="shared" si="5"/>
        <v>#NUM!</v>
      </c>
      <c r="K70" s="231" t="e">
        <f t="shared" ref="K70:K133" si="8">J70*$J$2</f>
        <v>#NUM!</v>
      </c>
      <c r="L70" s="231"/>
      <c r="M70" s="233">
        <f t="shared" ref="M70:M133" si="9">IF(I70&lt;&gt;"",K70+I70+L70,0)</f>
        <v>0</v>
      </c>
      <c r="S70" s="222"/>
      <c r="T70" s="222"/>
      <c r="U70" s="222"/>
      <c r="V70" s="222"/>
      <c r="W70" s="222"/>
      <c r="X70" s="222"/>
      <c r="Y70" s="222"/>
      <c r="Z70" s="222"/>
      <c r="AA70" s="222"/>
      <c r="AB70" s="222"/>
      <c r="AC70" s="222"/>
      <c r="AD70" s="222"/>
      <c r="AE70" s="222"/>
      <c r="AF70" s="222"/>
      <c r="AG70" s="222"/>
      <c r="AH70" s="222"/>
      <c r="AI70" s="222"/>
      <c r="AJ70" s="222"/>
      <c r="AK70" s="222"/>
      <c r="AL70" s="222"/>
    </row>
    <row r="71" spans="1:38" s="217" customFormat="1" x14ac:dyDescent="0.25">
      <c r="A71" s="98">
        <f t="shared" ref="A71:A134" si="10">M71</f>
        <v>0</v>
      </c>
      <c r="B71" s="39" t="str">
        <f t="shared" si="6"/>
        <v/>
      </c>
      <c r="C71" s="40"/>
      <c r="D71" s="40"/>
      <c r="E71" s="40"/>
      <c r="F71" s="40"/>
      <c r="H71" s="234">
        <v>66</v>
      </c>
      <c r="I71" s="235" t="str">
        <f t="shared" si="7"/>
        <v/>
      </c>
      <c r="J71" s="234" t="e">
        <f t="shared" ref="J71:J134" si="11">INT(LOG($H$2,2))-ROUNDUP(LOG(H71,2),0)+IF(OR($H$2=1,$H$2=2,$H$2=4,$H$2=8,$H$2=16,$H$2=32,$H$2=64,$H$2=128,$H$2=256),0,1)</f>
        <v>#NUM!</v>
      </c>
      <c r="K71" s="234" t="e">
        <f t="shared" si="8"/>
        <v>#NUM!</v>
      </c>
      <c r="L71" s="234"/>
      <c r="M71" s="236">
        <f t="shared" si="9"/>
        <v>0</v>
      </c>
      <c r="S71" s="222"/>
      <c r="T71" s="222"/>
      <c r="U71" s="222"/>
      <c r="V71" s="222"/>
      <c r="W71" s="222"/>
      <c r="X71" s="222"/>
      <c r="Y71" s="222"/>
      <c r="Z71" s="222"/>
      <c r="AA71" s="222"/>
      <c r="AB71" s="222"/>
      <c r="AC71" s="222"/>
      <c r="AD71" s="222"/>
      <c r="AE71" s="222"/>
      <c r="AF71" s="222"/>
      <c r="AG71" s="222"/>
      <c r="AH71" s="222"/>
      <c r="AI71" s="222"/>
      <c r="AJ71" s="222"/>
      <c r="AK71" s="222"/>
      <c r="AL71" s="222"/>
    </row>
    <row r="72" spans="1:38" s="217" customFormat="1" x14ac:dyDescent="0.25">
      <c r="A72" s="94">
        <f t="shared" si="10"/>
        <v>0</v>
      </c>
      <c r="B72" s="33" t="str">
        <f t="shared" si="6"/>
        <v/>
      </c>
      <c r="C72" s="34"/>
      <c r="D72" s="34"/>
      <c r="E72" s="34"/>
      <c r="F72" s="34"/>
      <c r="H72" s="231">
        <v>67</v>
      </c>
      <c r="I72" s="232" t="str">
        <f t="shared" si="7"/>
        <v/>
      </c>
      <c r="J72" s="231" t="e">
        <f t="shared" si="11"/>
        <v>#NUM!</v>
      </c>
      <c r="K72" s="231" t="e">
        <f t="shared" si="8"/>
        <v>#NUM!</v>
      </c>
      <c r="L72" s="231"/>
      <c r="M72" s="233">
        <f t="shared" si="9"/>
        <v>0</v>
      </c>
      <c r="S72" s="222"/>
      <c r="T72" s="222"/>
      <c r="U72" s="222"/>
      <c r="V72" s="222"/>
      <c r="W72" s="222"/>
      <c r="X72" s="222"/>
      <c r="Y72" s="222"/>
      <c r="Z72" s="222"/>
      <c r="AA72" s="222"/>
      <c r="AB72" s="222"/>
      <c r="AC72" s="222"/>
      <c r="AD72" s="222"/>
      <c r="AE72" s="222"/>
      <c r="AF72" s="222"/>
      <c r="AG72" s="222"/>
      <c r="AH72" s="222"/>
      <c r="AI72" s="222"/>
      <c r="AJ72" s="222"/>
      <c r="AK72" s="222"/>
      <c r="AL72" s="222"/>
    </row>
    <row r="73" spans="1:38" s="217" customFormat="1" x14ac:dyDescent="0.25">
      <c r="A73" s="98">
        <f t="shared" si="10"/>
        <v>0</v>
      </c>
      <c r="B73" s="39" t="str">
        <f t="shared" si="6"/>
        <v/>
      </c>
      <c r="C73" s="40"/>
      <c r="D73" s="40"/>
      <c r="E73" s="40"/>
      <c r="F73" s="40"/>
      <c r="H73" s="234">
        <v>68</v>
      </c>
      <c r="I73" s="235" t="str">
        <f t="shared" si="7"/>
        <v/>
      </c>
      <c r="J73" s="234" t="e">
        <f t="shared" si="11"/>
        <v>#NUM!</v>
      </c>
      <c r="K73" s="234" t="e">
        <f t="shared" si="8"/>
        <v>#NUM!</v>
      </c>
      <c r="L73" s="234"/>
      <c r="M73" s="236">
        <f t="shared" si="9"/>
        <v>0</v>
      </c>
      <c r="S73" s="222"/>
      <c r="T73" s="222"/>
      <c r="U73" s="222"/>
      <c r="V73" s="222"/>
      <c r="W73" s="222"/>
      <c r="X73" s="222"/>
      <c r="Y73" s="222"/>
      <c r="Z73" s="222"/>
      <c r="AA73" s="222"/>
      <c r="AB73" s="222"/>
      <c r="AC73" s="222"/>
      <c r="AD73" s="222"/>
      <c r="AE73" s="222"/>
      <c r="AF73" s="222"/>
      <c r="AG73" s="222"/>
      <c r="AH73" s="222"/>
      <c r="AI73" s="222"/>
      <c r="AJ73" s="222"/>
      <c r="AK73" s="222"/>
      <c r="AL73" s="222"/>
    </row>
    <row r="74" spans="1:38" s="217" customFormat="1" x14ac:dyDescent="0.25">
      <c r="A74" s="94">
        <f t="shared" si="10"/>
        <v>0</v>
      </c>
      <c r="B74" s="33" t="str">
        <f t="shared" si="6"/>
        <v/>
      </c>
      <c r="C74" s="34"/>
      <c r="D74" s="34"/>
      <c r="E74" s="34"/>
      <c r="F74" s="34"/>
      <c r="H74" s="231">
        <v>69</v>
      </c>
      <c r="I74" s="232" t="str">
        <f t="shared" si="7"/>
        <v/>
      </c>
      <c r="J74" s="231" t="e">
        <f t="shared" si="11"/>
        <v>#NUM!</v>
      </c>
      <c r="K74" s="231" t="e">
        <f t="shared" si="8"/>
        <v>#NUM!</v>
      </c>
      <c r="L74" s="231"/>
      <c r="M74" s="233">
        <f t="shared" si="9"/>
        <v>0</v>
      </c>
      <c r="S74" s="222"/>
      <c r="T74" s="222"/>
      <c r="U74" s="222"/>
      <c r="V74" s="222"/>
      <c r="W74" s="222"/>
      <c r="X74" s="222"/>
      <c r="Y74" s="222"/>
      <c r="Z74" s="222"/>
      <c r="AA74" s="222"/>
      <c r="AB74" s="222"/>
      <c r="AC74" s="222"/>
      <c r="AD74" s="222"/>
      <c r="AE74" s="222"/>
      <c r="AF74" s="222"/>
      <c r="AG74" s="222"/>
      <c r="AH74" s="222"/>
      <c r="AI74" s="222"/>
      <c r="AJ74" s="222"/>
      <c r="AK74" s="222"/>
      <c r="AL74" s="222"/>
    </row>
    <row r="75" spans="1:38" s="217" customFormat="1" x14ac:dyDescent="0.25">
      <c r="A75" s="98">
        <f t="shared" si="10"/>
        <v>0</v>
      </c>
      <c r="B75" s="39" t="str">
        <f t="shared" si="6"/>
        <v/>
      </c>
      <c r="C75" s="40"/>
      <c r="D75" s="40"/>
      <c r="E75" s="40"/>
      <c r="F75" s="40"/>
      <c r="H75" s="234">
        <v>70</v>
      </c>
      <c r="I75" s="235" t="str">
        <f t="shared" si="7"/>
        <v/>
      </c>
      <c r="J75" s="234" t="e">
        <f t="shared" si="11"/>
        <v>#NUM!</v>
      </c>
      <c r="K75" s="234" t="e">
        <f t="shared" si="8"/>
        <v>#NUM!</v>
      </c>
      <c r="L75" s="234"/>
      <c r="M75" s="236">
        <f t="shared" si="9"/>
        <v>0</v>
      </c>
      <c r="S75" s="222"/>
      <c r="T75" s="222"/>
      <c r="U75" s="222"/>
      <c r="V75" s="222"/>
      <c r="W75" s="222"/>
      <c r="X75" s="222"/>
      <c r="Y75" s="222"/>
      <c r="Z75" s="222"/>
      <c r="AA75" s="222"/>
      <c r="AB75" s="222"/>
      <c r="AC75" s="222"/>
      <c r="AD75" s="222"/>
      <c r="AE75" s="222"/>
      <c r="AF75" s="222"/>
      <c r="AG75" s="222"/>
      <c r="AH75" s="222"/>
      <c r="AI75" s="222"/>
      <c r="AJ75" s="222"/>
      <c r="AK75" s="222"/>
      <c r="AL75" s="222"/>
    </row>
    <row r="76" spans="1:38" s="217" customFormat="1" x14ac:dyDescent="0.25">
      <c r="A76" s="94">
        <f t="shared" si="10"/>
        <v>0</v>
      </c>
      <c r="B76" s="33" t="str">
        <f t="shared" si="6"/>
        <v/>
      </c>
      <c r="C76" s="34"/>
      <c r="D76" s="34"/>
      <c r="E76" s="34"/>
      <c r="F76" s="34"/>
      <c r="H76" s="231">
        <v>71</v>
      </c>
      <c r="I76" s="232" t="str">
        <f t="shared" si="7"/>
        <v/>
      </c>
      <c r="J76" s="231" t="e">
        <f t="shared" si="11"/>
        <v>#NUM!</v>
      </c>
      <c r="K76" s="231" t="e">
        <f t="shared" si="8"/>
        <v>#NUM!</v>
      </c>
      <c r="L76" s="231"/>
      <c r="M76" s="233">
        <f t="shared" si="9"/>
        <v>0</v>
      </c>
      <c r="S76" s="222"/>
      <c r="T76" s="222"/>
      <c r="U76" s="222"/>
      <c r="V76" s="222"/>
      <c r="W76" s="222"/>
      <c r="X76" s="222"/>
      <c r="Y76" s="222"/>
      <c r="Z76" s="222"/>
      <c r="AA76" s="222"/>
      <c r="AB76" s="222"/>
      <c r="AC76" s="222"/>
      <c r="AD76" s="222"/>
      <c r="AE76" s="222"/>
      <c r="AF76" s="222"/>
      <c r="AG76" s="222"/>
      <c r="AH76" s="222"/>
      <c r="AI76" s="222"/>
      <c r="AJ76" s="222"/>
      <c r="AK76" s="222"/>
      <c r="AL76" s="222"/>
    </row>
    <row r="77" spans="1:38" s="217" customFormat="1" x14ac:dyDescent="0.25">
      <c r="A77" s="98">
        <f t="shared" si="10"/>
        <v>0</v>
      </c>
      <c r="B77" s="39" t="str">
        <f t="shared" si="6"/>
        <v/>
      </c>
      <c r="C77" s="40"/>
      <c r="D77" s="40"/>
      <c r="E77" s="40"/>
      <c r="F77" s="40"/>
      <c r="H77" s="234">
        <v>72</v>
      </c>
      <c r="I77" s="235" t="str">
        <f t="shared" si="7"/>
        <v/>
      </c>
      <c r="J77" s="234" t="e">
        <f t="shared" si="11"/>
        <v>#NUM!</v>
      </c>
      <c r="K77" s="234" t="e">
        <f t="shared" si="8"/>
        <v>#NUM!</v>
      </c>
      <c r="L77" s="234"/>
      <c r="M77" s="236">
        <f t="shared" si="9"/>
        <v>0</v>
      </c>
      <c r="S77" s="222"/>
      <c r="T77" s="222"/>
      <c r="U77" s="222"/>
      <c r="V77" s="222"/>
      <c r="W77" s="222"/>
      <c r="X77" s="222"/>
      <c r="Y77" s="222"/>
      <c r="Z77" s="222"/>
      <c r="AA77" s="222"/>
      <c r="AB77" s="222"/>
      <c r="AC77" s="222"/>
      <c r="AD77" s="222"/>
      <c r="AE77" s="222"/>
      <c r="AF77" s="222"/>
      <c r="AG77" s="222"/>
      <c r="AH77" s="222"/>
      <c r="AI77" s="222"/>
      <c r="AJ77" s="222"/>
      <c r="AK77" s="222"/>
      <c r="AL77" s="222"/>
    </row>
    <row r="78" spans="1:38" s="217" customFormat="1" x14ac:dyDescent="0.25">
      <c r="A78" s="94">
        <f t="shared" si="10"/>
        <v>0</v>
      </c>
      <c r="B78" s="33" t="str">
        <f t="shared" si="6"/>
        <v/>
      </c>
      <c r="C78" s="34"/>
      <c r="D78" s="34"/>
      <c r="E78" s="34"/>
      <c r="F78" s="34"/>
      <c r="H78" s="231">
        <v>73</v>
      </c>
      <c r="I78" s="232" t="str">
        <f t="shared" si="7"/>
        <v/>
      </c>
      <c r="J78" s="231" t="e">
        <f t="shared" si="11"/>
        <v>#NUM!</v>
      </c>
      <c r="K78" s="231" t="e">
        <f t="shared" si="8"/>
        <v>#NUM!</v>
      </c>
      <c r="L78" s="231"/>
      <c r="M78" s="233">
        <f t="shared" si="9"/>
        <v>0</v>
      </c>
      <c r="S78" s="222"/>
      <c r="T78" s="222"/>
      <c r="U78" s="222"/>
      <c r="V78" s="222"/>
      <c r="W78" s="222"/>
      <c r="X78" s="222"/>
      <c r="Y78" s="222"/>
      <c r="Z78" s="222"/>
      <c r="AA78" s="222"/>
      <c r="AB78" s="222"/>
      <c r="AC78" s="222"/>
      <c r="AD78" s="222"/>
      <c r="AE78" s="222"/>
      <c r="AF78" s="222"/>
      <c r="AG78" s="222"/>
      <c r="AH78" s="222"/>
      <c r="AI78" s="222"/>
      <c r="AJ78" s="222"/>
      <c r="AK78" s="222"/>
      <c r="AL78" s="222"/>
    </row>
    <row r="79" spans="1:38" s="217" customFormat="1" x14ac:dyDescent="0.25">
      <c r="A79" s="98">
        <f t="shared" si="10"/>
        <v>0</v>
      </c>
      <c r="B79" s="39" t="str">
        <f t="shared" si="6"/>
        <v/>
      </c>
      <c r="C79" s="40"/>
      <c r="D79" s="40"/>
      <c r="E79" s="40"/>
      <c r="F79" s="40"/>
      <c r="H79" s="234">
        <v>74</v>
      </c>
      <c r="I79" s="235" t="str">
        <f t="shared" si="7"/>
        <v/>
      </c>
      <c r="J79" s="234" t="e">
        <f t="shared" si="11"/>
        <v>#NUM!</v>
      </c>
      <c r="K79" s="234" t="e">
        <f t="shared" si="8"/>
        <v>#NUM!</v>
      </c>
      <c r="L79" s="234"/>
      <c r="M79" s="236">
        <f t="shared" si="9"/>
        <v>0</v>
      </c>
      <c r="S79" s="222"/>
      <c r="T79" s="222"/>
      <c r="U79" s="222"/>
      <c r="V79" s="222"/>
      <c r="W79" s="222"/>
      <c r="X79" s="222"/>
      <c r="Y79" s="222"/>
      <c r="Z79" s="222"/>
      <c r="AA79" s="222"/>
      <c r="AB79" s="222"/>
      <c r="AC79" s="222"/>
      <c r="AD79" s="222"/>
      <c r="AE79" s="222"/>
      <c r="AF79" s="222"/>
      <c r="AG79" s="222"/>
      <c r="AH79" s="222"/>
      <c r="AI79" s="222"/>
      <c r="AJ79" s="222"/>
      <c r="AK79" s="222"/>
      <c r="AL79" s="222"/>
    </row>
    <row r="80" spans="1:38" s="217" customFormat="1" x14ac:dyDescent="0.25">
      <c r="A80" s="94">
        <f t="shared" si="10"/>
        <v>0</v>
      </c>
      <c r="B80" s="33" t="str">
        <f t="shared" si="6"/>
        <v/>
      </c>
      <c r="C80" s="34"/>
      <c r="D80" s="34"/>
      <c r="E80" s="34"/>
      <c r="F80" s="34"/>
      <c r="H80" s="231">
        <v>75</v>
      </c>
      <c r="I80" s="232" t="str">
        <f t="shared" si="7"/>
        <v/>
      </c>
      <c r="J80" s="231" t="e">
        <f t="shared" si="11"/>
        <v>#NUM!</v>
      </c>
      <c r="K80" s="231" t="e">
        <f t="shared" si="8"/>
        <v>#NUM!</v>
      </c>
      <c r="L80" s="231"/>
      <c r="M80" s="233">
        <f t="shared" si="9"/>
        <v>0</v>
      </c>
      <c r="S80" s="222"/>
      <c r="T80" s="222"/>
      <c r="U80" s="222"/>
      <c r="V80" s="222"/>
      <c r="W80" s="222"/>
      <c r="X80" s="222"/>
      <c r="Y80" s="222"/>
      <c r="Z80" s="222"/>
      <c r="AA80" s="222"/>
      <c r="AB80" s="222"/>
      <c r="AC80" s="222"/>
      <c r="AD80" s="222"/>
      <c r="AE80" s="222"/>
      <c r="AF80" s="222"/>
      <c r="AG80" s="222"/>
      <c r="AH80" s="222"/>
      <c r="AI80" s="222"/>
      <c r="AJ80" s="222"/>
      <c r="AK80" s="222"/>
      <c r="AL80" s="222"/>
    </row>
    <row r="81" spans="1:38" s="217" customFormat="1" x14ac:dyDescent="0.25">
      <c r="A81" s="98">
        <f t="shared" si="10"/>
        <v>0</v>
      </c>
      <c r="B81" s="39" t="str">
        <f t="shared" si="6"/>
        <v/>
      </c>
      <c r="C81" s="40"/>
      <c r="D81" s="40"/>
      <c r="E81" s="40"/>
      <c r="F81" s="40"/>
      <c r="H81" s="234">
        <v>76</v>
      </c>
      <c r="I81" s="235" t="str">
        <f t="shared" si="7"/>
        <v/>
      </c>
      <c r="J81" s="234" t="e">
        <f t="shared" si="11"/>
        <v>#NUM!</v>
      </c>
      <c r="K81" s="234" t="e">
        <f t="shared" si="8"/>
        <v>#NUM!</v>
      </c>
      <c r="L81" s="234"/>
      <c r="M81" s="236">
        <f t="shared" si="9"/>
        <v>0</v>
      </c>
      <c r="S81" s="222"/>
      <c r="T81" s="222"/>
      <c r="U81" s="222"/>
      <c r="V81" s="222"/>
      <c r="W81" s="222"/>
      <c r="X81" s="222"/>
      <c r="Y81" s="222"/>
      <c r="Z81" s="222"/>
      <c r="AA81" s="222"/>
      <c r="AB81" s="222"/>
      <c r="AC81" s="222"/>
      <c r="AD81" s="222"/>
      <c r="AE81" s="222"/>
      <c r="AF81" s="222"/>
      <c r="AG81" s="222"/>
      <c r="AH81" s="222"/>
      <c r="AI81" s="222"/>
      <c r="AJ81" s="222"/>
      <c r="AK81" s="222"/>
      <c r="AL81" s="222"/>
    </row>
    <row r="82" spans="1:38" s="217" customFormat="1" x14ac:dyDescent="0.25">
      <c r="A82" s="94">
        <f t="shared" si="10"/>
        <v>0</v>
      </c>
      <c r="B82" s="33" t="str">
        <f t="shared" si="6"/>
        <v/>
      </c>
      <c r="C82" s="34"/>
      <c r="D82" s="34"/>
      <c r="E82" s="34"/>
      <c r="F82" s="34"/>
      <c r="H82" s="231">
        <v>77</v>
      </c>
      <c r="I82" s="232" t="str">
        <f t="shared" si="7"/>
        <v/>
      </c>
      <c r="J82" s="231" t="e">
        <f t="shared" si="11"/>
        <v>#NUM!</v>
      </c>
      <c r="K82" s="231" t="e">
        <f t="shared" si="8"/>
        <v>#NUM!</v>
      </c>
      <c r="L82" s="231"/>
      <c r="M82" s="233">
        <f t="shared" si="9"/>
        <v>0</v>
      </c>
      <c r="S82" s="222"/>
      <c r="T82" s="222"/>
      <c r="U82" s="222"/>
      <c r="V82" s="222"/>
      <c r="W82" s="222"/>
      <c r="X82" s="222"/>
      <c r="Y82" s="222"/>
      <c r="Z82" s="222"/>
      <c r="AA82" s="222"/>
      <c r="AB82" s="222"/>
      <c r="AC82" s="222"/>
      <c r="AD82" s="222"/>
      <c r="AE82" s="222"/>
      <c r="AF82" s="222"/>
      <c r="AG82" s="222"/>
      <c r="AH82" s="222"/>
      <c r="AI82" s="222"/>
      <c r="AJ82" s="222"/>
      <c r="AK82" s="222"/>
      <c r="AL82" s="222"/>
    </row>
    <row r="83" spans="1:38" s="217" customFormat="1" x14ac:dyDescent="0.25">
      <c r="A83" s="98">
        <f t="shared" si="10"/>
        <v>0</v>
      </c>
      <c r="B83" s="39" t="str">
        <f t="shared" si="6"/>
        <v/>
      </c>
      <c r="C83" s="40"/>
      <c r="D83" s="40"/>
      <c r="E83" s="40"/>
      <c r="F83" s="40"/>
      <c r="H83" s="234">
        <v>78</v>
      </c>
      <c r="I83" s="235" t="str">
        <f t="shared" si="7"/>
        <v/>
      </c>
      <c r="J83" s="234" t="e">
        <f t="shared" si="11"/>
        <v>#NUM!</v>
      </c>
      <c r="K83" s="234" t="e">
        <f t="shared" si="8"/>
        <v>#NUM!</v>
      </c>
      <c r="L83" s="234"/>
      <c r="M83" s="236">
        <f t="shared" si="9"/>
        <v>0</v>
      </c>
      <c r="S83" s="222"/>
      <c r="T83" s="222"/>
      <c r="U83" s="222"/>
      <c r="V83" s="222"/>
      <c r="W83" s="222"/>
      <c r="X83" s="222"/>
      <c r="Y83" s="222"/>
      <c r="Z83" s="222"/>
      <c r="AA83" s="222"/>
      <c r="AB83" s="222"/>
      <c r="AC83" s="222"/>
      <c r="AD83" s="222"/>
      <c r="AE83" s="222"/>
      <c r="AF83" s="222"/>
      <c r="AG83" s="222"/>
      <c r="AH83" s="222"/>
      <c r="AI83" s="222"/>
      <c r="AJ83" s="222"/>
      <c r="AK83" s="222"/>
      <c r="AL83" s="222"/>
    </row>
    <row r="84" spans="1:38" s="217" customFormat="1" x14ac:dyDescent="0.25">
      <c r="A84" s="94">
        <f t="shared" si="10"/>
        <v>0</v>
      </c>
      <c r="B84" s="33" t="str">
        <f t="shared" si="6"/>
        <v/>
      </c>
      <c r="C84" s="34"/>
      <c r="D84" s="34"/>
      <c r="E84" s="34"/>
      <c r="F84" s="34"/>
      <c r="H84" s="231">
        <v>79</v>
      </c>
      <c r="I84" s="232" t="str">
        <f t="shared" si="7"/>
        <v/>
      </c>
      <c r="J84" s="231" t="e">
        <f t="shared" si="11"/>
        <v>#NUM!</v>
      </c>
      <c r="K84" s="231" t="e">
        <f t="shared" si="8"/>
        <v>#NUM!</v>
      </c>
      <c r="L84" s="231"/>
      <c r="M84" s="233">
        <f t="shared" si="9"/>
        <v>0</v>
      </c>
      <c r="S84" s="222"/>
      <c r="T84" s="222"/>
      <c r="U84" s="222"/>
      <c r="V84" s="222"/>
      <c r="W84" s="222"/>
      <c r="X84" s="222"/>
      <c r="Y84" s="222"/>
      <c r="Z84" s="222"/>
      <c r="AA84" s="222"/>
      <c r="AB84" s="222"/>
      <c r="AC84" s="222"/>
      <c r="AD84" s="222"/>
      <c r="AE84" s="222"/>
      <c r="AF84" s="222"/>
      <c r="AG84" s="222"/>
      <c r="AH84" s="222"/>
      <c r="AI84" s="222"/>
      <c r="AJ84" s="222"/>
      <c r="AK84" s="222"/>
      <c r="AL84" s="222"/>
    </row>
    <row r="85" spans="1:38" s="217" customFormat="1" x14ac:dyDescent="0.25">
      <c r="A85" s="98">
        <f t="shared" si="10"/>
        <v>0</v>
      </c>
      <c r="B85" s="39" t="str">
        <f t="shared" si="6"/>
        <v/>
      </c>
      <c r="C85" s="40"/>
      <c r="D85" s="40"/>
      <c r="E85" s="40"/>
      <c r="F85" s="40"/>
      <c r="H85" s="234">
        <v>80</v>
      </c>
      <c r="I85" s="235" t="str">
        <f t="shared" si="7"/>
        <v/>
      </c>
      <c r="J85" s="234" t="e">
        <f t="shared" si="11"/>
        <v>#NUM!</v>
      </c>
      <c r="K85" s="234" t="e">
        <f t="shared" si="8"/>
        <v>#NUM!</v>
      </c>
      <c r="L85" s="234"/>
      <c r="M85" s="236">
        <f t="shared" si="9"/>
        <v>0</v>
      </c>
      <c r="S85" s="222"/>
      <c r="T85" s="222"/>
      <c r="U85" s="222"/>
      <c r="V85" s="222"/>
      <c r="W85" s="222"/>
      <c r="X85" s="222"/>
      <c r="Y85" s="222"/>
      <c r="Z85" s="222"/>
      <c r="AA85" s="222"/>
      <c r="AB85" s="222"/>
      <c r="AC85" s="222"/>
      <c r="AD85" s="222"/>
      <c r="AE85" s="222"/>
      <c r="AF85" s="222"/>
      <c r="AG85" s="222"/>
      <c r="AH85" s="222"/>
      <c r="AI85" s="222"/>
      <c r="AJ85" s="222"/>
      <c r="AK85" s="222"/>
      <c r="AL85" s="222"/>
    </row>
    <row r="86" spans="1:38" s="217" customFormat="1" x14ac:dyDescent="0.25">
      <c r="A86" s="94">
        <f t="shared" si="10"/>
        <v>0</v>
      </c>
      <c r="B86" s="33" t="str">
        <f t="shared" si="6"/>
        <v/>
      </c>
      <c r="C86" s="34"/>
      <c r="D86" s="34"/>
      <c r="E86" s="34"/>
      <c r="F86" s="34"/>
      <c r="H86" s="231">
        <v>81</v>
      </c>
      <c r="I86" s="232" t="str">
        <f t="shared" si="7"/>
        <v/>
      </c>
      <c r="J86" s="231" t="e">
        <f t="shared" si="11"/>
        <v>#NUM!</v>
      </c>
      <c r="K86" s="231" t="e">
        <f t="shared" si="8"/>
        <v>#NUM!</v>
      </c>
      <c r="L86" s="231"/>
      <c r="M86" s="233">
        <f t="shared" si="9"/>
        <v>0</v>
      </c>
      <c r="S86" s="222"/>
      <c r="T86" s="222"/>
      <c r="U86" s="222"/>
      <c r="V86" s="222"/>
      <c r="W86" s="222"/>
      <c r="X86" s="222"/>
      <c r="Y86" s="222"/>
      <c r="Z86" s="222"/>
      <c r="AA86" s="222"/>
      <c r="AB86" s="222"/>
      <c r="AC86" s="222"/>
      <c r="AD86" s="222"/>
      <c r="AE86" s="222"/>
      <c r="AF86" s="222"/>
      <c r="AG86" s="222"/>
      <c r="AH86" s="222"/>
      <c r="AI86" s="222"/>
      <c r="AJ86" s="222"/>
      <c r="AK86" s="222"/>
      <c r="AL86" s="222"/>
    </row>
    <row r="87" spans="1:38" s="217" customFormat="1" x14ac:dyDescent="0.25">
      <c r="A87" s="98">
        <f t="shared" si="10"/>
        <v>0</v>
      </c>
      <c r="B87" s="39" t="str">
        <f t="shared" si="6"/>
        <v/>
      </c>
      <c r="C87" s="40"/>
      <c r="D87" s="40"/>
      <c r="E87" s="40"/>
      <c r="F87" s="40"/>
      <c r="H87" s="234">
        <v>82</v>
      </c>
      <c r="I87" s="235" t="str">
        <f t="shared" si="7"/>
        <v/>
      </c>
      <c r="J87" s="234" t="e">
        <f t="shared" si="11"/>
        <v>#NUM!</v>
      </c>
      <c r="K87" s="234" t="e">
        <f t="shared" si="8"/>
        <v>#NUM!</v>
      </c>
      <c r="L87" s="234"/>
      <c r="M87" s="236">
        <f t="shared" si="9"/>
        <v>0</v>
      </c>
      <c r="S87" s="222"/>
      <c r="T87" s="222"/>
      <c r="U87" s="222"/>
      <c r="V87" s="222"/>
      <c r="W87" s="222"/>
      <c r="X87" s="222"/>
      <c r="Y87" s="222"/>
      <c r="Z87" s="222"/>
      <c r="AA87" s="222"/>
      <c r="AB87" s="222"/>
      <c r="AC87" s="222"/>
      <c r="AD87" s="222"/>
      <c r="AE87" s="222"/>
      <c r="AF87" s="222"/>
      <c r="AG87" s="222"/>
      <c r="AH87" s="222"/>
      <c r="AI87" s="222"/>
      <c r="AJ87" s="222"/>
      <c r="AK87" s="222"/>
      <c r="AL87" s="222"/>
    </row>
    <row r="88" spans="1:38" s="217" customFormat="1" x14ac:dyDescent="0.25">
      <c r="A88" s="94">
        <f t="shared" si="10"/>
        <v>0</v>
      </c>
      <c r="B88" s="33" t="str">
        <f t="shared" si="6"/>
        <v/>
      </c>
      <c r="C88" s="34"/>
      <c r="D88" s="34"/>
      <c r="E88" s="34"/>
      <c r="F88" s="34"/>
      <c r="H88" s="231">
        <v>83</v>
      </c>
      <c r="I88" s="232" t="str">
        <f t="shared" si="7"/>
        <v/>
      </c>
      <c r="J88" s="231" t="e">
        <f t="shared" si="11"/>
        <v>#NUM!</v>
      </c>
      <c r="K88" s="231" t="e">
        <f t="shared" si="8"/>
        <v>#NUM!</v>
      </c>
      <c r="L88" s="231"/>
      <c r="M88" s="233">
        <f t="shared" si="9"/>
        <v>0</v>
      </c>
      <c r="S88" s="222"/>
      <c r="T88" s="222"/>
      <c r="U88" s="222"/>
      <c r="V88" s="222"/>
      <c r="W88" s="222"/>
      <c r="X88" s="222"/>
      <c r="Y88" s="222"/>
      <c r="Z88" s="222"/>
      <c r="AA88" s="222"/>
      <c r="AB88" s="222"/>
      <c r="AC88" s="222"/>
      <c r="AD88" s="222"/>
      <c r="AE88" s="222"/>
      <c r="AF88" s="222"/>
      <c r="AG88" s="222"/>
      <c r="AH88" s="222"/>
      <c r="AI88" s="222"/>
      <c r="AJ88" s="222"/>
      <c r="AK88" s="222"/>
      <c r="AL88" s="222"/>
    </row>
    <row r="89" spans="1:38" s="217" customFormat="1" x14ac:dyDescent="0.25">
      <c r="A89" s="98">
        <f t="shared" si="10"/>
        <v>0</v>
      </c>
      <c r="B89" s="39" t="str">
        <f t="shared" si="6"/>
        <v/>
      </c>
      <c r="C89" s="40"/>
      <c r="D89" s="40"/>
      <c r="E89" s="40"/>
      <c r="F89" s="40"/>
      <c r="H89" s="234">
        <v>84</v>
      </c>
      <c r="I89" s="235" t="str">
        <f t="shared" si="7"/>
        <v/>
      </c>
      <c r="J89" s="234" t="e">
        <f t="shared" si="11"/>
        <v>#NUM!</v>
      </c>
      <c r="K89" s="234" t="e">
        <f t="shared" si="8"/>
        <v>#NUM!</v>
      </c>
      <c r="L89" s="234"/>
      <c r="M89" s="236">
        <f t="shared" si="9"/>
        <v>0</v>
      </c>
      <c r="S89" s="222"/>
      <c r="T89" s="222"/>
      <c r="U89" s="222"/>
      <c r="V89" s="222"/>
      <c r="W89" s="222"/>
      <c r="X89" s="222"/>
      <c r="Y89" s="222"/>
      <c r="Z89" s="222"/>
      <c r="AA89" s="222"/>
      <c r="AB89" s="222"/>
      <c r="AC89" s="222"/>
      <c r="AD89" s="222"/>
      <c r="AE89" s="222"/>
      <c r="AF89" s="222"/>
      <c r="AG89" s="222"/>
      <c r="AH89" s="222"/>
      <c r="AI89" s="222"/>
      <c r="AJ89" s="222"/>
      <c r="AK89" s="222"/>
      <c r="AL89" s="222"/>
    </row>
    <row r="90" spans="1:38" s="217" customFormat="1" x14ac:dyDescent="0.25">
      <c r="A90" s="94">
        <f t="shared" si="10"/>
        <v>0</v>
      </c>
      <c r="B90" s="33" t="str">
        <f t="shared" si="6"/>
        <v/>
      </c>
      <c r="C90" s="34"/>
      <c r="D90" s="34"/>
      <c r="E90" s="34"/>
      <c r="F90" s="34"/>
      <c r="H90" s="231">
        <v>85</v>
      </c>
      <c r="I90" s="232" t="str">
        <f t="shared" si="7"/>
        <v/>
      </c>
      <c r="J90" s="231" t="e">
        <f t="shared" si="11"/>
        <v>#NUM!</v>
      </c>
      <c r="K90" s="231" t="e">
        <f t="shared" si="8"/>
        <v>#NUM!</v>
      </c>
      <c r="L90" s="231"/>
      <c r="M90" s="233">
        <f t="shared" si="9"/>
        <v>0</v>
      </c>
      <c r="S90" s="222"/>
      <c r="T90" s="222"/>
      <c r="U90" s="222"/>
      <c r="V90" s="222"/>
      <c r="W90" s="222"/>
      <c r="X90" s="222"/>
      <c r="Y90" s="222"/>
      <c r="Z90" s="222"/>
      <c r="AA90" s="222"/>
      <c r="AB90" s="222"/>
      <c r="AC90" s="222"/>
      <c r="AD90" s="222"/>
      <c r="AE90" s="222"/>
      <c r="AF90" s="222"/>
      <c r="AG90" s="222"/>
      <c r="AH90" s="222"/>
      <c r="AI90" s="222"/>
      <c r="AJ90" s="222"/>
      <c r="AK90" s="222"/>
      <c r="AL90" s="222"/>
    </row>
    <row r="91" spans="1:38" s="217" customFormat="1" x14ac:dyDescent="0.25">
      <c r="A91" s="98">
        <f t="shared" si="10"/>
        <v>0</v>
      </c>
      <c r="B91" s="39" t="str">
        <f t="shared" si="6"/>
        <v/>
      </c>
      <c r="C91" s="40"/>
      <c r="D91" s="40"/>
      <c r="E91" s="40"/>
      <c r="F91" s="40"/>
      <c r="H91" s="234">
        <v>86</v>
      </c>
      <c r="I91" s="235" t="str">
        <f t="shared" si="7"/>
        <v/>
      </c>
      <c r="J91" s="234" t="e">
        <f t="shared" si="11"/>
        <v>#NUM!</v>
      </c>
      <c r="K91" s="234" t="e">
        <f t="shared" si="8"/>
        <v>#NUM!</v>
      </c>
      <c r="L91" s="234"/>
      <c r="M91" s="236">
        <f t="shared" si="9"/>
        <v>0</v>
      </c>
      <c r="S91" s="222"/>
      <c r="T91" s="222"/>
      <c r="U91" s="222"/>
      <c r="V91" s="222"/>
      <c r="W91" s="222"/>
      <c r="X91" s="222"/>
      <c r="Y91" s="222"/>
      <c r="Z91" s="222"/>
      <c r="AA91" s="222"/>
      <c r="AB91" s="222"/>
      <c r="AC91" s="222"/>
      <c r="AD91" s="222"/>
      <c r="AE91" s="222"/>
      <c r="AF91" s="222"/>
      <c r="AG91" s="222"/>
      <c r="AH91" s="222"/>
      <c r="AI91" s="222"/>
      <c r="AJ91" s="222"/>
      <c r="AK91" s="222"/>
      <c r="AL91" s="222"/>
    </row>
    <row r="92" spans="1:38" s="217" customFormat="1" x14ac:dyDescent="0.25">
      <c r="A92" s="94">
        <f t="shared" si="10"/>
        <v>0</v>
      </c>
      <c r="B92" s="33" t="str">
        <f t="shared" si="6"/>
        <v/>
      </c>
      <c r="C92" s="34"/>
      <c r="D92" s="34"/>
      <c r="E92" s="34"/>
      <c r="F92" s="34"/>
      <c r="H92" s="231">
        <v>87</v>
      </c>
      <c r="I92" s="232" t="str">
        <f t="shared" si="7"/>
        <v/>
      </c>
      <c r="J92" s="231" t="e">
        <f t="shared" si="11"/>
        <v>#NUM!</v>
      </c>
      <c r="K92" s="231" t="e">
        <f t="shared" si="8"/>
        <v>#NUM!</v>
      </c>
      <c r="L92" s="231"/>
      <c r="M92" s="233">
        <f t="shared" si="9"/>
        <v>0</v>
      </c>
      <c r="S92" s="222"/>
      <c r="T92" s="222"/>
      <c r="U92" s="222"/>
      <c r="V92" s="222"/>
      <c r="W92" s="222"/>
      <c r="X92" s="222"/>
      <c r="Y92" s="222"/>
      <c r="Z92" s="222"/>
      <c r="AA92" s="222"/>
      <c r="AB92" s="222"/>
      <c r="AC92" s="222"/>
      <c r="AD92" s="222"/>
      <c r="AE92" s="222"/>
      <c r="AF92" s="222"/>
      <c r="AG92" s="222"/>
      <c r="AH92" s="222"/>
      <c r="AI92" s="222"/>
      <c r="AJ92" s="222"/>
      <c r="AK92" s="222"/>
      <c r="AL92" s="222"/>
    </row>
    <row r="93" spans="1:38" s="217" customFormat="1" x14ac:dyDescent="0.25">
      <c r="A93" s="98">
        <f t="shared" si="10"/>
        <v>0</v>
      </c>
      <c r="B93" s="39" t="str">
        <f t="shared" si="6"/>
        <v/>
      </c>
      <c r="C93" s="40"/>
      <c r="D93" s="40"/>
      <c r="E93" s="40"/>
      <c r="F93" s="40"/>
      <c r="H93" s="234">
        <v>88</v>
      </c>
      <c r="I93" s="235" t="str">
        <f t="shared" si="7"/>
        <v/>
      </c>
      <c r="J93" s="234" t="e">
        <f t="shared" si="11"/>
        <v>#NUM!</v>
      </c>
      <c r="K93" s="234" t="e">
        <f t="shared" si="8"/>
        <v>#NUM!</v>
      </c>
      <c r="L93" s="234"/>
      <c r="M93" s="236">
        <f t="shared" si="9"/>
        <v>0</v>
      </c>
      <c r="S93" s="222"/>
      <c r="T93" s="222"/>
      <c r="U93" s="222"/>
      <c r="V93" s="222"/>
      <c r="W93" s="222"/>
      <c r="X93" s="222"/>
      <c r="Y93" s="222"/>
      <c r="Z93" s="222"/>
      <c r="AA93" s="222"/>
      <c r="AB93" s="222"/>
      <c r="AC93" s="222"/>
      <c r="AD93" s="222"/>
      <c r="AE93" s="222"/>
      <c r="AF93" s="222"/>
      <c r="AG93" s="222"/>
      <c r="AH93" s="222"/>
      <c r="AI93" s="222"/>
      <c r="AJ93" s="222"/>
      <c r="AK93" s="222"/>
      <c r="AL93" s="222"/>
    </row>
    <row r="94" spans="1:38" s="217" customFormat="1" x14ac:dyDescent="0.25">
      <c r="A94" s="94">
        <f t="shared" si="10"/>
        <v>0</v>
      </c>
      <c r="B94" s="33" t="str">
        <f t="shared" si="6"/>
        <v/>
      </c>
      <c r="C94" s="34"/>
      <c r="D94" s="34"/>
      <c r="E94" s="34"/>
      <c r="F94" s="34"/>
      <c r="H94" s="231">
        <v>89</v>
      </c>
      <c r="I94" s="232" t="str">
        <f t="shared" si="7"/>
        <v/>
      </c>
      <c r="J94" s="231" t="e">
        <f t="shared" si="11"/>
        <v>#NUM!</v>
      </c>
      <c r="K94" s="231" t="e">
        <f t="shared" si="8"/>
        <v>#NUM!</v>
      </c>
      <c r="L94" s="231"/>
      <c r="M94" s="233">
        <f t="shared" si="9"/>
        <v>0</v>
      </c>
      <c r="S94" s="222"/>
      <c r="T94" s="222"/>
      <c r="U94" s="222"/>
      <c r="V94" s="222"/>
      <c r="W94" s="222"/>
      <c r="X94" s="222"/>
      <c r="Y94" s="222"/>
      <c r="Z94" s="222"/>
      <c r="AA94" s="222"/>
      <c r="AB94" s="222"/>
      <c r="AC94" s="222"/>
      <c r="AD94" s="222"/>
      <c r="AE94" s="222"/>
      <c r="AF94" s="222"/>
      <c r="AG94" s="222"/>
      <c r="AH94" s="222"/>
      <c r="AI94" s="222"/>
      <c r="AJ94" s="222"/>
      <c r="AK94" s="222"/>
      <c r="AL94" s="222"/>
    </row>
    <row r="95" spans="1:38" s="217" customFormat="1" x14ac:dyDescent="0.25">
      <c r="A95" s="98">
        <f t="shared" si="10"/>
        <v>0</v>
      </c>
      <c r="B95" s="39" t="str">
        <f t="shared" si="6"/>
        <v/>
      </c>
      <c r="C95" s="40"/>
      <c r="D95" s="40"/>
      <c r="E95" s="40"/>
      <c r="F95" s="40"/>
      <c r="H95" s="234">
        <v>90</v>
      </c>
      <c r="I95" s="235" t="str">
        <f t="shared" si="7"/>
        <v/>
      </c>
      <c r="J95" s="234" t="e">
        <f t="shared" si="11"/>
        <v>#NUM!</v>
      </c>
      <c r="K95" s="234" t="e">
        <f t="shared" si="8"/>
        <v>#NUM!</v>
      </c>
      <c r="L95" s="234"/>
      <c r="M95" s="236">
        <f t="shared" si="9"/>
        <v>0</v>
      </c>
      <c r="S95" s="222"/>
      <c r="T95" s="222"/>
      <c r="U95" s="222"/>
      <c r="V95" s="222"/>
      <c r="W95" s="222"/>
      <c r="X95" s="222"/>
      <c r="Y95" s="222"/>
      <c r="Z95" s="222"/>
      <c r="AA95" s="222"/>
      <c r="AB95" s="222"/>
      <c r="AC95" s="222"/>
      <c r="AD95" s="222"/>
      <c r="AE95" s="222"/>
      <c r="AF95" s="222"/>
      <c r="AG95" s="222"/>
      <c r="AH95" s="222"/>
      <c r="AI95" s="222"/>
      <c r="AJ95" s="222"/>
      <c r="AK95" s="222"/>
      <c r="AL95" s="222"/>
    </row>
    <row r="96" spans="1:38" s="217" customFormat="1" x14ac:dyDescent="0.25">
      <c r="A96" s="94">
        <f t="shared" si="10"/>
        <v>0</v>
      </c>
      <c r="B96" s="33" t="str">
        <f t="shared" si="6"/>
        <v/>
      </c>
      <c r="C96" s="34"/>
      <c r="D96" s="34"/>
      <c r="E96" s="34"/>
      <c r="F96" s="34"/>
      <c r="H96" s="231">
        <v>91</v>
      </c>
      <c r="I96" s="232" t="str">
        <f t="shared" si="7"/>
        <v/>
      </c>
      <c r="J96" s="231" t="e">
        <f t="shared" si="11"/>
        <v>#NUM!</v>
      </c>
      <c r="K96" s="231" t="e">
        <f t="shared" si="8"/>
        <v>#NUM!</v>
      </c>
      <c r="L96" s="231"/>
      <c r="M96" s="233">
        <f t="shared" si="9"/>
        <v>0</v>
      </c>
      <c r="S96" s="222"/>
      <c r="T96" s="222"/>
      <c r="U96" s="222"/>
      <c r="V96" s="222"/>
      <c r="W96" s="222"/>
      <c r="X96" s="222"/>
      <c r="Y96" s="222"/>
      <c r="Z96" s="222"/>
      <c r="AA96" s="222"/>
      <c r="AB96" s="222"/>
      <c r="AC96" s="222"/>
      <c r="AD96" s="222"/>
      <c r="AE96" s="222"/>
      <c r="AF96" s="222"/>
      <c r="AG96" s="222"/>
      <c r="AH96" s="222"/>
      <c r="AI96" s="222"/>
      <c r="AJ96" s="222"/>
      <c r="AK96" s="222"/>
      <c r="AL96" s="222"/>
    </row>
    <row r="97" spans="1:38" s="217" customFormat="1" x14ac:dyDescent="0.25">
      <c r="A97" s="98">
        <f t="shared" si="10"/>
        <v>0</v>
      </c>
      <c r="B97" s="39" t="str">
        <f t="shared" si="6"/>
        <v/>
      </c>
      <c r="C97" s="40"/>
      <c r="D97" s="40"/>
      <c r="E97" s="40"/>
      <c r="F97" s="40"/>
      <c r="H97" s="234">
        <v>92</v>
      </c>
      <c r="I97" s="235" t="str">
        <f t="shared" si="7"/>
        <v/>
      </c>
      <c r="J97" s="234" t="e">
        <f t="shared" si="11"/>
        <v>#NUM!</v>
      </c>
      <c r="K97" s="234" t="e">
        <f t="shared" si="8"/>
        <v>#NUM!</v>
      </c>
      <c r="L97" s="234"/>
      <c r="M97" s="236">
        <f t="shared" si="9"/>
        <v>0</v>
      </c>
      <c r="S97" s="222"/>
      <c r="T97" s="222"/>
      <c r="U97" s="222"/>
      <c r="V97" s="222"/>
      <c r="W97" s="222"/>
      <c r="X97" s="222"/>
      <c r="Y97" s="222"/>
      <c r="Z97" s="222"/>
      <c r="AA97" s="222"/>
      <c r="AB97" s="222"/>
      <c r="AC97" s="222"/>
      <c r="AD97" s="222"/>
      <c r="AE97" s="222"/>
      <c r="AF97" s="222"/>
      <c r="AG97" s="222"/>
      <c r="AH97" s="222"/>
      <c r="AI97" s="222"/>
      <c r="AJ97" s="222"/>
      <c r="AK97" s="222"/>
      <c r="AL97" s="222"/>
    </row>
    <row r="98" spans="1:38" s="217" customFormat="1" x14ac:dyDescent="0.25">
      <c r="A98" s="94">
        <f t="shared" si="10"/>
        <v>0</v>
      </c>
      <c r="B98" s="33" t="str">
        <f t="shared" si="6"/>
        <v/>
      </c>
      <c r="C98" s="34"/>
      <c r="D98" s="34"/>
      <c r="E98" s="34"/>
      <c r="F98" s="34"/>
      <c r="H98" s="231">
        <v>93</v>
      </c>
      <c r="I98" s="232" t="str">
        <f t="shared" si="7"/>
        <v/>
      </c>
      <c r="J98" s="231" t="e">
        <f t="shared" si="11"/>
        <v>#NUM!</v>
      </c>
      <c r="K98" s="231" t="e">
        <f t="shared" si="8"/>
        <v>#NUM!</v>
      </c>
      <c r="L98" s="231"/>
      <c r="M98" s="233">
        <f t="shared" si="9"/>
        <v>0</v>
      </c>
      <c r="S98" s="222"/>
      <c r="T98" s="222"/>
      <c r="U98" s="222"/>
      <c r="V98" s="222"/>
      <c r="W98" s="222"/>
      <c r="X98" s="222"/>
      <c r="Y98" s="222"/>
      <c r="Z98" s="222"/>
      <c r="AA98" s="222"/>
      <c r="AB98" s="222"/>
      <c r="AC98" s="222"/>
      <c r="AD98" s="222"/>
      <c r="AE98" s="222"/>
      <c r="AF98" s="222"/>
      <c r="AG98" s="222"/>
      <c r="AH98" s="222"/>
      <c r="AI98" s="222"/>
      <c r="AJ98" s="222"/>
      <c r="AK98" s="222"/>
      <c r="AL98" s="222"/>
    </row>
    <row r="99" spans="1:38" s="217" customFormat="1" x14ac:dyDescent="0.25">
      <c r="A99" s="98">
        <f t="shared" si="10"/>
        <v>0</v>
      </c>
      <c r="B99" s="39" t="str">
        <f t="shared" si="6"/>
        <v/>
      </c>
      <c r="C99" s="40"/>
      <c r="D99" s="40"/>
      <c r="E99" s="40"/>
      <c r="F99" s="40"/>
      <c r="H99" s="234">
        <v>94</v>
      </c>
      <c r="I99" s="235" t="str">
        <f t="shared" si="7"/>
        <v/>
      </c>
      <c r="J99" s="234" t="e">
        <f t="shared" si="11"/>
        <v>#NUM!</v>
      </c>
      <c r="K99" s="234" t="e">
        <f t="shared" si="8"/>
        <v>#NUM!</v>
      </c>
      <c r="L99" s="234"/>
      <c r="M99" s="236">
        <f t="shared" si="9"/>
        <v>0</v>
      </c>
      <c r="S99" s="222"/>
      <c r="T99" s="222"/>
      <c r="U99" s="222"/>
      <c r="V99" s="222"/>
      <c r="W99" s="222"/>
      <c r="X99" s="222"/>
      <c r="Y99" s="222"/>
      <c r="Z99" s="222"/>
      <c r="AA99" s="222"/>
      <c r="AB99" s="222"/>
      <c r="AC99" s="222"/>
      <c r="AD99" s="222"/>
      <c r="AE99" s="222"/>
      <c r="AF99" s="222"/>
      <c r="AG99" s="222"/>
      <c r="AH99" s="222"/>
      <c r="AI99" s="222"/>
      <c r="AJ99" s="222"/>
      <c r="AK99" s="222"/>
      <c r="AL99" s="222"/>
    </row>
    <row r="100" spans="1:38" s="217" customFormat="1" x14ac:dyDescent="0.25">
      <c r="A100" s="94">
        <f t="shared" si="10"/>
        <v>0</v>
      </c>
      <c r="B100" s="33" t="str">
        <f t="shared" si="6"/>
        <v/>
      </c>
      <c r="C100" s="34"/>
      <c r="D100" s="34"/>
      <c r="E100" s="34"/>
      <c r="F100" s="34"/>
      <c r="H100" s="231">
        <v>95</v>
      </c>
      <c r="I100" s="232" t="str">
        <f t="shared" si="7"/>
        <v/>
      </c>
      <c r="J100" s="231" t="e">
        <f t="shared" si="11"/>
        <v>#NUM!</v>
      </c>
      <c r="K100" s="231" t="e">
        <f t="shared" si="8"/>
        <v>#NUM!</v>
      </c>
      <c r="L100" s="231"/>
      <c r="M100" s="233">
        <f t="shared" si="9"/>
        <v>0</v>
      </c>
      <c r="S100" s="222"/>
      <c r="T100" s="222"/>
      <c r="U100" s="222"/>
      <c r="V100" s="222"/>
      <c r="W100" s="222"/>
      <c r="X100" s="222"/>
      <c r="Y100" s="222"/>
      <c r="Z100" s="222"/>
      <c r="AA100" s="222"/>
      <c r="AB100" s="222"/>
      <c r="AC100" s="222"/>
      <c r="AD100" s="222"/>
      <c r="AE100" s="222"/>
      <c r="AF100" s="222"/>
      <c r="AG100" s="222"/>
      <c r="AH100" s="222"/>
      <c r="AI100" s="222"/>
      <c r="AJ100" s="222"/>
      <c r="AK100" s="222"/>
      <c r="AL100" s="222"/>
    </row>
    <row r="101" spans="1:38" s="217" customFormat="1" x14ac:dyDescent="0.25">
      <c r="A101" s="98">
        <f t="shared" si="10"/>
        <v>0</v>
      </c>
      <c r="B101" s="39" t="str">
        <f t="shared" si="6"/>
        <v/>
      </c>
      <c r="C101" s="40"/>
      <c r="D101" s="40"/>
      <c r="E101" s="40"/>
      <c r="F101" s="40"/>
      <c r="H101" s="234">
        <v>96</v>
      </c>
      <c r="I101" s="235" t="str">
        <f t="shared" si="7"/>
        <v/>
      </c>
      <c r="J101" s="234" t="e">
        <f t="shared" si="11"/>
        <v>#NUM!</v>
      </c>
      <c r="K101" s="234" t="e">
        <f t="shared" si="8"/>
        <v>#NUM!</v>
      </c>
      <c r="L101" s="234"/>
      <c r="M101" s="236">
        <f t="shared" si="9"/>
        <v>0</v>
      </c>
      <c r="S101" s="222"/>
      <c r="T101" s="222"/>
      <c r="U101" s="222"/>
      <c r="V101" s="222"/>
      <c r="W101" s="222"/>
      <c r="X101" s="222"/>
      <c r="Y101" s="222"/>
      <c r="Z101" s="222"/>
      <c r="AA101" s="222"/>
      <c r="AB101" s="222"/>
      <c r="AC101" s="222"/>
      <c r="AD101" s="222"/>
      <c r="AE101" s="222"/>
      <c r="AF101" s="222"/>
      <c r="AG101" s="222"/>
      <c r="AH101" s="222"/>
      <c r="AI101" s="222"/>
      <c r="AJ101" s="222"/>
      <c r="AK101" s="222"/>
      <c r="AL101" s="222"/>
    </row>
    <row r="102" spans="1:38" s="217" customFormat="1" x14ac:dyDescent="0.25">
      <c r="A102" s="94">
        <f t="shared" si="10"/>
        <v>0</v>
      </c>
      <c r="B102" s="33" t="str">
        <f t="shared" si="6"/>
        <v/>
      </c>
      <c r="C102" s="34"/>
      <c r="D102" s="34"/>
      <c r="E102" s="34"/>
      <c r="F102" s="34"/>
      <c r="H102" s="231">
        <v>97</v>
      </c>
      <c r="I102" s="232" t="str">
        <f t="shared" si="7"/>
        <v/>
      </c>
      <c r="J102" s="231" t="e">
        <f t="shared" si="11"/>
        <v>#NUM!</v>
      </c>
      <c r="K102" s="231" t="e">
        <f t="shared" si="8"/>
        <v>#NUM!</v>
      </c>
      <c r="L102" s="231"/>
      <c r="M102" s="233">
        <f t="shared" si="9"/>
        <v>0</v>
      </c>
      <c r="S102" s="222"/>
      <c r="T102" s="222"/>
      <c r="U102" s="222"/>
      <c r="V102" s="222"/>
      <c r="W102" s="222"/>
      <c r="X102" s="222"/>
      <c r="Y102" s="222"/>
      <c r="Z102" s="222"/>
      <c r="AA102" s="222"/>
      <c r="AB102" s="222"/>
      <c r="AC102" s="222"/>
      <c r="AD102" s="222"/>
      <c r="AE102" s="222"/>
      <c r="AF102" s="222"/>
      <c r="AG102" s="222"/>
      <c r="AH102" s="222"/>
      <c r="AI102" s="222"/>
      <c r="AJ102" s="222"/>
      <c r="AK102" s="222"/>
      <c r="AL102" s="222"/>
    </row>
    <row r="103" spans="1:38" s="217" customFormat="1" x14ac:dyDescent="0.25">
      <c r="A103" s="98">
        <f t="shared" si="10"/>
        <v>0</v>
      </c>
      <c r="B103" s="39" t="str">
        <f t="shared" si="6"/>
        <v/>
      </c>
      <c r="C103" s="40"/>
      <c r="D103" s="40"/>
      <c r="E103" s="40"/>
      <c r="F103" s="40"/>
      <c r="H103" s="234">
        <v>98</v>
      </c>
      <c r="I103" s="235" t="str">
        <f t="shared" si="7"/>
        <v/>
      </c>
      <c r="J103" s="234" t="e">
        <f t="shared" si="11"/>
        <v>#NUM!</v>
      </c>
      <c r="K103" s="234" t="e">
        <f t="shared" si="8"/>
        <v>#NUM!</v>
      </c>
      <c r="L103" s="234"/>
      <c r="M103" s="236">
        <f t="shared" si="9"/>
        <v>0</v>
      </c>
      <c r="S103" s="222"/>
      <c r="T103" s="222"/>
      <c r="U103" s="222"/>
      <c r="V103" s="222"/>
      <c r="W103" s="222"/>
      <c r="X103" s="222"/>
      <c r="Y103" s="222"/>
      <c r="Z103" s="222"/>
      <c r="AA103" s="222"/>
      <c r="AB103" s="222"/>
      <c r="AC103" s="222"/>
      <c r="AD103" s="222"/>
      <c r="AE103" s="222"/>
      <c r="AF103" s="222"/>
      <c r="AG103" s="222"/>
      <c r="AH103" s="222"/>
      <c r="AI103" s="222"/>
      <c r="AJ103" s="222"/>
      <c r="AK103" s="222"/>
      <c r="AL103" s="222"/>
    </row>
    <row r="104" spans="1:38" s="217" customFormat="1" x14ac:dyDescent="0.25">
      <c r="A104" s="94">
        <f t="shared" si="10"/>
        <v>0</v>
      </c>
      <c r="B104" s="33" t="str">
        <f t="shared" si="6"/>
        <v/>
      </c>
      <c r="C104" s="34"/>
      <c r="D104" s="34"/>
      <c r="E104" s="34"/>
      <c r="F104" s="34"/>
      <c r="H104" s="231">
        <v>99</v>
      </c>
      <c r="I104" s="232" t="str">
        <f t="shared" si="7"/>
        <v/>
      </c>
      <c r="J104" s="231" t="e">
        <f t="shared" si="11"/>
        <v>#NUM!</v>
      </c>
      <c r="K104" s="231" t="e">
        <f t="shared" si="8"/>
        <v>#NUM!</v>
      </c>
      <c r="L104" s="231"/>
      <c r="M104" s="233">
        <f t="shared" si="9"/>
        <v>0</v>
      </c>
      <c r="S104" s="222"/>
      <c r="T104" s="222"/>
      <c r="U104" s="222"/>
      <c r="V104" s="222"/>
      <c r="W104" s="222"/>
      <c r="X104" s="222"/>
      <c r="Y104" s="222"/>
      <c r="Z104" s="222"/>
      <c r="AA104" s="222"/>
      <c r="AB104" s="222"/>
      <c r="AC104" s="222"/>
      <c r="AD104" s="222"/>
      <c r="AE104" s="222"/>
      <c r="AF104" s="222"/>
      <c r="AG104" s="222"/>
      <c r="AH104" s="222"/>
      <c r="AI104" s="222"/>
      <c r="AJ104" s="222"/>
      <c r="AK104" s="222"/>
      <c r="AL104" s="222"/>
    </row>
    <row r="105" spans="1:38" s="217" customFormat="1" x14ac:dyDescent="0.25">
      <c r="A105" s="98">
        <f t="shared" si="10"/>
        <v>0</v>
      </c>
      <c r="B105" s="39" t="str">
        <f t="shared" si="6"/>
        <v/>
      </c>
      <c r="C105" s="40"/>
      <c r="D105" s="40"/>
      <c r="E105" s="40"/>
      <c r="F105" s="40"/>
      <c r="H105" s="234">
        <v>100</v>
      </c>
      <c r="I105" s="235" t="str">
        <f t="shared" si="7"/>
        <v/>
      </c>
      <c r="J105" s="234" t="e">
        <f t="shared" si="11"/>
        <v>#NUM!</v>
      </c>
      <c r="K105" s="234" t="e">
        <f t="shared" si="8"/>
        <v>#NUM!</v>
      </c>
      <c r="L105" s="234"/>
      <c r="M105" s="236">
        <f t="shared" si="9"/>
        <v>0</v>
      </c>
      <c r="S105" s="222"/>
      <c r="T105" s="222"/>
      <c r="U105" s="222"/>
      <c r="V105" s="222"/>
      <c r="W105" s="222"/>
      <c r="X105" s="222"/>
      <c r="Y105" s="222"/>
      <c r="Z105" s="222"/>
      <c r="AA105" s="222"/>
      <c r="AB105" s="222"/>
      <c r="AC105" s="222"/>
      <c r="AD105" s="222"/>
      <c r="AE105" s="222"/>
      <c r="AF105" s="222"/>
      <c r="AG105" s="222"/>
      <c r="AH105" s="222"/>
      <c r="AI105" s="222"/>
      <c r="AJ105" s="222"/>
      <c r="AK105" s="222"/>
      <c r="AL105" s="222"/>
    </row>
    <row r="106" spans="1:38" s="217" customFormat="1" x14ac:dyDescent="0.25">
      <c r="A106" s="94">
        <f t="shared" si="10"/>
        <v>0</v>
      </c>
      <c r="B106" s="33" t="str">
        <f t="shared" si="6"/>
        <v/>
      </c>
      <c r="C106" s="34"/>
      <c r="D106" s="34"/>
      <c r="E106" s="34"/>
      <c r="F106" s="34"/>
      <c r="H106" s="231">
        <v>101</v>
      </c>
      <c r="I106" s="232" t="str">
        <f t="shared" si="7"/>
        <v/>
      </c>
      <c r="J106" s="231" t="e">
        <f t="shared" si="11"/>
        <v>#NUM!</v>
      </c>
      <c r="K106" s="231" t="e">
        <f t="shared" si="8"/>
        <v>#NUM!</v>
      </c>
      <c r="L106" s="231"/>
      <c r="M106" s="233">
        <f t="shared" si="9"/>
        <v>0</v>
      </c>
      <c r="S106" s="222"/>
      <c r="T106" s="222"/>
      <c r="U106" s="222"/>
      <c r="V106" s="222"/>
      <c r="W106" s="222"/>
      <c r="X106" s="222"/>
      <c r="Y106" s="222"/>
      <c r="Z106" s="222"/>
      <c r="AA106" s="222"/>
      <c r="AB106" s="222"/>
      <c r="AC106" s="222"/>
      <c r="AD106" s="222"/>
      <c r="AE106" s="222"/>
      <c r="AF106" s="222"/>
      <c r="AG106" s="222"/>
      <c r="AH106" s="222"/>
      <c r="AI106" s="222"/>
      <c r="AJ106" s="222"/>
      <c r="AK106" s="222"/>
      <c r="AL106" s="222"/>
    </row>
    <row r="107" spans="1:38" s="217" customFormat="1" x14ac:dyDescent="0.25">
      <c r="A107" s="98">
        <f t="shared" si="10"/>
        <v>0</v>
      </c>
      <c r="B107" s="39" t="str">
        <f t="shared" si="6"/>
        <v/>
      </c>
      <c r="C107" s="40"/>
      <c r="D107" s="40"/>
      <c r="E107" s="40"/>
      <c r="F107" s="40"/>
      <c r="H107" s="234">
        <v>102</v>
      </c>
      <c r="I107" s="235" t="str">
        <f t="shared" si="7"/>
        <v/>
      </c>
      <c r="J107" s="234" t="e">
        <f t="shared" si="11"/>
        <v>#NUM!</v>
      </c>
      <c r="K107" s="234" t="e">
        <f t="shared" si="8"/>
        <v>#NUM!</v>
      </c>
      <c r="L107" s="234"/>
      <c r="M107" s="236">
        <f t="shared" si="9"/>
        <v>0</v>
      </c>
      <c r="S107" s="222"/>
      <c r="T107" s="222"/>
      <c r="U107" s="222"/>
      <c r="V107" s="222"/>
      <c r="W107" s="222"/>
      <c r="X107" s="222"/>
      <c r="Y107" s="222"/>
      <c r="Z107" s="222"/>
      <c r="AA107" s="222"/>
      <c r="AB107" s="222"/>
      <c r="AC107" s="222"/>
      <c r="AD107" s="222"/>
      <c r="AE107" s="222"/>
      <c r="AF107" s="222"/>
      <c r="AG107" s="222"/>
      <c r="AH107" s="222"/>
      <c r="AI107" s="222"/>
      <c r="AJ107" s="222"/>
      <c r="AK107" s="222"/>
      <c r="AL107" s="222"/>
    </row>
    <row r="108" spans="1:38" s="217" customFormat="1" x14ac:dyDescent="0.25">
      <c r="A108" s="94">
        <f t="shared" si="10"/>
        <v>0</v>
      </c>
      <c r="B108" s="33" t="str">
        <f t="shared" si="6"/>
        <v/>
      </c>
      <c r="C108" s="34"/>
      <c r="D108" s="34"/>
      <c r="E108" s="34"/>
      <c r="F108" s="34"/>
      <c r="H108" s="231">
        <v>103</v>
      </c>
      <c r="I108" s="232" t="str">
        <f t="shared" si="7"/>
        <v/>
      </c>
      <c r="J108" s="231" t="e">
        <f t="shared" si="11"/>
        <v>#NUM!</v>
      </c>
      <c r="K108" s="231" t="e">
        <f t="shared" si="8"/>
        <v>#NUM!</v>
      </c>
      <c r="L108" s="231"/>
      <c r="M108" s="233">
        <f t="shared" si="9"/>
        <v>0</v>
      </c>
      <c r="S108" s="222"/>
      <c r="T108" s="222"/>
      <c r="U108" s="222"/>
      <c r="V108" s="222"/>
      <c r="W108" s="222"/>
      <c r="X108" s="222"/>
      <c r="Y108" s="222"/>
      <c r="Z108" s="222"/>
      <c r="AA108" s="222"/>
      <c r="AB108" s="222"/>
      <c r="AC108" s="222"/>
      <c r="AD108" s="222"/>
      <c r="AE108" s="222"/>
      <c r="AF108" s="222"/>
      <c r="AG108" s="222"/>
      <c r="AH108" s="222"/>
      <c r="AI108" s="222"/>
      <c r="AJ108" s="222"/>
      <c r="AK108" s="222"/>
      <c r="AL108" s="222"/>
    </row>
    <row r="109" spans="1:38" s="217" customFormat="1" x14ac:dyDescent="0.25">
      <c r="A109" s="98">
        <f t="shared" si="10"/>
        <v>0</v>
      </c>
      <c r="B109" s="39" t="str">
        <f t="shared" si="6"/>
        <v/>
      </c>
      <c r="C109" s="40"/>
      <c r="D109" s="40"/>
      <c r="E109" s="40"/>
      <c r="F109" s="40"/>
      <c r="H109" s="234">
        <v>104</v>
      </c>
      <c r="I109" s="235" t="str">
        <f t="shared" si="7"/>
        <v/>
      </c>
      <c r="J109" s="234" t="e">
        <f t="shared" si="11"/>
        <v>#NUM!</v>
      </c>
      <c r="K109" s="234" t="e">
        <f t="shared" si="8"/>
        <v>#NUM!</v>
      </c>
      <c r="L109" s="234"/>
      <c r="M109" s="236">
        <f t="shared" si="9"/>
        <v>0</v>
      </c>
      <c r="S109" s="222"/>
      <c r="T109" s="222"/>
      <c r="U109" s="222"/>
      <c r="V109" s="222"/>
      <c r="W109" s="222"/>
      <c r="X109" s="222"/>
      <c r="Y109" s="222"/>
      <c r="Z109" s="222"/>
      <c r="AA109" s="222"/>
      <c r="AB109" s="222"/>
      <c r="AC109" s="222"/>
      <c r="AD109" s="222"/>
      <c r="AE109" s="222"/>
      <c r="AF109" s="222"/>
      <c r="AG109" s="222"/>
      <c r="AH109" s="222"/>
      <c r="AI109" s="222"/>
      <c r="AJ109" s="222"/>
      <c r="AK109" s="222"/>
      <c r="AL109" s="222"/>
    </row>
    <row r="110" spans="1:38" s="217" customFormat="1" x14ac:dyDescent="0.25">
      <c r="A110" s="94">
        <f t="shared" si="10"/>
        <v>0</v>
      </c>
      <c r="B110" s="33" t="str">
        <f t="shared" si="6"/>
        <v/>
      </c>
      <c r="C110" s="34"/>
      <c r="D110" s="34"/>
      <c r="E110" s="34"/>
      <c r="F110" s="34"/>
      <c r="H110" s="231">
        <v>105</v>
      </c>
      <c r="I110" s="232" t="str">
        <f t="shared" si="7"/>
        <v/>
      </c>
      <c r="J110" s="231" t="e">
        <f t="shared" si="11"/>
        <v>#NUM!</v>
      </c>
      <c r="K110" s="231" t="e">
        <f t="shared" si="8"/>
        <v>#NUM!</v>
      </c>
      <c r="L110" s="231"/>
      <c r="M110" s="233">
        <f t="shared" si="9"/>
        <v>0</v>
      </c>
      <c r="S110" s="222"/>
      <c r="T110" s="222"/>
      <c r="U110" s="222"/>
      <c r="V110" s="222"/>
      <c r="W110" s="222"/>
      <c r="X110" s="222"/>
      <c r="Y110" s="222"/>
      <c r="Z110" s="222"/>
      <c r="AA110" s="222"/>
      <c r="AB110" s="222"/>
      <c r="AC110" s="222"/>
      <c r="AD110" s="222"/>
      <c r="AE110" s="222"/>
      <c r="AF110" s="222"/>
      <c r="AG110" s="222"/>
      <c r="AH110" s="222"/>
      <c r="AI110" s="222"/>
      <c r="AJ110" s="222"/>
      <c r="AK110" s="222"/>
      <c r="AL110" s="222"/>
    </row>
    <row r="111" spans="1:38" s="217" customFormat="1" x14ac:dyDescent="0.25">
      <c r="A111" s="98">
        <f t="shared" si="10"/>
        <v>0</v>
      </c>
      <c r="B111" s="39" t="str">
        <f t="shared" si="6"/>
        <v/>
      </c>
      <c r="C111" s="40"/>
      <c r="D111" s="40"/>
      <c r="E111" s="40"/>
      <c r="F111" s="40"/>
      <c r="H111" s="234">
        <v>106</v>
      </c>
      <c r="I111" s="235" t="str">
        <f t="shared" si="7"/>
        <v/>
      </c>
      <c r="J111" s="234" t="e">
        <f t="shared" si="11"/>
        <v>#NUM!</v>
      </c>
      <c r="K111" s="234" t="e">
        <f t="shared" si="8"/>
        <v>#NUM!</v>
      </c>
      <c r="L111" s="234"/>
      <c r="M111" s="236">
        <f t="shared" si="9"/>
        <v>0</v>
      </c>
      <c r="S111" s="222"/>
      <c r="T111" s="222"/>
      <c r="U111" s="222"/>
      <c r="V111" s="222"/>
      <c r="W111" s="222"/>
      <c r="X111" s="222"/>
      <c r="Y111" s="222"/>
      <c r="Z111" s="222"/>
      <c r="AA111" s="222"/>
      <c r="AB111" s="222"/>
      <c r="AC111" s="222"/>
      <c r="AD111" s="222"/>
      <c r="AE111" s="222"/>
      <c r="AF111" s="222"/>
      <c r="AG111" s="222"/>
      <c r="AH111" s="222"/>
      <c r="AI111" s="222"/>
      <c r="AJ111" s="222"/>
      <c r="AK111" s="222"/>
      <c r="AL111" s="222"/>
    </row>
    <row r="112" spans="1:38" s="217" customFormat="1" x14ac:dyDescent="0.25">
      <c r="A112" s="94">
        <f t="shared" si="10"/>
        <v>0</v>
      </c>
      <c r="B112" s="33" t="str">
        <f t="shared" si="6"/>
        <v/>
      </c>
      <c r="C112" s="34"/>
      <c r="D112" s="34"/>
      <c r="E112" s="34"/>
      <c r="F112" s="34"/>
      <c r="H112" s="231">
        <v>107</v>
      </c>
      <c r="I112" s="232" t="str">
        <f t="shared" si="7"/>
        <v/>
      </c>
      <c r="J112" s="231" t="e">
        <f t="shared" si="11"/>
        <v>#NUM!</v>
      </c>
      <c r="K112" s="231" t="e">
        <f t="shared" si="8"/>
        <v>#NUM!</v>
      </c>
      <c r="L112" s="231"/>
      <c r="M112" s="233">
        <f t="shared" si="9"/>
        <v>0</v>
      </c>
      <c r="S112" s="222"/>
      <c r="T112" s="222"/>
      <c r="U112" s="222"/>
      <c r="V112" s="222"/>
      <c r="W112" s="222"/>
      <c r="X112" s="222"/>
      <c r="Y112" s="222"/>
      <c r="Z112" s="222"/>
      <c r="AA112" s="222"/>
      <c r="AB112" s="222"/>
      <c r="AC112" s="222"/>
      <c r="AD112" s="222"/>
      <c r="AE112" s="222"/>
      <c r="AF112" s="222"/>
      <c r="AG112" s="222"/>
      <c r="AH112" s="222"/>
      <c r="AI112" s="222"/>
      <c r="AJ112" s="222"/>
      <c r="AK112" s="222"/>
      <c r="AL112" s="222"/>
    </row>
    <row r="113" spans="1:38" s="217" customFormat="1" x14ac:dyDescent="0.25">
      <c r="A113" s="98">
        <f t="shared" si="10"/>
        <v>0</v>
      </c>
      <c r="B113" s="39" t="str">
        <f t="shared" si="6"/>
        <v/>
      </c>
      <c r="C113" s="40"/>
      <c r="D113" s="40"/>
      <c r="E113" s="40"/>
      <c r="F113" s="40"/>
      <c r="H113" s="234">
        <v>108</v>
      </c>
      <c r="I113" s="235" t="str">
        <f t="shared" si="7"/>
        <v/>
      </c>
      <c r="J113" s="234" t="e">
        <f t="shared" si="11"/>
        <v>#NUM!</v>
      </c>
      <c r="K113" s="234" t="e">
        <f t="shared" si="8"/>
        <v>#NUM!</v>
      </c>
      <c r="L113" s="234"/>
      <c r="M113" s="236">
        <f t="shared" si="9"/>
        <v>0</v>
      </c>
      <c r="S113" s="222"/>
      <c r="T113" s="222"/>
      <c r="U113" s="222"/>
      <c r="V113" s="222"/>
      <c r="W113" s="222"/>
      <c r="X113" s="222"/>
      <c r="Y113" s="222"/>
      <c r="Z113" s="222"/>
      <c r="AA113" s="222"/>
      <c r="AB113" s="222"/>
      <c r="AC113" s="222"/>
      <c r="AD113" s="222"/>
      <c r="AE113" s="222"/>
      <c r="AF113" s="222"/>
      <c r="AG113" s="222"/>
      <c r="AH113" s="222"/>
      <c r="AI113" s="222"/>
      <c r="AJ113" s="222"/>
      <c r="AK113" s="222"/>
      <c r="AL113" s="222"/>
    </row>
    <row r="114" spans="1:38" s="217" customFormat="1" x14ac:dyDescent="0.25">
      <c r="A114" s="94">
        <f t="shared" si="10"/>
        <v>0</v>
      </c>
      <c r="B114" s="33" t="str">
        <f t="shared" si="6"/>
        <v/>
      </c>
      <c r="C114" s="34"/>
      <c r="D114" s="34"/>
      <c r="E114" s="34"/>
      <c r="F114" s="34"/>
      <c r="H114" s="231">
        <v>109</v>
      </c>
      <c r="I114" s="232" t="str">
        <f t="shared" si="7"/>
        <v/>
      </c>
      <c r="J114" s="231" t="e">
        <f t="shared" si="11"/>
        <v>#NUM!</v>
      </c>
      <c r="K114" s="231" t="e">
        <f t="shared" si="8"/>
        <v>#NUM!</v>
      </c>
      <c r="L114" s="231"/>
      <c r="M114" s="233">
        <f t="shared" si="9"/>
        <v>0</v>
      </c>
      <c r="S114" s="222"/>
      <c r="T114" s="222"/>
      <c r="U114" s="222"/>
      <c r="V114" s="222"/>
      <c r="W114" s="222"/>
      <c r="X114" s="222"/>
      <c r="Y114" s="222"/>
      <c r="Z114" s="222"/>
      <c r="AA114" s="222"/>
      <c r="AB114" s="222"/>
      <c r="AC114" s="222"/>
      <c r="AD114" s="222"/>
      <c r="AE114" s="222"/>
      <c r="AF114" s="222"/>
      <c r="AG114" s="222"/>
      <c r="AH114" s="222"/>
      <c r="AI114" s="222"/>
      <c r="AJ114" s="222"/>
      <c r="AK114" s="222"/>
      <c r="AL114" s="222"/>
    </row>
    <row r="115" spans="1:38" s="217" customFormat="1" x14ac:dyDescent="0.25">
      <c r="A115" s="98">
        <f t="shared" si="10"/>
        <v>0</v>
      </c>
      <c r="B115" s="39" t="str">
        <f t="shared" si="6"/>
        <v/>
      </c>
      <c r="C115" s="40"/>
      <c r="D115" s="40"/>
      <c r="E115" s="40"/>
      <c r="F115" s="40"/>
      <c r="H115" s="234">
        <v>110</v>
      </c>
      <c r="I115" s="235" t="str">
        <f t="shared" si="7"/>
        <v/>
      </c>
      <c r="J115" s="234" t="e">
        <f t="shared" si="11"/>
        <v>#NUM!</v>
      </c>
      <c r="K115" s="234" t="e">
        <f t="shared" si="8"/>
        <v>#NUM!</v>
      </c>
      <c r="L115" s="234"/>
      <c r="M115" s="236">
        <f t="shared" si="9"/>
        <v>0</v>
      </c>
      <c r="S115" s="222"/>
      <c r="T115" s="222"/>
      <c r="U115" s="222"/>
      <c r="V115" s="222"/>
      <c r="W115" s="222"/>
      <c r="X115" s="222"/>
      <c r="Y115" s="222"/>
      <c r="Z115" s="222"/>
      <c r="AA115" s="222"/>
      <c r="AB115" s="222"/>
      <c r="AC115" s="222"/>
      <c r="AD115" s="222"/>
      <c r="AE115" s="222"/>
      <c r="AF115" s="222"/>
      <c r="AG115" s="222"/>
      <c r="AH115" s="222"/>
      <c r="AI115" s="222"/>
      <c r="AJ115" s="222"/>
      <c r="AK115" s="222"/>
      <c r="AL115" s="222"/>
    </row>
    <row r="116" spans="1:38" s="217" customFormat="1" x14ac:dyDescent="0.25">
      <c r="A116" s="94">
        <f t="shared" si="10"/>
        <v>0</v>
      </c>
      <c r="B116" s="33" t="str">
        <f t="shared" si="6"/>
        <v/>
      </c>
      <c r="C116" s="34"/>
      <c r="D116" s="34"/>
      <c r="E116" s="34"/>
      <c r="F116" s="34"/>
      <c r="H116" s="231">
        <v>111</v>
      </c>
      <c r="I116" s="232" t="str">
        <f t="shared" si="7"/>
        <v/>
      </c>
      <c r="J116" s="231" t="e">
        <f t="shared" si="11"/>
        <v>#NUM!</v>
      </c>
      <c r="K116" s="231" t="e">
        <f t="shared" si="8"/>
        <v>#NUM!</v>
      </c>
      <c r="L116" s="231"/>
      <c r="M116" s="233">
        <f t="shared" si="9"/>
        <v>0</v>
      </c>
      <c r="S116" s="222"/>
      <c r="T116" s="222"/>
      <c r="U116" s="222"/>
      <c r="V116" s="222"/>
      <c r="W116" s="222"/>
      <c r="X116" s="222"/>
      <c r="Y116" s="222"/>
      <c r="Z116" s="222"/>
      <c r="AA116" s="222"/>
      <c r="AB116" s="222"/>
      <c r="AC116" s="222"/>
      <c r="AD116" s="222"/>
      <c r="AE116" s="222"/>
      <c r="AF116" s="222"/>
      <c r="AG116" s="222"/>
      <c r="AH116" s="222"/>
      <c r="AI116" s="222"/>
      <c r="AJ116" s="222"/>
      <c r="AK116" s="222"/>
      <c r="AL116" s="222"/>
    </row>
    <row r="117" spans="1:38" s="217" customFormat="1" x14ac:dyDescent="0.25">
      <c r="A117" s="98">
        <f t="shared" si="10"/>
        <v>0</v>
      </c>
      <c r="B117" s="39" t="str">
        <f t="shared" si="6"/>
        <v/>
      </c>
      <c r="C117" s="40"/>
      <c r="D117" s="40"/>
      <c r="E117" s="40"/>
      <c r="F117" s="40"/>
      <c r="H117" s="234">
        <v>112</v>
      </c>
      <c r="I117" s="235" t="str">
        <f t="shared" si="7"/>
        <v/>
      </c>
      <c r="J117" s="234" t="e">
        <f t="shared" si="11"/>
        <v>#NUM!</v>
      </c>
      <c r="K117" s="234" t="e">
        <f t="shared" si="8"/>
        <v>#NUM!</v>
      </c>
      <c r="L117" s="234"/>
      <c r="M117" s="236">
        <f t="shared" si="9"/>
        <v>0</v>
      </c>
      <c r="S117" s="222"/>
      <c r="T117" s="222"/>
      <c r="U117" s="222"/>
      <c r="V117" s="222"/>
      <c r="W117" s="222"/>
      <c r="X117" s="222"/>
      <c r="Y117" s="222"/>
      <c r="Z117" s="222"/>
      <c r="AA117" s="222"/>
      <c r="AB117" s="222"/>
      <c r="AC117" s="222"/>
      <c r="AD117" s="222"/>
      <c r="AE117" s="222"/>
      <c r="AF117" s="222"/>
      <c r="AG117" s="222"/>
      <c r="AH117" s="222"/>
      <c r="AI117" s="222"/>
      <c r="AJ117" s="222"/>
      <c r="AK117" s="222"/>
      <c r="AL117" s="222"/>
    </row>
    <row r="118" spans="1:38" s="217" customFormat="1" x14ac:dyDescent="0.25">
      <c r="A118" s="94">
        <f t="shared" si="10"/>
        <v>0</v>
      </c>
      <c r="B118" s="33" t="str">
        <f t="shared" si="6"/>
        <v/>
      </c>
      <c r="C118" s="34"/>
      <c r="D118" s="34"/>
      <c r="E118" s="34"/>
      <c r="F118" s="34"/>
      <c r="H118" s="231">
        <v>113</v>
      </c>
      <c r="I118" s="232" t="str">
        <f t="shared" si="7"/>
        <v/>
      </c>
      <c r="J118" s="231" t="e">
        <f t="shared" si="11"/>
        <v>#NUM!</v>
      </c>
      <c r="K118" s="231" t="e">
        <f t="shared" si="8"/>
        <v>#NUM!</v>
      </c>
      <c r="L118" s="231"/>
      <c r="M118" s="233">
        <f t="shared" si="9"/>
        <v>0</v>
      </c>
      <c r="S118" s="222"/>
      <c r="T118" s="222"/>
      <c r="U118" s="222"/>
      <c r="V118" s="222"/>
      <c r="W118" s="222"/>
      <c r="X118" s="222"/>
      <c r="Y118" s="222"/>
      <c r="Z118" s="222"/>
      <c r="AA118" s="222"/>
      <c r="AB118" s="222"/>
      <c r="AC118" s="222"/>
      <c r="AD118" s="222"/>
      <c r="AE118" s="222"/>
      <c r="AF118" s="222"/>
      <c r="AG118" s="222"/>
      <c r="AH118" s="222"/>
      <c r="AI118" s="222"/>
      <c r="AJ118" s="222"/>
      <c r="AK118" s="222"/>
      <c r="AL118" s="222"/>
    </row>
    <row r="119" spans="1:38" s="217" customFormat="1" x14ac:dyDescent="0.25">
      <c r="A119" s="98">
        <f t="shared" si="10"/>
        <v>0</v>
      </c>
      <c r="B119" s="39" t="str">
        <f t="shared" si="6"/>
        <v/>
      </c>
      <c r="C119" s="40"/>
      <c r="D119" s="40"/>
      <c r="E119" s="40"/>
      <c r="F119" s="40"/>
      <c r="H119" s="234">
        <v>114</v>
      </c>
      <c r="I119" s="235" t="str">
        <f t="shared" si="7"/>
        <v/>
      </c>
      <c r="J119" s="234" t="e">
        <f t="shared" si="11"/>
        <v>#NUM!</v>
      </c>
      <c r="K119" s="234" t="e">
        <f t="shared" si="8"/>
        <v>#NUM!</v>
      </c>
      <c r="L119" s="234"/>
      <c r="M119" s="236">
        <f t="shared" si="9"/>
        <v>0</v>
      </c>
      <c r="S119" s="222"/>
      <c r="T119" s="222"/>
      <c r="U119" s="222"/>
      <c r="V119" s="222"/>
      <c r="W119" s="222"/>
      <c r="X119" s="222"/>
      <c r="Y119" s="222"/>
      <c r="Z119" s="222"/>
      <c r="AA119" s="222"/>
      <c r="AB119" s="222"/>
      <c r="AC119" s="222"/>
      <c r="AD119" s="222"/>
      <c r="AE119" s="222"/>
      <c r="AF119" s="222"/>
      <c r="AG119" s="222"/>
      <c r="AH119" s="222"/>
      <c r="AI119" s="222"/>
      <c r="AJ119" s="222"/>
      <c r="AK119" s="222"/>
      <c r="AL119" s="222"/>
    </row>
    <row r="120" spans="1:38" s="217" customFormat="1" x14ac:dyDescent="0.25">
      <c r="A120" s="94">
        <f t="shared" si="10"/>
        <v>0</v>
      </c>
      <c r="B120" s="33" t="str">
        <f t="shared" si="6"/>
        <v/>
      </c>
      <c r="C120" s="34"/>
      <c r="D120" s="34"/>
      <c r="E120" s="34"/>
      <c r="F120" s="34"/>
      <c r="H120" s="231">
        <v>115</v>
      </c>
      <c r="I120" s="232" t="str">
        <f t="shared" si="7"/>
        <v/>
      </c>
      <c r="J120" s="231" t="e">
        <f t="shared" si="11"/>
        <v>#NUM!</v>
      </c>
      <c r="K120" s="231" t="e">
        <f t="shared" si="8"/>
        <v>#NUM!</v>
      </c>
      <c r="L120" s="231"/>
      <c r="M120" s="233">
        <f t="shared" si="9"/>
        <v>0</v>
      </c>
      <c r="S120" s="222"/>
      <c r="T120" s="222"/>
      <c r="U120" s="222"/>
      <c r="V120" s="222"/>
      <c r="W120" s="222"/>
      <c r="X120" s="222"/>
      <c r="Y120" s="222"/>
      <c r="Z120" s="222"/>
      <c r="AA120" s="222"/>
      <c r="AB120" s="222"/>
      <c r="AC120" s="222"/>
      <c r="AD120" s="222"/>
      <c r="AE120" s="222"/>
      <c r="AF120" s="222"/>
      <c r="AG120" s="222"/>
      <c r="AH120" s="222"/>
      <c r="AI120" s="222"/>
      <c r="AJ120" s="222"/>
      <c r="AK120" s="222"/>
      <c r="AL120" s="222"/>
    </row>
    <row r="121" spans="1:38" s="217" customFormat="1" x14ac:dyDescent="0.25">
      <c r="A121" s="98">
        <f t="shared" si="10"/>
        <v>0</v>
      </c>
      <c r="B121" s="39" t="str">
        <f t="shared" si="6"/>
        <v/>
      </c>
      <c r="C121" s="40"/>
      <c r="D121" s="40"/>
      <c r="E121" s="40"/>
      <c r="F121" s="40"/>
      <c r="H121" s="234">
        <v>116</v>
      </c>
      <c r="I121" s="235" t="str">
        <f t="shared" si="7"/>
        <v/>
      </c>
      <c r="J121" s="234" t="e">
        <f t="shared" si="11"/>
        <v>#NUM!</v>
      </c>
      <c r="K121" s="234" t="e">
        <f t="shared" si="8"/>
        <v>#NUM!</v>
      </c>
      <c r="L121" s="234"/>
      <c r="M121" s="236">
        <f t="shared" si="9"/>
        <v>0</v>
      </c>
      <c r="S121" s="222"/>
      <c r="T121" s="222"/>
      <c r="U121" s="222"/>
      <c r="V121" s="222"/>
      <c r="W121" s="222"/>
      <c r="X121" s="222"/>
      <c r="Y121" s="222"/>
      <c r="Z121" s="222"/>
      <c r="AA121" s="222"/>
      <c r="AB121" s="222"/>
      <c r="AC121" s="222"/>
      <c r="AD121" s="222"/>
      <c r="AE121" s="222"/>
      <c r="AF121" s="222"/>
      <c r="AG121" s="222"/>
      <c r="AH121" s="222"/>
      <c r="AI121" s="222"/>
      <c r="AJ121" s="222"/>
      <c r="AK121" s="222"/>
      <c r="AL121" s="222"/>
    </row>
    <row r="122" spans="1:38" s="217" customFormat="1" x14ac:dyDescent="0.25">
      <c r="A122" s="94">
        <f t="shared" si="10"/>
        <v>0</v>
      </c>
      <c r="B122" s="33" t="str">
        <f t="shared" si="6"/>
        <v/>
      </c>
      <c r="C122" s="34"/>
      <c r="D122" s="34"/>
      <c r="E122" s="34"/>
      <c r="F122" s="34"/>
      <c r="H122" s="231">
        <v>117</v>
      </c>
      <c r="I122" s="232" t="str">
        <f t="shared" si="7"/>
        <v/>
      </c>
      <c r="J122" s="231" t="e">
        <f t="shared" si="11"/>
        <v>#NUM!</v>
      </c>
      <c r="K122" s="231" t="e">
        <f t="shared" si="8"/>
        <v>#NUM!</v>
      </c>
      <c r="L122" s="231"/>
      <c r="M122" s="233">
        <f t="shared" si="9"/>
        <v>0</v>
      </c>
      <c r="S122" s="222"/>
      <c r="T122" s="222"/>
      <c r="U122" s="222"/>
      <c r="V122" s="222"/>
      <c r="W122" s="222"/>
      <c r="X122" s="222"/>
      <c r="Y122" s="222"/>
      <c r="Z122" s="222"/>
      <c r="AA122" s="222"/>
      <c r="AB122" s="222"/>
      <c r="AC122" s="222"/>
      <c r="AD122" s="222"/>
      <c r="AE122" s="222"/>
      <c r="AF122" s="222"/>
      <c r="AG122" s="222"/>
      <c r="AH122" s="222"/>
      <c r="AI122" s="222"/>
      <c r="AJ122" s="222"/>
      <c r="AK122" s="222"/>
      <c r="AL122" s="222"/>
    </row>
    <row r="123" spans="1:38" s="217" customFormat="1" x14ac:dyDescent="0.25">
      <c r="A123" s="98">
        <f t="shared" si="10"/>
        <v>0</v>
      </c>
      <c r="B123" s="39" t="str">
        <f t="shared" si="6"/>
        <v/>
      </c>
      <c r="C123" s="40"/>
      <c r="D123" s="40"/>
      <c r="E123" s="40"/>
      <c r="F123" s="40"/>
      <c r="H123" s="234">
        <v>118</v>
      </c>
      <c r="I123" s="235" t="str">
        <f t="shared" si="7"/>
        <v/>
      </c>
      <c r="J123" s="234" t="e">
        <f t="shared" si="11"/>
        <v>#NUM!</v>
      </c>
      <c r="K123" s="234" t="e">
        <f t="shared" si="8"/>
        <v>#NUM!</v>
      </c>
      <c r="L123" s="234"/>
      <c r="M123" s="236">
        <f t="shared" si="9"/>
        <v>0</v>
      </c>
      <c r="S123" s="222"/>
      <c r="T123" s="222"/>
      <c r="U123" s="222"/>
      <c r="V123" s="222"/>
      <c r="W123" s="222"/>
      <c r="X123" s="222"/>
      <c r="Y123" s="222"/>
      <c r="Z123" s="222"/>
      <c r="AA123" s="222"/>
      <c r="AB123" s="222"/>
      <c r="AC123" s="222"/>
      <c r="AD123" s="222"/>
      <c r="AE123" s="222"/>
      <c r="AF123" s="222"/>
      <c r="AG123" s="222"/>
      <c r="AH123" s="222"/>
      <c r="AI123" s="222"/>
      <c r="AJ123" s="222"/>
      <c r="AK123" s="222"/>
      <c r="AL123" s="222"/>
    </row>
    <row r="124" spans="1:38" s="217" customFormat="1" x14ac:dyDescent="0.25">
      <c r="A124" s="94">
        <f t="shared" si="10"/>
        <v>0</v>
      </c>
      <c r="B124" s="33" t="str">
        <f t="shared" si="6"/>
        <v/>
      </c>
      <c r="C124" s="34"/>
      <c r="D124" s="34"/>
      <c r="E124" s="34"/>
      <c r="F124" s="34"/>
      <c r="H124" s="231">
        <v>119</v>
      </c>
      <c r="I124" s="232" t="str">
        <f t="shared" si="7"/>
        <v/>
      </c>
      <c r="J124" s="231" t="e">
        <f t="shared" si="11"/>
        <v>#NUM!</v>
      </c>
      <c r="K124" s="231" t="e">
        <f t="shared" si="8"/>
        <v>#NUM!</v>
      </c>
      <c r="L124" s="231"/>
      <c r="M124" s="233">
        <f t="shared" si="9"/>
        <v>0</v>
      </c>
      <c r="S124" s="222"/>
      <c r="T124" s="222"/>
      <c r="U124" s="222"/>
      <c r="V124" s="222"/>
      <c r="W124" s="222"/>
      <c r="X124" s="222"/>
      <c r="Y124" s="222"/>
      <c r="Z124" s="222"/>
      <c r="AA124" s="222"/>
      <c r="AB124" s="222"/>
      <c r="AC124" s="222"/>
      <c r="AD124" s="222"/>
      <c r="AE124" s="222"/>
      <c r="AF124" s="222"/>
      <c r="AG124" s="222"/>
      <c r="AH124" s="222"/>
      <c r="AI124" s="222"/>
      <c r="AJ124" s="222"/>
      <c r="AK124" s="222"/>
      <c r="AL124" s="222"/>
    </row>
    <row r="125" spans="1:38" s="217" customFormat="1" x14ac:dyDescent="0.25">
      <c r="A125" s="98">
        <f t="shared" si="10"/>
        <v>0</v>
      </c>
      <c r="B125" s="39" t="str">
        <f t="shared" si="6"/>
        <v/>
      </c>
      <c r="C125" s="40"/>
      <c r="D125" s="40"/>
      <c r="E125" s="40"/>
      <c r="F125" s="40"/>
      <c r="H125" s="234">
        <v>120</v>
      </c>
      <c r="I125" s="235" t="str">
        <f t="shared" si="7"/>
        <v/>
      </c>
      <c r="J125" s="234" t="e">
        <f t="shared" si="11"/>
        <v>#NUM!</v>
      </c>
      <c r="K125" s="234" t="e">
        <f t="shared" si="8"/>
        <v>#NUM!</v>
      </c>
      <c r="L125" s="234"/>
      <c r="M125" s="236">
        <f t="shared" si="9"/>
        <v>0</v>
      </c>
      <c r="S125" s="222"/>
      <c r="T125" s="222"/>
      <c r="U125" s="222"/>
      <c r="V125" s="222"/>
      <c r="W125" s="222"/>
      <c r="X125" s="222"/>
      <c r="Y125" s="222"/>
      <c r="Z125" s="222"/>
      <c r="AA125" s="222"/>
      <c r="AB125" s="222"/>
      <c r="AC125" s="222"/>
      <c r="AD125" s="222"/>
      <c r="AE125" s="222"/>
      <c r="AF125" s="222"/>
      <c r="AG125" s="222"/>
      <c r="AH125" s="222"/>
      <c r="AI125" s="222"/>
      <c r="AJ125" s="222"/>
      <c r="AK125" s="222"/>
      <c r="AL125" s="222"/>
    </row>
    <row r="126" spans="1:38" s="217" customFormat="1" x14ac:dyDescent="0.25">
      <c r="A126" s="94">
        <f t="shared" si="10"/>
        <v>0</v>
      </c>
      <c r="B126" s="33" t="str">
        <f t="shared" si="6"/>
        <v/>
      </c>
      <c r="C126" s="34"/>
      <c r="D126" s="34"/>
      <c r="E126" s="34"/>
      <c r="F126" s="34"/>
      <c r="H126" s="231">
        <v>121</v>
      </c>
      <c r="I126" s="232" t="str">
        <f t="shared" si="7"/>
        <v/>
      </c>
      <c r="J126" s="231" t="e">
        <f t="shared" si="11"/>
        <v>#NUM!</v>
      </c>
      <c r="K126" s="231" t="e">
        <f t="shared" si="8"/>
        <v>#NUM!</v>
      </c>
      <c r="L126" s="231"/>
      <c r="M126" s="233">
        <f t="shared" si="9"/>
        <v>0</v>
      </c>
      <c r="S126" s="222"/>
      <c r="T126" s="222"/>
      <c r="U126" s="222"/>
      <c r="V126" s="222"/>
      <c r="W126" s="222"/>
      <c r="X126" s="222"/>
      <c r="Y126" s="222"/>
      <c r="Z126" s="222"/>
      <c r="AA126" s="222"/>
      <c r="AB126" s="222"/>
      <c r="AC126" s="222"/>
      <c r="AD126" s="222"/>
      <c r="AE126" s="222"/>
      <c r="AF126" s="222"/>
      <c r="AG126" s="222"/>
      <c r="AH126" s="222"/>
      <c r="AI126" s="222"/>
      <c r="AJ126" s="222"/>
      <c r="AK126" s="222"/>
      <c r="AL126" s="222"/>
    </row>
    <row r="127" spans="1:38" s="217" customFormat="1" x14ac:dyDescent="0.25">
      <c r="A127" s="98">
        <f t="shared" si="10"/>
        <v>0</v>
      </c>
      <c r="B127" s="39" t="str">
        <f t="shared" si="6"/>
        <v/>
      </c>
      <c r="C127" s="40"/>
      <c r="D127" s="40"/>
      <c r="E127" s="40"/>
      <c r="F127" s="40"/>
      <c r="H127" s="234">
        <v>122</v>
      </c>
      <c r="I127" s="235" t="str">
        <f t="shared" si="7"/>
        <v/>
      </c>
      <c r="J127" s="234" t="e">
        <f t="shared" si="11"/>
        <v>#NUM!</v>
      </c>
      <c r="K127" s="234" t="e">
        <f t="shared" si="8"/>
        <v>#NUM!</v>
      </c>
      <c r="L127" s="234"/>
      <c r="M127" s="236">
        <f t="shared" si="9"/>
        <v>0</v>
      </c>
      <c r="S127" s="222"/>
      <c r="T127" s="222"/>
      <c r="U127" s="222"/>
      <c r="V127" s="222"/>
      <c r="W127" s="222"/>
      <c r="X127" s="222"/>
      <c r="Y127" s="222"/>
      <c r="Z127" s="222"/>
      <c r="AA127" s="222"/>
      <c r="AB127" s="222"/>
      <c r="AC127" s="222"/>
      <c r="AD127" s="222"/>
      <c r="AE127" s="222"/>
      <c r="AF127" s="222"/>
      <c r="AG127" s="222"/>
      <c r="AH127" s="222"/>
      <c r="AI127" s="222"/>
      <c r="AJ127" s="222"/>
      <c r="AK127" s="222"/>
      <c r="AL127" s="222"/>
    </row>
    <row r="128" spans="1:38" s="217" customFormat="1" x14ac:dyDescent="0.25">
      <c r="A128" s="94">
        <f t="shared" si="10"/>
        <v>0</v>
      </c>
      <c r="B128" s="33" t="str">
        <f t="shared" si="6"/>
        <v/>
      </c>
      <c r="C128" s="34"/>
      <c r="D128" s="34"/>
      <c r="E128" s="34"/>
      <c r="F128" s="34"/>
      <c r="H128" s="231">
        <v>123</v>
      </c>
      <c r="I128" s="232" t="str">
        <f t="shared" si="7"/>
        <v/>
      </c>
      <c r="J128" s="231" t="e">
        <f t="shared" si="11"/>
        <v>#NUM!</v>
      </c>
      <c r="K128" s="231" t="e">
        <f t="shared" si="8"/>
        <v>#NUM!</v>
      </c>
      <c r="L128" s="231"/>
      <c r="M128" s="233">
        <f t="shared" si="9"/>
        <v>0</v>
      </c>
      <c r="S128" s="222"/>
      <c r="T128" s="222"/>
      <c r="U128" s="222"/>
      <c r="V128" s="222"/>
      <c r="W128" s="222"/>
      <c r="X128" s="222"/>
      <c r="Y128" s="222"/>
      <c r="Z128" s="222"/>
      <c r="AA128" s="222"/>
      <c r="AB128" s="222"/>
      <c r="AC128" s="222"/>
      <c r="AD128" s="222"/>
      <c r="AE128" s="222"/>
      <c r="AF128" s="222"/>
      <c r="AG128" s="222"/>
      <c r="AH128" s="222"/>
      <c r="AI128" s="222"/>
      <c r="AJ128" s="222"/>
      <c r="AK128" s="222"/>
      <c r="AL128" s="222"/>
    </row>
    <row r="129" spans="1:38" s="217" customFormat="1" x14ac:dyDescent="0.25">
      <c r="A129" s="98">
        <f t="shared" si="10"/>
        <v>0</v>
      </c>
      <c r="B129" s="39" t="str">
        <f t="shared" si="6"/>
        <v/>
      </c>
      <c r="C129" s="40"/>
      <c r="D129" s="40"/>
      <c r="E129" s="40"/>
      <c r="F129" s="40"/>
      <c r="H129" s="234">
        <v>124</v>
      </c>
      <c r="I129" s="235" t="str">
        <f t="shared" si="7"/>
        <v/>
      </c>
      <c r="J129" s="234" t="e">
        <f t="shared" si="11"/>
        <v>#NUM!</v>
      </c>
      <c r="K129" s="234" t="e">
        <f t="shared" si="8"/>
        <v>#NUM!</v>
      </c>
      <c r="L129" s="234"/>
      <c r="M129" s="236">
        <f t="shared" si="9"/>
        <v>0</v>
      </c>
      <c r="S129" s="222"/>
      <c r="T129" s="222"/>
      <c r="U129" s="222"/>
      <c r="V129" s="222"/>
      <c r="W129" s="222"/>
      <c r="X129" s="222"/>
      <c r="Y129" s="222"/>
      <c r="Z129" s="222"/>
      <c r="AA129" s="222"/>
      <c r="AB129" s="222"/>
      <c r="AC129" s="222"/>
      <c r="AD129" s="222"/>
      <c r="AE129" s="222"/>
      <c r="AF129" s="222"/>
      <c r="AG129" s="222"/>
      <c r="AH129" s="222"/>
      <c r="AI129" s="222"/>
      <c r="AJ129" s="222"/>
      <c r="AK129" s="222"/>
      <c r="AL129" s="222"/>
    </row>
    <row r="130" spans="1:38" s="217" customFormat="1" x14ac:dyDescent="0.25">
      <c r="A130" s="94">
        <f t="shared" si="10"/>
        <v>0</v>
      </c>
      <c r="B130" s="33" t="str">
        <f t="shared" si="6"/>
        <v/>
      </c>
      <c r="C130" s="34"/>
      <c r="D130" s="34"/>
      <c r="E130" s="34"/>
      <c r="F130" s="34"/>
      <c r="H130" s="231">
        <v>125</v>
      </c>
      <c r="I130" s="232" t="str">
        <f t="shared" si="7"/>
        <v/>
      </c>
      <c r="J130" s="231" t="e">
        <f t="shared" si="11"/>
        <v>#NUM!</v>
      </c>
      <c r="K130" s="231" t="e">
        <f t="shared" si="8"/>
        <v>#NUM!</v>
      </c>
      <c r="L130" s="231"/>
      <c r="M130" s="233">
        <f t="shared" si="9"/>
        <v>0</v>
      </c>
      <c r="S130" s="222"/>
      <c r="T130" s="222"/>
      <c r="U130" s="222"/>
      <c r="V130" s="222"/>
      <c r="W130" s="222"/>
      <c r="X130" s="222"/>
      <c r="Y130" s="222"/>
      <c r="Z130" s="222"/>
      <c r="AA130" s="222"/>
      <c r="AB130" s="222"/>
      <c r="AC130" s="222"/>
      <c r="AD130" s="222"/>
      <c r="AE130" s="222"/>
      <c r="AF130" s="222"/>
      <c r="AG130" s="222"/>
      <c r="AH130" s="222"/>
      <c r="AI130" s="222"/>
      <c r="AJ130" s="222"/>
      <c r="AK130" s="222"/>
      <c r="AL130" s="222"/>
    </row>
    <row r="131" spans="1:38" s="217" customFormat="1" x14ac:dyDescent="0.25">
      <c r="A131" s="98">
        <f t="shared" si="10"/>
        <v>0</v>
      </c>
      <c r="B131" s="39" t="str">
        <f t="shared" si="6"/>
        <v/>
      </c>
      <c r="C131" s="40"/>
      <c r="D131" s="40"/>
      <c r="E131" s="40"/>
      <c r="F131" s="40"/>
      <c r="H131" s="234">
        <v>126</v>
      </c>
      <c r="I131" s="235" t="str">
        <f t="shared" si="7"/>
        <v/>
      </c>
      <c r="J131" s="234" t="e">
        <f t="shared" si="11"/>
        <v>#NUM!</v>
      </c>
      <c r="K131" s="234" t="e">
        <f t="shared" si="8"/>
        <v>#NUM!</v>
      </c>
      <c r="L131" s="234"/>
      <c r="M131" s="236">
        <f t="shared" si="9"/>
        <v>0</v>
      </c>
      <c r="S131" s="222"/>
      <c r="T131" s="222"/>
      <c r="U131" s="222"/>
      <c r="V131" s="222"/>
      <c r="W131" s="222"/>
      <c r="X131" s="222"/>
      <c r="Y131" s="222"/>
      <c r="Z131" s="222"/>
      <c r="AA131" s="222"/>
      <c r="AB131" s="222"/>
      <c r="AC131" s="222"/>
      <c r="AD131" s="222"/>
      <c r="AE131" s="222"/>
      <c r="AF131" s="222"/>
      <c r="AG131" s="222"/>
      <c r="AH131" s="222"/>
      <c r="AI131" s="222"/>
      <c r="AJ131" s="222"/>
      <c r="AK131" s="222"/>
      <c r="AL131" s="222"/>
    </row>
    <row r="132" spans="1:38" s="217" customFormat="1" x14ac:dyDescent="0.25">
      <c r="A132" s="94">
        <f t="shared" si="10"/>
        <v>0</v>
      </c>
      <c r="B132" s="33" t="str">
        <f t="shared" si="6"/>
        <v/>
      </c>
      <c r="C132" s="34"/>
      <c r="D132" s="34"/>
      <c r="E132" s="34"/>
      <c r="F132" s="34"/>
      <c r="H132" s="231">
        <v>127</v>
      </c>
      <c r="I132" s="232" t="str">
        <f t="shared" si="7"/>
        <v/>
      </c>
      <c r="J132" s="231" t="e">
        <f t="shared" si="11"/>
        <v>#NUM!</v>
      </c>
      <c r="K132" s="231" t="e">
        <f t="shared" si="8"/>
        <v>#NUM!</v>
      </c>
      <c r="L132" s="231"/>
      <c r="M132" s="233">
        <f t="shared" si="9"/>
        <v>0</v>
      </c>
      <c r="S132" s="222"/>
      <c r="T132" s="222"/>
      <c r="U132" s="222"/>
      <c r="V132" s="222"/>
      <c r="W132" s="222"/>
      <c r="X132" s="222"/>
      <c r="Y132" s="222"/>
      <c r="Z132" s="222"/>
      <c r="AA132" s="222"/>
      <c r="AB132" s="222"/>
      <c r="AC132" s="222"/>
      <c r="AD132" s="222"/>
      <c r="AE132" s="222"/>
      <c r="AF132" s="222"/>
      <c r="AG132" s="222"/>
      <c r="AH132" s="222"/>
      <c r="AI132" s="222"/>
      <c r="AJ132" s="222"/>
      <c r="AK132" s="222"/>
      <c r="AL132" s="222"/>
    </row>
    <row r="133" spans="1:38" s="217" customFormat="1" x14ac:dyDescent="0.25">
      <c r="A133" s="98">
        <f t="shared" si="10"/>
        <v>0</v>
      </c>
      <c r="B133" s="39" t="str">
        <f t="shared" si="6"/>
        <v/>
      </c>
      <c r="C133" s="40"/>
      <c r="D133" s="40"/>
      <c r="E133" s="40"/>
      <c r="F133" s="40"/>
      <c r="H133" s="234">
        <v>128</v>
      </c>
      <c r="I133" s="235" t="str">
        <f t="shared" si="7"/>
        <v/>
      </c>
      <c r="J133" s="234" t="e">
        <f t="shared" si="11"/>
        <v>#NUM!</v>
      </c>
      <c r="K133" s="234" t="e">
        <f t="shared" si="8"/>
        <v>#NUM!</v>
      </c>
      <c r="L133" s="234"/>
      <c r="M133" s="236">
        <f t="shared" si="9"/>
        <v>0</v>
      </c>
      <c r="S133" s="222"/>
      <c r="T133" s="222"/>
      <c r="U133" s="222"/>
      <c r="V133" s="222"/>
      <c r="W133" s="222"/>
      <c r="X133" s="222"/>
      <c r="Y133" s="222"/>
      <c r="Z133" s="222"/>
      <c r="AA133" s="222"/>
      <c r="AB133" s="222"/>
      <c r="AC133" s="222"/>
      <c r="AD133" s="222"/>
      <c r="AE133" s="222"/>
      <c r="AF133" s="222"/>
      <c r="AG133" s="222"/>
      <c r="AH133" s="222"/>
      <c r="AI133" s="222"/>
      <c r="AJ133" s="222"/>
      <c r="AK133" s="222"/>
      <c r="AL133" s="222"/>
    </row>
    <row r="134" spans="1:38" s="217" customFormat="1" x14ac:dyDescent="0.25">
      <c r="A134" s="94">
        <f t="shared" si="10"/>
        <v>0</v>
      </c>
      <c r="B134" s="33" t="str">
        <f t="shared" ref="B134:B140" si="12">IF(H134&gt;$H$2,"",(ROW()-5))</f>
        <v/>
      </c>
      <c r="C134" s="34"/>
      <c r="D134" s="34"/>
      <c r="E134" s="34"/>
      <c r="F134" s="34"/>
      <c r="H134" s="231">
        <v>129</v>
      </c>
      <c r="I134" s="232" t="str">
        <f t="shared" ref="I134:I197" si="13">IF(H134&lt;$H$2+1,($I$2-($I$2-1)*(LOG(H134)/LOG($H$2))),"")</f>
        <v/>
      </c>
      <c r="J134" s="231" t="e">
        <f t="shared" si="11"/>
        <v>#NUM!</v>
      </c>
      <c r="K134" s="231" t="e">
        <f t="shared" ref="K134:K197" si="14">J134*$J$2</f>
        <v>#NUM!</v>
      </c>
      <c r="L134" s="231"/>
      <c r="M134" s="233">
        <f t="shared" ref="M134:M197" si="15">IF(I134&lt;&gt;"",K134+I134+L134,0)</f>
        <v>0</v>
      </c>
      <c r="S134" s="222"/>
      <c r="T134" s="222"/>
      <c r="U134" s="222"/>
      <c r="V134" s="222"/>
      <c r="W134" s="222"/>
      <c r="X134" s="222"/>
      <c r="Y134" s="222"/>
      <c r="Z134" s="222"/>
      <c r="AA134" s="222"/>
      <c r="AB134" s="222"/>
      <c r="AC134" s="222"/>
      <c r="AD134" s="222"/>
      <c r="AE134" s="222"/>
      <c r="AF134" s="222"/>
      <c r="AG134" s="222"/>
      <c r="AH134" s="222"/>
      <c r="AI134" s="222"/>
      <c r="AJ134" s="222"/>
      <c r="AK134" s="222"/>
      <c r="AL134" s="222"/>
    </row>
    <row r="135" spans="1:38" s="217" customFormat="1" x14ac:dyDescent="0.25">
      <c r="A135" s="98">
        <f t="shared" ref="A135:A140" si="16">M135</f>
        <v>0</v>
      </c>
      <c r="B135" s="39" t="str">
        <f t="shared" si="12"/>
        <v/>
      </c>
      <c r="C135" s="40"/>
      <c r="D135" s="40"/>
      <c r="E135" s="40"/>
      <c r="F135" s="40"/>
      <c r="H135" s="234">
        <v>130</v>
      </c>
      <c r="I135" s="235" t="str">
        <f t="shared" si="13"/>
        <v/>
      </c>
      <c r="J135" s="234" t="e">
        <f t="shared" ref="J135:J198" si="17">INT(LOG($H$2,2))-ROUNDUP(LOG(H135,2),0)+IF(OR($H$2=1,$H$2=2,$H$2=4,$H$2=8,$H$2=16,$H$2=32,$H$2=64,$H$2=128,$H$2=256),0,1)</f>
        <v>#NUM!</v>
      </c>
      <c r="K135" s="234" t="e">
        <f t="shared" si="14"/>
        <v>#NUM!</v>
      </c>
      <c r="L135" s="234"/>
      <c r="M135" s="236">
        <f t="shared" si="15"/>
        <v>0</v>
      </c>
      <c r="S135" s="222"/>
      <c r="T135" s="222"/>
      <c r="U135" s="222"/>
      <c r="V135" s="222"/>
      <c r="W135" s="222"/>
      <c r="X135" s="222"/>
      <c r="Y135" s="222"/>
      <c r="Z135" s="222"/>
      <c r="AA135" s="222"/>
      <c r="AB135" s="222"/>
      <c r="AC135" s="222"/>
      <c r="AD135" s="222"/>
      <c r="AE135" s="222"/>
      <c r="AF135" s="222"/>
      <c r="AG135" s="222"/>
      <c r="AH135" s="222"/>
      <c r="AI135" s="222"/>
      <c r="AJ135" s="222"/>
      <c r="AK135" s="222"/>
      <c r="AL135" s="222"/>
    </row>
    <row r="136" spans="1:38" s="217" customFormat="1" x14ac:dyDescent="0.25">
      <c r="A136" s="94">
        <f t="shared" si="16"/>
        <v>0</v>
      </c>
      <c r="B136" s="33" t="str">
        <f t="shared" si="12"/>
        <v/>
      </c>
      <c r="C136" s="34"/>
      <c r="D136" s="34"/>
      <c r="E136" s="34"/>
      <c r="F136" s="34"/>
      <c r="H136" s="231">
        <v>131</v>
      </c>
      <c r="I136" s="232" t="str">
        <f t="shared" si="13"/>
        <v/>
      </c>
      <c r="J136" s="231" t="e">
        <f t="shared" si="17"/>
        <v>#NUM!</v>
      </c>
      <c r="K136" s="231" t="e">
        <f t="shared" si="14"/>
        <v>#NUM!</v>
      </c>
      <c r="L136" s="231"/>
      <c r="M136" s="233">
        <f t="shared" si="15"/>
        <v>0</v>
      </c>
      <c r="S136" s="222"/>
      <c r="T136" s="222"/>
      <c r="U136" s="222"/>
      <c r="V136" s="222"/>
      <c r="W136" s="222"/>
      <c r="X136" s="222"/>
      <c r="Y136" s="222"/>
      <c r="Z136" s="222"/>
      <c r="AA136" s="222"/>
      <c r="AB136" s="222"/>
      <c r="AC136" s="222"/>
      <c r="AD136" s="222"/>
      <c r="AE136" s="222"/>
      <c r="AF136" s="222"/>
      <c r="AG136" s="222"/>
      <c r="AH136" s="222"/>
      <c r="AI136" s="222"/>
      <c r="AJ136" s="222"/>
      <c r="AK136" s="222"/>
      <c r="AL136" s="222"/>
    </row>
    <row r="137" spans="1:38" s="217" customFormat="1" x14ac:dyDescent="0.25">
      <c r="A137" s="98">
        <f t="shared" si="16"/>
        <v>0</v>
      </c>
      <c r="B137" s="39" t="str">
        <f t="shared" si="12"/>
        <v/>
      </c>
      <c r="C137" s="40"/>
      <c r="D137" s="40"/>
      <c r="E137" s="40"/>
      <c r="F137" s="40"/>
      <c r="H137" s="234">
        <v>132</v>
      </c>
      <c r="I137" s="235" t="str">
        <f t="shared" si="13"/>
        <v/>
      </c>
      <c r="J137" s="234" t="e">
        <f t="shared" si="17"/>
        <v>#NUM!</v>
      </c>
      <c r="K137" s="234" t="e">
        <f t="shared" si="14"/>
        <v>#NUM!</v>
      </c>
      <c r="L137" s="234"/>
      <c r="M137" s="236">
        <f t="shared" si="15"/>
        <v>0</v>
      </c>
      <c r="S137" s="222"/>
      <c r="T137" s="222"/>
      <c r="U137" s="222"/>
      <c r="V137" s="222"/>
      <c r="W137" s="222"/>
      <c r="X137" s="222"/>
      <c r="Y137" s="222"/>
      <c r="Z137" s="222"/>
      <c r="AA137" s="222"/>
      <c r="AB137" s="222"/>
      <c r="AC137" s="222"/>
      <c r="AD137" s="222"/>
      <c r="AE137" s="222"/>
      <c r="AF137" s="222"/>
      <c r="AG137" s="222"/>
      <c r="AH137" s="222"/>
      <c r="AI137" s="222"/>
      <c r="AJ137" s="222"/>
      <c r="AK137" s="222"/>
      <c r="AL137" s="222"/>
    </row>
    <row r="138" spans="1:38" s="217" customFormat="1" x14ac:dyDescent="0.25">
      <c r="A138" s="94">
        <f t="shared" si="16"/>
        <v>0</v>
      </c>
      <c r="B138" s="33" t="str">
        <f t="shared" si="12"/>
        <v/>
      </c>
      <c r="C138" s="34"/>
      <c r="D138" s="34"/>
      <c r="E138" s="34"/>
      <c r="F138" s="34"/>
      <c r="H138" s="231">
        <v>133</v>
      </c>
      <c r="I138" s="232" t="str">
        <f t="shared" si="13"/>
        <v/>
      </c>
      <c r="J138" s="231" t="e">
        <f t="shared" si="17"/>
        <v>#NUM!</v>
      </c>
      <c r="K138" s="231" t="e">
        <f t="shared" si="14"/>
        <v>#NUM!</v>
      </c>
      <c r="L138" s="231"/>
      <c r="M138" s="233">
        <f t="shared" si="15"/>
        <v>0</v>
      </c>
      <c r="S138" s="222"/>
      <c r="T138" s="222"/>
      <c r="U138" s="222"/>
      <c r="V138" s="222"/>
      <c r="W138" s="222"/>
      <c r="X138" s="222"/>
      <c r="Y138" s="222"/>
      <c r="Z138" s="222"/>
      <c r="AA138" s="222"/>
      <c r="AB138" s="222"/>
      <c r="AC138" s="222"/>
      <c r="AD138" s="222"/>
      <c r="AE138" s="222"/>
      <c r="AF138" s="222"/>
      <c r="AG138" s="222"/>
      <c r="AH138" s="222"/>
      <c r="AI138" s="222"/>
      <c r="AJ138" s="222"/>
      <c r="AK138" s="222"/>
      <c r="AL138" s="222"/>
    </row>
    <row r="139" spans="1:38" s="217" customFormat="1" x14ac:dyDescent="0.25">
      <c r="A139" s="98">
        <f t="shared" si="16"/>
        <v>0</v>
      </c>
      <c r="B139" s="39" t="str">
        <f t="shared" si="12"/>
        <v/>
      </c>
      <c r="C139" s="40"/>
      <c r="D139" s="40"/>
      <c r="E139" s="40"/>
      <c r="F139" s="40"/>
      <c r="H139" s="234">
        <v>134</v>
      </c>
      <c r="I139" s="235" t="str">
        <f t="shared" si="13"/>
        <v/>
      </c>
      <c r="J139" s="234" t="e">
        <f t="shared" si="17"/>
        <v>#NUM!</v>
      </c>
      <c r="K139" s="234" t="e">
        <f t="shared" si="14"/>
        <v>#NUM!</v>
      </c>
      <c r="L139" s="234"/>
      <c r="M139" s="236">
        <f t="shared" si="15"/>
        <v>0</v>
      </c>
      <c r="S139" s="222"/>
      <c r="T139" s="222"/>
      <c r="U139" s="222"/>
      <c r="V139" s="222"/>
      <c r="W139" s="222"/>
      <c r="X139" s="222"/>
      <c r="Y139" s="222"/>
      <c r="Z139" s="222"/>
      <c r="AA139" s="222"/>
      <c r="AB139" s="222"/>
      <c r="AC139" s="222"/>
      <c r="AD139" s="222"/>
      <c r="AE139" s="222"/>
      <c r="AF139" s="222"/>
      <c r="AG139" s="222"/>
      <c r="AH139" s="222"/>
      <c r="AI139" s="222"/>
      <c r="AJ139" s="222"/>
      <c r="AK139" s="222"/>
      <c r="AL139" s="222"/>
    </row>
    <row r="140" spans="1:38" s="217" customFormat="1" x14ac:dyDescent="0.25">
      <c r="A140" s="94">
        <f t="shared" si="16"/>
        <v>0</v>
      </c>
      <c r="B140" s="33" t="str">
        <f t="shared" si="12"/>
        <v/>
      </c>
      <c r="C140" s="34"/>
      <c r="D140" s="34"/>
      <c r="E140" s="34"/>
      <c r="F140" s="34"/>
      <c r="H140" s="231">
        <v>135</v>
      </c>
      <c r="I140" s="232" t="str">
        <f t="shared" si="13"/>
        <v/>
      </c>
      <c r="J140" s="231" t="e">
        <f t="shared" si="17"/>
        <v>#NUM!</v>
      </c>
      <c r="K140" s="231" t="e">
        <f t="shared" si="14"/>
        <v>#NUM!</v>
      </c>
      <c r="L140" s="231"/>
      <c r="M140" s="233">
        <f t="shared" si="15"/>
        <v>0</v>
      </c>
      <c r="S140" s="222"/>
      <c r="T140" s="222"/>
      <c r="U140" s="222"/>
      <c r="V140" s="222"/>
      <c r="W140" s="222"/>
      <c r="X140" s="222"/>
      <c r="Y140" s="222"/>
      <c r="Z140" s="222"/>
      <c r="AA140" s="222"/>
      <c r="AB140" s="222"/>
      <c r="AC140" s="222"/>
      <c r="AD140" s="222"/>
      <c r="AE140" s="222"/>
      <c r="AF140" s="222"/>
      <c r="AG140" s="222"/>
      <c r="AH140" s="222"/>
      <c r="AI140" s="222"/>
      <c r="AJ140" s="222"/>
      <c r="AK140" s="222"/>
      <c r="AL140" s="222"/>
    </row>
    <row r="141" spans="1:38" x14ac:dyDescent="0.25">
      <c r="A141" s="248"/>
      <c r="G141" s="217"/>
      <c r="H141" s="234">
        <v>136</v>
      </c>
      <c r="I141" s="232" t="str">
        <f t="shared" si="13"/>
        <v/>
      </c>
      <c r="J141" s="231" t="e">
        <f t="shared" si="17"/>
        <v>#NUM!</v>
      </c>
      <c r="K141" s="231" t="e">
        <f t="shared" si="14"/>
        <v>#NUM!</v>
      </c>
      <c r="L141" s="231"/>
      <c r="M141" s="233">
        <f t="shared" si="15"/>
        <v>0</v>
      </c>
    </row>
    <row r="142" spans="1:38" x14ac:dyDescent="0.25">
      <c r="A142" s="248"/>
      <c r="G142" s="217"/>
      <c r="H142" s="231">
        <v>137</v>
      </c>
      <c r="I142" s="232" t="str">
        <f t="shared" si="13"/>
        <v/>
      </c>
      <c r="J142" s="231" t="e">
        <f t="shared" si="17"/>
        <v>#NUM!</v>
      </c>
      <c r="K142" s="231" t="e">
        <f t="shared" si="14"/>
        <v>#NUM!</v>
      </c>
      <c r="L142" s="231"/>
      <c r="M142" s="233">
        <f t="shared" si="15"/>
        <v>0</v>
      </c>
    </row>
    <row r="143" spans="1:38" x14ac:dyDescent="0.25">
      <c r="A143" s="248"/>
      <c r="G143" s="217"/>
      <c r="H143" s="234">
        <v>138</v>
      </c>
      <c r="I143" s="232" t="str">
        <f t="shared" si="13"/>
        <v/>
      </c>
      <c r="J143" s="231" t="e">
        <f t="shared" si="17"/>
        <v>#NUM!</v>
      </c>
      <c r="K143" s="231" t="e">
        <f t="shared" si="14"/>
        <v>#NUM!</v>
      </c>
      <c r="L143" s="231"/>
      <c r="M143" s="233">
        <f t="shared" si="15"/>
        <v>0</v>
      </c>
    </row>
    <row r="144" spans="1:38" x14ac:dyDescent="0.25">
      <c r="A144" s="248"/>
      <c r="G144" s="217"/>
      <c r="H144" s="231">
        <v>139</v>
      </c>
      <c r="I144" s="232" t="str">
        <f t="shared" si="13"/>
        <v/>
      </c>
      <c r="J144" s="231" t="e">
        <f t="shared" si="17"/>
        <v>#NUM!</v>
      </c>
      <c r="K144" s="231" t="e">
        <f t="shared" si="14"/>
        <v>#NUM!</v>
      </c>
      <c r="L144" s="231"/>
      <c r="M144" s="233">
        <f t="shared" si="15"/>
        <v>0</v>
      </c>
    </row>
    <row r="145" spans="1:13" x14ac:dyDescent="0.25">
      <c r="A145" s="248"/>
      <c r="G145" s="217"/>
      <c r="H145" s="234">
        <v>140</v>
      </c>
      <c r="I145" s="232" t="str">
        <f t="shared" si="13"/>
        <v/>
      </c>
      <c r="J145" s="231" t="e">
        <f t="shared" si="17"/>
        <v>#NUM!</v>
      </c>
      <c r="K145" s="231" t="e">
        <f t="shared" si="14"/>
        <v>#NUM!</v>
      </c>
      <c r="L145" s="231"/>
      <c r="M145" s="233">
        <f t="shared" si="15"/>
        <v>0</v>
      </c>
    </row>
    <row r="146" spans="1:13" x14ac:dyDescent="0.25">
      <c r="A146" s="248"/>
      <c r="G146" s="217"/>
      <c r="H146" s="231">
        <v>141</v>
      </c>
      <c r="I146" s="232" t="str">
        <f t="shared" si="13"/>
        <v/>
      </c>
      <c r="J146" s="231" t="e">
        <f t="shared" si="17"/>
        <v>#NUM!</v>
      </c>
      <c r="K146" s="231" t="e">
        <f t="shared" si="14"/>
        <v>#NUM!</v>
      </c>
      <c r="L146" s="231"/>
      <c r="M146" s="233">
        <f t="shared" si="15"/>
        <v>0</v>
      </c>
    </row>
    <row r="147" spans="1:13" x14ac:dyDescent="0.25">
      <c r="A147" s="248"/>
      <c r="G147" s="217"/>
      <c r="H147" s="234">
        <v>142</v>
      </c>
      <c r="I147" s="232" t="str">
        <f t="shared" si="13"/>
        <v/>
      </c>
      <c r="J147" s="231" t="e">
        <f t="shared" si="17"/>
        <v>#NUM!</v>
      </c>
      <c r="K147" s="231" t="e">
        <f t="shared" si="14"/>
        <v>#NUM!</v>
      </c>
      <c r="L147" s="231"/>
      <c r="M147" s="233">
        <f t="shared" si="15"/>
        <v>0</v>
      </c>
    </row>
    <row r="148" spans="1:13" x14ac:dyDescent="0.25">
      <c r="A148" s="248"/>
      <c r="G148" s="217"/>
      <c r="H148" s="231">
        <v>143</v>
      </c>
      <c r="I148" s="232" t="str">
        <f t="shared" si="13"/>
        <v/>
      </c>
      <c r="J148" s="231" t="e">
        <f t="shared" si="17"/>
        <v>#NUM!</v>
      </c>
      <c r="K148" s="231" t="e">
        <f t="shared" si="14"/>
        <v>#NUM!</v>
      </c>
      <c r="L148" s="231"/>
      <c r="M148" s="233">
        <f t="shared" si="15"/>
        <v>0</v>
      </c>
    </row>
    <row r="149" spans="1:13" x14ac:dyDescent="0.25">
      <c r="A149" s="248"/>
      <c r="G149" s="217"/>
      <c r="H149" s="234">
        <v>144</v>
      </c>
      <c r="I149" s="232" t="str">
        <f t="shared" si="13"/>
        <v/>
      </c>
      <c r="J149" s="231" t="e">
        <f t="shared" si="17"/>
        <v>#NUM!</v>
      </c>
      <c r="K149" s="231" t="e">
        <f t="shared" si="14"/>
        <v>#NUM!</v>
      </c>
      <c r="L149" s="231"/>
      <c r="M149" s="233">
        <f t="shared" si="15"/>
        <v>0</v>
      </c>
    </row>
    <row r="150" spans="1:13" x14ac:dyDescent="0.25">
      <c r="A150" s="248"/>
      <c r="G150" s="217"/>
      <c r="H150" s="231">
        <v>145</v>
      </c>
      <c r="I150" s="232" t="str">
        <f t="shared" si="13"/>
        <v/>
      </c>
      <c r="J150" s="231" t="e">
        <f t="shared" si="17"/>
        <v>#NUM!</v>
      </c>
      <c r="K150" s="231" t="e">
        <f t="shared" si="14"/>
        <v>#NUM!</v>
      </c>
      <c r="L150" s="231"/>
      <c r="M150" s="233">
        <f t="shared" si="15"/>
        <v>0</v>
      </c>
    </row>
    <row r="151" spans="1:13" x14ac:dyDescent="0.25">
      <c r="A151" s="248"/>
      <c r="G151" s="217"/>
      <c r="H151" s="234">
        <v>146</v>
      </c>
      <c r="I151" s="232" t="str">
        <f t="shared" si="13"/>
        <v/>
      </c>
      <c r="J151" s="231" t="e">
        <f t="shared" si="17"/>
        <v>#NUM!</v>
      </c>
      <c r="K151" s="231" t="e">
        <f t="shared" si="14"/>
        <v>#NUM!</v>
      </c>
      <c r="L151" s="231"/>
      <c r="M151" s="233">
        <f t="shared" si="15"/>
        <v>0</v>
      </c>
    </row>
    <row r="152" spans="1:13" x14ac:dyDescent="0.25">
      <c r="A152" s="248"/>
      <c r="G152" s="217"/>
      <c r="H152" s="231">
        <v>147</v>
      </c>
      <c r="I152" s="232" t="str">
        <f t="shared" si="13"/>
        <v/>
      </c>
      <c r="J152" s="231" t="e">
        <f t="shared" si="17"/>
        <v>#NUM!</v>
      </c>
      <c r="K152" s="231" t="e">
        <f t="shared" si="14"/>
        <v>#NUM!</v>
      </c>
      <c r="L152" s="231"/>
      <c r="M152" s="233">
        <f t="shared" si="15"/>
        <v>0</v>
      </c>
    </row>
    <row r="153" spans="1:13" x14ac:dyDescent="0.25">
      <c r="A153" s="248"/>
      <c r="G153" s="217"/>
      <c r="H153" s="234">
        <v>148</v>
      </c>
      <c r="I153" s="232" t="str">
        <f t="shared" si="13"/>
        <v/>
      </c>
      <c r="J153" s="231" t="e">
        <f t="shared" si="17"/>
        <v>#NUM!</v>
      </c>
      <c r="K153" s="231" t="e">
        <f t="shared" si="14"/>
        <v>#NUM!</v>
      </c>
      <c r="L153" s="231"/>
      <c r="M153" s="233">
        <f t="shared" si="15"/>
        <v>0</v>
      </c>
    </row>
    <row r="154" spans="1:13" x14ac:dyDescent="0.25">
      <c r="A154" s="248"/>
      <c r="G154" s="217"/>
      <c r="H154" s="231">
        <v>149</v>
      </c>
      <c r="I154" s="232" t="str">
        <f t="shared" si="13"/>
        <v/>
      </c>
      <c r="J154" s="231" t="e">
        <f t="shared" si="17"/>
        <v>#NUM!</v>
      </c>
      <c r="K154" s="231" t="e">
        <f t="shared" si="14"/>
        <v>#NUM!</v>
      </c>
      <c r="L154" s="231"/>
      <c r="M154" s="233">
        <f t="shared" si="15"/>
        <v>0</v>
      </c>
    </row>
    <row r="155" spans="1:13" x14ac:dyDescent="0.25">
      <c r="A155" s="248"/>
      <c r="G155" s="217"/>
      <c r="H155" s="234">
        <v>150</v>
      </c>
      <c r="I155" s="232" t="str">
        <f t="shared" si="13"/>
        <v/>
      </c>
      <c r="J155" s="231" t="e">
        <f t="shared" si="17"/>
        <v>#NUM!</v>
      </c>
      <c r="K155" s="231" t="e">
        <f t="shared" si="14"/>
        <v>#NUM!</v>
      </c>
      <c r="L155" s="231"/>
      <c r="M155" s="233">
        <f t="shared" si="15"/>
        <v>0</v>
      </c>
    </row>
    <row r="156" spans="1:13" x14ac:dyDescent="0.25">
      <c r="A156" s="248"/>
      <c r="G156" s="217"/>
      <c r="H156" s="231">
        <v>151</v>
      </c>
      <c r="I156" s="232" t="str">
        <f t="shared" si="13"/>
        <v/>
      </c>
      <c r="J156" s="231" t="e">
        <f t="shared" si="17"/>
        <v>#NUM!</v>
      </c>
      <c r="K156" s="231" t="e">
        <f t="shared" si="14"/>
        <v>#NUM!</v>
      </c>
      <c r="L156" s="231"/>
      <c r="M156" s="233">
        <f t="shared" si="15"/>
        <v>0</v>
      </c>
    </row>
    <row r="157" spans="1:13" x14ac:dyDescent="0.25">
      <c r="A157" s="248"/>
      <c r="G157" s="217"/>
      <c r="H157" s="234">
        <v>152</v>
      </c>
      <c r="I157" s="232" t="str">
        <f t="shared" si="13"/>
        <v/>
      </c>
      <c r="J157" s="231" t="e">
        <f t="shared" si="17"/>
        <v>#NUM!</v>
      </c>
      <c r="K157" s="231" t="e">
        <f t="shared" si="14"/>
        <v>#NUM!</v>
      </c>
      <c r="L157" s="231"/>
      <c r="M157" s="233">
        <f t="shared" si="15"/>
        <v>0</v>
      </c>
    </row>
    <row r="158" spans="1:13" x14ac:dyDescent="0.25">
      <c r="A158" s="248"/>
      <c r="G158" s="217"/>
      <c r="H158" s="231">
        <v>153</v>
      </c>
      <c r="I158" s="232" t="str">
        <f t="shared" si="13"/>
        <v/>
      </c>
      <c r="J158" s="231" t="e">
        <f t="shared" si="17"/>
        <v>#NUM!</v>
      </c>
      <c r="K158" s="231" t="e">
        <f t="shared" si="14"/>
        <v>#NUM!</v>
      </c>
      <c r="L158" s="231"/>
      <c r="M158" s="233">
        <f t="shared" si="15"/>
        <v>0</v>
      </c>
    </row>
    <row r="159" spans="1:13" x14ac:dyDescent="0.25">
      <c r="A159" s="248"/>
      <c r="G159" s="217"/>
      <c r="H159" s="234">
        <v>154</v>
      </c>
      <c r="I159" s="232" t="str">
        <f t="shared" si="13"/>
        <v/>
      </c>
      <c r="J159" s="231" t="e">
        <f t="shared" si="17"/>
        <v>#NUM!</v>
      </c>
      <c r="K159" s="231" t="e">
        <f t="shared" si="14"/>
        <v>#NUM!</v>
      </c>
      <c r="L159" s="231"/>
      <c r="M159" s="233">
        <f t="shared" si="15"/>
        <v>0</v>
      </c>
    </row>
    <row r="160" spans="1:13" x14ac:dyDescent="0.25">
      <c r="A160" s="248"/>
      <c r="G160" s="217"/>
      <c r="H160" s="231">
        <v>155</v>
      </c>
      <c r="I160" s="232" t="str">
        <f t="shared" si="13"/>
        <v/>
      </c>
      <c r="J160" s="231" t="e">
        <f t="shared" si="17"/>
        <v>#NUM!</v>
      </c>
      <c r="K160" s="231" t="e">
        <f t="shared" si="14"/>
        <v>#NUM!</v>
      </c>
      <c r="L160" s="231"/>
      <c r="M160" s="233">
        <f t="shared" si="15"/>
        <v>0</v>
      </c>
    </row>
    <row r="161" spans="1:13" x14ac:dyDescent="0.25">
      <c r="A161" s="248"/>
      <c r="G161" s="217"/>
      <c r="H161" s="234">
        <v>156</v>
      </c>
      <c r="I161" s="232" t="str">
        <f t="shared" si="13"/>
        <v/>
      </c>
      <c r="J161" s="231" t="e">
        <f t="shared" si="17"/>
        <v>#NUM!</v>
      </c>
      <c r="K161" s="231" t="e">
        <f t="shared" si="14"/>
        <v>#NUM!</v>
      </c>
      <c r="L161" s="231"/>
      <c r="M161" s="233">
        <f t="shared" si="15"/>
        <v>0</v>
      </c>
    </row>
    <row r="162" spans="1:13" x14ac:dyDescent="0.25">
      <c r="A162" s="248"/>
      <c r="G162" s="217"/>
      <c r="H162" s="231">
        <v>157</v>
      </c>
      <c r="I162" s="232" t="str">
        <f t="shared" si="13"/>
        <v/>
      </c>
      <c r="J162" s="231" t="e">
        <f t="shared" si="17"/>
        <v>#NUM!</v>
      </c>
      <c r="K162" s="231" t="e">
        <f t="shared" si="14"/>
        <v>#NUM!</v>
      </c>
      <c r="L162" s="231"/>
      <c r="M162" s="233">
        <f t="shared" si="15"/>
        <v>0</v>
      </c>
    </row>
    <row r="163" spans="1:13" x14ac:dyDescent="0.25">
      <c r="A163" s="248"/>
      <c r="G163" s="217"/>
      <c r="H163" s="234">
        <v>158</v>
      </c>
      <c r="I163" s="232" t="str">
        <f t="shared" si="13"/>
        <v/>
      </c>
      <c r="J163" s="231" t="e">
        <f t="shared" si="17"/>
        <v>#NUM!</v>
      </c>
      <c r="K163" s="231" t="e">
        <f t="shared" si="14"/>
        <v>#NUM!</v>
      </c>
      <c r="L163" s="231"/>
      <c r="M163" s="233">
        <f t="shared" si="15"/>
        <v>0</v>
      </c>
    </row>
    <row r="164" spans="1:13" x14ac:dyDescent="0.25">
      <c r="A164" s="248"/>
      <c r="G164" s="217"/>
      <c r="H164" s="231">
        <v>159</v>
      </c>
      <c r="I164" s="232" t="str">
        <f t="shared" si="13"/>
        <v/>
      </c>
      <c r="J164" s="231" t="e">
        <f t="shared" si="17"/>
        <v>#NUM!</v>
      </c>
      <c r="K164" s="231" t="e">
        <f t="shared" si="14"/>
        <v>#NUM!</v>
      </c>
      <c r="L164" s="231"/>
      <c r="M164" s="233">
        <f t="shared" si="15"/>
        <v>0</v>
      </c>
    </row>
    <row r="165" spans="1:13" x14ac:dyDescent="0.25">
      <c r="A165" s="248"/>
      <c r="G165" s="217"/>
      <c r="H165" s="234">
        <v>160</v>
      </c>
      <c r="I165" s="232" t="str">
        <f t="shared" si="13"/>
        <v/>
      </c>
      <c r="J165" s="231" t="e">
        <f t="shared" si="17"/>
        <v>#NUM!</v>
      </c>
      <c r="K165" s="231" t="e">
        <f t="shared" si="14"/>
        <v>#NUM!</v>
      </c>
      <c r="L165" s="231"/>
      <c r="M165" s="233">
        <f t="shared" si="15"/>
        <v>0</v>
      </c>
    </row>
    <row r="166" spans="1:13" x14ac:dyDescent="0.25">
      <c r="A166" s="248"/>
      <c r="G166" s="217"/>
      <c r="H166" s="231">
        <v>161</v>
      </c>
      <c r="I166" s="232" t="str">
        <f t="shared" si="13"/>
        <v/>
      </c>
      <c r="J166" s="231" t="e">
        <f t="shared" si="17"/>
        <v>#NUM!</v>
      </c>
      <c r="K166" s="231" t="e">
        <f t="shared" si="14"/>
        <v>#NUM!</v>
      </c>
      <c r="L166" s="231"/>
      <c r="M166" s="233">
        <f t="shared" si="15"/>
        <v>0</v>
      </c>
    </row>
    <row r="167" spans="1:13" x14ac:dyDescent="0.25">
      <c r="A167" s="248"/>
      <c r="G167" s="217"/>
      <c r="H167" s="234">
        <v>162</v>
      </c>
      <c r="I167" s="232" t="str">
        <f t="shared" si="13"/>
        <v/>
      </c>
      <c r="J167" s="231" t="e">
        <f t="shared" si="17"/>
        <v>#NUM!</v>
      </c>
      <c r="K167" s="231" t="e">
        <f t="shared" si="14"/>
        <v>#NUM!</v>
      </c>
      <c r="L167" s="231"/>
      <c r="M167" s="233">
        <f t="shared" si="15"/>
        <v>0</v>
      </c>
    </row>
    <row r="168" spans="1:13" x14ac:dyDescent="0.25">
      <c r="A168" s="248"/>
      <c r="G168" s="217"/>
      <c r="H168" s="231">
        <v>163</v>
      </c>
      <c r="I168" s="232" t="str">
        <f t="shared" si="13"/>
        <v/>
      </c>
      <c r="J168" s="231" t="e">
        <f t="shared" si="17"/>
        <v>#NUM!</v>
      </c>
      <c r="K168" s="231" t="e">
        <f t="shared" si="14"/>
        <v>#NUM!</v>
      </c>
      <c r="L168" s="231"/>
      <c r="M168" s="233">
        <f t="shared" si="15"/>
        <v>0</v>
      </c>
    </row>
    <row r="169" spans="1:13" x14ac:dyDescent="0.25">
      <c r="A169" s="248"/>
      <c r="C169" s="247" t="s">
        <v>40</v>
      </c>
      <c r="G169" s="217"/>
      <c r="H169" s="234">
        <v>164</v>
      </c>
      <c r="I169" s="232" t="str">
        <f t="shared" si="13"/>
        <v/>
      </c>
      <c r="J169" s="231" t="e">
        <f t="shared" si="17"/>
        <v>#NUM!</v>
      </c>
      <c r="K169" s="231" t="e">
        <f t="shared" si="14"/>
        <v>#NUM!</v>
      </c>
      <c r="L169" s="231"/>
      <c r="M169" s="233">
        <f t="shared" si="15"/>
        <v>0</v>
      </c>
    </row>
    <row r="170" spans="1:13" x14ac:dyDescent="0.25">
      <c r="A170" s="248"/>
      <c r="G170" s="217"/>
      <c r="H170" s="231">
        <v>165</v>
      </c>
      <c r="I170" s="232" t="str">
        <f t="shared" si="13"/>
        <v/>
      </c>
      <c r="J170" s="231" t="e">
        <f t="shared" si="17"/>
        <v>#NUM!</v>
      </c>
      <c r="K170" s="231" t="e">
        <f t="shared" si="14"/>
        <v>#NUM!</v>
      </c>
      <c r="L170" s="231"/>
      <c r="M170" s="233">
        <f t="shared" si="15"/>
        <v>0</v>
      </c>
    </row>
    <row r="171" spans="1:13" x14ac:dyDescent="0.25">
      <c r="A171" s="248"/>
      <c r="G171" s="217"/>
      <c r="H171" s="234">
        <v>166</v>
      </c>
      <c r="I171" s="232" t="str">
        <f t="shared" si="13"/>
        <v/>
      </c>
      <c r="J171" s="231" t="e">
        <f t="shared" si="17"/>
        <v>#NUM!</v>
      </c>
      <c r="K171" s="231" t="e">
        <f t="shared" si="14"/>
        <v>#NUM!</v>
      </c>
      <c r="L171" s="231"/>
      <c r="M171" s="233">
        <f t="shared" si="15"/>
        <v>0</v>
      </c>
    </row>
    <row r="172" spans="1:13" x14ac:dyDescent="0.25">
      <c r="A172" s="248"/>
      <c r="G172" s="217"/>
      <c r="H172" s="231">
        <v>167</v>
      </c>
      <c r="I172" s="232" t="str">
        <f t="shared" si="13"/>
        <v/>
      </c>
      <c r="J172" s="231" t="e">
        <f t="shared" si="17"/>
        <v>#NUM!</v>
      </c>
      <c r="K172" s="231" t="e">
        <f t="shared" si="14"/>
        <v>#NUM!</v>
      </c>
      <c r="L172" s="231"/>
      <c r="M172" s="233">
        <f t="shared" si="15"/>
        <v>0</v>
      </c>
    </row>
    <row r="173" spans="1:13" x14ac:dyDescent="0.25">
      <c r="A173" s="248"/>
      <c r="G173" s="217"/>
      <c r="H173" s="234">
        <v>168</v>
      </c>
      <c r="I173" s="232" t="str">
        <f t="shared" si="13"/>
        <v/>
      </c>
      <c r="J173" s="231" t="e">
        <f t="shared" si="17"/>
        <v>#NUM!</v>
      </c>
      <c r="K173" s="231" t="e">
        <f t="shared" si="14"/>
        <v>#NUM!</v>
      </c>
      <c r="L173" s="231"/>
      <c r="M173" s="233">
        <f t="shared" si="15"/>
        <v>0</v>
      </c>
    </row>
    <row r="174" spans="1:13" x14ac:dyDescent="0.25">
      <c r="A174" s="248"/>
      <c r="G174" s="217"/>
      <c r="H174" s="231">
        <v>169</v>
      </c>
      <c r="I174" s="232" t="str">
        <f t="shared" si="13"/>
        <v/>
      </c>
      <c r="J174" s="231" t="e">
        <f t="shared" si="17"/>
        <v>#NUM!</v>
      </c>
      <c r="K174" s="231" t="e">
        <f t="shared" si="14"/>
        <v>#NUM!</v>
      </c>
      <c r="L174" s="231"/>
      <c r="M174" s="233">
        <f t="shared" si="15"/>
        <v>0</v>
      </c>
    </row>
    <row r="175" spans="1:13" x14ac:dyDescent="0.25">
      <c r="A175" s="248"/>
      <c r="G175" s="217"/>
      <c r="H175" s="234">
        <v>170</v>
      </c>
      <c r="I175" s="232" t="str">
        <f t="shared" si="13"/>
        <v/>
      </c>
      <c r="J175" s="231" t="e">
        <f t="shared" si="17"/>
        <v>#NUM!</v>
      </c>
      <c r="K175" s="231" t="e">
        <f t="shared" si="14"/>
        <v>#NUM!</v>
      </c>
      <c r="L175" s="231"/>
      <c r="M175" s="233">
        <f t="shared" si="15"/>
        <v>0</v>
      </c>
    </row>
    <row r="176" spans="1:13" x14ac:dyDescent="0.25">
      <c r="A176" s="248"/>
      <c r="G176" s="217"/>
      <c r="H176" s="231">
        <v>171</v>
      </c>
      <c r="I176" s="232" t="str">
        <f t="shared" si="13"/>
        <v/>
      </c>
      <c r="J176" s="231" t="e">
        <f t="shared" si="17"/>
        <v>#NUM!</v>
      </c>
      <c r="K176" s="231" t="e">
        <f t="shared" si="14"/>
        <v>#NUM!</v>
      </c>
      <c r="L176" s="231"/>
      <c r="M176" s="233">
        <f t="shared" si="15"/>
        <v>0</v>
      </c>
    </row>
    <row r="177" spans="1:13" x14ac:dyDescent="0.25">
      <c r="A177" s="248"/>
      <c r="G177" s="217"/>
      <c r="H177" s="234">
        <v>172</v>
      </c>
      <c r="I177" s="232" t="str">
        <f t="shared" si="13"/>
        <v/>
      </c>
      <c r="J177" s="231" t="e">
        <f t="shared" si="17"/>
        <v>#NUM!</v>
      </c>
      <c r="K177" s="231" t="e">
        <f t="shared" si="14"/>
        <v>#NUM!</v>
      </c>
      <c r="L177" s="231"/>
      <c r="M177" s="233">
        <f t="shared" si="15"/>
        <v>0</v>
      </c>
    </row>
    <row r="178" spans="1:13" x14ac:dyDescent="0.25">
      <c r="A178" s="248"/>
      <c r="G178" s="217"/>
      <c r="H178" s="231">
        <v>173</v>
      </c>
      <c r="I178" s="232" t="str">
        <f t="shared" si="13"/>
        <v/>
      </c>
      <c r="J178" s="231" t="e">
        <f t="shared" si="17"/>
        <v>#NUM!</v>
      </c>
      <c r="K178" s="231" t="e">
        <f t="shared" si="14"/>
        <v>#NUM!</v>
      </c>
      <c r="L178" s="231"/>
      <c r="M178" s="233">
        <f t="shared" si="15"/>
        <v>0</v>
      </c>
    </row>
    <row r="179" spans="1:13" x14ac:dyDescent="0.25">
      <c r="A179" s="248"/>
      <c r="G179" s="217"/>
      <c r="H179" s="234">
        <v>174</v>
      </c>
      <c r="I179" s="232" t="str">
        <f t="shared" si="13"/>
        <v/>
      </c>
      <c r="J179" s="231" t="e">
        <f t="shared" si="17"/>
        <v>#NUM!</v>
      </c>
      <c r="K179" s="231" t="e">
        <f t="shared" si="14"/>
        <v>#NUM!</v>
      </c>
      <c r="L179" s="231"/>
      <c r="M179" s="233">
        <f t="shared" si="15"/>
        <v>0</v>
      </c>
    </row>
    <row r="180" spans="1:13" x14ac:dyDescent="0.25">
      <c r="A180" s="248"/>
      <c r="G180" s="217"/>
      <c r="H180" s="231">
        <v>175</v>
      </c>
      <c r="I180" s="232" t="str">
        <f t="shared" si="13"/>
        <v/>
      </c>
      <c r="J180" s="231" t="e">
        <f t="shared" si="17"/>
        <v>#NUM!</v>
      </c>
      <c r="K180" s="231" t="e">
        <f t="shared" si="14"/>
        <v>#NUM!</v>
      </c>
      <c r="L180" s="231"/>
      <c r="M180" s="233">
        <f t="shared" si="15"/>
        <v>0</v>
      </c>
    </row>
    <row r="181" spans="1:13" x14ac:dyDescent="0.25">
      <c r="A181" s="248"/>
      <c r="G181" s="217"/>
      <c r="H181" s="234">
        <v>176</v>
      </c>
      <c r="I181" s="232" t="str">
        <f t="shared" si="13"/>
        <v/>
      </c>
      <c r="J181" s="231" t="e">
        <f t="shared" si="17"/>
        <v>#NUM!</v>
      </c>
      <c r="K181" s="231" t="e">
        <f t="shared" si="14"/>
        <v>#NUM!</v>
      </c>
      <c r="L181" s="231"/>
      <c r="M181" s="233">
        <f t="shared" si="15"/>
        <v>0</v>
      </c>
    </row>
    <row r="182" spans="1:13" x14ac:dyDescent="0.25">
      <c r="A182" s="248"/>
      <c r="G182" s="217"/>
      <c r="H182" s="231">
        <v>177</v>
      </c>
      <c r="I182" s="232" t="str">
        <f t="shared" si="13"/>
        <v/>
      </c>
      <c r="J182" s="231" t="e">
        <f t="shared" si="17"/>
        <v>#NUM!</v>
      </c>
      <c r="K182" s="231" t="e">
        <f t="shared" si="14"/>
        <v>#NUM!</v>
      </c>
      <c r="L182" s="231"/>
      <c r="M182" s="233">
        <f t="shared" si="15"/>
        <v>0</v>
      </c>
    </row>
    <row r="183" spans="1:13" x14ac:dyDescent="0.25">
      <c r="A183" s="248"/>
      <c r="G183" s="217"/>
      <c r="H183" s="234">
        <v>178</v>
      </c>
      <c r="I183" s="232" t="str">
        <f t="shared" si="13"/>
        <v/>
      </c>
      <c r="J183" s="231" t="e">
        <f t="shared" si="17"/>
        <v>#NUM!</v>
      </c>
      <c r="K183" s="231" t="e">
        <f t="shared" si="14"/>
        <v>#NUM!</v>
      </c>
      <c r="L183" s="231"/>
      <c r="M183" s="233">
        <f t="shared" si="15"/>
        <v>0</v>
      </c>
    </row>
    <row r="184" spans="1:13" x14ac:dyDescent="0.25">
      <c r="A184" s="248"/>
      <c r="G184" s="217"/>
      <c r="H184" s="231">
        <v>179</v>
      </c>
      <c r="I184" s="232" t="str">
        <f t="shared" si="13"/>
        <v/>
      </c>
      <c r="J184" s="231" t="e">
        <f t="shared" si="17"/>
        <v>#NUM!</v>
      </c>
      <c r="K184" s="231" t="e">
        <f t="shared" si="14"/>
        <v>#NUM!</v>
      </c>
      <c r="L184" s="231"/>
      <c r="M184" s="233">
        <f t="shared" si="15"/>
        <v>0</v>
      </c>
    </row>
    <row r="185" spans="1:13" x14ac:dyDescent="0.25">
      <c r="A185" s="248"/>
      <c r="G185" s="217"/>
      <c r="H185" s="234">
        <v>180</v>
      </c>
      <c r="I185" s="232" t="str">
        <f t="shared" si="13"/>
        <v/>
      </c>
      <c r="J185" s="231" t="e">
        <f t="shared" si="17"/>
        <v>#NUM!</v>
      </c>
      <c r="K185" s="231" t="e">
        <f t="shared" si="14"/>
        <v>#NUM!</v>
      </c>
      <c r="L185" s="231"/>
      <c r="M185" s="233">
        <f t="shared" si="15"/>
        <v>0</v>
      </c>
    </row>
    <row r="186" spans="1:13" x14ac:dyDescent="0.25">
      <c r="A186" s="248"/>
      <c r="G186" s="217"/>
      <c r="H186" s="231">
        <v>181</v>
      </c>
      <c r="I186" s="232" t="str">
        <f t="shared" si="13"/>
        <v/>
      </c>
      <c r="J186" s="231" t="e">
        <f t="shared" si="17"/>
        <v>#NUM!</v>
      </c>
      <c r="K186" s="231" t="e">
        <f t="shared" si="14"/>
        <v>#NUM!</v>
      </c>
      <c r="L186" s="231"/>
      <c r="M186" s="233">
        <f t="shared" si="15"/>
        <v>0</v>
      </c>
    </row>
    <row r="187" spans="1:13" x14ac:dyDescent="0.25">
      <c r="A187" s="248"/>
      <c r="G187" s="217"/>
      <c r="H187" s="234">
        <v>182</v>
      </c>
      <c r="I187" s="232" t="str">
        <f t="shared" si="13"/>
        <v/>
      </c>
      <c r="J187" s="231" t="e">
        <f t="shared" si="17"/>
        <v>#NUM!</v>
      </c>
      <c r="K187" s="231" t="e">
        <f t="shared" si="14"/>
        <v>#NUM!</v>
      </c>
      <c r="L187" s="231"/>
      <c r="M187" s="233">
        <f t="shared" si="15"/>
        <v>0</v>
      </c>
    </row>
    <row r="188" spans="1:13" x14ac:dyDescent="0.25">
      <c r="A188" s="248"/>
      <c r="G188" s="217"/>
      <c r="H188" s="231">
        <v>183</v>
      </c>
      <c r="I188" s="232" t="str">
        <f t="shared" si="13"/>
        <v/>
      </c>
      <c r="J188" s="231" t="e">
        <f t="shared" si="17"/>
        <v>#NUM!</v>
      </c>
      <c r="K188" s="231" t="e">
        <f t="shared" si="14"/>
        <v>#NUM!</v>
      </c>
      <c r="L188" s="231"/>
      <c r="M188" s="233">
        <f t="shared" si="15"/>
        <v>0</v>
      </c>
    </row>
    <row r="189" spans="1:13" x14ac:dyDescent="0.25">
      <c r="A189" s="248"/>
      <c r="G189" s="217"/>
      <c r="H189" s="234">
        <v>184</v>
      </c>
      <c r="I189" s="232" t="str">
        <f t="shared" si="13"/>
        <v/>
      </c>
      <c r="J189" s="231" t="e">
        <f t="shared" si="17"/>
        <v>#NUM!</v>
      </c>
      <c r="K189" s="231" t="e">
        <f t="shared" si="14"/>
        <v>#NUM!</v>
      </c>
      <c r="L189" s="231"/>
      <c r="M189" s="233">
        <f t="shared" si="15"/>
        <v>0</v>
      </c>
    </row>
    <row r="190" spans="1:13" x14ac:dyDescent="0.25">
      <c r="A190" s="248"/>
      <c r="G190" s="217"/>
      <c r="H190" s="231">
        <v>185</v>
      </c>
      <c r="I190" s="232" t="str">
        <f t="shared" si="13"/>
        <v/>
      </c>
      <c r="J190" s="231" t="e">
        <f t="shared" si="17"/>
        <v>#NUM!</v>
      </c>
      <c r="K190" s="231" t="e">
        <f t="shared" si="14"/>
        <v>#NUM!</v>
      </c>
      <c r="L190" s="231"/>
      <c r="M190" s="233">
        <f t="shared" si="15"/>
        <v>0</v>
      </c>
    </row>
    <row r="191" spans="1:13" x14ac:dyDescent="0.25">
      <c r="A191" s="248"/>
      <c r="G191" s="217"/>
      <c r="H191" s="234">
        <v>186</v>
      </c>
      <c r="I191" s="232" t="str">
        <f t="shared" si="13"/>
        <v/>
      </c>
      <c r="J191" s="231" t="e">
        <f t="shared" si="17"/>
        <v>#NUM!</v>
      </c>
      <c r="K191" s="231" t="e">
        <f t="shared" si="14"/>
        <v>#NUM!</v>
      </c>
      <c r="L191" s="231"/>
      <c r="M191" s="233">
        <f t="shared" si="15"/>
        <v>0</v>
      </c>
    </row>
    <row r="192" spans="1:13" x14ac:dyDescent="0.25">
      <c r="A192" s="248"/>
      <c r="G192" s="217"/>
      <c r="H192" s="231">
        <v>187</v>
      </c>
      <c r="I192" s="232" t="str">
        <f t="shared" si="13"/>
        <v/>
      </c>
      <c r="J192" s="231" t="e">
        <f t="shared" si="17"/>
        <v>#NUM!</v>
      </c>
      <c r="K192" s="231" t="e">
        <f t="shared" si="14"/>
        <v>#NUM!</v>
      </c>
      <c r="L192" s="231"/>
      <c r="M192" s="233">
        <f t="shared" si="15"/>
        <v>0</v>
      </c>
    </row>
    <row r="193" spans="1:13" x14ac:dyDescent="0.25">
      <c r="A193" s="248"/>
      <c r="G193" s="217"/>
      <c r="H193" s="234">
        <v>188</v>
      </c>
      <c r="I193" s="232" t="str">
        <f t="shared" si="13"/>
        <v/>
      </c>
      <c r="J193" s="231" t="e">
        <f t="shared" si="17"/>
        <v>#NUM!</v>
      </c>
      <c r="K193" s="231" t="e">
        <f t="shared" si="14"/>
        <v>#NUM!</v>
      </c>
      <c r="L193" s="231"/>
      <c r="M193" s="233">
        <f t="shared" si="15"/>
        <v>0</v>
      </c>
    </row>
    <row r="194" spans="1:13" x14ac:dyDescent="0.25">
      <c r="A194" s="248"/>
      <c r="G194" s="217"/>
      <c r="H194" s="231">
        <v>189</v>
      </c>
      <c r="I194" s="232" t="str">
        <f t="shared" si="13"/>
        <v/>
      </c>
      <c r="J194" s="231" t="e">
        <f t="shared" si="17"/>
        <v>#NUM!</v>
      </c>
      <c r="K194" s="231" t="e">
        <f t="shared" si="14"/>
        <v>#NUM!</v>
      </c>
      <c r="L194" s="231"/>
      <c r="M194" s="233">
        <f t="shared" si="15"/>
        <v>0</v>
      </c>
    </row>
    <row r="195" spans="1:13" x14ac:dyDescent="0.25">
      <c r="A195" s="248"/>
      <c r="G195" s="217"/>
      <c r="H195" s="234">
        <v>190</v>
      </c>
      <c r="I195" s="232" t="str">
        <f t="shared" si="13"/>
        <v/>
      </c>
      <c r="J195" s="231" t="e">
        <f t="shared" si="17"/>
        <v>#NUM!</v>
      </c>
      <c r="K195" s="231" t="e">
        <f t="shared" si="14"/>
        <v>#NUM!</v>
      </c>
      <c r="L195" s="231"/>
      <c r="M195" s="233">
        <f t="shared" si="15"/>
        <v>0</v>
      </c>
    </row>
    <row r="196" spans="1:13" x14ac:dyDescent="0.25">
      <c r="A196" s="248"/>
      <c r="G196" s="217"/>
      <c r="H196" s="231">
        <v>191</v>
      </c>
      <c r="I196" s="232" t="str">
        <f t="shared" si="13"/>
        <v/>
      </c>
      <c r="J196" s="231" t="e">
        <f t="shared" si="17"/>
        <v>#NUM!</v>
      </c>
      <c r="K196" s="231" t="e">
        <f t="shared" si="14"/>
        <v>#NUM!</v>
      </c>
      <c r="L196" s="231"/>
      <c r="M196" s="233">
        <f t="shared" si="15"/>
        <v>0</v>
      </c>
    </row>
    <row r="197" spans="1:13" x14ac:dyDescent="0.25">
      <c r="A197" s="248"/>
      <c r="G197" s="217"/>
      <c r="H197" s="234">
        <v>192</v>
      </c>
      <c r="I197" s="232" t="str">
        <f t="shared" si="13"/>
        <v/>
      </c>
      <c r="J197" s="231" t="e">
        <f t="shared" si="17"/>
        <v>#NUM!</v>
      </c>
      <c r="K197" s="231" t="e">
        <f t="shared" si="14"/>
        <v>#NUM!</v>
      </c>
      <c r="L197" s="231"/>
      <c r="M197" s="233">
        <f t="shared" si="15"/>
        <v>0</v>
      </c>
    </row>
    <row r="198" spans="1:13" x14ac:dyDescent="0.25">
      <c r="A198" s="248"/>
      <c r="G198" s="217"/>
      <c r="H198" s="231">
        <v>193</v>
      </c>
      <c r="I198" s="232" t="str">
        <f t="shared" ref="I198:I261" si="18">IF(H198&lt;$H$2+1,($I$2-($I$2-1)*(LOG(H198)/LOG($H$2))),"")</f>
        <v/>
      </c>
      <c r="J198" s="231" t="e">
        <f t="shared" si="17"/>
        <v>#NUM!</v>
      </c>
      <c r="K198" s="231" t="e">
        <f t="shared" ref="K198:K261" si="19">J198*$J$2</f>
        <v>#NUM!</v>
      </c>
      <c r="L198" s="231"/>
      <c r="M198" s="233">
        <f t="shared" ref="M198:M261" si="20">IF(I198&lt;&gt;"",K198+I198+L198,0)</f>
        <v>0</v>
      </c>
    </row>
    <row r="199" spans="1:13" x14ac:dyDescent="0.25">
      <c r="A199" s="248"/>
      <c r="G199" s="217"/>
      <c r="H199" s="234">
        <v>194</v>
      </c>
      <c r="I199" s="232" t="str">
        <f t="shared" si="18"/>
        <v/>
      </c>
      <c r="J199" s="231" t="e">
        <f t="shared" ref="J199:J262" si="21">INT(LOG($H$2,2))-ROUNDUP(LOG(H199,2),0)+IF(OR($H$2=1,$H$2=2,$H$2=4,$H$2=8,$H$2=16,$H$2=32,$H$2=64,$H$2=128,$H$2=256),0,1)</f>
        <v>#NUM!</v>
      </c>
      <c r="K199" s="231" t="e">
        <f t="shared" si="19"/>
        <v>#NUM!</v>
      </c>
      <c r="L199" s="231"/>
      <c r="M199" s="233">
        <f t="shared" si="20"/>
        <v>0</v>
      </c>
    </row>
    <row r="200" spans="1:13" x14ac:dyDescent="0.25">
      <c r="A200" s="248"/>
      <c r="G200" s="217"/>
      <c r="H200" s="231">
        <v>195</v>
      </c>
      <c r="I200" s="232" t="str">
        <f t="shared" si="18"/>
        <v/>
      </c>
      <c r="J200" s="231" t="e">
        <f t="shared" si="21"/>
        <v>#NUM!</v>
      </c>
      <c r="K200" s="231" t="e">
        <f t="shared" si="19"/>
        <v>#NUM!</v>
      </c>
      <c r="L200" s="231"/>
      <c r="M200" s="233">
        <f t="shared" si="20"/>
        <v>0</v>
      </c>
    </row>
    <row r="201" spans="1:13" x14ac:dyDescent="0.25">
      <c r="A201" s="248"/>
      <c r="G201" s="217"/>
      <c r="H201" s="234">
        <v>196</v>
      </c>
      <c r="I201" s="232" t="str">
        <f t="shared" si="18"/>
        <v/>
      </c>
      <c r="J201" s="231" t="e">
        <f t="shared" si="21"/>
        <v>#NUM!</v>
      </c>
      <c r="K201" s="231" t="e">
        <f t="shared" si="19"/>
        <v>#NUM!</v>
      </c>
      <c r="L201" s="231"/>
      <c r="M201" s="233">
        <f t="shared" si="20"/>
        <v>0</v>
      </c>
    </row>
    <row r="202" spans="1:13" x14ac:dyDescent="0.25">
      <c r="A202" s="248"/>
      <c r="G202" s="217"/>
      <c r="H202" s="231">
        <v>197</v>
      </c>
      <c r="I202" s="232" t="str">
        <f t="shared" si="18"/>
        <v/>
      </c>
      <c r="J202" s="231" t="e">
        <f t="shared" si="21"/>
        <v>#NUM!</v>
      </c>
      <c r="K202" s="231" t="e">
        <f t="shared" si="19"/>
        <v>#NUM!</v>
      </c>
      <c r="L202" s="231"/>
      <c r="M202" s="233">
        <f t="shared" si="20"/>
        <v>0</v>
      </c>
    </row>
    <row r="203" spans="1:13" x14ac:dyDescent="0.25">
      <c r="A203" s="248"/>
      <c r="G203" s="217"/>
      <c r="H203" s="234">
        <v>198</v>
      </c>
      <c r="I203" s="232" t="str">
        <f t="shared" si="18"/>
        <v/>
      </c>
      <c r="J203" s="231" t="e">
        <f t="shared" si="21"/>
        <v>#NUM!</v>
      </c>
      <c r="K203" s="231" t="e">
        <f t="shared" si="19"/>
        <v>#NUM!</v>
      </c>
      <c r="L203" s="231"/>
      <c r="M203" s="233">
        <f t="shared" si="20"/>
        <v>0</v>
      </c>
    </row>
    <row r="204" spans="1:13" x14ac:dyDescent="0.25">
      <c r="A204" s="248"/>
      <c r="G204" s="217"/>
      <c r="H204" s="231">
        <v>199</v>
      </c>
      <c r="I204" s="232" t="str">
        <f t="shared" si="18"/>
        <v/>
      </c>
      <c r="J204" s="231" t="e">
        <f t="shared" si="21"/>
        <v>#NUM!</v>
      </c>
      <c r="K204" s="231" t="e">
        <f t="shared" si="19"/>
        <v>#NUM!</v>
      </c>
      <c r="L204" s="231"/>
      <c r="M204" s="233">
        <f t="shared" si="20"/>
        <v>0</v>
      </c>
    </row>
    <row r="205" spans="1:13" x14ac:dyDescent="0.25">
      <c r="A205" s="248"/>
      <c r="G205" s="217"/>
      <c r="H205" s="234">
        <v>200</v>
      </c>
      <c r="I205" s="232" t="str">
        <f t="shared" si="18"/>
        <v/>
      </c>
      <c r="J205" s="231" t="e">
        <f t="shared" si="21"/>
        <v>#NUM!</v>
      </c>
      <c r="K205" s="231" t="e">
        <f t="shared" si="19"/>
        <v>#NUM!</v>
      </c>
      <c r="L205" s="231"/>
      <c r="M205" s="233">
        <f t="shared" si="20"/>
        <v>0</v>
      </c>
    </row>
    <row r="206" spans="1:13" x14ac:dyDescent="0.25">
      <c r="A206" s="248"/>
      <c r="G206" s="217"/>
      <c r="H206" s="231">
        <v>201</v>
      </c>
      <c r="I206" s="232" t="str">
        <f t="shared" si="18"/>
        <v/>
      </c>
      <c r="J206" s="231" t="e">
        <f t="shared" si="21"/>
        <v>#NUM!</v>
      </c>
      <c r="K206" s="231" t="e">
        <f t="shared" si="19"/>
        <v>#NUM!</v>
      </c>
      <c r="L206" s="231"/>
      <c r="M206" s="233">
        <f t="shared" si="20"/>
        <v>0</v>
      </c>
    </row>
    <row r="207" spans="1:13" x14ac:dyDescent="0.25">
      <c r="A207" s="248"/>
      <c r="G207" s="217"/>
      <c r="H207" s="234">
        <v>202</v>
      </c>
      <c r="I207" s="232" t="str">
        <f t="shared" si="18"/>
        <v/>
      </c>
      <c r="J207" s="231" t="e">
        <f t="shared" si="21"/>
        <v>#NUM!</v>
      </c>
      <c r="K207" s="231" t="e">
        <f t="shared" si="19"/>
        <v>#NUM!</v>
      </c>
      <c r="L207" s="231"/>
      <c r="M207" s="233">
        <f t="shared" si="20"/>
        <v>0</v>
      </c>
    </row>
    <row r="208" spans="1:13" x14ac:dyDescent="0.25">
      <c r="A208" s="248"/>
      <c r="G208" s="217"/>
      <c r="H208" s="231">
        <v>203</v>
      </c>
      <c r="I208" s="232" t="str">
        <f t="shared" si="18"/>
        <v/>
      </c>
      <c r="J208" s="231" t="e">
        <f t="shared" si="21"/>
        <v>#NUM!</v>
      </c>
      <c r="K208" s="231" t="e">
        <f t="shared" si="19"/>
        <v>#NUM!</v>
      </c>
      <c r="L208" s="231"/>
      <c r="M208" s="233">
        <f t="shared" si="20"/>
        <v>0</v>
      </c>
    </row>
    <row r="209" spans="1:13" x14ac:dyDescent="0.25">
      <c r="A209" s="248"/>
      <c r="G209" s="217"/>
      <c r="H209" s="234">
        <v>204</v>
      </c>
      <c r="I209" s="232" t="str">
        <f t="shared" si="18"/>
        <v/>
      </c>
      <c r="J209" s="231" t="e">
        <f t="shared" si="21"/>
        <v>#NUM!</v>
      </c>
      <c r="K209" s="231" t="e">
        <f t="shared" si="19"/>
        <v>#NUM!</v>
      </c>
      <c r="L209" s="231"/>
      <c r="M209" s="233">
        <f t="shared" si="20"/>
        <v>0</v>
      </c>
    </row>
    <row r="210" spans="1:13" x14ac:dyDescent="0.25">
      <c r="A210" s="248"/>
      <c r="G210" s="217"/>
      <c r="H210" s="231">
        <v>205</v>
      </c>
      <c r="I210" s="232" t="str">
        <f t="shared" si="18"/>
        <v/>
      </c>
      <c r="J210" s="231" t="e">
        <f t="shared" si="21"/>
        <v>#NUM!</v>
      </c>
      <c r="K210" s="231" t="e">
        <f t="shared" si="19"/>
        <v>#NUM!</v>
      </c>
      <c r="L210" s="231"/>
      <c r="M210" s="233">
        <f t="shared" si="20"/>
        <v>0</v>
      </c>
    </row>
    <row r="211" spans="1:13" x14ac:dyDescent="0.25">
      <c r="A211" s="248"/>
      <c r="G211" s="217"/>
      <c r="H211" s="234">
        <v>206</v>
      </c>
      <c r="I211" s="232" t="str">
        <f t="shared" si="18"/>
        <v/>
      </c>
      <c r="J211" s="231" t="e">
        <f t="shared" si="21"/>
        <v>#NUM!</v>
      </c>
      <c r="K211" s="231" t="e">
        <f t="shared" si="19"/>
        <v>#NUM!</v>
      </c>
      <c r="L211" s="231"/>
      <c r="M211" s="233">
        <f t="shared" si="20"/>
        <v>0</v>
      </c>
    </row>
    <row r="212" spans="1:13" x14ac:dyDescent="0.25">
      <c r="A212" s="248"/>
      <c r="G212" s="217"/>
      <c r="H212" s="231">
        <v>207</v>
      </c>
      <c r="I212" s="232" t="str">
        <f t="shared" si="18"/>
        <v/>
      </c>
      <c r="J212" s="231" t="e">
        <f t="shared" si="21"/>
        <v>#NUM!</v>
      </c>
      <c r="K212" s="231" t="e">
        <f t="shared" si="19"/>
        <v>#NUM!</v>
      </c>
      <c r="L212" s="231"/>
      <c r="M212" s="233">
        <f t="shared" si="20"/>
        <v>0</v>
      </c>
    </row>
    <row r="213" spans="1:13" x14ac:dyDescent="0.25">
      <c r="A213" s="248"/>
      <c r="G213" s="217"/>
      <c r="H213" s="234">
        <v>208</v>
      </c>
      <c r="I213" s="232" t="str">
        <f t="shared" si="18"/>
        <v/>
      </c>
      <c r="J213" s="231" t="e">
        <f t="shared" si="21"/>
        <v>#NUM!</v>
      </c>
      <c r="K213" s="231" t="e">
        <f t="shared" si="19"/>
        <v>#NUM!</v>
      </c>
      <c r="L213" s="231"/>
      <c r="M213" s="233">
        <f t="shared" si="20"/>
        <v>0</v>
      </c>
    </row>
    <row r="214" spans="1:13" x14ac:dyDescent="0.25">
      <c r="A214" s="248"/>
      <c r="G214" s="217"/>
      <c r="H214" s="231">
        <v>209</v>
      </c>
      <c r="I214" s="232" t="str">
        <f t="shared" si="18"/>
        <v/>
      </c>
      <c r="J214" s="231" t="e">
        <f t="shared" si="21"/>
        <v>#NUM!</v>
      </c>
      <c r="K214" s="231" t="e">
        <f t="shared" si="19"/>
        <v>#NUM!</v>
      </c>
      <c r="L214" s="231"/>
      <c r="M214" s="233">
        <f t="shared" si="20"/>
        <v>0</v>
      </c>
    </row>
    <row r="215" spans="1:13" x14ac:dyDescent="0.25">
      <c r="A215" s="248"/>
      <c r="G215" s="217"/>
      <c r="H215" s="234">
        <v>210</v>
      </c>
      <c r="I215" s="232" t="str">
        <f t="shared" si="18"/>
        <v/>
      </c>
      <c r="J215" s="231" t="e">
        <f t="shared" si="21"/>
        <v>#NUM!</v>
      </c>
      <c r="K215" s="231" t="e">
        <f t="shared" si="19"/>
        <v>#NUM!</v>
      </c>
      <c r="L215" s="231"/>
      <c r="M215" s="233">
        <f t="shared" si="20"/>
        <v>0</v>
      </c>
    </row>
    <row r="216" spans="1:13" x14ac:dyDescent="0.25">
      <c r="A216" s="248"/>
      <c r="G216" s="217"/>
      <c r="H216" s="231">
        <v>211</v>
      </c>
      <c r="I216" s="232" t="str">
        <f t="shared" si="18"/>
        <v/>
      </c>
      <c r="J216" s="231" t="e">
        <f t="shared" si="21"/>
        <v>#NUM!</v>
      </c>
      <c r="K216" s="231" t="e">
        <f t="shared" si="19"/>
        <v>#NUM!</v>
      </c>
      <c r="L216" s="231"/>
      <c r="M216" s="233">
        <f t="shared" si="20"/>
        <v>0</v>
      </c>
    </row>
    <row r="217" spans="1:13" x14ac:dyDescent="0.25">
      <c r="A217" s="248"/>
      <c r="G217" s="217"/>
      <c r="H217" s="234">
        <v>212</v>
      </c>
      <c r="I217" s="232" t="str">
        <f t="shared" si="18"/>
        <v/>
      </c>
      <c r="J217" s="231" t="e">
        <f t="shared" si="21"/>
        <v>#NUM!</v>
      </c>
      <c r="K217" s="231" t="e">
        <f t="shared" si="19"/>
        <v>#NUM!</v>
      </c>
      <c r="L217" s="231"/>
      <c r="M217" s="233">
        <f t="shared" si="20"/>
        <v>0</v>
      </c>
    </row>
    <row r="218" spans="1:13" x14ac:dyDescent="0.25">
      <c r="A218" s="248"/>
      <c r="G218" s="217"/>
      <c r="H218" s="231">
        <v>213</v>
      </c>
      <c r="I218" s="232" t="str">
        <f t="shared" si="18"/>
        <v/>
      </c>
      <c r="J218" s="231" t="e">
        <f t="shared" si="21"/>
        <v>#NUM!</v>
      </c>
      <c r="K218" s="231" t="e">
        <f t="shared" si="19"/>
        <v>#NUM!</v>
      </c>
      <c r="L218" s="231"/>
      <c r="M218" s="233">
        <f t="shared" si="20"/>
        <v>0</v>
      </c>
    </row>
    <row r="219" spans="1:13" x14ac:dyDescent="0.25">
      <c r="A219" s="248"/>
      <c r="G219" s="217"/>
      <c r="H219" s="234">
        <v>214</v>
      </c>
      <c r="I219" s="232" t="str">
        <f t="shared" si="18"/>
        <v/>
      </c>
      <c r="J219" s="231" t="e">
        <f t="shared" si="21"/>
        <v>#NUM!</v>
      </c>
      <c r="K219" s="231" t="e">
        <f t="shared" si="19"/>
        <v>#NUM!</v>
      </c>
      <c r="L219" s="231"/>
      <c r="M219" s="233">
        <f t="shared" si="20"/>
        <v>0</v>
      </c>
    </row>
    <row r="220" spans="1:13" x14ac:dyDescent="0.25">
      <c r="A220" s="248"/>
      <c r="G220" s="217"/>
      <c r="H220" s="231">
        <v>215</v>
      </c>
      <c r="I220" s="232" t="str">
        <f t="shared" si="18"/>
        <v/>
      </c>
      <c r="J220" s="231" t="e">
        <f t="shared" si="21"/>
        <v>#NUM!</v>
      </c>
      <c r="K220" s="231" t="e">
        <f t="shared" si="19"/>
        <v>#NUM!</v>
      </c>
      <c r="L220" s="231"/>
      <c r="M220" s="233">
        <f t="shared" si="20"/>
        <v>0</v>
      </c>
    </row>
    <row r="221" spans="1:13" x14ac:dyDescent="0.25">
      <c r="A221" s="248"/>
      <c r="G221" s="217"/>
      <c r="H221" s="234">
        <v>216</v>
      </c>
      <c r="I221" s="232" t="str">
        <f t="shared" si="18"/>
        <v/>
      </c>
      <c r="J221" s="231" t="e">
        <f t="shared" si="21"/>
        <v>#NUM!</v>
      </c>
      <c r="K221" s="231" t="e">
        <f t="shared" si="19"/>
        <v>#NUM!</v>
      </c>
      <c r="L221" s="231"/>
      <c r="M221" s="233">
        <f t="shared" si="20"/>
        <v>0</v>
      </c>
    </row>
    <row r="222" spans="1:13" x14ac:dyDescent="0.25">
      <c r="A222" s="248"/>
      <c r="G222" s="217"/>
      <c r="H222" s="231">
        <v>217</v>
      </c>
      <c r="I222" s="232" t="str">
        <f t="shared" si="18"/>
        <v/>
      </c>
      <c r="J222" s="231" t="e">
        <f t="shared" si="21"/>
        <v>#NUM!</v>
      </c>
      <c r="K222" s="231" t="e">
        <f t="shared" si="19"/>
        <v>#NUM!</v>
      </c>
      <c r="L222" s="231"/>
      <c r="M222" s="233">
        <f t="shared" si="20"/>
        <v>0</v>
      </c>
    </row>
    <row r="223" spans="1:13" x14ac:dyDescent="0.25">
      <c r="A223" s="248"/>
      <c r="G223" s="217"/>
      <c r="H223" s="234">
        <v>218</v>
      </c>
      <c r="I223" s="232" t="str">
        <f t="shared" si="18"/>
        <v/>
      </c>
      <c r="J223" s="231" t="e">
        <f t="shared" si="21"/>
        <v>#NUM!</v>
      </c>
      <c r="K223" s="231" t="e">
        <f t="shared" si="19"/>
        <v>#NUM!</v>
      </c>
      <c r="L223" s="231"/>
      <c r="M223" s="233">
        <f t="shared" si="20"/>
        <v>0</v>
      </c>
    </row>
    <row r="224" spans="1:13" x14ac:dyDescent="0.25">
      <c r="A224" s="248"/>
      <c r="G224" s="217"/>
      <c r="H224" s="231">
        <v>219</v>
      </c>
      <c r="I224" s="232" t="str">
        <f t="shared" si="18"/>
        <v/>
      </c>
      <c r="J224" s="231" t="e">
        <f t="shared" si="21"/>
        <v>#NUM!</v>
      </c>
      <c r="K224" s="231" t="e">
        <f t="shared" si="19"/>
        <v>#NUM!</v>
      </c>
      <c r="L224" s="231"/>
      <c r="M224" s="233">
        <f t="shared" si="20"/>
        <v>0</v>
      </c>
    </row>
    <row r="225" spans="1:13" x14ac:dyDescent="0.25">
      <c r="A225" s="248"/>
      <c r="G225" s="217"/>
      <c r="H225" s="234">
        <v>220</v>
      </c>
      <c r="I225" s="232" t="str">
        <f t="shared" si="18"/>
        <v/>
      </c>
      <c r="J225" s="231" t="e">
        <f t="shared" si="21"/>
        <v>#NUM!</v>
      </c>
      <c r="K225" s="231" t="e">
        <f t="shared" si="19"/>
        <v>#NUM!</v>
      </c>
      <c r="L225" s="231"/>
      <c r="M225" s="233">
        <f t="shared" si="20"/>
        <v>0</v>
      </c>
    </row>
    <row r="226" spans="1:13" x14ac:dyDescent="0.25">
      <c r="A226" s="248"/>
      <c r="G226" s="217"/>
      <c r="H226" s="231">
        <v>221</v>
      </c>
      <c r="I226" s="232" t="str">
        <f t="shared" si="18"/>
        <v/>
      </c>
      <c r="J226" s="231" t="e">
        <f t="shared" si="21"/>
        <v>#NUM!</v>
      </c>
      <c r="K226" s="231" t="e">
        <f t="shared" si="19"/>
        <v>#NUM!</v>
      </c>
      <c r="L226" s="231"/>
      <c r="M226" s="233">
        <f t="shared" si="20"/>
        <v>0</v>
      </c>
    </row>
    <row r="227" spans="1:13" x14ac:dyDescent="0.25">
      <c r="A227" s="248"/>
      <c r="G227" s="217"/>
      <c r="H227" s="234">
        <v>222</v>
      </c>
      <c r="I227" s="232" t="str">
        <f t="shared" si="18"/>
        <v/>
      </c>
      <c r="J227" s="231" t="e">
        <f t="shared" si="21"/>
        <v>#NUM!</v>
      </c>
      <c r="K227" s="231" t="e">
        <f t="shared" si="19"/>
        <v>#NUM!</v>
      </c>
      <c r="L227" s="231"/>
      <c r="M227" s="233">
        <f t="shared" si="20"/>
        <v>0</v>
      </c>
    </row>
    <row r="228" spans="1:13" x14ac:dyDescent="0.25">
      <c r="A228" s="248"/>
      <c r="G228" s="217"/>
      <c r="H228" s="231">
        <v>223</v>
      </c>
      <c r="I228" s="232" t="str">
        <f t="shared" si="18"/>
        <v/>
      </c>
      <c r="J228" s="231" t="e">
        <f t="shared" si="21"/>
        <v>#NUM!</v>
      </c>
      <c r="K228" s="231" t="e">
        <f t="shared" si="19"/>
        <v>#NUM!</v>
      </c>
      <c r="L228" s="231"/>
      <c r="M228" s="233">
        <f t="shared" si="20"/>
        <v>0</v>
      </c>
    </row>
    <row r="229" spans="1:13" x14ac:dyDescent="0.25">
      <c r="A229" s="248"/>
      <c r="G229" s="217"/>
      <c r="H229" s="234">
        <v>224</v>
      </c>
      <c r="I229" s="232" t="str">
        <f t="shared" si="18"/>
        <v/>
      </c>
      <c r="J229" s="231" t="e">
        <f t="shared" si="21"/>
        <v>#NUM!</v>
      </c>
      <c r="K229" s="231" t="e">
        <f t="shared" si="19"/>
        <v>#NUM!</v>
      </c>
      <c r="L229" s="231"/>
      <c r="M229" s="233">
        <f t="shared" si="20"/>
        <v>0</v>
      </c>
    </row>
    <row r="230" spans="1:13" x14ac:dyDescent="0.25">
      <c r="A230" s="248"/>
      <c r="G230" s="217"/>
      <c r="H230" s="231">
        <v>225</v>
      </c>
      <c r="I230" s="232" t="str">
        <f t="shared" si="18"/>
        <v/>
      </c>
      <c r="J230" s="231" t="e">
        <f t="shared" si="21"/>
        <v>#NUM!</v>
      </c>
      <c r="K230" s="231" t="e">
        <f t="shared" si="19"/>
        <v>#NUM!</v>
      </c>
      <c r="L230" s="231"/>
      <c r="M230" s="233">
        <f t="shared" si="20"/>
        <v>0</v>
      </c>
    </row>
    <row r="231" spans="1:13" x14ac:dyDescent="0.25">
      <c r="A231" s="248"/>
      <c r="G231" s="217"/>
      <c r="H231" s="234">
        <v>226</v>
      </c>
      <c r="I231" s="232" t="str">
        <f t="shared" si="18"/>
        <v/>
      </c>
      <c r="J231" s="231" t="e">
        <f t="shared" si="21"/>
        <v>#NUM!</v>
      </c>
      <c r="K231" s="231" t="e">
        <f t="shared" si="19"/>
        <v>#NUM!</v>
      </c>
      <c r="L231" s="231"/>
      <c r="M231" s="233">
        <f t="shared" si="20"/>
        <v>0</v>
      </c>
    </row>
    <row r="232" spans="1:13" x14ac:dyDescent="0.25">
      <c r="A232" s="248"/>
      <c r="G232" s="217"/>
      <c r="H232" s="231">
        <v>227</v>
      </c>
      <c r="I232" s="232" t="str">
        <f t="shared" si="18"/>
        <v/>
      </c>
      <c r="J232" s="231" t="e">
        <f t="shared" si="21"/>
        <v>#NUM!</v>
      </c>
      <c r="K232" s="231" t="e">
        <f t="shared" si="19"/>
        <v>#NUM!</v>
      </c>
      <c r="L232" s="231"/>
      <c r="M232" s="233">
        <f t="shared" si="20"/>
        <v>0</v>
      </c>
    </row>
    <row r="233" spans="1:13" x14ac:dyDescent="0.25">
      <c r="A233" s="248"/>
      <c r="G233" s="217"/>
      <c r="H233" s="234">
        <v>228</v>
      </c>
      <c r="I233" s="232" t="str">
        <f t="shared" si="18"/>
        <v/>
      </c>
      <c r="J233" s="231" t="e">
        <f t="shared" si="21"/>
        <v>#NUM!</v>
      </c>
      <c r="K233" s="231" t="e">
        <f t="shared" si="19"/>
        <v>#NUM!</v>
      </c>
      <c r="L233" s="231"/>
      <c r="M233" s="233">
        <f t="shared" si="20"/>
        <v>0</v>
      </c>
    </row>
    <row r="234" spans="1:13" x14ac:dyDescent="0.25">
      <c r="A234" s="248"/>
      <c r="G234" s="217"/>
      <c r="H234" s="231">
        <v>229</v>
      </c>
      <c r="I234" s="232" t="str">
        <f t="shared" si="18"/>
        <v/>
      </c>
      <c r="J234" s="231" t="e">
        <f t="shared" si="21"/>
        <v>#NUM!</v>
      </c>
      <c r="K234" s="231" t="e">
        <f t="shared" si="19"/>
        <v>#NUM!</v>
      </c>
      <c r="L234" s="231"/>
      <c r="M234" s="233">
        <f t="shared" si="20"/>
        <v>0</v>
      </c>
    </row>
    <row r="235" spans="1:13" x14ac:dyDescent="0.25">
      <c r="A235" s="248"/>
      <c r="G235" s="217"/>
      <c r="H235" s="234">
        <v>230</v>
      </c>
      <c r="I235" s="232" t="str">
        <f t="shared" si="18"/>
        <v/>
      </c>
      <c r="J235" s="231" t="e">
        <f t="shared" si="21"/>
        <v>#NUM!</v>
      </c>
      <c r="K235" s="231" t="e">
        <f t="shared" si="19"/>
        <v>#NUM!</v>
      </c>
      <c r="L235" s="231"/>
      <c r="M235" s="233">
        <f t="shared" si="20"/>
        <v>0</v>
      </c>
    </row>
    <row r="236" spans="1:13" x14ac:dyDescent="0.25">
      <c r="A236" s="248"/>
      <c r="G236" s="217"/>
      <c r="H236" s="231">
        <v>231</v>
      </c>
      <c r="I236" s="232" t="str">
        <f t="shared" si="18"/>
        <v/>
      </c>
      <c r="J236" s="231" t="e">
        <f t="shared" si="21"/>
        <v>#NUM!</v>
      </c>
      <c r="K236" s="231" t="e">
        <f t="shared" si="19"/>
        <v>#NUM!</v>
      </c>
      <c r="L236" s="231"/>
      <c r="M236" s="233">
        <f t="shared" si="20"/>
        <v>0</v>
      </c>
    </row>
    <row r="237" spans="1:13" x14ac:dyDescent="0.25">
      <c r="A237" s="248"/>
      <c r="G237" s="217"/>
      <c r="H237" s="234">
        <v>232</v>
      </c>
      <c r="I237" s="232" t="str">
        <f t="shared" si="18"/>
        <v/>
      </c>
      <c r="J237" s="231" t="e">
        <f t="shared" si="21"/>
        <v>#NUM!</v>
      </c>
      <c r="K237" s="231" t="e">
        <f t="shared" si="19"/>
        <v>#NUM!</v>
      </c>
      <c r="L237" s="231"/>
      <c r="M237" s="233">
        <f t="shared" si="20"/>
        <v>0</v>
      </c>
    </row>
    <row r="238" spans="1:13" x14ac:dyDescent="0.25">
      <c r="A238" s="248"/>
      <c r="G238" s="217"/>
      <c r="H238" s="231">
        <v>233</v>
      </c>
      <c r="I238" s="232" t="str">
        <f t="shared" si="18"/>
        <v/>
      </c>
      <c r="J238" s="231" t="e">
        <f t="shared" si="21"/>
        <v>#NUM!</v>
      </c>
      <c r="K238" s="231" t="e">
        <f t="shared" si="19"/>
        <v>#NUM!</v>
      </c>
      <c r="L238" s="231"/>
      <c r="M238" s="233">
        <f t="shared" si="20"/>
        <v>0</v>
      </c>
    </row>
    <row r="239" spans="1:13" x14ac:dyDescent="0.25">
      <c r="A239" s="248"/>
      <c r="G239" s="217"/>
      <c r="H239" s="234">
        <v>234</v>
      </c>
      <c r="I239" s="232" t="str">
        <f t="shared" si="18"/>
        <v/>
      </c>
      <c r="J239" s="231" t="e">
        <f t="shared" si="21"/>
        <v>#NUM!</v>
      </c>
      <c r="K239" s="231" t="e">
        <f t="shared" si="19"/>
        <v>#NUM!</v>
      </c>
      <c r="L239" s="231"/>
      <c r="M239" s="233">
        <f t="shared" si="20"/>
        <v>0</v>
      </c>
    </row>
    <row r="240" spans="1:13" x14ac:dyDescent="0.25">
      <c r="A240" s="248"/>
      <c r="G240" s="217"/>
      <c r="H240" s="231">
        <v>235</v>
      </c>
      <c r="I240" s="232" t="str">
        <f t="shared" si="18"/>
        <v/>
      </c>
      <c r="J240" s="231" t="e">
        <f t="shared" si="21"/>
        <v>#NUM!</v>
      </c>
      <c r="K240" s="231" t="e">
        <f t="shared" si="19"/>
        <v>#NUM!</v>
      </c>
      <c r="L240" s="231"/>
      <c r="M240" s="233">
        <f t="shared" si="20"/>
        <v>0</v>
      </c>
    </row>
    <row r="241" spans="1:13" x14ac:dyDescent="0.25">
      <c r="A241" s="248"/>
      <c r="G241" s="217"/>
      <c r="H241" s="234">
        <v>236</v>
      </c>
      <c r="I241" s="232" t="str">
        <f t="shared" si="18"/>
        <v/>
      </c>
      <c r="J241" s="231" t="e">
        <f t="shared" si="21"/>
        <v>#NUM!</v>
      </c>
      <c r="K241" s="231" t="e">
        <f t="shared" si="19"/>
        <v>#NUM!</v>
      </c>
      <c r="L241" s="231"/>
      <c r="M241" s="233">
        <f t="shared" si="20"/>
        <v>0</v>
      </c>
    </row>
    <row r="242" spans="1:13" x14ac:dyDescent="0.25">
      <c r="A242" s="248"/>
      <c r="G242" s="217"/>
      <c r="H242" s="231">
        <v>237</v>
      </c>
      <c r="I242" s="232" t="str">
        <f t="shared" si="18"/>
        <v/>
      </c>
      <c r="J242" s="231" t="e">
        <f t="shared" si="21"/>
        <v>#NUM!</v>
      </c>
      <c r="K242" s="231" t="e">
        <f t="shared" si="19"/>
        <v>#NUM!</v>
      </c>
      <c r="L242" s="231"/>
      <c r="M242" s="233">
        <f t="shared" si="20"/>
        <v>0</v>
      </c>
    </row>
    <row r="243" spans="1:13" x14ac:dyDescent="0.25">
      <c r="A243" s="248"/>
      <c r="G243" s="217"/>
      <c r="H243" s="234">
        <v>238</v>
      </c>
      <c r="I243" s="232" t="str">
        <f t="shared" si="18"/>
        <v/>
      </c>
      <c r="J243" s="231" t="e">
        <f t="shared" si="21"/>
        <v>#NUM!</v>
      </c>
      <c r="K243" s="231" t="e">
        <f t="shared" si="19"/>
        <v>#NUM!</v>
      </c>
      <c r="L243" s="231"/>
      <c r="M243" s="233">
        <f t="shared" si="20"/>
        <v>0</v>
      </c>
    </row>
    <row r="244" spans="1:13" x14ac:dyDescent="0.25">
      <c r="A244" s="248"/>
      <c r="G244" s="217"/>
      <c r="H244" s="231">
        <v>239</v>
      </c>
      <c r="I244" s="232" t="str">
        <f t="shared" si="18"/>
        <v/>
      </c>
      <c r="J244" s="231" t="e">
        <f t="shared" si="21"/>
        <v>#NUM!</v>
      </c>
      <c r="K244" s="231" t="e">
        <f t="shared" si="19"/>
        <v>#NUM!</v>
      </c>
      <c r="L244" s="231"/>
      <c r="M244" s="233">
        <f t="shared" si="20"/>
        <v>0</v>
      </c>
    </row>
    <row r="245" spans="1:13" x14ac:dyDescent="0.25">
      <c r="A245" s="248"/>
      <c r="G245" s="217"/>
      <c r="H245" s="234">
        <v>240</v>
      </c>
      <c r="I245" s="232" t="str">
        <f t="shared" si="18"/>
        <v/>
      </c>
      <c r="J245" s="231" t="e">
        <f t="shared" si="21"/>
        <v>#NUM!</v>
      </c>
      <c r="K245" s="231" t="e">
        <f t="shared" si="19"/>
        <v>#NUM!</v>
      </c>
      <c r="L245" s="231"/>
      <c r="M245" s="233">
        <f t="shared" si="20"/>
        <v>0</v>
      </c>
    </row>
    <row r="246" spans="1:13" x14ac:dyDescent="0.25">
      <c r="A246" s="248"/>
      <c r="G246" s="217"/>
      <c r="H246" s="231">
        <v>241</v>
      </c>
      <c r="I246" s="232" t="str">
        <f t="shared" si="18"/>
        <v/>
      </c>
      <c r="J246" s="231" t="e">
        <f t="shared" si="21"/>
        <v>#NUM!</v>
      </c>
      <c r="K246" s="231" t="e">
        <f t="shared" si="19"/>
        <v>#NUM!</v>
      </c>
      <c r="L246" s="231"/>
      <c r="M246" s="233">
        <f t="shared" si="20"/>
        <v>0</v>
      </c>
    </row>
    <row r="247" spans="1:13" x14ac:dyDescent="0.25">
      <c r="A247" s="248"/>
      <c r="G247" s="217"/>
      <c r="H247" s="234">
        <v>242</v>
      </c>
      <c r="I247" s="232" t="str">
        <f t="shared" si="18"/>
        <v/>
      </c>
      <c r="J247" s="231" t="e">
        <f t="shared" si="21"/>
        <v>#NUM!</v>
      </c>
      <c r="K247" s="231" t="e">
        <f t="shared" si="19"/>
        <v>#NUM!</v>
      </c>
      <c r="L247" s="231"/>
      <c r="M247" s="233">
        <f t="shared" si="20"/>
        <v>0</v>
      </c>
    </row>
    <row r="248" spans="1:13" x14ac:dyDescent="0.25">
      <c r="A248" s="248"/>
      <c r="G248" s="217"/>
      <c r="H248" s="231">
        <v>243</v>
      </c>
      <c r="I248" s="232" t="str">
        <f t="shared" si="18"/>
        <v/>
      </c>
      <c r="J248" s="231" t="e">
        <f t="shared" si="21"/>
        <v>#NUM!</v>
      </c>
      <c r="K248" s="231" t="e">
        <f t="shared" si="19"/>
        <v>#NUM!</v>
      </c>
      <c r="L248" s="231"/>
      <c r="M248" s="233">
        <f t="shared" si="20"/>
        <v>0</v>
      </c>
    </row>
    <row r="249" spans="1:13" x14ac:dyDescent="0.25">
      <c r="A249" s="248"/>
      <c r="G249" s="217"/>
      <c r="H249" s="234">
        <v>244</v>
      </c>
      <c r="I249" s="232" t="str">
        <f t="shared" si="18"/>
        <v/>
      </c>
      <c r="J249" s="231" t="e">
        <f t="shared" si="21"/>
        <v>#NUM!</v>
      </c>
      <c r="K249" s="231" t="e">
        <f t="shared" si="19"/>
        <v>#NUM!</v>
      </c>
      <c r="L249" s="231"/>
      <c r="M249" s="233">
        <f t="shared" si="20"/>
        <v>0</v>
      </c>
    </row>
    <row r="250" spans="1:13" x14ac:dyDescent="0.25">
      <c r="A250" s="248"/>
      <c r="G250" s="217"/>
      <c r="H250" s="231">
        <v>245</v>
      </c>
      <c r="I250" s="232" t="str">
        <f t="shared" si="18"/>
        <v/>
      </c>
      <c r="J250" s="231" t="e">
        <f t="shared" si="21"/>
        <v>#NUM!</v>
      </c>
      <c r="K250" s="231" t="e">
        <f t="shared" si="19"/>
        <v>#NUM!</v>
      </c>
      <c r="L250" s="231"/>
      <c r="M250" s="233">
        <f t="shared" si="20"/>
        <v>0</v>
      </c>
    </row>
    <row r="251" spans="1:13" x14ac:dyDescent="0.25">
      <c r="A251" s="248"/>
      <c r="G251" s="217"/>
      <c r="H251" s="234">
        <v>246</v>
      </c>
      <c r="I251" s="232" t="str">
        <f t="shared" si="18"/>
        <v/>
      </c>
      <c r="J251" s="231" t="e">
        <f t="shared" si="21"/>
        <v>#NUM!</v>
      </c>
      <c r="K251" s="231" t="e">
        <f t="shared" si="19"/>
        <v>#NUM!</v>
      </c>
      <c r="L251" s="231"/>
      <c r="M251" s="233">
        <f t="shared" si="20"/>
        <v>0</v>
      </c>
    </row>
    <row r="252" spans="1:13" x14ac:dyDescent="0.25">
      <c r="A252" s="248"/>
      <c r="G252" s="217"/>
      <c r="H252" s="231">
        <v>247</v>
      </c>
      <c r="I252" s="232" t="str">
        <f t="shared" si="18"/>
        <v/>
      </c>
      <c r="J252" s="231" t="e">
        <f t="shared" si="21"/>
        <v>#NUM!</v>
      </c>
      <c r="K252" s="231" t="e">
        <f t="shared" si="19"/>
        <v>#NUM!</v>
      </c>
      <c r="L252" s="231"/>
      <c r="M252" s="233">
        <f t="shared" si="20"/>
        <v>0</v>
      </c>
    </row>
    <row r="253" spans="1:13" x14ac:dyDescent="0.25">
      <c r="A253" s="248"/>
      <c r="G253" s="217"/>
      <c r="H253" s="234">
        <v>248</v>
      </c>
      <c r="I253" s="232" t="str">
        <f t="shared" si="18"/>
        <v/>
      </c>
      <c r="J253" s="231" t="e">
        <f t="shared" si="21"/>
        <v>#NUM!</v>
      </c>
      <c r="K253" s="231" t="e">
        <f t="shared" si="19"/>
        <v>#NUM!</v>
      </c>
      <c r="L253" s="231"/>
      <c r="M253" s="233">
        <f t="shared" si="20"/>
        <v>0</v>
      </c>
    </row>
    <row r="254" spans="1:13" x14ac:dyDescent="0.25">
      <c r="A254" s="248"/>
      <c r="G254" s="217"/>
      <c r="H254" s="231">
        <v>249</v>
      </c>
      <c r="I254" s="232" t="str">
        <f t="shared" si="18"/>
        <v/>
      </c>
      <c r="J254" s="231" t="e">
        <f t="shared" si="21"/>
        <v>#NUM!</v>
      </c>
      <c r="K254" s="231" t="e">
        <f t="shared" si="19"/>
        <v>#NUM!</v>
      </c>
      <c r="L254" s="231"/>
      <c r="M254" s="233">
        <f t="shared" si="20"/>
        <v>0</v>
      </c>
    </row>
    <row r="255" spans="1:13" x14ac:dyDescent="0.25">
      <c r="A255" s="248"/>
      <c r="G255" s="217"/>
      <c r="H255" s="234">
        <v>250</v>
      </c>
      <c r="I255" s="232" t="str">
        <f t="shared" si="18"/>
        <v/>
      </c>
      <c r="J255" s="231" t="e">
        <f t="shared" si="21"/>
        <v>#NUM!</v>
      </c>
      <c r="K255" s="231" t="e">
        <f t="shared" si="19"/>
        <v>#NUM!</v>
      </c>
      <c r="L255" s="231"/>
      <c r="M255" s="233">
        <f t="shared" si="20"/>
        <v>0</v>
      </c>
    </row>
    <row r="256" spans="1:13" x14ac:dyDescent="0.25">
      <c r="A256" s="248"/>
      <c r="G256" s="217"/>
      <c r="H256" s="231">
        <v>251</v>
      </c>
      <c r="I256" s="232" t="str">
        <f t="shared" si="18"/>
        <v/>
      </c>
      <c r="J256" s="231" t="e">
        <f t="shared" si="21"/>
        <v>#NUM!</v>
      </c>
      <c r="K256" s="231" t="e">
        <f t="shared" si="19"/>
        <v>#NUM!</v>
      </c>
      <c r="L256" s="231"/>
      <c r="M256" s="233">
        <f t="shared" si="20"/>
        <v>0</v>
      </c>
    </row>
    <row r="257" spans="1:13" x14ac:dyDescent="0.25">
      <c r="A257" s="248"/>
      <c r="G257" s="217"/>
      <c r="H257" s="234">
        <v>252</v>
      </c>
      <c r="I257" s="232" t="str">
        <f t="shared" si="18"/>
        <v/>
      </c>
      <c r="J257" s="231" t="e">
        <f t="shared" si="21"/>
        <v>#NUM!</v>
      </c>
      <c r="K257" s="231" t="e">
        <f t="shared" si="19"/>
        <v>#NUM!</v>
      </c>
      <c r="L257" s="231"/>
      <c r="M257" s="233">
        <f t="shared" si="20"/>
        <v>0</v>
      </c>
    </row>
    <row r="258" spans="1:13" x14ac:dyDescent="0.25">
      <c r="A258" s="248"/>
      <c r="G258" s="217"/>
      <c r="H258" s="231">
        <v>253</v>
      </c>
      <c r="I258" s="232" t="str">
        <f t="shared" si="18"/>
        <v/>
      </c>
      <c r="J258" s="231" t="e">
        <f t="shared" si="21"/>
        <v>#NUM!</v>
      </c>
      <c r="K258" s="231" t="e">
        <f t="shared" si="19"/>
        <v>#NUM!</v>
      </c>
      <c r="L258" s="231"/>
      <c r="M258" s="233">
        <f t="shared" si="20"/>
        <v>0</v>
      </c>
    </row>
    <row r="259" spans="1:13" x14ac:dyDescent="0.25">
      <c r="A259" s="248"/>
      <c r="G259" s="217"/>
      <c r="H259" s="234">
        <v>254</v>
      </c>
      <c r="I259" s="232" t="str">
        <f t="shared" si="18"/>
        <v/>
      </c>
      <c r="J259" s="231" t="e">
        <f t="shared" si="21"/>
        <v>#NUM!</v>
      </c>
      <c r="K259" s="231" t="e">
        <f t="shared" si="19"/>
        <v>#NUM!</v>
      </c>
      <c r="L259" s="231"/>
      <c r="M259" s="233">
        <f t="shared" si="20"/>
        <v>0</v>
      </c>
    </row>
    <row r="260" spans="1:13" x14ac:dyDescent="0.25">
      <c r="A260" s="248"/>
      <c r="G260" s="217"/>
      <c r="H260" s="231">
        <v>255</v>
      </c>
      <c r="I260" s="232" t="str">
        <f t="shared" si="18"/>
        <v/>
      </c>
      <c r="J260" s="231" t="e">
        <f t="shared" si="21"/>
        <v>#NUM!</v>
      </c>
      <c r="K260" s="231" t="e">
        <f t="shared" si="19"/>
        <v>#NUM!</v>
      </c>
      <c r="L260" s="231"/>
      <c r="M260" s="233">
        <f t="shared" si="20"/>
        <v>0</v>
      </c>
    </row>
    <row r="261" spans="1:13" x14ac:dyDescent="0.25">
      <c r="A261" s="248"/>
      <c r="G261" s="217"/>
      <c r="H261" s="234">
        <v>256</v>
      </c>
      <c r="I261" s="232" t="str">
        <f t="shared" si="18"/>
        <v/>
      </c>
      <c r="J261" s="231" t="e">
        <f t="shared" si="21"/>
        <v>#NUM!</v>
      </c>
      <c r="K261" s="231" t="e">
        <f t="shared" si="19"/>
        <v>#NUM!</v>
      </c>
      <c r="L261" s="231"/>
      <c r="M261" s="233">
        <f t="shared" si="20"/>
        <v>0</v>
      </c>
    </row>
    <row r="262" spans="1:13" x14ac:dyDescent="0.25">
      <c r="A262" s="248"/>
      <c r="G262" s="217"/>
      <c r="H262" s="231">
        <v>257</v>
      </c>
      <c r="I262" s="232" t="str">
        <f t="shared" ref="I262:I305" si="22">IF(H262&lt;$H$2+1,($I$2-($I$2-1)*(LOG(H262)/LOG($H$2))),"")</f>
        <v/>
      </c>
      <c r="J262" s="231" t="e">
        <f t="shared" si="21"/>
        <v>#NUM!</v>
      </c>
      <c r="K262" s="231" t="e">
        <f t="shared" ref="K262:K305" si="23">J262*$J$2</f>
        <v>#NUM!</v>
      </c>
      <c r="L262" s="231"/>
      <c r="M262" s="233">
        <f t="shared" ref="M262:M305" si="24">IF(I262&lt;&gt;"",K262+I262+L262,0)</f>
        <v>0</v>
      </c>
    </row>
    <row r="263" spans="1:13" x14ac:dyDescent="0.25">
      <c r="A263" s="248"/>
      <c r="G263" s="217"/>
      <c r="H263" s="234">
        <v>258</v>
      </c>
      <c r="I263" s="232" t="str">
        <f t="shared" si="22"/>
        <v/>
      </c>
      <c r="J263" s="231" t="e">
        <f t="shared" ref="J263:J305" si="25">INT(LOG($H$2,2))-ROUNDUP(LOG(H263,2),0)+IF(OR($H$2=1,$H$2=2,$H$2=4,$H$2=8,$H$2=16,$H$2=32,$H$2=64,$H$2=128,$H$2=256),0,1)</f>
        <v>#NUM!</v>
      </c>
      <c r="K263" s="231" t="e">
        <f t="shared" si="23"/>
        <v>#NUM!</v>
      </c>
      <c r="L263" s="231"/>
      <c r="M263" s="233">
        <f t="shared" si="24"/>
        <v>0</v>
      </c>
    </row>
    <row r="264" spans="1:13" x14ac:dyDescent="0.25">
      <c r="A264" s="248"/>
      <c r="G264" s="217"/>
      <c r="H264" s="231">
        <v>259</v>
      </c>
      <c r="I264" s="232" t="str">
        <f t="shared" si="22"/>
        <v/>
      </c>
      <c r="J264" s="231" t="e">
        <f t="shared" si="25"/>
        <v>#NUM!</v>
      </c>
      <c r="K264" s="231" t="e">
        <f t="shared" si="23"/>
        <v>#NUM!</v>
      </c>
      <c r="L264" s="231"/>
      <c r="M264" s="233">
        <f t="shared" si="24"/>
        <v>0</v>
      </c>
    </row>
    <row r="265" spans="1:13" x14ac:dyDescent="0.25">
      <c r="A265" s="248"/>
      <c r="G265" s="217"/>
      <c r="H265" s="234">
        <v>260</v>
      </c>
      <c r="I265" s="232" t="str">
        <f t="shared" si="22"/>
        <v/>
      </c>
      <c r="J265" s="231" t="e">
        <f t="shared" si="25"/>
        <v>#NUM!</v>
      </c>
      <c r="K265" s="231" t="e">
        <f t="shared" si="23"/>
        <v>#NUM!</v>
      </c>
      <c r="L265" s="231"/>
      <c r="M265" s="233">
        <f t="shared" si="24"/>
        <v>0</v>
      </c>
    </row>
    <row r="266" spans="1:13" x14ac:dyDescent="0.25">
      <c r="A266" s="248"/>
      <c r="G266" s="217"/>
      <c r="H266" s="231">
        <v>261</v>
      </c>
      <c r="I266" s="232" t="str">
        <f t="shared" si="22"/>
        <v/>
      </c>
      <c r="J266" s="231" t="e">
        <f t="shared" si="25"/>
        <v>#NUM!</v>
      </c>
      <c r="K266" s="231" t="e">
        <f t="shared" si="23"/>
        <v>#NUM!</v>
      </c>
      <c r="L266" s="231"/>
      <c r="M266" s="233">
        <f t="shared" si="24"/>
        <v>0</v>
      </c>
    </row>
    <row r="267" spans="1:13" x14ac:dyDescent="0.25">
      <c r="A267" s="248"/>
      <c r="G267" s="217"/>
      <c r="H267" s="234">
        <v>262</v>
      </c>
      <c r="I267" s="232" t="str">
        <f t="shared" si="22"/>
        <v/>
      </c>
      <c r="J267" s="231" t="e">
        <f t="shared" si="25"/>
        <v>#NUM!</v>
      </c>
      <c r="K267" s="231" t="e">
        <f t="shared" si="23"/>
        <v>#NUM!</v>
      </c>
      <c r="L267" s="231"/>
      <c r="M267" s="233">
        <f t="shared" si="24"/>
        <v>0</v>
      </c>
    </row>
    <row r="268" spans="1:13" x14ac:dyDescent="0.25">
      <c r="A268" s="248"/>
      <c r="G268" s="217"/>
      <c r="H268" s="231">
        <v>263</v>
      </c>
      <c r="I268" s="232" t="str">
        <f t="shared" si="22"/>
        <v/>
      </c>
      <c r="J268" s="231" t="e">
        <f t="shared" si="25"/>
        <v>#NUM!</v>
      </c>
      <c r="K268" s="231" t="e">
        <f t="shared" si="23"/>
        <v>#NUM!</v>
      </c>
      <c r="L268" s="231"/>
      <c r="M268" s="233">
        <f t="shared" si="24"/>
        <v>0</v>
      </c>
    </row>
    <row r="269" spans="1:13" x14ac:dyDescent="0.25">
      <c r="A269" s="248"/>
      <c r="G269" s="217"/>
      <c r="H269" s="234">
        <v>264</v>
      </c>
      <c r="I269" s="232" t="str">
        <f t="shared" si="22"/>
        <v/>
      </c>
      <c r="J269" s="231" t="e">
        <f t="shared" si="25"/>
        <v>#NUM!</v>
      </c>
      <c r="K269" s="231" t="e">
        <f t="shared" si="23"/>
        <v>#NUM!</v>
      </c>
      <c r="L269" s="231"/>
      <c r="M269" s="233">
        <f t="shared" si="24"/>
        <v>0</v>
      </c>
    </row>
    <row r="270" spans="1:13" x14ac:dyDescent="0.25">
      <c r="A270" s="248"/>
      <c r="G270" s="217"/>
      <c r="H270" s="231">
        <v>265</v>
      </c>
      <c r="I270" s="232" t="str">
        <f t="shared" si="22"/>
        <v/>
      </c>
      <c r="J270" s="231" t="e">
        <f t="shared" si="25"/>
        <v>#NUM!</v>
      </c>
      <c r="K270" s="231" t="e">
        <f t="shared" si="23"/>
        <v>#NUM!</v>
      </c>
      <c r="L270" s="231"/>
      <c r="M270" s="233">
        <f t="shared" si="24"/>
        <v>0</v>
      </c>
    </row>
    <row r="271" spans="1:13" x14ac:dyDescent="0.25">
      <c r="A271" s="248"/>
      <c r="G271" s="217"/>
      <c r="H271" s="234">
        <v>266</v>
      </c>
      <c r="I271" s="232" t="str">
        <f t="shared" si="22"/>
        <v/>
      </c>
      <c r="J271" s="231" t="e">
        <f t="shared" si="25"/>
        <v>#NUM!</v>
      </c>
      <c r="K271" s="231" t="e">
        <f t="shared" si="23"/>
        <v>#NUM!</v>
      </c>
      <c r="L271" s="231"/>
      <c r="M271" s="233">
        <f t="shared" si="24"/>
        <v>0</v>
      </c>
    </row>
    <row r="272" spans="1:13" x14ac:dyDescent="0.25">
      <c r="A272" s="248"/>
      <c r="G272" s="217"/>
      <c r="H272" s="231">
        <v>267</v>
      </c>
      <c r="I272" s="232" t="str">
        <f t="shared" si="22"/>
        <v/>
      </c>
      <c r="J272" s="231" t="e">
        <f t="shared" si="25"/>
        <v>#NUM!</v>
      </c>
      <c r="K272" s="231" t="e">
        <f t="shared" si="23"/>
        <v>#NUM!</v>
      </c>
      <c r="L272" s="231"/>
      <c r="M272" s="233">
        <f t="shared" si="24"/>
        <v>0</v>
      </c>
    </row>
    <row r="273" spans="1:13" x14ac:dyDescent="0.25">
      <c r="A273" s="248"/>
      <c r="G273" s="217"/>
      <c r="H273" s="234">
        <v>268</v>
      </c>
      <c r="I273" s="232" t="str">
        <f t="shared" si="22"/>
        <v/>
      </c>
      <c r="J273" s="231" t="e">
        <f t="shared" si="25"/>
        <v>#NUM!</v>
      </c>
      <c r="K273" s="231" t="e">
        <f t="shared" si="23"/>
        <v>#NUM!</v>
      </c>
      <c r="L273" s="231"/>
      <c r="M273" s="233">
        <f t="shared" si="24"/>
        <v>0</v>
      </c>
    </row>
    <row r="274" spans="1:13" x14ac:dyDescent="0.25">
      <c r="A274" s="248"/>
      <c r="G274" s="217"/>
      <c r="H274" s="231">
        <v>269</v>
      </c>
      <c r="I274" s="232" t="str">
        <f t="shared" si="22"/>
        <v/>
      </c>
      <c r="J274" s="231" t="e">
        <f t="shared" si="25"/>
        <v>#NUM!</v>
      </c>
      <c r="K274" s="231" t="e">
        <f t="shared" si="23"/>
        <v>#NUM!</v>
      </c>
      <c r="L274" s="231"/>
      <c r="M274" s="233">
        <f t="shared" si="24"/>
        <v>0</v>
      </c>
    </row>
    <row r="275" spans="1:13" x14ac:dyDescent="0.25">
      <c r="A275" s="248"/>
      <c r="G275" s="217"/>
      <c r="H275" s="234">
        <v>270</v>
      </c>
      <c r="I275" s="232" t="str">
        <f t="shared" si="22"/>
        <v/>
      </c>
      <c r="J275" s="231" t="e">
        <f t="shared" si="25"/>
        <v>#NUM!</v>
      </c>
      <c r="K275" s="231" t="e">
        <f t="shared" si="23"/>
        <v>#NUM!</v>
      </c>
      <c r="L275" s="231"/>
      <c r="M275" s="233">
        <f t="shared" si="24"/>
        <v>0</v>
      </c>
    </row>
    <row r="276" spans="1:13" x14ac:dyDescent="0.25">
      <c r="A276" s="248"/>
      <c r="G276" s="217"/>
      <c r="H276" s="231">
        <v>271</v>
      </c>
      <c r="I276" s="232" t="str">
        <f t="shared" si="22"/>
        <v/>
      </c>
      <c r="J276" s="231" t="e">
        <f t="shared" si="25"/>
        <v>#NUM!</v>
      </c>
      <c r="K276" s="231" t="e">
        <f t="shared" si="23"/>
        <v>#NUM!</v>
      </c>
      <c r="L276" s="231"/>
      <c r="M276" s="233">
        <f t="shared" si="24"/>
        <v>0</v>
      </c>
    </row>
    <row r="277" spans="1:13" x14ac:dyDescent="0.25">
      <c r="A277" s="248"/>
      <c r="G277" s="217"/>
      <c r="H277" s="234">
        <v>272</v>
      </c>
      <c r="I277" s="232" t="str">
        <f t="shared" si="22"/>
        <v/>
      </c>
      <c r="J277" s="231" t="e">
        <f t="shared" si="25"/>
        <v>#NUM!</v>
      </c>
      <c r="K277" s="231" t="e">
        <f t="shared" si="23"/>
        <v>#NUM!</v>
      </c>
      <c r="L277" s="231"/>
      <c r="M277" s="233">
        <f t="shared" si="24"/>
        <v>0</v>
      </c>
    </row>
    <row r="278" spans="1:13" x14ac:dyDescent="0.25">
      <c r="A278" s="248"/>
      <c r="G278" s="217"/>
      <c r="H278" s="231">
        <v>273</v>
      </c>
      <c r="I278" s="232" t="str">
        <f t="shared" si="22"/>
        <v/>
      </c>
      <c r="J278" s="231" t="e">
        <f t="shared" si="25"/>
        <v>#NUM!</v>
      </c>
      <c r="K278" s="231" t="e">
        <f t="shared" si="23"/>
        <v>#NUM!</v>
      </c>
      <c r="L278" s="231"/>
      <c r="M278" s="233">
        <f t="shared" si="24"/>
        <v>0</v>
      </c>
    </row>
    <row r="279" spans="1:13" x14ac:dyDescent="0.25">
      <c r="A279" s="248"/>
      <c r="G279" s="217"/>
      <c r="H279" s="234">
        <v>274</v>
      </c>
      <c r="I279" s="232" t="str">
        <f t="shared" si="22"/>
        <v/>
      </c>
      <c r="J279" s="231" t="e">
        <f t="shared" si="25"/>
        <v>#NUM!</v>
      </c>
      <c r="K279" s="231" t="e">
        <f t="shared" si="23"/>
        <v>#NUM!</v>
      </c>
      <c r="L279" s="231"/>
      <c r="M279" s="233">
        <f t="shared" si="24"/>
        <v>0</v>
      </c>
    </row>
    <row r="280" spans="1:13" x14ac:dyDescent="0.25">
      <c r="A280" s="248"/>
      <c r="G280" s="217"/>
      <c r="H280" s="231">
        <v>275</v>
      </c>
      <c r="I280" s="232" t="str">
        <f t="shared" si="22"/>
        <v/>
      </c>
      <c r="J280" s="231" t="e">
        <f t="shared" si="25"/>
        <v>#NUM!</v>
      </c>
      <c r="K280" s="231" t="e">
        <f t="shared" si="23"/>
        <v>#NUM!</v>
      </c>
      <c r="L280" s="231"/>
      <c r="M280" s="233">
        <f t="shared" si="24"/>
        <v>0</v>
      </c>
    </row>
    <row r="281" spans="1:13" x14ac:dyDescent="0.25">
      <c r="A281" s="248"/>
      <c r="G281" s="217"/>
      <c r="H281" s="234">
        <v>276</v>
      </c>
      <c r="I281" s="232" t="str">
        <f t="shared" si="22"/>
        <v/>
      </c>
      <c r="J281" s="231" t="e">
        <f t="shared" si="25"/>
        <v>#NUM!</v>
      </c>
      <c r="K281" s="231" t="e">
        <f t="shared" si="23"/>
        <v>#NUM!</v>
      </c>
      <c r="L281" s="231"/>
      <c r="M281" s="233">
        <f t="shared" si="24"/>
        <v>0</v>
      </c>
    </row>
    <row r="282" spans="1:13" x14ac:dyDescent="0.25">
      <c r="A282" s="248"/>
      <c r="G282" s="217"/>
      <c r="H282" s="231">
        <v>277</v>
      </c>
      <c r="I282" s="232" t="str">
        <f t="shared" si="22"/>
        <v/>
      </c>
      <c r="J282" s="231" t="e">
        <f t="shared" si="25"/>
        <v>#NUM!</v>
      </c>
      <c r="K282" s="231" t="e">
        <f t="shared" si="23"/>
        <v>#NUM!</v>
      </c>
      <c r="L282" s="231"/>
      <c r="M282" s="233">
        <f t="shared" si="24"/>
        <v>0</v>
      </c>
    </row>
    <row r="283" spans="1:13" x14ac:dyDescent="0.25">
      <c r="A283" s="248"/>
      <c r="G283" s="217"/>
      <c r="H283" s="234">
        <v>278</v>
      </c>
      <c r="I283" s="232" t="str">
        <f t="shared" si="22"/>
        <v/>
      </c>
      <c r="J283" s="231" t="e">
        <f t="shared" si="25"/>
        <v>#NUM!</v>
      </c>
      <c r="K283" s="231" t="e">
        <f t="shared" si="23"/>
        <v>#NUM!</v>
      </c>
      <c r="L283" s="231"/>
      <c r="M283" s="233">
        <f t="shared" si="24"/>
        <v>0</v>
      </c>
    </row>
    <row r="284" spans="1:13" x14ac:dyDescent="0.25">
      <c r="A284" s="248"/>
      <c r="G284" s="217"/>
      <c r="H284" s="231">
        <v>279</v>
      </c>
      <c r="I284" s="232" t="str">
        <f t="shared" si="22"/>
        <v/>
      </c>
      <c r="J284" s="231" t="e">
        <f t="shared" si="25"/>
        <v>#NUM!</v>
      </c>
      <c r="K284" s="231" t="e">
        <f t="shared" si="23"/>
        <v>#NUM!</v>
      </c>
      <c r="L284" s="231"/>
      <c r="M284" s="233">
        <f t="shared" si="24"/>
        <v>0</v>
      </c>
    </row>
    <row r="285" spans="1:13" x14ac:dyDescent="0.25">
      <c r="A285" s="248"/>
      <c r="G285" s="217"/>
      <c r="H285" s="234">
        <v>280</v>
      </c>
      <c r="I285" s="232" t="str">
        <f t="shared" si="22"/>
        <v/>
      </c>
      <c r="J285" s="231" t="e">
        <f t="shared" si="25"/>
        <v>#NUM!</v>
      </c>
      <c r="K285" s="231" t="e">
        <f t="shared" si="23"/>
        <v>#NUM!</v>
      </c>
      <c r="L285" s="231"/>
      <c r="M285" s="233">
        <f t="shared" si="24"/>
        <v>0</v>
      </c>
    </row>
    <row r="286" spans="1:13" x14ac:dyDescent="0.25">
      <c r="A286" s="248"/>
      <c r="G286" s="217"/>
      <c r="H286" s="231">
        <v>281</v>
      </c>
      <c r="I286" s="232" t="str">
        <f t="shared" si="22"/>
        <v/>
      </c>
      <c r="J286" s="231" t="e">
        <f t="shared" si="25"/>
        <v>#NUM!</v>
      </c>
      <c r="K286" s="231" t="e">
        <f t="shared" si="23"/>
        <v>#NUM!</v>
      </c>
      <c r="L286" s="231"/>
      <c r="M286" s="233">
        <f t="shared" si="24"/>
        <v>0</v>
      </c>
    </row>
    <row r="287" spans="1:13" x14ac:dyDescent="0.25">
      <c r="A287" s="248"/>
      <c r="G287" s="217"/>
      <c r="H287" s="234">
        <v>282</v>
      </c>
      <c r="I287" s="232" t="str">
        <f t="shared" si="22"/>
        <v/>
      </c>
      <c r="J287" s="231" t="e">
        <f t="shared" si="25"/>
        <v>#NUM!</v>
      </c>
      <c r="K287" s="231" t="e">
        <f t="shared" si="23"/>
        <v>#NUM!</v>
      </c>
      <c r="L287" s="231"/>
      <c r="M287" s="233">
        <f t="shared" si="24"/>
        <v>0</v>
      </c>
    </row>
    <row r="288" spans="1:13" x14ac:dyDescent="0.25">
      <c r="A288" s="248"/>
      <c r="G288" s="217"/>
      <c r="H288" s="231">
        <v>283</v>
      </c>
      <c r="I288" s="232" t="str">
        <f t="shared" si="22"/>
        <v/>
      </c>
      <c r="J288" s="231" t="e">
        <f t="shared" si="25"/>
        <v>#NUM!</v>
      </c>
      <c r="K288" s="231" t="e">
        <f t="shared" si="23"/>
        <v>#NUM!</v>
      </c>
      <c r="L288" s="231"/>
      <c r="M288" s="233">
        <f t="shared" si="24"/>
        <v>0</v>
      </c>
    </row>
    <row r="289" spans="1:13" x14ac:dyDescent="0.25">
      <c r="A289" s="248"/>
      <c r="G289" s="217"/>
      <c r="H289" s="234">
        <v>284</v>
      </c>
      <c r="I289" s="232" t="str">
        <f t="shared" si="22"/>
        <v/>
      </c>
      <c r="J289" s="231" t="e">
        <f t="shared" si="25"/>
        <v>#NUM!</v>
      </c>
      <c r="K289" s="231" t="e">
        <f t="shared" si="23"/>
        <v>#NUM!</v>
      </c>
      <c r="L289" s="231"/>
      <c r="M289" s="233">
        <f t="shared" si="24"/>
        <v>0</v>
      </c>
    </row>
    <row r="290" spans="1:13" x14ac:dyDescent="0.25">
      <c r="A290" s="248"/>
      <c r="G290" s="217"/>
      <c r="H290" s="231">
        <v>285</v>
      </c>
      <c r="I290" s="232" t="str">
        <f t="shared" si="22"/>
        <v/>
      </c>
      <c r="J290" s="231" t="e">
        <f t="shared" si="25"/>
        <v>#NUM!</v>
      </c>
      <c r="K290" s="231" t="e">
        <f t="shared" si="23"/>
        <v>#NUM!</v>
      </c>
      <c r="L290" s="231"/>
      <c r="M290" s="233">
        <f t="shared" si="24"/>
        <v>0</v>
      </c>
    </row>
    <row r="291" spans="1:13" x14ac:dyDescent="0.25">
      <c r="A291" s="248"/>
      <c r="G291" s="217"/>
      <c r="H291" s="234">
        <v>286</v>
      </c>
      <c r="I291" s="232" t="str">
        <f t="shared" si="22"/>
        <v/>
      </c>
      <c r="J291" s="231" t="e">
        <f t="shared" si="25"/>
        <v>#NUM!</v>
      </c>
      <c r="K291" s="231" t="e">
        <f t="shared" si="23"/>
        <v>#NUM!</v>
      </c>
      <c r="L291" s="231"/>
      <c r="M291" s="233">
        <f t="shared" si="24"/>
        <v>0</v>
      </c>
    </row>
    <row r="292" spans="1:13" x14ac:dyDescent="0.25">
      <c r="A292" s="248"/>
      <c r="G292" s="217"/>
      <c r="H292" s="231">
        <v>287</v>
      </c>
      <c r="I292" s="232" t="str">
        <f t="shared" si="22"/>
        <v/>
      </c>
      <c r="J292" s="231" t="e">
        <f t="shared" si="25"/>
        <v>#NUM!</v>
      </c>
      <c r="K292" s="231" t="e">
        <f t="shared" si="23"/>
        <v>#NUM!</v>
      </c>
      <c r="L292" s="231"/>
      <c r="M292" s="233">
        <f t="shared" si="24"/>
        <v>0</v>
      </c>
    </row>
    <row r="293" spans="1:13" x14ac:dyDescent="0.25">
      <c r="A293" s="248"/>
      <c r="G293" s="217"/>
      <c r="H293" s="231">
        <v>288</v>
      </c>
      <c r="I293" s="232" t="str">
        <f t="shared" si="22"/>
        <v/>
      </c>
      <c r="J293" s="231" t="e">
        <f t="shared" si="25"/>
        <v>#NUM!</v>
      </c>
      <c r="K293" s="231" t="e">
        <f t="shared" si="23"/>
        <v>#NUM!</v>
      </c>
      <c r="L293" s="231"/>
      <c r="M293" s="233">
        <f t="shared" si="24"/>
        <v>0</v>
      </c>
    </row>
    <row r="294" spans="1:13" x14ac:dyDescent="0.25">
      <c r="A294" s="248"/>
      <c r="G294" s="217"/>
      <c r="H294" s="231">
        <v>289</v>
      </c>
      <c r="I294" s="232" t="str">
        <f t="shared" si="22"/>
        <v/>
      </c>
      <c r="J294" s="231" t="e">
        <f t="shared" si="25"/>
        <v>#NUM!</v>
      </c>
      <c r="K294" s="231" t="e">
        <f t="shared" si="23"/>
        <v>#NUM!</v>
      </c>
      <c r="L294" s="231"/>
      <c r="M294" s="233">
        <f t="shared" si="24"/>
        <v>0</v>
      </c>
    </row>
    <row r="295" spans="1:13" x14ac:dyDescent="0.25">
      <c r="A295" s="248"/>
      <c r="G295" s="217"/>
      <c r="H295" s="231">
        <v>290</v>
      </c>
      <c r="I295" s="232" t="str">
        <f t="shared" si="22"/>
        <v/>
      </c>
      <c r="J295" s="231" t="e">
        <f t="shared" si="25"/>
        <v>#NUM!</v>
      </c>
      <c r="K295" s="231" t="e">
        <f t="shared" si="23"/>
        <v>#NUM!</v>
      </c>
      <c r="L295" s="231"/>
      <c r="M295" s="233">
        <f t="shared" si="24"/>
        <v>0</v>
      </c>
    </row>
    <row r="296" spans="1:13" x14ac:dyDescent="0.25">
      <c r="A296" s="248"/>
      <c r="G296" s="217"/>
      <c r="H296" s="231">
        <v>291</v>
      </c>
      <c r="I296" s="232" t="str">
        <f t="shared" si="22"/>
        <v/>
      </c>
      <c r="J296" s="231" t="e">
        <f t="shared" si="25"/>
        <v>#NUM!</v>
      </c>
      <c r="K296" s="231" t="e">
        <f t="shared" si="23"/>
        <v>#NUM!</v>
      </c>
      <c r="L296" s="231"/>
      <c r="M296" s="233">
        <f t="shared" si="24"/>
        <v>0</v>
      </c>
    </row>
    <row r="297" spans="1:13" x14ac:dyDescent="0.25">
      <c r="A297" s="248"/>
      <c r="G297" s="217"/>
      <c r="H297" s="231">
        <v>292</v>
      </c>
      <c r="I297" s="232" t="str">
        <f t="shared" si="22"/>
        <v/>
      </c>
      <c r="J297" s="231" t="e">
        <f t="shared" si="25"/>
        <v>#NUM!</v>
      </c>
      <c r="K297" s="231" t="e">
        <f t="shared" si="23"/>
        <v>#NUM!</v>
      </c>
      <c r="L297" s="231"/>
      <c r="M297" s="233">
        <f t="shared" si="24"/>
        <v>0</v>
      </c>
    </row>
    <row r="298" spans="1:13" x14ac:dyDescent="0.25">
      <c r="A298" s="248"/>
      <c r="G298" s="217"/>
      <c r="H298" s="231">
        <v>293</v>
      </c>
      <c r="I298" s="232" t="str">
        <f t="shared" si="22"/>
        <v/>
      </c>
      <c r="J298" s="231" t="e">
        <f t="shared" si="25"/>
        <v>#NUM!</v>
      </c>
      <c r="K298" s="231" t="e">
        <f t="shared" si="23"/>
        <v>#NUM!</v>
      </c>
      <c r="L298" s="231"/>
      <c r="M298" s="233">
        <f t="shared" si="24"/>
        <v>0</v>
      </c>
    </row>
    <row r="299" spans="1:13" x14ac:dyDescent="0.25">
      <c r="A299" s="248"/>
      <c r="G299" s="217"/>
      <c r="H299" s="231">
        <v>294</v>
      </c>
      <c r="I299" s="232" t="str">
        <f t="shared" si="22"/>
        <v/>
      </c>
      <c r="J299" s="231" t="e">
        <f t="shared" si="25"/>
        <v>#NUM!</v>
      </c>
      <c r="K299" s="231" t="e">
        <f t="shared" si="23"/>
        <v>#NUM!</v>
      </c>
      <c r="L299" s="231"/>
      <c r="M299" s="233">
        <f t="shared" si="24"/>
        <v>0</v>
      </c>
    </row>
    <row r="300" spans="1:13" x14ac:dyDescent="0.25">
      <c r="A300" s="248"/>
      <c r="G300" s="217"/>
      <c r="H300" s="231">
        <v>295</v>
      </c>
      <c r="I300" s="232" t="str">
        <f t="shared" si="22"/>
        <v/>
      </c>
      <c r="J300" s="231" t="e">
        <f t="shared" si="25"/>
        <v>#NUM!</v>
      </c>
      <c r="K300" s="231" t="e">
        <f t="shared" si="23"/>
        <v>#NUM!</v>
      </c>
      <c r="L300" s="231"/>
      <c r="M300" s="233">
        <f t="shared" si="24"/>
        <v>0</v>
      </c>
    </row>
    <row r="301" spans="1:13" x14ac:dyDescent="0.25">
      <c r="A301" s="248"/>
      <c r="G301" s="217"/>
      <c r="H301" s="231">
        <v>296</v>
      </c>
      <c r="I301" s="232" t="str">
        <f t="shared" si="22"/>
        <v/>
      </c>
      <c r="J301" s="231" t="e">
        <f t="shared" si="25"/>
        <v>#NUM!</v>
      </c>
      <c r="K301" s="231" t="e">
        <f t="shared" si="23"/>
        <v>#NUM!</v>
      </c>
      <c r="L301" s="231"/>
      <c r="M301" s="233">
        <f t="shared" si="24"/>
        <v>0</v>
      </c>
    </row>
    <row r="302" spans="1:13" x14ac:dyDescent="0.25">
      <c r="A302" s="248"/>
      <c r="G302" s="217"/>
      <c r="H302" s="231">
        <v>297</v>
      </c>
      <c r="I302" s="232" t="str">
        <f t="shared" si="22"/>
        <v/>
      </c>
      <c r="J302" s="231" t="e">
        <f t="shared" si="25"/>
        <v>#NUM!</v>
      </c>
      <c r="K302" s="231" t="e">
        <f t="shared" si="23"/>
        <v>#NUM!</v>
      </c>
      <c r="L302" s="231"/>
      <c r="M302" s="233">
        <f t="shared" si="24"/>
        <v>0</v>
      </c>
    </row>
    <row r="303" spans="1:13" x14ac:dyDescent="0.25">
      <c r="A303" s="248"/>
      <c r="G303" s="217"/>
      <c r="H303" s="231">
        <v>298</v>
      </c>
      <c r="I303" s="232" t="str">
        <f t="shared" si="22"/>
        <v/>
      </c>
      <c r="J303" s="231" t="e">
        <f t="shared" si="25"/>
        <v>#NUM!</v>
      </c>
      <c r="K303" s="231" t="e">
        <f t="shared" si="23"/>
        <v>#NUM!</v>
      </c>
      <c r="L303" s="231"/>
      <c r="M303" s="233">
        <f t="shared" si="24"/>
        <v>0</v>
      </c>
    </row>
    <row r="304" spans="1:13" x14ac:dyDescent="0.25">
      <c r="A304" s="248"/>
      <c r="G304" s="217"/>
      <c r="H304" s="231">
        <v>299</v>
      </c>
      <c r="I304" s="232" t="str">
        <f t="shared" si="22"/>
        <v/>
      </c>
      <c r="J304" s="231" t="e">
        <f t="shared" si="25"/>
        <v>#NUM!</v>
      </c>
      <c r="K304" s="231" t="e">
        <f t="shared" si="23"/>
        <v>#NUM!</v>
      </c>
      <c r="L304" s="231"/>
      <c r="M304" s="233">
        <f t="shared" si="24"/>
        <v>0</v>
      </c>
    </row>
    <row r="305" spans="1:16" x14ac:dyDescent="0.25">
      <c r="A305" s="248"/>
      <c r="G305" s="217"/>
      <c r="H305" s="231">
        <v>300</v>
      </c>
      <c r="I305" s="232" t="str">
        <f t="shared" si="22"/>
        <v/>
      </c>
      <c r="J305" s="231" t="e">
        <f t="shared" si="25"/>
        <v>#NUM!</v>
      </c>
      <c r="K305" s="231" t="e">
        <f t="shared" si="23"/>
        <v>#NUM!</v>
      </c>
      <c r="L305" s="231"/>
      <c r="M305" s="233">
        <f t="shared" si="24"/>
        <v>0</v>
      </c>
    </row>
    <row r="306" spans="1:16" x14ac:dyDescent="0.25">
      <c r="A306" s="249"/>
    </row>
    <row r="314" spans="1:16" x14ac:dyDescent="0.25">
      <c r="L314" s="252"/>
      <c r="P314" s="242"/>
    </row>
    <row r="315" spans="1:16" x14ac:dyDescent="0.25">
      <c r="L315" s="252"/>
      <c r="P315" s="242"/>
    </row>
    <row r="316" spans="1:16" x14ac:dyDescent="0.25">
      <c r="L316" s="252"/>
      <c r="P316" s="242"/>
    </row>
    <row r="317" spans="1:16" x14ac:dyDescent="0.25">
      <c r="L317" s="252"/>
      <c r="P317" s="242"/>
    </row>
  </sheetData>
  <conditionalFormatting sqref="J6:K305">
    <cfRule type="cellIs" dxfId="16" priority="1" operator="lessThanOrEqual">
      <formula>0</formula>
    </cfRule>
  </conditionalFormatting>
  <hyperlinks>
    <hyperlink ref="C2" r:id="rId1" xr:uid="{E489EA58-AFE3-4365-A5F6-B1BF44DA4E3C}"/>
  </hyperlinks>
  <pageMargins left="0.7" right="0.7" top="0.75" bottom="0.75" header="0.3" footer="0.3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823351-2BF1-4050-9657-AD2B3FF9D22C}">
  <sheetPr>
    <tabColor rgb="FF92D050"/>
  </sheetPr>
  <dimension ref="A1:AL317"/>
  <sheetViews>
    <sheetView workbookViewId="0">
      <selection activeCell="C3" sqref="C3"/>
    </sheetView>
  </sheetViews>
  <sheetFormatPr defaultColWidth="8.875" defaultRowHeight="14.3" x14ac:dyDescent="0.25"/>
  <cols>
    <col min="1" max="1" width="8" style="115" customWidth="1"/>
    <col min="2" max="2" width="8.25" style="115" customWidth="1"/>
    <col min="3" max="3" width="34.75" style="115" customWidth="1"/>
    <col min="4" max="4" width="11.25" style="115" customWidth="1"/>
    <col min="5" max="6" width="8.875" style="115"/>
    <col min="7" max="7" width="0.875" style="115" customWidth="1"/>
    <col min="8" max="8" width="8.875" style="118"/>
    <col min="9" max="9" width="11" style="118" customWidth="1"/>
    <col min="10" max="10" width="15.25" style="118" customWidth="1"/>
    <col min="11" max="11" width="8.75" style="118" customWidth="1"/>
    <col min="12" max="12" width="11" style="118" customWidth="1"/>
    <col min="13" max="13" width="12.25" style="119" customWidth="1"/>
    <col min="14" max="15" width="13.875" style="80" customWidth="1"/>
    <col min="16" max="18" width="8.875" style="80"/>
    <col min="19" max="20" width="8.875" style="85"/>
    <col min="21" max="21" width="12.125" style="85" customWidth="1"/>
    <col min="22" max="22" width="27.375" style="85" customWidth="1"/>
    <col min="23" max="38" width="8.875" style="85"/>
    <col min="39" max="16384" width="8.875" style="115"/>
  </cols>
  <sheetData>
    <row r="1" spans="1:36" s="85" customFormat="1" x14ac:dyDescent="0.25">
      <c r="A1" s="80"/>
      <c r="B1" s="80"/>
      <c r="C1" s="80"/>
      <c r="D1" s="80"/>
      <c r="E1" s="80"/>
      <c r="F1" s="80"/>
      <c r="G1" s="80"/>
      <c r="H1" s="81" t="s">
        <v>20</v>
      </c>
      <c r="I1" s="82" t="s">
        <v>21</v>
      </c>
      <c r="J1" s="82" t="s">
        <v>22</v>
      </c>
      <c r="K1" s="83" t="s">
        <v>84</v>
      </c>
      <c r="L1" s="84"/>
      <c r="M1" s="84"/>
      <c r="N1" s="80"/>
      <c r="O1" s="80"/>
      <c r="P1" s="80"/>
      <c r="Q1" s="80"/>
      <c r="R1" s="80"/>
    </row>
    <row r="2" spans="1:36" s="85" customFormat="1" x14ac:dyDescent="0.25">
      <c r="A2" s="80"/>
      <c r="B2" s="19" t="s">
        <v>24</v>
      </c>
      <c r="C2" s="68" t="s">
        <v>93</v>
      </c>
      <c r="D2" s="67"/>
      <c r="E2" s="20"/>
      <c r="F2" s="20"/>
      <c r="G2" s="20"/>
      <c r="H2" s="86">
        <v>0</v>
      </c>
      <c r="I2" s="87">
        <v>50</v>
      </c>
      <c r="J2" s="87">
        <v>10</v>
      </c>
      <c r="K2" s="121">
        <f>3*H2^(1/3)</f>
        <v>0</v>
      </c>
      <c r="L2" s="84"/>
      <c r="M2" s="84"/>
      <c r="N2" s="80"/>
      <c r="O2" s="80"/>
      <c r="P2" s="80"/>
      <c r="Q2" s="80"/>
      <c r="R2" s="80"/>
    </row>
    <row r="3" spans="1:36" s="85" customFormat="1" x14ac:dyDescent="0.25">
      <c r="A3" s="80"/>
      <c r="B3" s="89" t="s">
        <v>26</v>
      </c>
      <c r="C3" s="68" t="s">
        <v>94</v>
      </c>
      <c r="D3" s="68"/>
      <c r="E3" s="25"/>
      <c r="F3" s="25"/>
      <c r="G3" s="25"/>
      <c r="H3" s="84"/>
      <c r="I3" s="84"/>
      <c r="J3" s="90"/>
      <c r="K3" s="84"/>
      <c r="L3" s="84"/>
      <c r="M3" s="84"/>
      <c r="N3" s="80"/>
      <c r="O3" s="80"/>
      <c r="P3" s="80"/>
      <c r="Q3" s="80"/>
      <c r="R3" s="80"/>
    </row>
    <row r="4" spans="1:36" s="85" customFormat="1" ht="10.199999999999999" customHeight="1" x14ac:dyDescent="0.25">
      <c r="A4" s="27"/>
      <c r="B4" s="25"/>
      <c r="C4" s="27"/>
      <c r="D4" s="27"/>
      <c r="E4" s="27"/>
      <c r="F4" s="27"/>
      <c r="G4" s="27"/>
      <c r="H4" s="84"/>
      <c r="I4" s="84"/>
      <c r="J4" s="90"/>
      <c r="K4" s="84"/>
      <c r="L4" s="84"/>
      <c r="M4" s="84"/>
      <c r="N4" s="80"/>
      <c r="O4" s="80"/>
      <c r="P4" s="80"/>
      <c r="Q4" s="80"/>
      <c r="R4" s="80"/>
    </row>
    <row r="5" spans="1:36" s="85" customFormat="1" ht="34.65" x14ac:dyDescent="0.25">
      <c r="A5" s="1" t="s">
        <v>28</v>
      </c>
      <c r="B5" s="28" t="s">
        <v>29</v>
      </c>
      <c r="C5" s="1" t="s">
        <v>30</v>
      </c>
      <c r="D5" s="1" t="s">
        <v>31</v>
      </c>
      <c r="E5" s="1" t="s">
        <v>32</v>
      </c>
      <c r="F5" s="1" t="s">
        <v>33</v>
      </c>
      <c r="G5" s="27"/>
      <c r="H5" s="91" t="s">
        <v>34</v>
      </c>
      <c r="I5" s="92" t="s">
        <v>35</v>
      </c>
      <c r="J5" s="93" t="s">
        <v>36</v>
      </c>
      <c r="K5" s="92" t="s">
        <v>37</v>
      </c>
      <c r="L5" s="92" t="s">
        <v>38</v>
      </c>
      <c r="M5" s="91" t="s">
        <v>39</v>
      </c>
      <c r="N5" s="80"/>
      <c r="O5" s="80"/>
      <c r="P5" s="80"/>
      <c r="Q5" s="80"/>
      <c r="R5" s="80"/>
    </row>
    <row r="6" spans="1:36" s="85" customFormat="1" ht="14.45" customHeight="1" x14ac:dyDescent="0.25">
      <c r="A6" s="94">
        <f t="shared" ref="A6:A37" si="0">M6</f>
        <v>0</v>
      </c>
      <c r="B6" s="33" t="str">
        <f>IF(H6&gt;$H$2,"",(ROW()-5))</f>
        <v/>
      </c>
      <c r="C6" s="34"/>
      <c r="D6" s="34"/>
      <c r="E6" s="34"/>
      <c r="F6" s="34"/>
      <c r="G6" s="27"/>
      <c r="H6" s="95">
        <v>1</v>
      </c>
      <c r="I6" s="96" t="str">
        <f t="shared" ref="I6:I69" si="1">IF(H6&lt;$H$2+1,($I$2-($I$2-1)*(LOG(H6)/LOG($H$2))),"")</f>
        <v/>
      </c>
      <c r="J6" s="95" t="e">
        <f t="shared" ref="J6:J69" si="2">INT(LOG($H$2,2))-ROUNDUP(LOG(H6,2),0)+IF(OR($H$2=1,$H$2=2,$H$2=4,$H$2=8,$H$2=16,$H$2=32,$H$2=64,$H$2=128,$H$2=256),0,1)</f>
        <v>#NUM!</v>
      </c>
      <c r="K6" s="95" t="e">
        <f t="shared" ref="K6:K69" si="3">J6*$J$2</f>
        <v>#NUM!</v>
      </c>
      <c r="L6" s="97">
        <f>3*K2</f>
        <v>0</v>
      </c>
      <c r="M6" s="97">
        <f t="shared" ref="M6:M69" si="4">IF(I6&lt;&gt;"",K6+I6+L6,0)</f>
        <v>0</v>
      </c>
      <c r="N6" s="80"/>
      <c r="O6" s="80"/>
      <c r="P6" s="80"/>
      <c r="Q6" s="80"/>
      <c r="R6" s="80"/>
    </row>
    <row r="7" spans="1:36" s="85" customFormat="1" ht="14.45" customHeight="1" x14ac:dyDescent="0.25">
      <c r="A7" s="98">
        <f t="shared" si="0"/>
        <v>0</v>
      </c>
      <c r="B7" s="39" t="str">
        <f>IF(H7&gt;$H$2,"",(ROW()-5))</f>
        <v/>
      </c>
      <c r="C7" s="40"/>
      <c r="D7" s="40"/>
      <c r="E7" s="40"/>
      <c r="F7" s="40"/>
      <c r="G7" s="27"/>
      <c r="H7" s="99">
        <v>2</v>
      </c>
      <c r="I7" s="100" t="str">
        <f t="shared" si="1"/>
        <v/>
      </c>
      <c r="J7" s="99" t="e">
        <f t="shared" si="2"/>
        <v>#NUM!</v>
      </c>
      <c r="K7" s="99" t="e">
        <f t="shared" si="3"/>
        <v>#NUM!</v>
      </c>
      <c r="L7" s="101">
        <f>2*K2</f>
        <v>0</v>
      </c>
      <c r="M7" s="101">
        <f t="shared" si="4"/>
        <v>0</v>
      </c>
      <c r="N7" s="80"/>
      <c r="O7" s="80"/>
      <c r="P7" s="80"/>
      <c r="Q7" s="80"/>
      <c r="R7" s="80"/>
    </row>
    <row r="8" spans="1:36" s="85" customFormat="1" ht="14.45" customHeight="1" x14ac:dyDescent="0.25">
      <c r="A8" s="94">
        <f t="shared" si="0"/>
        <v>0</v>
      </c>
      <c r="B8" s="33" t="str">
        <f>IF(H8&gt;$H$2,"",(ROW()-5))</f>
        <v/>
      </c>
      <c r="C8" s="34"/>
      <c r="D8" s="34"/>
      <c r="E8" s="34"/>
      <c r="F8" s="34"/>
      <c r="G8" s="27"/>
      <c r="H8" s="95">
        <v>3</v>
      </c>
      <c r="I8" s="96" t="str">
        <f t="shared" si="1"/>
        <v/>
      </c>
      <c r="J8" s="95" t="e">
        <f t="shared" si="2"/>
        <v>#NUM!</v>
      </c>
      <c r="K8" s="95" t="e">
        <f t="shared" si="3"/>
        <v>#NUM!</v>
      </c>
      <c r="L8" s="97">
        <f>K2</f>
        <v>0</v>
      </c>
      <c r="M8" s="97">
        <f t="shared" si="4"/>
        <v>0</v>
      </c>
      <c r="N8" s="80"/>
      <c r="O8" s="80"/>
      <c r="P8" s="80"/>
      <c r="Q8" s="80"/>
      <c r="R8" s="80"/>
    </row>
    <row r="9" spans="1:36" s="85" customFormat="1" ht="14.45" customHeight="1" x14ac:dyDescent="0.25">
      <c r="A9" s="98">
        <f t="shared" si="0"/>
        <v>0</v>
      </c>
      <c r="B9" s="39" t="str">
        <f>IF(H9&gt;$H$2,"",3)</f>
        <v/>
      </c>
      <c r="C9" s="40"/>
      <c r="D9" s="40"/>
      <c r="E9" s="40"/>
      <c r="F9" s="40"/>
      <c r="G9" s="27"/>
      <c r="H9" s="99">
        <v>3</v>
      </c>
      <c r="I9" s="100" t="str">
        <f t="shared" si="1"/>
        <v/>
      </c>
      <c r="J9" s="99" t="e">
        <f t="shared" si="2"/>
        <v>#NUM!</v>
      </c>
      <c r="K9" s="99" t="e">
        <f t="shared" si="3"/>
        <v>#NUM!</v>
      </c>
      <c r="L9" s="101">
        <f>K2</f>
        <v>0</v>
      </c>
      <c r="M9" s="101">
        <f t="shared" si="4"/>
        <v>0</v>
      </c>
      <c r="N9" s="80"/>
      <c r="O9" s="80"/>
      <c r="P9" s="80"/>
      <c r="Q9" s="80"/>
      <c r="R9" s="80"/>
      <c r="V9" s="102"/>
      <c r="Z9" s="103"/>
      <c r="AA9" s="103"/>
      <c r="AG9" s="104"/>
      <c r="AH9" s="85" t="s">
        <v>40</v>
      </c>
      <c r="AI9" s="85">
        <v>23</v>
      </c>
    </row>
    <row r="10" spans="1:36" s="85" customFormat="1" ht="14.45" customHeight="1" x14ac:dyDescent="0.25">
      <c r="A10" s="94">
        <f t="shared" si="0"/>
        <v>0</v>
      </c>
      <c r="B10" s="33" t="str">
        <f t="shared" ref="B10:B41" si="5">IF(H10&gt;$H$2,"",(ROW()-5))</f>
        <v/>
      </c>
      <c r="C10" s="34"/>
      <c r="D10" s="34"/>
      <c r="E10" s="34"/>
      <c r="F10" s="34"/>
      <c r="G10" s="27"/>
      <c r="H10" s="95">
        <v>5</v>
      </c>
      <c r="I10" s="96" t="str">
        <f t="shared" si="1"/>
        <v/>
      </c>
      <c r="J10" s="95" t="e">
        <f t="shared" si="2"/>
        <v>#NUM!</v>
      </c>
      <c r="K10" s="95" t="e">
        <f t="shared" si="3"/>
        <v>#NUM!</v>
      </c>
      <c r="L10" s="95"/>
      <c r="M10" s="97">
        <f t="shared" si="4"/>
        <v>0</v>
      </c>
      <c r="N10" s="80"/>
      <c r="O10" s="80"/>
      <c r="P10" s="80"/>
      <c r="Q10" s="80"/>
      <c r="R10" s="80"/>
      <c r="V10" s="102"/>
      <c r="Z10" s="103"/>
      <c r="AA10" s="103"/>
      <c r="AG10" s="104"/>
      <c r="AH10" s="85" t="s">
        <v>41</v>
      </c>
      <c r="AI10" s="85">
        <v>45</v>
      </c>
    </row>
    <row r="11" spans="1:36" s="85" customFormat="1" ht="14.45" customHeight="1" x14ac:dyDescent="0.25">
      <c r="A11" s="98">
        <f t="shared" si="0"/>
        <v>0</v>
      </c>
      <c r="B11" s="39" t="str">
        <f t="shared" si="5"/>
        <v/>
      </c>
      <c r="C11" s="40"/>
      <c r="D11" s="40"/>
      <c r="E11" s="40"/>
      <c r="F11" s="40"/>
      <c r="G11" s="27"/>
      <c r="H11" s="99">
        <v>6</v>
      </c>
      <c r="I11" s="100" t="str">
        <f t="shared" si="1"/>
        <v/>
      </c>
      <c r="J11" s="99" t="e">
        <f t="shared" si="2"/>
        <v>#NUM!</v>
      </c>
      <c r="K11" s="99" t="e">
        <f t="shared" si="3"/>
        <v>#NUM!</v>
      </c>
      <c r="L11" s="99"/>
      <c r="M11" s="101">
        <f t="shared" si="4"/>
        <v>0</v>
      </c>
      <c r="N11" s="80"/>
      <c r="O11" s="80"/>
      <c r="P11" s="80"/>
      <c r="Q11" s="80"/>
      <c r="R11" s="80"/>
      <c r="V11" s="105"/>
      <c r="Z11" s="103"/>
      <c r="AA11" s="103"/>
      <c r="AG11" s="104"/>
      <c r="AH11" s="85" t="s">
        <v>42</v>
      </c>
      <c r="AI11" s="85">
        <v>50</v>
      </c>
    </row>
    <row r="12" spans="1:36" s="85" customFormat="1" ht="14.45" customHeight="1" x14ac:dyDescent="0.25">
      <c r="A12" s="94">
        <f t="shared" si="0"/>
        <v>0</v>
      </c>
      <c r="B12" s="33" t="str">
        <f t="shared" si="5"/>
        <v/>
      </c>
      <c r="C12" s="34"/>
      <c r="D12" s="34"/>
      <c r="E12" s="34"/>
      <c r="F12" s="34"/>
      <c r="G12" s="27"/>
      <c r="H12" s="95">
        <v>7</v>
      </c>
      <c r="I12" s="96" t="str">
        <f t="shared" si="1"/>
        <v/>
      </c>
      <c r="J12" s="95" t="e">
        <f t="shared" si="2"/>
        <v>#NUM!</v>
      </c>
      <c r="K12" s="95" t="e">
        <f t="shared" si="3"/>
        <v>#NUM!</v>
      </c>
      <c r="L12" s="95"/>
      <c r="M12" s="97">
        <f t="shared" si="4"/>
        <v>0</v>
      </c>
      <c r="N12" s="80"/>
      <c r="O12" s="80"/>
      <c r="P12" s="80"/>
      <c r="Q12" s="80"/>
      <c r="R12" s="80"/>
      <c r="Z12" s="103"/>
      <c r="AA12" s="103"/>
      <c r="AG12" s="104"/>
      <c r="AH12" s="85" t="s">
        <v>43</v>
      </c>
      <c r="AI12" s="85">
        <f>AI11-1</f>
        <v>49</v>
      </c>
    </row>
    <row r="13" spans="1:36" s="85" customFormat="1" ht="14.45" customHeight="1" x14ac:dyDescent="0.25">
      <c r="A13" s="98">
        <f t="shared" si="0"/>
        <v>0</v>
      </c>
      <c r="B13" s="39" t="str">
        <f t="shared" si="5"/>
        <v/>
      </c>
      <c r="C13" s="40"/>
      <c r="D13" s="40"/>
      <c r="E13" s="40"/>
      <c r="F13" s="40"/>
      <c r="G13" s="27"/>
      <c r="H13" s="99">
        <v>8</v>
      </c>
      <c r="I13" s="100" t="str">
        <f t="shared" si="1"/>
        <v/>
      </c>
      <c r="J13" s="99" t="e">
        <f t="shared" si="2"/>
        <v>#NUM!</v>
      </c>
      <c r="K13" s="99" t="e">
        <f t="shared" si="3"/>
        <v>#NUM!</v>
      </c>
      <c r="L13" s="99"/>
      <c r="M13" s="101">
        <f t="shared" si="4"/>
        <v>0</v>
      </c>
      <c r="N13" s="80"/>
      <c r="O13" s="80"/>
      <c r="P13" s="80"/>
      <c r="Q13" s="80"/>
      <c r="R13" s="80"/>
      <c r="X13" s="102"/>
      <c r="AG13" s="104"/>
      <c r="AH13" s="85" t="s">
        <v>44</v>
      </c>
      <c r="AI13" s="85">
        <f>LOG(AI9)</f>
        <v>1.3617278360175928</v>
      </c>
    </row>
    <row r="14" spans="1:36" s="85" customFormat="1" x14ac:dyDescent="0.25">
      <c r="A14" s="94">
        <f t="shared" si="0"/>
        <v>0</v>
      </c>
      <c r="B14" s="33" t="str">
        <f t="shared" si="5"/>
        <v/>
      </c>
      <c r="C14" s="34"/>
      <c r="D14" s="34"/>
      <c r="E14" s="34"/>
      <c r="F14" s="34"/>
      <c r="G14" s="27"/>
      <c r="H14" s="95">
        <v>9</v>
      </c>
      <c r="I14" s="96" t="str">
        <f t="shared" si="1"/>
        <v/>
      </c>
      <c r="J14" s="95" t="e">
        <f t="shared" si="2"/>
        <v>#NUM!</v>
      </c>
      <c r="K14" s="95" t="e">
        <f t="shared" si="3"/>
        <v>#NUM!</v>
      </c>
      <c r="L14" s="95"/>
      <c r="M14" s="97">
        <f t="shared" si="4"/>
        <v>0</v>
      </c>
      <c r="N14" s="80"/>
      <c r="O14" s="80"/>
      <c r="P14" s="80"/>
      <c r="Q14" s="80"/>
      <c r="R14" s="80"/>
      <c r="X14" s="106"/>
      <c r="Z14" s="103"/>
      <c r="AA14" s="103"/>
      <c r="AG14" s="104"/>
      <c r="AH14" s="85" t="s">
        <v>45</v>
      </c>
      <c r="AI14" s="85">
        <f>LOG(AI10)</f>
        <v>1.6532125137753437</v>
      </c>
    </row>
    <row r="15" spans="1:36" s="85" customFormat="1" x14ac:dyDescent="0.25">
      <c r="A15" s="98">
        <f t="shared" si="0"/>
        <v>0</v>
      </c>
      <c r="B15" s="39" t="str">
        <f t="shared" si="5"/>
        <v/>
      </c>
      <c r="C15" s="40"/>
      <c r="D15" s="40"/>
      <c r="E15" s="40"/>
      <c r="F15" s="40"/>
      <c r="G15" s="27"/>
      <c r="H15" s="99">
        <v>10</v>
      </c>
      <c r="I15" s="100" t="str">
        <f t="shared" si="1"/>
        <v/>
      </c>
      <c r="J15" s="99" t="e">
        <f t="shared" si="2"/>
        <v>#NUM!</v>
      </c>
      <c r="K15" s="99" t="e">
        <f t="shared" si="3"/>
        <v>#NUM!</v>
      </c>
      <c r="L15" s="99"/>
      <c r="M15" s="101">
        <f t="shared" si="4"/>
        <v>0</v>
      </c>
      <c r="N15" s="80"/>
      <c r="O15" s="80"/>
      <c r="P15" s="80"/>
      <c r="Q15" s="80"/>
      <c r="R15" s="80"/>
      <c r="X15" s="102"/>
      <c r="Z15" s="103"/>
      <c r="AA15" s="103"/>
    </row>
    <row r="16" spans="1:36" s="85" customFormat="1" x14ac:dyDescent="0.25">
      <c r="A16" s="94">
        <f t="shared" si="0"/>
        <v>0</v>
      </c>
      <c r="B16" s="33" t="str">
        <f t="shared" si="5"/>
        <v/>
      </c>
      <c r="C16" s="34"/>
      <c r="D16" s="34"/>
      <c r="E16" s="34"/>
      <c r="F16" s="34"/>
      <c r="G16" s="27"/>
      <c r="H16" s="95">
        <v>11</v>
      </c>
      <c r="I16" s="96" t="str">
        <f t="shared" si="1"/>
        <v/>
      </c>
      <c r="J16" s="95" t="e">
        <f t="shared" si="2"/>
        <v>#NUM!</v>
      </c>
      <c r="K16" s="95" t="e">
        <f t="shared" si="3"/>
        <v>#NUM!</v>
      </c>
      <c r="L16" s="95"/>
      <c r="M16" s="97">
        <f t="shared" si="4"/>
        <v>0</v>
      </c>
      <c r="N16" s="80"/>
      <c r="O16" s="80"/>
      <c r="P16" s="80"/>
      <c r="Q16" s="80"/>
      <c r="R16" s="107"/>
      <c r="Z16" s="103"/>
      <c r="AA16" s="103"/>
      <c r="AH16" s="108" t="s">
        <v>46</v>
      </c>
      <c r="AI16" s="85">
        <f>AI11-AI12*AI13/AI14</f>
        <v>9.6393909380186855</v>
      </c>
      <c r="AJ16" s="85" t="s">
        <v>47</v>
      </c>
    </row>
    <row r="17" spans="1:19" s="85" customFormat="1" x14ac:dyDescent="0.25">
      <c r="A17" s="98">
        <f t="shared" si="0"/>
        <v>0</v>
      </c>
      <c r="B17" s="39" t="str">
        <f t="shared" si="5"/>
        <v/>
      </c>
      <c r="C17" s="40"/>
      <c r="D17" s="40"/>
      <c r="E17" s="40"/>
      <c r="F17" s="40"/>
      <c r="G17" s="27"/>
      <c r="H17" s="99">
        <v>12</v>
      </c>
      <c r="I17" s="100" t="str">
        <f t="shared" si="1"/>
        <v/>
      </c>
      <c r="J17" s="99" t="e">
        <f t="shared" si="2"/>
        <v>#NUM!</v>
      </c>
      <c r="K17" s="99" t="e">
        <f t="shared" si="3"/>
        <v>#NUM!</v>
      </c>
      <c r="L17" s="99"/>
      <c r="M17" s="101">
        <f t="shared" si="4"/>
        <v>0</v>
      </c>
      <c r="N17" s="80"/>
      <c r="O17" s="80"/>
      <c r="P17" s="80"/>
      <c r="Q17" s="80"/>
      <c r="R17" s="80"/>
    </row>
    <row r="18" spans="1:19" s="85" customFormat="1" x14ac:dyDescent="0.25">
      <c r="A18" s="94">
        <f t="shared" si="0"/>
        <v>0</v>
      </c>
      <c r="B18" s="33" t="str">
        <f t="shared" si="5"/>
        <v/>
      </c>
      <c r="C18" s="34"/>
      <c r="D18" s="34"/>
      <c r="E18" s="34"/>
      <c r="F18" s="34"/>
      <c r="G18" s="27"/>
      <c r="H18" s="95">
        <v>13</v>
      </c>
      <c r="I18" s="96" t="str">
        <f t="shared" si="1"/>
        <v/>
      </c>
      <c r="J18" s="95" t="e">
        <f t="shared" si="2"/>
        <v>#NUM!</v>
      </c>
      <c r="K18" s="95" t="e">
        <f t="shared" si="3"/>
        <v>#NUM!</v>
      </c>
      <c r="L18" s="95"/>
      <c r="M18" s="97">
        <f t="shared" si="4"/>
        <v>0</v>
      </c>
      <c r="N18" s="80"/>
      <c r="O18" s="80"/>
      <c r="P18" s="80"/>
      <c r="Q18" s="80"/>
      <c r="R18" s="80"/>
    </row>
    <row r="19" spans="1:19" s="85" customFormat="1" x14ac:dyDescent="0.25">
      <c r="A19" s="98">
        <f t="shared" si="0"/>
        <v>0</v>
      </c>
      <c r="B19" s="39" t="str">
        <f t="shared" si="5"/>
        <v/>
      </c>
      <c r="C19" s="40"/>
      <c r="D19" s="40"/>
      <c r="E19" s="40"/>
      <c r="F19" s="40"/>
      <c r="G19" s="27"/>
      <c r="H19" s="99">
        <v>14</v>
      </c>
      <c r="I19" s="100" t="str">
        <f t="shared" si="1"/>
        <v/>
      </c>
      <c r="J19" s="99" t="e">
        <f t="shared" si="2"/>
        <v>#NUM!</v>
      </c>
      <c r="K19" s="99" t="e">
        <f t="shared" si="3"/>
        <v>#NUM!</v>
      </c>
      <c r="L19" s="99"/>
      <c r="M19" s="101">
        <f t="shared" si="4"/>
        <v>0</v>
      </c>
      <c r="N19" s="80"/>
      <c r="O19" s="80"/>
      <c r="P19" s="80"/>
      <c r="Q19" s="80"/>
      <c r="R19" s="80"/>
    </row>
    <row r="20" spans="1:19" s="85" customFormat="1" x14ac:dyDescent="0.25">
      <c r="A20" s="94">
        <f t="shared" si="0"/>
        <v>0</v>
      </c>
      <c r="B20" s="33" t="str">
        <f t="shared" si="5"/>
        <v/>
      </c>
      <c r="C20" s="34"/>
      <c r="D20" s="34"/>
      <c r="E20" s="34"/>
      <c r="F20" s="34"/>
      <c r="G20" s="27"/>
      <c r="H20" s="95">
        <v>15</v>
      </c>
      <c r="I20" s="96" t="str">
        <f t="shared" si="1"/>
        <v/>
      </c>
      <c r="J20" s="95" t="e">
        <f t="shared" si="2"/>
        <v>#NUM!</v>
      </c>
      <c r="K20" s="95" t="e">
        <f t="shared" si="3"/>
        <v>#NUM!</v>
      </c>
      <c r="L20" s="95"/>
      <c r="M20" s="97">
        <f t="shared" si="4"/>
        <v>0</v>
      </c>
      <c r="N20" s="80"/>
      <c r="O20" s="80"/>
      <c r="P20" s="80"/>
      <c r="Q20" s="80"/>
      <c r="R20" s="109"/>
      <c r="S20" s="110"/>
    </row>
    <row r="21" spans="1:19" s="85" customFormat="1" x14ac:dyDescent="0.25">
      <c r="A21" s="98">
        <f t="shared" si="0"/>
        <v>0</v>
      </c>
      <c r="B21" s="39" t="str">
        <f t="shared" si="5"/>
        <v/>
      </c>
      <c r="C21" s="40"/>
      <c r="D21" s="40"/>
      <c r="E21" s="40"/>
      <c r="F21" s="40"/>
      <c r="G21" s="27"/>
      <c r="H21" s="99">
        <v>16</v>
      </c>
      <c r="I21" s="100" t="str">
        <f t="shared" si="1"/>
        <v/>
      </c>
      <c r="J21" s="99" t="e">
        <f t="shared" si="2"/>
        <v>#NUM!</v>
      </c>
      <c r="K21" s="99" t="e">
        <f t="shared" si="3"/>
        <v>#NUM!</v>
      </c>
      <c r="L21" s="99"/>
      <c r="M21" s="101">
        <f t="shared" si="4"/>
        <v>0</v>
      </c>
      <c r="N21" s="80"/>
      <c r="O21" s="80"/>
      <c r="P21" s="80"/>
      <c r="Q21" s="80"/>
      <c r="R21" s="80"/>
    </row>
    <row r="22" spans="1:19" s="85" customFormat="1" x14ac:dyDescent="0.25">
      <c r="A22" s="94">
        <f t="shared" si="0"/>
        <v>0</v>
      </c>
      <c r="B22" s="33" t="str">
        <f t="shared" si="5"/>
        <v/>
      </c>
      <c r="C22" s="34"/>
      <c r="D22" s="34"/>
      <c r="E22" s="34"/>
      <c r="F22" s="34"/>
      <c r="G22" s="27"/>
      <c r="H22" s="95">
        <v>17</v>
      </c>
      <c r="I22" s="96" t="str">
        <f t="shared" si="1"/>
        <v/>
      </c>
      <c r="J22" s="95" t="e">
        <f t="shared" si="2"/>
        <v>#NUM!</v>
      </c>
      <c r="K22" s="95" t="e">
        <f t="shared" si="3"/>
        <v>#NUM!</v>
      </c>
      <c r="L22" s="95"/>
      <c r="M22" s="97">
        <f t="shared" si="4"/>
        <v>0</v>
      </c>
      <c r="N22" s="80"/>
      <c r="O22" s="80"/>
      <c r="P22" s="80"/>
      <c r="Q22" s="80"/>
      <c r="R22" s="80"/>
    </row>
    <row r="23" spans="1:19" s="85" customFormat="1" x14ac:dyDescent="0.25">
      <c r="A23" s="98">
        <f t="shared" si="0"/>
        <v>0</v>
      </c>
      <c r="B23" s="39" t="str">
        <f t="shared" si="5"/>
        <v/>
      </c>
      <c r="C23" s="40"/>
      <c r="D23" s="40"/>
      <c r="E23" s="40"/>
      <c r="F23" s="40"/>
      <c r="G23" s="27"/>
      <c r="H23" s="99">
        <v>18</v>
      </c>
      <c r="I23" s="100" t="str">
        <f t="shared" si="1"/>
        <v/>
      </c>
      <c r="J23" s="99" t="e">
        <f t="shared" si="2"/>
        <v>#NUM!</v>
      </c>
      <c r="K23" s="99" t="e">
        <f t="shared" si="3"/>
        <v>#NUM!</v>
      </c>
      <c r="L23" s="99"/>
      <c r="M23" s="101">
        <f t="shared" si="4"/>
        <v>0</v>
      </c>
      <c r="N23" s="80"/>
      <c r="O23" s="80"/>
      <c r="P23" s="80"/>
      <c r="Q23" s="80"/>
      <c r="R23" s="80"/>
    </row>
    <row r="24" spans="1:19" s="85" customFormat="1" x14ac:dyDescent="0.25">
      <c r="A24" s="94">
        <f t="shared" si="0"/>
        <v>0</v>
      </c>
      <c r="B24" s="33" t="str">
        <f t="shared" si="5"/>
        <v/>
      </c>
      <c r="C24" s="34"/>
      <c r="D24" s="34"/>
      <c r="E24" s="34"/>
      <c r="F24" s="34"/>
      <c r="G24" s="27"/>
      <c r="H24" s="95">
        <v>19</v>
      </c>
      <c r="I24" s="96" t="str">
        <f t="shared" si="1"/>
        <v/>
      </c>
      <c r="J24" s="95" t="e">
        <f t="shared" si="2"/>
        <v>#NUM!</v>
      </c>
      <c r="K24" s="95" t="e">
        <f t="shared" si="3"/>
        <v>#NUM!</v>
      </c>
      <c r="L24" s="95"/>
      <c r="M24" s="97">
        <f t="shared" si="4"/>
        <v>0</v>
      </c>
      <c r="N24" s="80"/>
      <c r="O24" s="80"/>
      <c r="P24" s="80"/>
      <c r="Q24" s="80"/>
      <c r="R24" s="109"/>
      <c r="S24" s="110"/>
    </row>
    <row r="25" spans="1:19" s="85" customFormat="1" x14ac:dyDescent="0.25">
      <c r="A25" s="98">
        <f t="shared" si="0"/>
        <v>0</v>
      </c>
      <c r="B25" s="39" t="str">
        <f t="shared" si="5"/>
        <v/>
      </c>
      <c r="C25" s="40"/>
      <c r="D25" s="40"/>
      <c r="E25" s="40"/>
      <c r="F25" s="40"/>
      <c r="G25" s="27"/>
      <c r="H25" s="99">
        <v>20</v>
      </c>
      <c r="I25" s="100" t="str">
        <f t="shared" si="1"/>
        <v/>
      </c>
      <c r="J25" s="99" t="e">
        <f t="shared" si="2"/>
        <v>#NUM!</v>
      </c>
      <c r="K25" s="99" t="e">
        <f t="shared" si="3"/>
        <v>#NUM!</v>
      </c>
      <c r="L25" s="99"/>
      <c r="M25" s="101">
        <f t="shared" si="4"/>
        <v>0</v>
      </c>
      <c r="N25" s="80"/>
      <c r="O25" s="80"/>
      <c r="P25" s="80"/>
      <c r="Q25" s="80"/>
      <c r="R25" s="80"/>
    </row>
    <row r="26" spans="1:19" s="85" customFormat="1" x14ac:dyDescent="0.25">
      <c r="A26" s="94">
        <f t="shared" si="0"/>
        <v>0</v>
      </c>
      <c r="B26" s="33" t="str">
        <f t="shared" si="5"/>
        <v/>
      </c>
      <c r="C26" s="34"/>
      <c r="D26" s="34"/>
      <c r="E26" s="34"/>
      <c r="F26" s="34"/>
      <c r="G26" s="27"/>
      <c r="H26" s="95">
        <v>21</v>
      </c>
      <c r="I26" s="96" t="str">
        <f t="shared" si="1"/>
        <v/>
      </c>
      <c r="J26" s="95" t="e">
        <f t="shared" si="2"/>
        <v>#NUM!</v>
      </c>
      <c r="K26" s="95" t="e">
        <f t="shared" si="3"/>
        <v>#NUM!</v>
      </c>
      <c r="L26" s="95"/>
      <c r="M26" s="97">
        <f t="shared" si="4"/>
        <v>0</v>
      </c>
      <c r="N26" s="80"/>
      <c r="O26" s="80"/>
      <c r="P26" s="80"/>
      <c r="Q26" s="80"/>
      <c r="R26" s="80"/>
    </row>
    <row r="27" spans="1:19" s="85" customFormat="1" x14ac:dyDescent="0.25">
      <c r="A27" s="98">
        <f t="shared" si="0"/>
        <v>0</v>
      </c>
      <c r="B27" s="39" t="str">
        <f t="shared" si="5"/>
        <v/>
      </c>
      <c r="C27" s="40"/>
      <c r="D27" s="40"/>
      <c r="E27" s="40"/>
      <c r="F27" s="40"/>
      <c r="G27" s="27"/>
      <c r="H27" s="99">
        <v>22</v>
      </c>
      <c r="I27" s="100" t="str">
        <f t="shared" si="1"/>
        <v/>
      </c>
      <c r="J27" s="99" t="e">
        <f t="shared" si="2"/>
        <v>#NUM!</v>
      </c>
      <c r="K27" s="99" t="e">
        <f t="shared" si="3"/>
        <v>#NUM!</v>
      </c>
      <c r="L27" s="99"/>
      <c r="M27" s="101">
        <f t="shared" si="4"/>
        <v>0</v>
      </c>
      <c r="N27" s="80"/>
      <c r="O27" s="80"/>
      <c r="P27" s="80"/>
      <c r="Q27" s="80"/>
      <c r="R27" s="80"/>
    </row>
    <row r="28" spans="1:19" s="85" customFormat="1" x14ac:dyDescent="0.25">
      <c r="A28" s="94">
        <f t="shared" si="0"/>
        <v>0</v>
      </c>
      <c r="B28" s="33" t="str">
        <f t="shared" si="5"/>
        <v/>
      </c>
      <c r="C28" s="34"/>
      <c r="D28" s="34"/>
      <c r="E28" s="34"/>
      <c r="F28" s="34"/>
      <c r="G28" s="27"/>
      <c r="H28" s="95">
        <v>23</v>
      </c>
      <c r="I28" s="96" t="str">
        <f t="shared" si="1"/>
        <v/>
      </c>
      <c r="J28" s="95" t="e">
        <f t="shared" si="2"/>
        <v>#NUM!</v>
      </c>
      <c r="K28" s="95" t="e">
        <f t="shared" si="3"/>
        <v>#NUM!</v>
      </c>
      <c r="L28" s="95"/>
      <c r="M28" s="97">
        <f t="shared" si="4"/>
        <v>0</v>
      </c>
      <c r="N28" s="80"/>
      <c r="O28" s="80"/>
      <c r="P28" s="80"/>
      <c r="Q28" s="80"/>
      <c r="R28" s="109"/>
      <c r="S28" s="110"/>
    </row>
    <row r="29" spans="1:19" s="85" customFormat="1" x14ac:dyDescent="0.25">
      <c r="A29" s="98">
        <f t="shared" si="0"/>
        <v>0</v>
      </c>
      <c r="B29" s="39" t="str">
        <f t="shared" si="5"/>
        <v/>
      </c>
      <c r="C29" s="40"/>
      <c r="D29" s="40"/>
      <c r="E29" s="40"/>
      <c r="F29" s="40"/>
      <c r="G29" s="80"/>
      <c r="H29" s="99">
        <v>24</v>
      </c>
      <c r="I29" s="100" t="str">
        <f t="shared" si="1"/>
        <v/>
      </c>
      <c r="J29" s="99" t="e">
        <f t="shared" si="2"/>
        <v>#NUM!</v>
      </c>
      <c r="K29" s="99" t="e">
        <f t="shared" si="3"/>
        <v>#NUM!</v>
      </c>
      <c r="L29" s="99"/>
      <c r="M29" s="101">
        <f t="shared" si="4"/>
        <v>0</v>
      </c>
      <c r="N29" s="80"/>
      <c r="O29" s="80"/>
      <c r="P29" s="80"/>
      <c r="Q29" s="80"/>
      <c r="R29" s="80"/>
    </row>
    <row r="30" spans="1:19" s="85" customFormat="1" x14ac:dyDescent="0.25">
      <c r="A30" s="94">
        <f t="shared" si="0"/>
        <v>0</v>
      </c>
      <c r="B30" s="33" t="str">
        <f t="shared" si="5"/>
        <v/>
      </c>
      <c r="C30" s="34"/>
      <c r="D30" s="34"/>
      <c r="E30" s="34"/>
      <c r="F30" s="34"/>
      <c r="G30" s="80"/>
      <c r="H30" s="95">
        <v>25</v>
      </c>
      <c r="I30" s="96" t="str">
        <f t="shared" si="1"/>
        <v/>
      </c>
      <c r="J30" s="95" t="e">
        <f t="shared" si="2"/>
        <v>#NUM!</v>
      </c>
      <c r="K30" s="95" t="e">
        <f t="shared" si="3"/>
        <v>#NUM!</v>
      </c>
      <c r="L30" s="95"/>
      <c r="M30" s="97">
        <f t="shared" si="4"/>
        <v>0</v>
      </c>
      <c r="N30" s="80"/>
      <c r="O30" s="80"/>
      <c r="P30" s="80"/>
      <c r="Q30" s="80"/>
      <c r="R30" s="80"/>
    </row>
    <row r="31" spans="1:19" s="85" customFormat="1" x14ac:dyDescent="0.25">
      <c r="A31" s="98">
        <f t="shared" si="0"/>
        <v>0</v>
      </c>
      <c r="B31" s="39" t="str">
        <f t="shared" si="5"/>
        <v/>
      </c>
      <c r="C31" s="40"/>
      <c r="D31" s="40"/>
      <c r="E31" s="40"/>
      <c r="F31" s="40"/>
      <c r="G31" s="80"/>
      <c r="H31" s="99">
        <v>26</v>
      </c>
      <c r="I31" s="100" t="str">
        <f t="shared" si="1"/>
        <v/>
      </c>
      <c r="J31" s="99" t="e">
        <f t="shared" si="2"/>
        <v>#NUM!</v>
      </c>
      <c r="K31" s="99" t="e">
        <f t="shared" si="3"/>
        <v>#NUM!</v>
      </c>
      <c r="L31" s="99"/>
      <c r="M31" s="101">
        <f t="shared" si="4"/>
        <v>0</v>
      </c>
      <c r="N31" s="80"/>
      <c r="O31" s="80"/>
      <c r="P31" s="80"/>
      <c r="Q31" s="80"/>
      <c r="R31" s="80"/>
    </row>
    <row r="32" spans="1:19" s="85" customFormat="1" x14ac:dyDescent="0.25">
      <c r="A32" s="94">
        <f t="shared" si="0"/>
        <v>0</v>
      </c>
      <c r="B32" s="33" t="str">
        <f t="shared" si="5"/>
        <v/>
      </c>
      <c r="C32" s="34"/>
      <c r="D32" s="34"/>
      <c r="E32" s="34"/>
      <c r="F32" s="34"/>
      <c r="G32" s="80"/>
      <c r="H32" s="95">
        <v>27</v>
      </c>
      <c r="I32" s="96" t="str">
        <f t="shared" si="1"/>
        <v/>
      </c>
      <c r="J32" s="95" t="e">
        <f t="shared" si="2"/>
        <v>#NUM!</v>
      </c>
      <c r="K32" s="95" t="e">
        <f t="shared" si="3"/>
        <v>#NUM!</v>
      </c>
      <c r="L32" s="95"/>
      <c r="M32" s="97">
        <f t="shared" si="4"/>
        <v>0</v>
      </c>
      <c r="N32" s="80"/>
      <c r="O32" s="80"/>
      <c r="P32" s="80"/>
      <c r="Q32" s="80"/>
      <c r="R32" s="109"/>
      <c r="S32" s="110"/>
    </row>
    <row r="33" spans="1:19" s="85" customFormat="1" x14ac:dyDescent="0.25">
      <c r="A33" s="98">
        <f t="shared" si="0"/>
        <v>0</v>
      </c>
      <c r="B33" s="39" t="str">
        <f t="shared" si="5"/>
        <v/>
      </c>
      <c r="C33" s="40"/>
      <c r="D33" s="40"/>
      <c r="E33" s="40"/>
      <c r="F33" s="40"/>
      <c r="G33" s="80"/>
      <c r="H33" s="99">
        <v>28</v>
      </c>
      <c r="I33" s="100" t="str">
        <f t="shared" si="1"/>
        <v/>
      </c>
      <c r="J33" s="99" t="e">
        <f t="shared" si="2"/>
        <v>#NUM!</v>
      </c>
      <c r="K33" s="99" t="e">
        <f t="shared" si="3"/>
        <v>#NUM!</v>
      </c>
      <c r="L33" s="99"/>
      <c r="M33" s="101">
        <f t="shared" si="4"/>
        <v>0</v>
      </c>
      <c r="N33" s="80"/>
      <c r="O33" s="80"/>
      <c r="P33" s="80"/>
      <c r="Q33" s="80"/>
      <c r="R33" s="80"/>
    </row>
    <row r="34" spans="1:19" s="85" customFormat="1" x14ac:dyDescent="0.25">
      <c r="A34" s="94">
        <f t="shared" si="0"/>
        <v>0</v>
      </c>
      <c r="B34" s="33" t="str">
        <f t="shared" si="5"/>
        <v/>
      </c>
      <c r="C34" s="34"/>
      <c r="D34" s="34"/>
      <c r="E34" s="34"/>
      <c r="F34" s="34"/>
      <c r="G34" s="80"/>
      <c r="H34" s="95">
        <v>29</v>
      </c>
      <c r="I34" s="96" t="str">
        <f t="shared" si="1"/>
        <v/>
      </c>
      <c r="J34" s="95" t="e">
        <f t="shared" si="2"/>
        <v>#NUM!</v>
      </c>
      <c r="K34" s="95" t="e">
        <f t="shared" si="3"/>
        <v>#NUM!</v>
      </c>
      <c r="L34" s="95"/>
      <c r="M34" s="97">
        <f t="shared" si="4"/>
        <v>0</v>
      </c>
      <c r="N34" s="80"/>
      <c r="O34" s="80"/>
      <c r="P34" s="80"/>
      <c r="Q34" s="80"/>
      <c r="R34" s="80"/>
    </row>
    <row r="35" spans="1:19" s="85" customFormat="1" x14ac:dyDescent="0.25">
      <c r="A35" s="98">
        <f t="shared" si="0"/>
        <v>0</v>
      </c>
      <c r="B35" s="39" t="str">
        <f t="shared" si="5"/>
        <v/>
      </c>
      <c r="C35" s="40"/>
      <c r="D35" s="40"/>
      <c r="E35" s="40"/>
      <c r="F35" s="40"/>
      <c r="G35" s="80"/>
      <c r="H35" s="99">
        <v>30</v>
      </c>
      <c r="I35" s="100" t="str">
        <f t="shared" si="1"/>
        <v/>
      </c>
      <c r="J35" s="99" t="e">
        <f t="shared" si="2"/>
        <v>#NUM!</v>
      </c>
      <c r="K35" s="99" t="e">
        <f t="shared" si="3"/>
        <v>#NUM!</v>
      </c>
      <c r="L35" s="99"/>
      <c r="M35" s="101">
        <f t="shared" si="4"/>
        <v>0</v>
      </c>
      <c r="N35" s="80"/>
      <c r="O35" s="80"/>
      <c r="P35" s="80"/>
      <c r="Q35" s="80"/>
      <c r="R35" s="80"/>
    </row>
    <row r="36" spans="1:19" s="85" customFormat="1" x14ac:dyDescent="0.25">
      <c r="A36" s="94">
        <f t="shared" si="0"/>
        <v>0</v>
      </c>
      <c r="B36" s="33" t="str">
        <f t="shared" si="5"/>
        <v/>
      </c>
      <c r="C36" s="34"/>
      <c r="D36" s="34"/>
      <c r="E36" s="34"/>
      <c r="F36" s="34"/>
      <c r="G36" s="80"/>
      <c r="H36" s="95">
        <v>31</v>
      </c>
      <c r="I36" s="96" t="str">
        <f t="shared" si="1"/>
        <v/>
      </c>
      <c r="J36" s="95" t="e">
        <f t="shared" si="2"/>
        <v>#NUM!</v>
      </c>
      <c r="K36" s="95" t="e">
        <f t="shared" si="3"/>
        <v>#NUM!</v>
      </c>
      <c r="L36" s="95"/>
      <c r="M36" s="97">
        <f t="shared" si="4"/>
        <v>0</v>
      </c>
      <c r="N36" s="80"/>
      <c r="O36" s="80"/>
      <c r="P36" s="80"/>
      <c r="Q36" s="80"/>
      <c r="R36" s="109"/>
      <c r="S36" s="110"/>
    </row>
    <row r="37" spans="1:19" s="85" customFormat="1" x14ac:dyDescent="0.25">
      <c r="A37" s="98">
        <f t="shared" si="0"/>
        <v>0</v>
      </c>
      <c r="B37" s="39" t="str">
        <f t="shared" si="5"/>
        <v/>
      </c>
      <c r="C37" s="40"/>
      <c r="D37" s="40"/>
      <c r="E37" s="40"/>
      <c r="F37" s="40"/>
      <c r="G37" s="80"/>
      <c r="H37" s="99">
        <v>32</v>
      </c>
      <c r="I37" s="100" t="str">
        <f t="shared" si="1"/>
        <v/>
      </c>
      <c r="J37" s="99" t="e">
        <f t="shared" si="2"/>
        <v>#NUM!</v>
      </c>
      <c r="K37" s="99" t="e">
        <f t="shared" si="3"/>
        <v>#NUM!</v>
      </c>
      <c r="L37" s="99"/>
      <c r="M37" s="101">
        <f t="shared" si="4"/>
        <v>0</v>
      </c>
      <c r="N37" s="80"/>
      <c r="O37" s="80"/>
      <c r="P37" s="80"/>
      <c r="Q37" s="80"/>
      <c r="R37" s="80"/>
    </row>
    <row r="38" spans="1:19" s="85" customFormat="1" x14ac:dyDescent="0.25">
      <c r="A38" s="94">
        <f t="shared" ref="A38:A69" si="6">M38</f>
        <v>0</v>
      </c>
      <c r="B38" s="33" t="str">
        <f t="shared" si="5"/>
        <v/>
      </c>
      <c r="C38" s="34"/>
      <c r="D38" s="34"/>
      <c r="E38" s="34"/>
      <c r="F38" s="34"/>
      <c r="G38" s="80"/>
      <c r="H38" s="95">
        <v>33</v>
      </c>
      <c r="I38" s="96" t="str">
        <f t="shared" si="1"/>
        <v/>
      </c>
      <c r="J38" s="95" t="e">
        <f t="shared" si="2"/>
        <v>#NUM!</v>
      </c>
      <c r="K38" s="95" t="e">
        <f t="shared" si="3"/>
        <v>#NUM!</v>
      </c>
      <c r="L38" s="95"/>
      <c r="M38" s="97">
        <f t="shared" si="4"/>
        <v>0</v>
      </c>
      <c r="N38" s="80"/>
      <c r="O38" s="80"/>
      <c r="P38" s="80"/>
      <c r="Q38" s="80"/>
      <c r="R38" s="80"/>
    </row>
    <row r="39" spans="1:19" s="85" customFormat="1" x14ac:dyDescent="0.25">
      <c r="A39" s="98">
        <f t="shared" si="6"/>
        <v>0</v>
      </c>
      <c r="B39" s="39" t="str">
        <f t="shared" si="5"/>
        <v/>
      </c>
      <c r="C39" s="40"/>
      <c r="D39" s="40"/>
      <c r="E39" s="40"/>
      <c r="F39" s="40"/>
      <c r="G39" s="80"/>
      <c r="H39" s="99">
        <v>34</v>
      </c>
      <c r="I39" s="100" t="str">
        <f t="shared" si="1"/>
        <v/>
      </c>
      <c r="J39" s="99" t="e">
        <f t="shared" si="2"/>
        <v>#NUM!</v>
      </c>
      <c r="K39" s="99" t="e">
        <f t="shared" si="3"/>
        <v>#NUM!</v>
      </c>
      <c r="L39" s="99"/>
      <c r="M39" s="101">
        <f t="shared" si="4"/>
        <v>0</v>
      </c>
      <c r="N39" s="80"/>
      <c r="O39" s="80"/>
      <c r="P39" s="80"/>
      <c r="Q39" s="80"/>
      <c r="R39" s="80"/>
    </row>
    <row r="40" spans="1:19" s="85" customFormat="1" x14ac:dyDescent="0.25">
      <c r="A40" s="94">
        <f t="shared" si="6"/>
        <v>0</v>
      </c>
      <c r="B40" s="33" t="str">
        <f t="shared" si="5"/>
        <v/>
      </c>
      <c r="C40" s="34"/>
      <c r="D40" s="34"/>
      <c r="E40" s="34"/>
      <c r="F40" s="34"/>
      <c r="G40" s="80"/>
      <c r="H40" s="95">
        <v>35</v>
      </c>
      <c r="I40" s="96" t="str">
        <f t="shared" si="1"/>
        <v/>
      </c>
      <c r="J40" s="95" t="e">
        <f t="shared" si="2"/>
        <v>#NUM!</v>
      </c>
      <c r="K40" s="95" t="e">
        <f t="shared" si="3"/>
        <v>#NUM!</v>
      </c>
      <c r="L40" s="95"/>
      <c r="M40" s="97">
        <f t="shared" si="4"/>
        <v>0</v>
      </c>
      <c r="N40" s="80"/>
      <c r="O40" s="80"/>
      <c r="P40" s="80"/>
      <c r="Q40" s="80"/>
      <c r="R40" s="80"/>
    </row>
    <row r="41" spans="1:19" s="85" customFormat="1" x14ac:dyDescent="0.25">
      <c r="A41" s="98">
        <f t="shared" si="6"/>
        <v>0</v>
      </c>
      <c r="B41" s="39" t="str">
        <f t="shared" si="5"/>
        <v/>
      </c>
      <c r="C41" s="40"/>
      <c r="D41" s="40"/>
      <c r="E41" s="40"/>
      <c r="F41" s="40"/>
      <c r="G41" s="80"/>
      <c r="H41" s="99">
        <v>36</v>
      </c>
      <c r="I41" s="100" t="str">
        <f t="shared" si="1"/>
        <v/>
      </c>
      <c r="J41" s="99" t="e">
        <f t="shared" si="2"/>
        <v>#NUM!</v>
      </c>
      <c r="K41" s="99" t="e">
        <f t="shared" si="3"/>
        <v>#NUM!</v>
      </c>
      <c r="L41" s="99"/>
      <c r="M41" s="101">
        <f t="shared" si="4"/>
        <v>0</v>
      </c>
      <c r="N41" s="80"/>
      <c r="O41" s="80"/>
      <c r="P41" s="80"/>
      <c r="Q41" s="80"/>
      <c r="R41" s="80"/>
      <c r="S41" s="111"/>
    </row>
    <row r="42" spans="1:19" s="85" customFormat="1" x14ac:dyDescent="0.25">
      <c r="A42" s="94">
        <f t="shared" si="6"/>
        <v>0</v>
      </c>
      <c r="B42" s="33" t="str">
        <f t="shared" ref="B42:B73" si="7">IF(H42&gt;$H$2,"",(ROW()-5))</f>
        <v/>
      </c>
      <c r="C42" s="34"/>
      <c r="D42" s="34"/>
      <c r="E42" s="34"/>
      <c r="F42" s="34"/>
      <c r="G42" s="80"/>
      <c r="H42" s="95">
        <v>37</v>
      </c>
      <c r="I42" s="96" t="str">
        <f t="shared" si="1"/>
        <v/>
      </c>
      <c r="J42" s="95" t="e">
        <f t="shared" si="2"/>
        <v>#NUM!</v>
      </c>
      <c r="K42" s="95" t="e">
        <f t="shared" si="3"/>
        <v>#NUM!</v>
      </c>
      <c r="L42" s="95"/>
      <c r="M42" s="97">
        <f t="shared" si="4"/>
        <v>0</v>
      </c>
      <c r="N42" s="80"/>
      <c r="O42" s="80"/>
      <c r="P42" s="80"/>
      <c r="Q42" s="80"/>
      <c r="R42" s="80"/>
    </row>
    <row r="43" spans="1:19" s="85" customFormat="1" x14ac:dyDescent="0.25">
      <c r="A43" s="98">
        <f t="shared" si="6"/>
        <v>0</v>
      </c>
      <c r="B43" s="39" t="str">
        <f t="shared" si="7"/>
        <v/>
      </c>
      <c r="C43" s="40"/>
      <c r="D43" s="40"/>
      <c r="E43" s="40"/>
      <c r="F43" s="40"/>
      <c r="G43" s="80"/>
      <c r="H43" s="99">
        <v>38</v>
      </c>
      <c r="I43" s="100" t="str">
        <f t="shared" si="1"/>
        <v/>
      </c>
      <c r="J43" s="99" t="e">
        <f t="shared" si="2"/>
        <v>#NUM!</v>
      </c>
      <c r="K43" s="99" t="e">
        <f t="shared" si="3"/>
        <v>#NUM!</v>
      </c>
      <c r="L43" s="99"/>
      <c r="M43" s="101">
        <f t="shared" si="4"/>
        <v>0</v>
      </c>
      <c r="N43" s="80"/>
      <c r="O43" s="80"/>
      <c r="P43" s="80"/>
      <c r="Q43" s="80"/>
      <c r="R43" s="80"/>
    </row>
    <row r="44" spans="1:19" s="85" customFormat="1" x14ac:dyDescent="0.25">
      <c r="A44" s="94">
        <f t="shared" si="6"/>
        <v>0</v>
      </c>
      <c r="B44" s="33" t="str">
        <f t="shared" si="7"/>
        <v/>
      </c>
      <c r="C44" s="34"/>
      <c r="D44" s="34"/>
      <c r="E44" s="34"/>
      <c r="F44" s="34"/>
      <c r="G44" s="80"/>
      <c r="H44" s="95">
        <v>39</v>
      </c>
      <c r="I44" s="96" t="str">
        <f t="shared" si="1"/>
        <v/>
      </c>
      <c r="J44" s="95" t="e">
        <f t="shared" si="2"/>
        <v>#NUM!</v>
      </c>
      <c r="K44" s="95" t="e">
        <f t="shared" si="3"/>
        <v>#NUM!</v>
      </c>
      <c r="L44" s="95"/>
      <c r="M44" s="97">
        <f t="shared" si="4"/>
        <v>0</v>
      </c>
      <c r="N44" s="80"/>
      <c r="O44" s="80"/>
      <c r="P44" s="80"/>
      <c r="Q44" s="80"/>
      <c r="R44" s="80"/>
    </row>
    <row r="45" spans="1:19" s="85" customFormat="1" x14ac:dyDescent="0.25">
      <c r="A45" s="98">
        <f t="shared" si="6"/>
        <v>0</v>
      </c>
      <c r="B45" s="39" t="str">
        <f t="shared" si="7"/>
        <v/>
      </c>
      <c r="C45" s="40"/>
      <c r="D45" s="40"/>
      <c r="E45" s="40"/>
      <c r="F45" s="40"/>
      <c r="G45" s="80"/>
      <c r="H45" s="99">
        <v>40</v>
      </c>
      <c r="I45" s="100" t="str">
        <f t="shared" si="1"/>
        <v/>
      </c>
      <c r="J45" s="99" t="e">
        <f t="shared" si="2"/>
        <v>#NUM!</v>
      </c>
      <c r="K45" s="99" t="e">
        <f t="shared" si="3"/>
        <v>#NUM!</v>
      </c>
      <c r="L45" s="99"/>
      <c r="M45" s="101">
        <f t="shared" si="4"/>
        <v>0</v>
      </c>
      <c r="N45" s="80"/>
      <c r="O45" s="80"/>
      <c r="P45" s="80"/>
      <c r="Q45" s="80"/>
      <c r="R45" s="80"/>
    </row>
    <row r="46" spans="1:19" s="85" customFormat="1" x14ac:dyDescent="0.25">
      <c r="A46" s="94">
        <f t="shared" si="6"/>
        <v>0</v>
      </c>
      <c r="B46" s="33" t="str">
        <f t="shared" si="7"/>
        <v/>
      </c>
      <c r="C46" s="34"/>
      <c r="D46" s="34"/>
      <c r="E46" s="34"/>
      <c r="F46" s="34"/>
      <c r="G46" s="80"/>
      <c r="H46" s="95">
        <v>41</v>
      </c>
      <c r="I46" s="96" t="str">
        <f t="shared" si="1"/>
        <v/>
      </c>
      <c r="J46" s="95" t="e">
        <f t="shared" si="2"/>
        <v>#NUM!</v>
      </c>
      <c r="K46" s="95" t="e">
        <f t="shared" si="3"/>
        <v>#NUM!</v>
      </c>
      <c r="L46" s="95"/>
      <c r="M46" s="97">
        <f t="shared" si="4"/>
        <v>0</v>
      </c>
      <c r="N46" s="80"/>
      <c r="O46" s="80"/>
      <c r="P46" s="80"/>
      <c r="Q46" s="80"/>
      <c r="R46" s="80"/>
    </row>
    <row r="47" spans="1:19" s="85" customFormat="1" x14ac:dyDescent="0.25">
      <c r="A47" s="98">
        <f t="shared" si="6"/>
        <v>0</v>
      </c>
      <c r="B47" s="39" t="str">
        <f t="shared" si="7"/>
        <v/>
      </c>
      <c r="C47" s="40"/>
      <c r="D47" s="40"/>
      <c r="E47" s="40"/>
      <c r="F47" s="40"/>
      <c r="G47" s="80"/>
      <c r="H47" s="99">
        <v>42</v>
      </c>
      <c r="I47" s="100" t="str">
        <f t="shared" si="1"/>
        <v/>
      </c>
      <c r="J47" s="99" t="e">
        <f t="shared" si="2"/>
        <v>#NUM!</v>
      </c>
      <c r="K47" s="99" t="e">
        <f t="shared" si="3"/>
        <v>#NUM!</v>
      </c>
      <c r="L47" s="99"/>
      <c r="M47" s="101">
        <f t="shared" si="4"/>
        <v>0</v>
      </c>
      <c r="N47" s="80"/>
      <c r="O47" s="80"/>
      <c r="P47" s="80"/>
      <c r="Q47" s="80"/>
      <c r="R47" s="80"/>
    </row>
    <row r="48" spans="1:19" s="85" customFormat="1" x14ac:dyDescent="0.25">
      <c r="A48" s="94">
        <f t="shared" si="6"/>
        <v>0</v>
      </c>
      <c r="B48" s="33" t="str">
        <f t="shared" si="7"/>
        <v/>
      </c>
      <c r="C48" s="34"/>
      <c r="D48" s="34"/>
      <c r="E48" s="34"/>
      <c r="F48" s="34"/>
      <c r="G48" s="80"/>
      <c r="H48" s="95">
        <v>43</v>
      </c>
      <c r="I48" s="96" t="str">
        <f t="shared" si="1"/>
        <v/>
      </c>
      <c r="J48" s="95" t="e">
        <f t="shared" si="2"/>
        <v>#NUM!</v>
      </c>
      <c r="K48" s="95" t="e">
        <f t="shared" si="3"/>
        <v>#NUM!</v>
      </c>
      <c r="L48" s="95"/>
      <c r="M48" s="97">
        <f t="shared" si="4"/>
        <v>0</v>
      </c>
      <c r="N48" s="80"/>
      <c r="O48" s="80"/>
      <c r="P48" s="80"/>
      <c r="Q48" s="80"/>
      <c r="R48" s="80"/>
    </row>
    <row r="49" spans="1:38" x14ac:dyDescent="0.25">
      <c r="A49" s="98">
        <f t="shared" si="6"/>
        <v>0</v>
      </c>
      <c r="B49" s="39" t="str">
        <f t="shared" si="7"/>
        <v/>
      </c>
      <c r="C49" s="40"/>
      <c r="D49" s="40"/>
      <c r="E49" s="40"/>
      <c r="F49" s="40"/>
      <c r="G49" s="80"/>
      <c r="H49" s="99">
        <v>44</v>
      </c>
      <c r="I49" s="100" t="str">
        <f t="shared" si="1"/>
        <v/>
      </c>
      <c r="J49" s="99" t="e">
        <f t="shared" si="2"/>
        <v>#NUM!</v>
      </c>
      <c r="K49" s="99" t="e">
        <f t="shared" si="3"/>
        <v>#NUM!</v>
      </c>
      <c r="L49" s="99"/>
      <c r="M49" s="101">
        <f t="shared" si="4"/>
        <v>0</v>
      </c>
    </row>
    <row r="50" spans="1:38" x14ac:dyDescent="0.25">
      <c r="A50" s="94">
        <f t="shared" si="6"/>
        <v>0</v>
      </c>
      <c r="B50" s="33" t="str">
        <f t="shared" si="7"/>
        <v/>
      </c>
      <c r="C50" s="34"/>
      <c r="D50" s="34"/>
      <c r="E50" s="34"/>
      <c r="F50" s="34"/>
      <c r="G50" s="80"/>
      <c r="H50" s="95">
        <v>45</v>
      </c>
      <c r="I50" s="96" t="str">
        <f t="shared" si="1"/>
        <v/>
      </c>
      <c r="J50" s="95" t="e">
        <f t="shared" si="2"/>
        <v>#NUM!</v>
      </c>
      <c r="K50" s="95" t="e">
        <f t="shared" si="3"/>
        <v>#NUM!</v>
      </c>
      <c r="L50" s="95"/>
      <c r="M50" s="97">
        <f t="shared" si="4"/>
        <v>0</v>
      </c>
    </row>
    <row r="51" spans="1:38" x14ac:dyDescent="0.25">
      <c r="A51" s="98">
        <f t="shared" si="6"/>
        <v>0</v>
      </c>
      <c r="B51" s="39" t="str">
        <f t="shared" si="7"/>
        <v/>
      </c>
      <c r="C51" s="40"/>
      <c r="D51" s="40"/>
      <c r="E51" s="40"/>
      <c r="F51" s="40"/>
      <c r="G51" s="80"/>
      <c r="H51" s="99">
        <v>46</v>
      </c>
      <c r="I51" s="100" t="str">
        <f t="shared" si="1"/>
        <v/>
      </c>
      <c r="J51" s="99" t="e">
        <f t="shared" si="2"/>
        <v>#NUM!</v>
      </c>
      <c r="K51" s="99" t="e">
        <f t="shared" si="3"/>
        <v>#NUM!</v>
      </c>
      <c r="L51" s="99"/>
      <c r="M51" s="101">
        <f t="shared" si="4"/>
        <v>0</v>
      </c>
    </row>
    <row r="52" spans="1:38" x14ac:dyDescent="0.25">
      <c r="A52" s="94">
        <f t="shared" si="6"/>
        <v>0</v>
      </c>
      <c r="B52" s="33" t="str">
        <f t="shared" si="7"/>
        <v/>
      </c>
      <c r="C52" s="34"/>
      <c r="D52" s="34"/>
      <c r="E52" s="34"/>
      <c r="F52" s="34"/>
      <c r="G52" s="80"/>
      <c r="H52" s="95">
        <v>47</v>
      </c>
      <c r="I52" s="96" t="str">
        <f t="shared" si="1"/>
        <v/>
      </c>
      <c r="J52" s="95" t="e">
        <f t="shared" si="2"/>
        <v>#NUM!</v>
      </c>
      <c r="K52" s="95" t="e">
        <f t="shared" si="3"/>
        <v>#NUM!</v>
      </c>
      <c r="L52" s="95"/>
      <c r="M52" s="97">
        <f t="shared" si="4"/>
        <v>0</v>
      </c>
    </row>
    <row r="53" spans="1:38" x14ac:dyDescent="0.25">
      <c r="A53" s="98">
        <f t="shared" si="6"/>
        <v>0</v>
      </c>
      <c r="B53" s="39" t="str">
        <f t="shared" si="7"/>
        <v/>
      </c>
      <c r="C53" s="40"/>
      <c r="D53" s="40"/>
      <c r="E53" s="40"/>
      <c r="F53" s="40"/>
      <c r="G53" s="80"/>
      <c r="H53" s="99">
        <v>48</v>
      </c>
      <c r="I53" s="100" t="str">
        <f t="shared" si="1"/>
        <v/>
      </c>
      <c r="J53" s="99" t="e">
        <f t="shared" si="2"/>
        <v>#NUM!</v>
      </c>
      <c r="K53" s="99" t="e">
        <f t="shared" si="3"/>
        <v>#NUM!</v>
      </c>
      <c r="L53" s="99"/>
      <c r="M53" s="101">
        <f t="shared" si="4"/>
        <v>0</v>
      </c>
    </row>
    <row r="54" spans="1:38" x14ac:dyDescent="0.25">
      <c r="A54" s="94">
        <f t="shared" si="6"/>
        <v>0</v>
      </c>
      <c r="B54" s="33" t="str">
        <f t="shared" si="7"/>
        <v/>
      </c>
      <c r="C54" s="34"/>
      <c r="D54" s="34"/>
      <c r="E54" s="34"/>
      <c r="F54" s="34"/>
      <c r="G54" s="80"/>
      <c r="H54" s="95">
        <v>49</v>
      </c>
      <c r="I54" s="96" t="str">
        <f t="shared" si="1"/>
        <v/>
      </c>
      <c r="J54" s="95" t="e">
        <f t="shared" si="2"/>
        <v>#NUM!</v>
      </c>
      <c r="K54" s="95" t="e">
        <f t="shared" si="3"/>
        <v>#NUM!</v>
      </c>
      <c r="L54" s="95"/>
      <c r="M54" s="97">
        <f t="shared" si="4"/>
        <v>0</v>
      </c>
    </row>
    <row r="55" spans="1:38" x14ac:dyDescent="0.25">
      <c r="A55" s="98">
        <f t="shared" si="6"/>
        <v>0</v>
      </c>
      <c r="B55" s="39" t="str">
        <f t="shared" si="7"/>
        <v/>
      </c>
      <c r="C55" s="40"/>
      <c r="D55" s="40"/>
      <c r="E55" s="40"/>
      <c r="F55" s="40"/>
      <c r="G55" s="80"/>
      <c r="H55" s="99">
        <v>50</v>
      </c>
      <c r="I55" s="100" t="str">
        <f t="shared" si="1"/>
        <v/>
      </c>
      <c r="J55" s="99" t="e">
        <f t="shared" si="2"/>
        <v>#NUM!</v>
      </c>
      <c r="K55" s="99" t="e">
        <f t="shared" si="3"/>
        <v>#NUM!</v>
      </c>
      <c r="L55" s="99"/>
      <c r="M55" s="101">
        <f t="shared" si="4"/>
        <v>0</v>
      </c>
    </row>
    <row r="56" spans="1:38" x14ac:dyDescent="0.25">
      <c r="A56" s="94">
        <f t="shared" si="6"/>
        <v>0</v>
      </c>
      <c r="B56" s="33" t="str">
        <f t="shared" si="7"/>
        <v/>
      </c>
      <c r="C56" s="34"/>
      <c r="D56" s="34"/>
      <c r="E56" s="34"/>
      <c r="F56" s="34"/>
      <c r="G56" s="80"/>
      <c r="H56" s="95">
        <v>51</v>
      </c>
      <c r="I56" s="96" t="str">
        <f t="shared" si="1"/>
        <v/>
      </c>
      <c r="J56" s="95" t="e">
        <f t="shared" si="2"/>
        <v>#NUM!</v>
      </c>
      <c r="K56" s="95" t="e">
        <f t="shared" si="3"/>
        <v>#NUM!</v>
      </c>
      <c r="L56" s="95"/>
      <c r="M56" s="97">
        <f t="shared" si="4"/>
        <v>0</v>
      </c>
    </row>
    <row r="57" spans="1:38" s="80" customFormat="1" x14ac:dyDescent="0.25">
      <c r="A57" s="98">
        <f t="shared" si="6"/>
        <v>0</v>
      </c>
      <c r="B57" s="39" t="str">
        <f t="shared" si="7"/>
        <v/>
      </c>
      <c r="C57" s="40"/>
      <c r="D57" s="40"/>
      <c r="E57" s="40"/>
      <c r="F57" s="40"/>
      <c r="H57" s="99">
        <v>52</v>
      </c>
      <c r="I57" s="100" t="str">
        <f t="shared" si="1"/>
        <v/>
      </c>
      <c r="J57" s="99" t="e">
        <f t="shared" si="2"/>
        <v>#NUM!</v>
      </c>
      <c r="K57" s="99" t="e">
        <f t="shared" si="3"/>
        <v>#NUM!</v>
      </c>
      <c r="L57" s="99"/>
      <c r="M57" s="101">
        <f t="shared" si="4"/>
        <v>0</v>
      </c>
      <c r="S57" s="85"/>
      <c r="T57" s="85"/>
      <c r="U57" s="85"/>
      <c r="V57" s="85"/>
      <c r="W57" s="85"/>
      <c r="X57" s="85"/>
      <c r="Y57" s="85"/>
      <c r="Z57" s="85"/>
      <c r="AA57" s="85"/>
      <c r="AB57" s="85"/>
      <c r="AC57" s="85"/>
      <c r="AD57" s="85"/>
      <c r="AE57" s="85"/>
      <c r="AF57" s="85"/>
      <c r="AG57" s="85"/>
      <c r="AH57" s="85"/>
      <c r="AI57" s="85"/>
      <c r="AJ57" s="85"/>
      <c r="AK57" s="85"/>
      <c r="AL57" s="85"/>
    </row>
    <row r="58" spans="1:38" s="80" customFormat="1" x14ac:dyDescent="0.25">
      <c r="A58" s="94">
        <f t="shared" si="6"/>
        <v>0</v>
      </c>
      <c r="B58" s="33" t="str">
        <f t="shared" si="7"/>
        <v/>
      </c>
      <c r="C58" s="34"/>
      <c r="D58" s="34"/>
      <c r="E58" s="34"/>
      <c r="F58" s="34"/>
      <c r="H58" s="95">
        <v>53</v>
      </c>
      <c r="I58" s="96" t="str">
        <f t="shared" si="1"/>
        <v/>
      </c>
      <c r="J58" s="95" t="e">
        <f t="shared" si="2"/>
        <v>#NUM!</v>
      </c>
      <c r="K58" s="95" t="e">
        <f t="shared" si="3"/>
        <v>#NUM!</v>
      </c>
      <c r="L58" s="95"/>
      <c r="M58" s="97">
        <f t="shared" si="4"/>
        <v>0</v>
      </c>
      <c r="S58" s="85"/>
      <c r="T58" s="85"/>
      <c r="U58" s="85"/>
      <c r="V58" s="85"/>
      <c r="W58" s="85"/>
      <c r="X58" s="85"/>
      <c r="Y58" s="85"/>
      <c r="Z58" s="85"/>
      <c r="AA58" s="85"/>
      <c r="AB58" s="85"/>
      <c r="AC58" s="85"/>
      <c r="AD58" s="85"/>
      <c r="AE58" s="85"/>
      <c r="AF58" s="85"/>
      <c r="AG58" s="85"/>
      <c r="AH58" s="85"/>
      <c r="AI58" s="85"/>
      <c r="AJ58" s="85"/>
      <c r="AK58" s="85"/>
      <c r="AL58" s="85"/>
    </row>
    <row r="59" spans="1:38" s="80" customFormat="1" x14ac:dyDescent="0.25">
      <c r="A59" s="98">
        <f t="shared" si="6"/>
        <v>0</v>
      </c>
      <c r="B59" s="39" t="str">
        <f t="shared" si="7"/>
        <v/>
      </c>
      <c r="C59" s="40"/>
      <c r="D59" s="40"/>
      <c r="E59" s="40"/>
      <c r="F59" s="40"/>
      <c r="H59" s="99">
        <v>54</v>
      </c>
      <c r="I59" s="100" t="str">
        <f t="shared" si="1"/>
        <v/>
      </c>
      <c r="J59" s="99" t="e">
        <f t="shared" si="2"/>
        <v>#NUM!</v>
      </c>
      <c r="K59" s="99" t="e">
        <f t="shared" si="3"/>
        <v>#NUM!</v>
      </c>
      <c r="L59" s="99"/>
      <c r="M59" s="101">
        <f t="shared" si="4"/>
        <v>0</v>
      </c>
      <c r="S59" s="85"/>
      <c r="T59" s="85"/>
      <c r="U59" s="85"/>
      <c r="V59" s="85"/>
      <c r="W59" s="85"/>
      <c r="X59" s="85"/>
      <c r="Y59" s="85"/>
      <c r="Z59" s="85"/>
      <c r="AA59" s="85"/>
      <c r="AB59" s="85"/>
      <c r="AC59" s="85"/>
      <c r="AD59" s="85"/>
      <c r="AE59" s="85"/>
      <c r="AF59" s="85"/>
      <c r="AG59" s="85"/>
      <c r="AH59" s="85"/>
      <c r="AI59" s="85"/>
      <c r="AJ59" s="85"/>
      <c r="AK59" s="85"/>
      <c r="AL59" s="85"/>
    </row>
    <row r="60" spans="1:38" s="80" customFormat="1" x14ac:dyDescent="0.25">
      <c r="A60" s="94">
        <f t="shared" si="6"/>
        <v>0</v>
      </c>
      <c r="B60" s="33" t="str">
        <f t="shared" si="7"/>
        <v/>
      </c>
      <c r="C60" s="34"/>
      <c r="D60" s="34"/>
      <c r="E60" s="34"/>
      <c r="F60" s="34"/>
      <c r="H60" s="95">
        <v>55</v>
      </c>
      <c r="I60" s="96" t="str">
        <f t="shared" si="1"/>
        <v/>
      </c>
      <c r="J60" s="95" t="e">
        <f t="shared" si="2"/>
        <v>#NUM!</v>
      </c>
      <c r="K60" s="95" t="e">
        <f t="shared" si="3"/>
        <v>#NUM!</v>
      </c>
      <c r="L60" s="95"/>
      <c r="M60" s="97">
        <f t="shared" si="4"/>
        <v>0</v>
      </c>
      <c r="S60" s="85"/>
      <c r="T60" s="85"/>
      <c r="U60" s="85"/>
      <c r="V60" s="85"/>
      <c r="W60" s="85"/>
      <c r="X60" s="85"/>
      <c r="Y60" s="85"/>
      <c r="Z60" s="85"/>
      <c r="AA60" s="85"/>
      <c r="AB60" s="85"/>
      <c r="AC60" s="85"/>
      <c r="AD60" s="85"/>
      <c r="AE60" s="85"/>
      <c r="AF60" s="85"/>
      <c r="AG60" s="85"/>
      <c r="AH60" s="85"/>
      <c r="AI60" s="85"/>
      <c r="AJ60" s="85"/>
      <c r="AK60" s="85"/>
      <c r="AL60" s="85"/>
    </row>
    <row r="61" spans="1:38" s="80" customFormat="1" x14ac:dyDescent="0.25">
      <c r="A61" s="98">
        <f t="shared" si="6"/>
        <v>0</v>
      </c>
      <c r="B61" s="39" t="str">
        <f t="shared" si="7"/>
        <v/>
      </c>
      <c r="C61" s="40"/>
      <c r="D61" s="40"/>
      <c r="E61" s="40"/>
      <c r="F61" s="40"/>
      <c r="H61" s="99">
        <v>56</v>
      </c>
      <c r="I61" s="100" t="str">
        <f t="shared" si="1"/>
        <v/>
      </c>
      <c r="J61" s="99" t="e">
        <f t="shared" si="2"/>
        <v>#NUM!</v>
      </c>
      <c r="K61" s="99" t="e">
        <f t="shared" si="3"/>
        <v>#NUM!</v>
      </c>
      <c r="L61" s="99"/>
      <c r="M61" s="101">
        <f t="shared" si="4"/>
        <v>0</v>
      </c>
      <c r="S61" s="85"/>
      <c r="T61" s="85"/>
      <c r="U61" s="85"/>
      <c r="V61" s="85"/>
      <c r="W61" s="85"/>
      <c r="X61" s="85"/>
      <c r="Y61" s="85"/>
      <c r="Z61" s="85"/>
      <c r="AA61" s="85"/>
      <c r="AB61" s="85"/>
      <c r="AC61" s="85"/>
      <c r="AD61" s="85"/>
      <c r="AE61" s="85"/>
      <c r="AF61" s="85"/>
      <c r="AG61" s="85"/>
      <c r="AH61" s="85"/>
      <c r="AI61" s="85"/>
      <c r="AJ61" s="85"/>
      <c r="AK61" s="85"/>
      <c r="AL61" s="85"/>
    </row>
    <row r="62" spans="1:38" s="80" customFormat="1" x14ac:dyDescent="0.25">
      <c r="A62" s="94">
        <f t="shared" si="6"/>
        <v>0</v>
      </c>
      <c r="B62" s="33" t="str">
        <f t="shared" si="7"/>
        <v/>
      </c>
      <c r="C62" s="34"/>
      <c r="D62" s="34"/>
      <c r="E62" s="34"/>
      <c r="F62" s="34"/>
      <c r="H62" s="95">
        <v>57</v>
      </c>
      <c r="I62" s="96" t="str">
        <f t="shared" si="1"/>
        <v/>
      </c>
      <c r="J62" s="95" t="e">
        <f t="shared" si="2"/>
        <v>#NUM!</v>
      </c>
      <c r="K62" s="95" t="e">
        <f t="shared" si="3"/>
        <v>#NUM!</v>
      </c>
      <c r="L62" s="95"/>
      <c r="M62" s="97">
        <f t="shared" si="4"/>
        <v>0</v>
      </c>
      <c r="S62" s="85"/>
      <c r="T62" s="85"/>
      <c r="U62" s="85"/>
      <c r="V62" s="85"/>
      <c r="W62" s="85"/>
      <c r="X62" s="85"/>
      <c r="Y62" s="85"/>
      <c r="Z62" s="85"/>
      <c r="AA62" s="85"/>
      <c r="AB62" s="85"/>
      <c r="AC62" s="85"/>
      <c r="AD62" s="85"/>
      <c r="AE62" s="85"/>
      <c r="AF62" s="85"/>
      <c r="AG62" s="85"/>
      <c r="AH62" s="85"/>
      <c r="AI62" s="85"/>
      <c r="AJ62" s="85"/>
      <c r="AK62" s="85"/>
      <c r="AL62" s="85"/>
    </row>
    <row r="63" spans="1:38" s="80" customFormat="1" x14ac:dyDescent="0.25">
      <c r="A63" s="98">
        <f t="shared" si="6"/>
        <v>0</v>
      </c>
      <c r="B63" s="39" t="str">
        <f t="shared" si="7"/>
        <v/>
      </c>
      <c r="C63" s="40"/>
      <c r="D63" s="40"/>
      <c r="E63" s="40"/>
      <c r="F63" s="40"/>
      <c r="H63" s="99">
        <v>58</v>
      </c>
      <c r="I63" s="100" t="str">
        <f t="shared" si="1"/>
        <v/>
      </c>
      <c r="J63" s="99" t="e">
        <f t="shared" si="2"/>
        <v>#NUM!</v>
      </c>
      <c r="K63" s="99" t="e">
        <f t="shared" si="3"/>
        <v>#NUM!</v>
      </c>
      <c r="L63" s="99"/>
      <c r="M63" s="101">
        <f t="shared" si="4"/>
        <v>0</v>
      </c>
      <c r="S63" s="85"/>
      <c r="T63" s="85"/>
      <c r="U63" s="85"/>
      <c r="V63" s="85"/>
      <c r="W63" s="85"/>
      <c r="X63" s="85"/>
      <c r="Y63" s="85"/>
      <c r="Z63" s="85"/>
      <c r="AA63" s="85"/>
      <c r="AB63" s="85"/>
      <c r="AC63" s="85"/>
      <c r="AD63" s="85"/>
      <c r="AE63" s="85"/>
      <c r="AF63" s="85"/>
      <c r="AG63" s="85"/>
      <c r="AH63" s="85"/>
      <c r="AI63" s="85"/>
      <c r="AJ63" s="85"/>
      <c r="AK63" s="85"/>
      <c r="AL63" s="85"/>
    </row>
    <row r="64" spans="1:38" s="80" customFormat="1" x14ac:dyDescent="0.25">
      <c r="A64" s="94">
        <f t="shared" si="6"/>
        <v>0</v>
      </c>
      <c r="B64" s="33" t="str">
        <f t="shared" si="7"/>
        <v/>
      </c>
      <c r="C64" s="34"/>
      <c r="D64" s="34"/>
      <c r="E64" s="34"/>
      <c r="F64" s="34"/>
      <c r="H64" s="95">
        <v>59</v>
      </c>
      <c r="I64" s="96" t="str">
        <f t="shared" si="1"/>
        <v/>
      </c>
      <c r="J64" s="95" t="e">
        <f t="shared" si="2"/>
        <v>#NUM!</v>
      </c>
      <c r="K64" s="95" t="e">
        <f t="shared" si="3"/>
        <v>#NUM!</v>
      </c>
      <c r="L64" s="95"/>
      <c r="M64" s="97">
        <f t="shared" si="4"/>
        <v>0</v>
      </c>
      <c r="S64" s="85"/>
      <c r="T64" s="85"/>
      <c r="U64" s="85"/>
      <c r="V64" s="85"/>
      <c r="W64" s="85"/>
      <c r="X64" s="85"/>
      <c r="Y64" s="85"/>
      <c r="Z64" s="85"/>
      <c r="AA64" s="85"/>
      <c r="AB64" s="85"/>
      <c r="AC64" s="85"/>
      <c r="AD64" s="85"/>
      <c r="AE64" s="85"/>
      <c r="AF64" s="85"/>
      <c r="AG64" s="85"/>
      <c r="AH64" s="85"/>
      <c r="AI64" s="85"/>
      <c r="AJ64" s="85"/>
      <c r="AK64" s="85"/>
      <c r="AL64" s="85"/>
    </row>
    <row r="65" spans="1:38" s="80" customFormat="1" x14ac:dyDescent="0.25">
      <c r="A65" s="98">
        <f t="shared" si="6"/>
        <v>0</v>
      </c>
      <c r="B65" s="39" t="str">
        <f t="shared" si="7"/>
        <v/>
      </c>
      <c r="C65" s="40"/>
      <c r="D65" s="40"/>
      <c r="E65" s="40"/>
      <c r="F65" s="40"/>
      <c r="H65" s="99">
        <v>60</v>
      </c>
      <c r="I65" s="100" t="str">
        <f t="shared" si="1"/>
        <v/>
      </c>
      <c r="J65" s="99" t="e">
        <f t="shared" si="2"/>
        <v>#NUM!</v>
      </c>
      <c r="K65" s="99" t="e">
        <f t="shared" si="3"/>
        <v>#NUM!</v>
      </c>
      <c r="L65" s="99"/>
      <c r="M65" s="101">
        <f t="shared" si="4"/>
        <v>0</v>
      </c>
      <c r="S65" s="85"/>
      <c r="T65" s="85"/>
      <c r="U65" s="85"/>
      <c r="V65" s="85"/>
      <c r="W65" s="85"/>
      <c r="X65" s="85"/>
      <c r="Y65" s="85"/>
      <c r="Z65" s="85"/>
      <c r="AA65" s="85"/>
      <c r="AB65" s="85"/>
      <c r="AC65" s="85"/>
      <c r="AD65" s="85"/>
      <c r="AE65" s="85"/>
      <c r="AF65" s="85"/>
      <c r="AG65" s="85"/>
      <c r="AH65" s="85"/>
      <c r="AI65" s="85"/>
      <c r="AJ65" s="85"/>
      <c r="AK65" s="85"/>
      <c r="AL65" s="85"/>
    </row>
    <row r="66" spans="1:38" s="80" customFormat="1" x14ac:dyDescent="0.25">
      <c r="A66" s="94">
        <f t="shared" si="6"/>
        <v>0</v>
      </c>
      <c r="B66" s="33" t="str">
        <f t="shared" si="7"/>
        <v/>
      </c>
      <c r="C66" s="34"/>
      <c r="D66" s="34"/>
      <c r="E66" s="34"/>
      <c r="F66" s="34"/>
      <c r="H66" s="95">
        <v>61</v>
      </c>
      <c r="I66" s="96" t="str">
        <f t="shared" si="1"/>
        <v/>
      </c>
      <c r="J66" s="95" t="e">
        <f t="shared" si="2"/>
        <v>#NUM!</v>
      </c>
      <c r="K66" s="95" t="e">
        <f t="shared" si="3"/>
        <v>#NUM!</v>
      </c>
      <c r="L66" s="95"/>
      <c r="M66" s="97">
        <f t="shared" si="4"/>
        <v>0</v>
      </c>
      <c r="S66" s="85"/>
      <c r="T66" s="85"/>
      <c r="U66" s="85"/>
      <c r="V66" s="85"/>
      <c r="W66" s="85"/>
      <c r="X66" s="85"/>
      <c r="Y66" s="85"/>
      <c r="Z66" s="85"/>
      <c r="AA66" s="85"/>
      <c r="AB66" s="85"/>
      <c r="AC66" s="85"/>
      <c r="AD66" s="85"/>
      <c r="AE66" s="85"/>
      <c r="AF66" s="85"/>
      <c r="AG66" s="85"/>
      <c r="AH66" s="85"/>
      <c r="AI66" s="85"/>
      <c r="AJ66" s="85"/>
      <c r="AK66" s="85"/>
      <c r="AL66" s="85"/>
    </row>
    <row r="67" spans="1:38" s="80" customFormat="1" x14ac:dyDescent="0.25">
      <c r="A67" s="98">
        <f t="shared" si="6"/>
        <v>0</v>
      </c>
      <c r="B67" s="39" t="str">
        <f t="shared" si="7"/>
        <v/>
      </c>
      <c r="C67" s="40"/>
      <c r="D67" s="40"/>
      <c r="E67" s="40"/>
      <c r="F67" s="40"/>
      <c r="H67" s="99">
        <v>62</v>
      </c>
      <c r="I67" s="100" t="str">
        <f t="shared" si="1"/>
        <v/>
      </c>
      <c r="J67" s="99" t="e">
        <f t="shared" si="2"/>
        <v>#NUM!</v>
      </c>
      <c r="K67" s="99" t="e">
        <f t="shared" si="3"/>
        <v>#NUM!</v>
      </c>
      <c r="L67" s="99"/>
      <c r="M67" s="101">
        <f t="shared" si="4"/>
        <v>0</v>
      </c>
      <c r="S67" s="85"/>
      <c r="T67" s="85"/>
      <c r="U67" s="85"/>
      <c r="V67" s="85"/>
      <c r="W67" s="85"/>
      <c r="X67" s="85"/>
      <c r="Y67" s="85"/>
      <c r="Z67" s="85"/>
      <c r="AA67" s="85"/>
      <c r="AB67" s="85"/>
      <c r="AC67" s="85"/>
      <c r="AD67" s="85"/>
      <c r="AE67" s="85"/>
      <c r="AF67" s="85"/>
      <c r="AG67" s="85"/>
      <c r="AH67" s="85"/>
      <c r="AI67" s="85"/>
      <c r="AJ67" s="85"/>
      <c r="AK67" s="85"/>
      <c r="AL67" s="85"/>
    </row>
    <row r="68" spans="1:38" s="80" customFormat="1" x14ac:dyDescent="0.25">
      <c r="A68" s="94">
        <f t="shared" si="6"/>
        <v>0</v>
      </c>
      <c r="B68" s="33" t="str">
        <f t="shared" si="7"/>
        <v/>
      </c>
      <c r="C68" s="34"/>
      <c r="D68" s="34"/>
      <c r="E68" s="34"/>
      <c r="F68" s="34"/>
      <c r="H68" s="95">
        <v>63</v>
      </c>
      <c r="I68" s="96" t="str">
        <f t="shared" si="1"/>
        <v/>
      </c>
      <c r="J68" s="95" t="e">
        <f t="shared" si="2"/>
        <v>#NUM!</v>
      </c>
      <c r="K68" s="95" t="e">
        <f t="shared" si="3"/>
        <v>#NUM!</v>
      </c>
      <c r="L68" s="95"/>
      <c r="M68" s="97">
        <f t="shared" si="4"/>
        <v>0</v>
      </c>
      <c r="S68" s="85"/>
      <c r="T68" s="85"/>
      <c r="U68" s="85"/>
      <c r="V68" s="85"/>
      <c r="W68" s="85"/>
      <c r="X68" s="85"/>
      <c r="Y68" s="85"/>
      <c r="Z68" s="85"/>
      <c r="AA68" s="85"/>
      <c r="AB68" s="85"/>
      <c r="AC68" s="85"/>
      <c r="AD68" s="85"/>
      <c r="AE68" s="85"/>
      <c r="AF68" s="85"/>
      <c r="AG68" s="85"/>
      <c r="AH68" s="85"/>
      <c r="AI68" s="85"/>
      <c r="AJ68" s="85"/>
      <c r="AK68" s="85"/>
      <c r="AL68" s="85"/>
    </row>
    <row r="69" spans="1:38" s="80" customFormat="1" x14ac:dyDescent="0.25">
      <c r="A69" s="98">
        <f t="shared" si="6"/>
        <v>0</v>
      </c>
      <c r="B69" s="39" t="str">
        <f t="shared" si="7"/>
        <v/>
      </c>
      <c r="C69" s="40"/>
      <c r="D69" s="40"/>
      <c r="E69" s="40"/>
      <c r="F69" s="40"/>
      <c r="H69" s="99">
        <v>64</v>
      </c>
      <c r="I69" s="100" t="str">
        <f t="shared" si="1"/>
        <v/>
      </c>
      <c r="J69" s="99" t="e">
        <f t="shared" si="2"/>
        <v>#NUM!</v>
      </c>
      <c r="K69" s="99" t="e">
        <f t="shared" si="3"/>
        <v>#NUM!</v>
      </c>
      <c r="L69" s="99"/>
      <c r="M69" s="101">
        <f t="shared" si="4"/>
        <v>0</v>
      </c>
      <c r="S69" s="85"/>
      <c r="T69" s="85"/>
      <c r="U69" s="85"/>
      <c r="V69" s="85"/>
      <c r="W69" s="85"/>
      <c r="X69" s="85"/>
      <c r="Y69" s="85"/>
      <c r="Z69" s="85"/>
      <c r="AA69" s="85"/>
      <c r="AB69" s="85"/>
      <c r="AC69" s="85"/>
      <c r="AD69" s="85"/>
      <c r="AE69" s="85"/>
      <c r="AF69" s="85"/>
      <c r="AG69" s="85"/>
      <c r="AH69" s="85"/>
      <c r="AI69" s="85"/>
      <c r="AJ69" s="85"/>
      <c r="AK69" s="85"/>
      <c r="AL69" s="85"/>
    </row>
    <row r="70" spans="1:38" s="80" customFormat="1" x14ac:dyDescent="0.25">
      <c r="A70" s="94">
        <f t="shared" ref="A70:A101" si="8">M70</f>
        <v>0</v>
      </c>
      <c r="B70" s="33" t="str">
        <f t="shared" si="7"/>
        <v/>
      </c>
      <c r="C70" s="34"/>
      <c r="D70" s="34"/>
      <c r="E70" s="34"/>
      <c r="F70" s="34"/>
      <c r="H70" s="95">
        <v>65</v>
      </c>
      <c r="I70" s="96" t="str">
        <f t="shared" ref="I70:I133" si="9">IF(H70&lt;$H$2+1,($I$2-($I$2-1)*(LOG(H70)/LOG($H$2))),"")</f>
        <v/>
      </c>
      <c r="J70" s="95" t="e">
        <f t="shared" ref="J70:J133" si="10">INT(LOG($H$2,2))-ROUNDUP(LOG(H70,2),0)+IF(OR($H$2=1,$H$2=2,$H$2=4,$H$2=8,$H$2=16,$H$2=32,$H$2=64,$H$2=128,$H$2=256),0,1)</f>
        <v>#NUM!</v>
      </c>
      <c r="K70" s="95" t="e">
        <f t="shared" ref="K70:K133" si="11">J70*$J$2</f>
        <v>#NUM!</v>
      </c>
      <c r="L70" s="95"/>
      <c r="M70" s="97">
        <f t="shared" ref="M70:M133" si="12">IF(I70&lt;&gt;"",K70+I70+L70,0)</f>
        <v>0</v>
      </c>
      <c r="S70" s="85"/>
      <c r="T70" s="85"/>
      <c r="U70" s="85"/>
      <c r="V70" s="85"/>
      <c r="W70" s="85"/>
      <c r="X70" s="85"/>
      <c r="Y70" s="85"/>
      <c r="Z70" s="85"/>
      <c r="AA70" s="85"/>
      <c r="AB70" s="85"/>
      <c r="AC70" s="85"/>
      <c r="AD70" s="85"/>
      <c r="AE70" s="85"/>
      <c r="AF70" s="85"/>
      <c r="AG70" s="85"/>
      <c r="AH70" s="85"/>
      <c r="AI70" s="85"/>
      <c r="AJ70" s="85"/>
      <c r="AK70" s="85"/>
      <c r="AL70" s="85"/>
    </row>
    <row r="71" spans="1:38" s="80" customFormat="1" x14ac:dyDescent="0.25">
      <c r="A71" s="98">
        <f t="shared" si="8"/>
        <v>0</v>
      </c>
      <c r="B71" s="39" t="str">
        <f t="shared" si="7"/>
        <v/>
      </c>
      <c r="C71" s="40"/>
      <c r="D71" s="40"/>
      <c r="E71" s="40"/>
      <c r="F71" s="40"/>
      <c r="H71" s="99">
        <v>66</v>
      </c>
      <c r="I71" s="100" t="str">
        <f t="shared" si="9"/>
        <v/>
      </c>
      <c r="J71" s="99" t="e">
        <f t="shared" si="10"/>
        <v>#NUM!</v>
      </c>
      <c r="K71" s="99" t="e">
        <f t="shared" si="11"/>
        <v>#NUM!</v>
      </c>
      <c r="L71" s="99"/>
      <c r="M71" s="101">
        <f t="shared" si="12"/>
        <v>0</v>
      </c>
      <c r="S71" s="85"/>
      <c r="T71" s="85"/>
      <c r="U71" s="85"/>
      <c r="V71" s="85"/>
      <c r="W71" s="85"/>
      <c r="X71" s="85"/>
      <c r="Y71" s="85"/>
      <c r="Z71" s="85"/>
      <c r="AA71" s="85"/>
      <c r="AB71" s="85"/>
      <c r="AC71" s="85"/>
      <c r="AD71" s="85"/>
      <c r="AE71" s="85"/>
      <c r="AF71" s="85"/>
      <c r="AG71" s="85"/>
      <c r="AH71" s="85"/>
      <c r="AI71" s="85"/>
      <c r="AJ71" s="85"/>
      <c r="AK71" s="85"/>
      <c r="AL71" s="85"/>
    </row>
    <row r="72" spans="1:38" s="80" customFormat="1" x14ac:dyDescent="0.25">
      <c r="A72" s="94">
        <f t="shared" si="8"/>
        <v>0</v>
      </c>
      <c r="B72" s="33" t="str">
        <f t="shared" si="7"/>
        <v/>
      </c>
      <c r="C72" s="34"/>
      <c r="D72" s="34"/>
      <c r="E72" s="34"/>
      <c r="F72" s="34"/>
      <c r="H72" s="95">
        <v>67</v>
      </c>
      <c r="I72" s="96" t="str">
        <f t="shared" si="9"/>
        <v/>
      </c>
      <c r="J72" s="95" t="e">
        <f t="shared" si="10"/>
        <v>#NUM!</v>
      </c>
      <c r="K72" s="95" t="e">
        <f t="shared" si="11"/>
        <v>#NUM!</v>
      </c>
      <c r="L72" s="95"/>
      <c r="M72" s="97">
        <f t="shared" si="12"/>
        <v>0</v>
      </c>
      <c r="S72" s="85"/>
      <c r="T72" s="85"/>
      <c r="U72" s="85"/>
      <c r="V72" s="85"/>
      <c r="W72" s="85"/>
      <c r="X72" s="85"/>
      <c r="Y72" s="85"/>
      <c r="Z72" s="85"/>
      <c r="AA72" s="85"/>
      <c r="AB72" s="85"/>
      <c r="AC72" s="85"/>
      <c r="AD72" s="85"/>
      <c r="AE72" s="85"/>
      <c r="AF72" s="85"/>
      <c r="AG72" s="85"/>
      <c r="AH72" s="85"/>
      <c r="AI72" s="85"/>
      <c r="AJ72" s="85"/>
      <c r="AK72" s="85"/>
      <c r="AL72" s="85"/>
    </row>
    <row r="73" spans="1:38" s="80" customFormat="1" x14ac:dyDescent="0.25">
      <c r="A73" s="98">
        <f t="shared" si="8"/>
        <v>0</v>
      </c>
      <c r="B73" s="39" t="str">
        <f t="shared" si="7"/>
        <v/>
      </c>
      <c r="C73" s="40"/>
      <c r="D73" s="40"/>
      <c r="E73" s="40"/>
      <c r="F73" s="40"/>
      <c r="H73" s="99">
        <v>68</v>
      </c>
      <c r="I73" s="100" t="str">
        <f t="shared" si="9"/>
        <v/>
      </c>
      <c r="J73" s="99" t="e">
        <f t="shared" si="10"/>
        <v>#NUM!</v>
      </c>
      <c r="K73" s="99" t="e">
        <f t="shared" si="11"/>
        <v>#NUM!</v>
      </c>
      <c r="L73" s="99"/>
      <c r="M73" s="101">
        <f t="shared" si="12"/>
        <v>0</v>
      </c>
      <c r="S73" s="85"/>
      <c r="T73" s="85"/>
      <c r="U73" s="85"/>
      <c r="V73" s="85"/>
      <c r="W73" s="85"/>
      <c r="X73" s="85"/>
      <c r="Y73" s="85"/>
      <c r="Z73" s="85"/>
      <c r="AA73" s="85"/>
      <c r="AB73" s="85"/>
      <c r="AC73" s="85"/>
      <c r="AD73" s="85"/>
      <c r="AE73" s="85"/>
      <c r="AF73" s="85"/>
      <c r="AG73" s="85"/>
      <c r="AH73" s="85"/>
      <c r="AI73" s="85"/>
      <c r="AJ73" s="85"/>
      <c r="AK73" s="85"/>
      <c r="AL73" s="85"/>
    </row>
    <row r="74" spans="1:38" s="80" customFormat="1" x14ac:dyDescent="0.25">
      <c r="A74" s="94">
        <f t="shared" si="8"/>
        <v>0</v>
      </c>
      <c r="B74" s="33" t="str">
        <f t="shared" ref="B74:B105" si="13">IF(H74&gt;$H$2,"",(ROW()-5))</f>
        <v/>
      </c>
      <c r="C74" s="34"/>
      <c r="D74" s="34"/>
      <c r="E74" s="34"/>
      <c r="F74" s="34"/>
      <c r="H74" s="95">
        <v>69</v>
      </c>
      <c r="I74" s="96" t="str">
        <f t="shared" si="9"/>
        <v/>
      </c>
      <c r="J74" s="95" t="e">
        <f t="shared" si="10"/>
        <v>#NUM!</v>
      </c>
      <c r="K74" s="95" t="e">
        <f t="shared" si="11"/>
        <v>#NUM!</v>
      </c>
      <c r="L74" s="95"/>
      <c r="M74" s="97">
        <f t="shared" si="12"/>
        <v>0</v>
      </c>
      <c r="S74" s="85"/>
      <c r="T74" s="85"/>
      <c r="U74" s="85"/>
      <c r="V74" s="85"/>
      <c r="W74" s="85"/>
      <c r="X74" s="85"/>
      <c r="Y74" s="85"/>
      <c r="Z74" s="85"/>
      <c r="AA74" s="85"/>
      <c r="AB74" s="85"/>
      <c r="AC74" s="85"/>
      <c r="AD74" s="85"/>
      <c r="AE74" s="85"/>
      <c r="AF74" s="85"/>
      <c r="AG74" s="85"/>
      <c r="AH74" s="85"/>
      <c r="AI74" s="85"/>
      <c r="AJ74" s="85"/>
      <c r="AK74" s="85"/>
      <c r="AL74" s="85"/>
    </row>
    <row r="75" spans="1:38" s="80" customFormat="1" x14ac:dyDescent="0.25">
      <c r="A75" s="98">
        <f t="shared" si="8"/>
        <v>0</v>
      </c>
      <c r="B75" s="39" t="str">
        <f t="shared" si="13"/>
        <v/>
      </c>
      <c r="C75" s="40"/>
      <c r="D75" s="40"/>
      <c r="E75" s="40"/>
      <c r="F75" s="40"/>
      <c r="H75" s="99">
        <v>70</v>
      </c>
      <c r="I75" s="100" t="str">
        <f t="shared" si="9"/>
        <v/>
      </c>
      <c r="J75" s="99" t="e">
        <f t="shared" si="10"/>
        <v>#NUM!</v>
      </c>
      <c r="K75" s="99" t="e">
        <f t="shared" si="11"/>
        <v>#NUM!</v>
      </c>
      <c r="L75" s="99"/>
      <c r="M75" s="101">
        <f t="shared" si="12"/>
        <v>0</v>
      </c>
      <c r="S75" s="85"/>
      <c r="T75" s="85"/>
      <c r="U75" s="85"/>
      <c r="V75" s="85"/>
      <c r="W75" s="85"/>
      <c r="X75" s="85"/>
      <c r="Y75" s="85"/>
      <c r="Z75" s="85"/>
      <c r="AA75" s="85"/>
      <c r="AB75" s="85"/>
      <c r="AC75" s="85"/>
      <c r="AD75" s="85"/>
      <c r="AE75" s="85"/>
      <c r="AF75" s="85"/>
      <c r="AG75" s="85"/>
      <c r="AH75" s="85"/>
      <c r="AI75" s="85"/>
      <c r="AJ75" s="85"/>
      <c r="AK75" s="85"/>
      <c r="AL75" s="85"/>
    </row>
    <row r="76" spans="1:38" s="80" customFormat="1" x14ac:dyDescent="0.25">
      <c r="A76" s="94">
        <f t="shared" si="8"/>
        <v>0</v>
      </c>
      <c r="B76" s="33" t="str">
        <f t="shared" si="13"/>
        <v/>
      </c>
      <c r="C76" s="34"/>
      <c r="D76" s="34"/>
      <c r="E76" s="34"/>
      <c r="F76" s="34"/>
      <c r="H76" s="95">
        <v>71</v>
      </c>
      <c r="I76" s="96" t="str">
        <f t="shared" si="9"/>
        <v/>
      </c>
      <c r="J76" s="95" t="e">
        <f t="shared" si="10"/>
        <v>#NUM!</v>
      </c>
      <c r="K76" s="95" t="e">
        <f t="shared" si="11"/>
        <v>#NUM!</v>
      </c>
      <c r="L76" s="95"/>
      <c r="M76" s="97">
        <f t="shared" si="12"/>
        <v>0</v>
      </c>
      <c r="S76" s="85"/>
      <c r="T76" s="85"/>
      <c r="U76" s="85"/>
      <c r="V76" s="85"/>
      <c r="W76" s="85"/>
      <c r="X76" s="85"/>
      <c r="Y76" s="85"/>
      <c r="Z76" s="85"/>
      <c r="AA76" s="85"/>
      <c r="AB76" s="85"/>
      <c r="AC76" s="85"/>
      <c r="AD76" s="85"/>
      <c r="AE76" s="85"/>
      <c r="AF76" s="85"/>
      <c r="AG76" s="85"/>
      <c r="AH76" s="85"/>
      <c r="AI76" s="85"/>
      <c r="AJ76" s="85"/>
      <c r="AK76" s="85"/>
      <c r="AL76" s="85"/>
    </row>
    <row r="77" spans="1:38" s="80" customFormat="1" x14ac:dyDescent="0.25">
      <c r="A77" s="98">
        <f t="shared" si="8"/>
        <v>0</v>
      </c>
      <c r="B77" s="39" t="str">
        <f t="shared" si="13"/>
        <v/>
      </c>
      <c r="C77" s="40"/>
      <c r="D77" s="40"/>
      <c r="E77" s="40"/>
      <c r="F77" s="40"/>
      <c r="H77" s="99">
        <v>72</v>
      </c>
      <c r="I77" s="100" t="str">
        <f t="shared" si="9"/>
        <v/>
      </c>
      <c r="J77" s="99" t="e">
        <f t="shared" si="10"/>
        <v>#NUM!</v>
      </c>
      <c r="K77" s="99" t="e">
        <f t="shared" si="11"/>
        <v>#NUM!</v>
      </c>
      <c r="L77" s="99"/>
      <c r="M77" s="101">
        <f t="shared" si="12"/>
        <v>0</v>
      </c>
      <c r="S77" s="85"/>
      <c r="T77" s="85"/>
      <c r="U77" s="85"/>
      <c r="V77" s="85"/>
      <c r="W77" s="85"/>
      <c r="X77" s="85"/>
      <c r="Y77" s="85"/>
      <c r="Z77" s="85"/>
      <c r="AA77" s="85"/>
      <c r="AB77" s="85"/>
      <c r="AC77" s="85"/>
      <c r="AD77" s="85"/>
      <c r="AE77" s="85"/>
      <c r="AF77" s="85"/>
      <c r="AG77" s="85"/>
      <c r="AH77" s="85"/>
      <c r="AI77" s="85"/>
      <c r="AJ77" s="85"/>
      <c r="AK77" s="85"/>
      <c r="AL77" s="85"/>
    </row>
    <row r="78" spans="1:38" s="80" customFormat="1" x14ac:dyDescent="0.25">
      <c r="A78" s="94">
        <f t="shared" si="8"/>
        <v>0</v>
      </c>
      <c r="B78" s="33" t="str">
        <f t="shared" si="13"/>
        <v/>
      </c>
      <c r="C78" s="34"/>
      <c r="D78" s="34"/>
      <c r="E78" s="34"/>
      <c r="F78" s="34"/>
      <c r="H78" s="95">
        <v>73</v>
      </c>
      <c r="I78" s="96" t="str">
        <f t="shared" si="9"/>
        <v/>
      </c>
      <c r="J78" s="95" t="e">
        <f t="shared" si="10"/>
        <v>#NUM!</v>
      </c>
      <c r="K78" s="95" t="e">
        <f t="shared" si="11"/>
        <v>#NUM!</v>
      </c>
      <c r="L78" s="95"/>
      <c r="M78" s="97">
        <f t="shared" si="12"/>
        <v>0</v>
      </c>
      <c r="S78" s="85"/>
      <c r="T78" s="85"/>
      <c r="U78" s="85"/>
      <c r="V78" s="85"/>
      <c r="W78" s="85"/>
      <c r="X78" s="85"/>
      <c r="Y78" s="85"/>
      <c r="Z78" s="85"/>
      <c r="AA78" s="85"/>
      <c r="AB78" s="85"/>
      <c r="AC78" s="85"/>
      <c r="AD78" s="85"/>
      <c r="AE78" s="85"/>
      <c r="AF78" s="85"/>
      <c r="AG78" s="85"/>
      <c r="AH78" s="85"/>
      <c r="AI78" s="85"/>
      <c r="AJ78" s="85"/>
      <c r="AK78" s="85"/>
      <c r="AL78" s="85"/>
    </row>
    <row r="79" spans="1:38" s="80" customFormat="1" x14ac:dyDescent="0.25">
      <c r="A79" s="98">
        <f t="shared" si="8"/>
        <v>0</v>
      </c>
      <c r="B79" s="39" t="str">
        <f t="shared" si="13"/>
        <v/>
      </c>
      <c r="C79" s="40"/>
      <c r="D79" s="40"/>
      <c r="E79" s="40"/>
      <c r="F79" s="40"/>
      <c r="H79" s="99">
        <v>74</v>
      </c>
      <c r="I79" s="100" t="str">
        <f t="shared" si="9"/>
        <v/>
      </c>
      <c r="J79" s="99" t="e">
        <f t="shared" si="10"/>
        <v>#NUM!</v>
      </c>
      <c r="K79" s="99" t="e">
        <f t="shared" si="11"/>
        <v>#NUM!</v>
      </c>
      <c r="L79" s="99"/>
      <c r="M79" s="101">
        <f t="shared" si="12"/>
        <v>0</v>
      </c>
      <c r="S79" s="85"/>
      <c r="T79" s="85"/>
      <c r="U79" s="85"/>
      <c r="V79" s="85"/>
      <c r="W79" s="85"/>
      <c r="X79" s="85"/>
      <c r="Y79" s="85"/>
      <c r="Z79" s="85"/>
      <c r="AA79" s="85"/>
      <c r="AB79" s="85"/>
      <c r="AC79" s="85"/>
      <c r="AD79" s="85"/>
      <c r="AE79" s="85"/>
      <c r="AF79" s="85"/>
      <c r="AG79" s="85"/>
      <c r="AH79" s="85"/>
      <c r="AI79" s="85"/>
      <c r="AJ79" s="85"/>
      <c r="AK79" s="85"/>
      <c r="AL79" s="85"/>
    </row>
    <row r="80" spans="1:38" s="80" customFormat="1" x14ac:dyDescent="0.25">
      <c r="A80" s="94">
        <f t="shared" si="8"/>
        <v>0</v>
      </c>
      <c r="B80" s="33" t="str">
        <f t="shared" si="13"/>
        <v/>
      </c>
      <c r="C80" s="34"/>
      <c r="D80" s="34"/>
      <c r="E80" s="34"/>
      <c r="F80" s="34"/>
      <c r="H80" s="95">
        <v>75</v>
      </c>
      <c r="I80" s="96" t="str">
        <f t="shared" si="9"/>
        <v/>
      </c>
      <c r="J80" s="95" t="e">
        <f t="shared" si="10"/>
        <v>#NUM!</v>
      </c>
      <c r="K80" s="95" t="e">
        <f t="shared" si="11"/>
        <v>#NUM!</v>
      </c>
      <c r="L80" s="95"/>
      <c r="M80" s="97">
        <f t="shared" si="12"/>
        <v>0</v>
      </c>
      <c r="S80" s="85"/>
      <c r="T80" s="85"/>
      <c r="U80" s="85"/>
      <c r="V80" s="85"/>
      <c r="W80" s="85"/>
      <c r="X80" s="85"/>
      <c r="Y80" s="85"/>
      <c r="Z80" s="85"/>
      <c r="AA80" s="85"/>
      <c r="AB80" s="85"/>
      <c r="AC80" s="85"/>
      <c r="AD80" s="85"/>
      <c r="AE80" s="85"/>
      <c r="AF80" s="85"/>
      <c r="AG80" s="85"/>
      <c r="AH80" s="85"/>
      <c r="AI80" s="85"/>
      <c r="AJ80" s="85"/>
      <c r="AK80" s="85"/>
      <c r="AL80" s="85"/>
    </row>
    <row r="81" spans="1:38" s="80" customFormat="1" x14ac:dyDescent="0.25">
      <c r="A81" s="98">
        <f t="shared" si="8"/>
        <v>0</v>
      </c>
      <c r="B81" s="39" t="str">
        <f t="shared" si="13"/>
        <v/>
      </c>
      <c r="C81" s="40"/>
      <c r="D81" s="40"/>
      <c r="E81" s="40"/>
      <c r="F81" s="40"/>
      <c r="H81" s="99">
        <v>76</v>
      </c>
      <c r="I81" s="100" t="str">
        <f t="shared" si="9"/>
        <v/>
      </c>
      <c r="J81" s="99" t="e">
        <f t="shared" si="10"/>
        <v>#NUM!</v>
      </c>
      <c r="K81" s="99" t="e">
        <f t="shared" si="11"/>
        <v>#NUM!</v>
      </c>
      <c r="L81" s="99"/>
      <c r="M81" s="101">
        <f t="shared" si="12"/>
        <v>0</v>
      </c>
      <c r="S81" s="85"/>
      <c r="T81" s="85"/>
      <c r="U81" s="85"/>
      <c r="V81" s="85"/>
      <c r="W81" s="85"/>
      <c r="X81" s="85"/>
      <c r="Y81" s="85"/>
      <c r="Z81" s="85"/>
      <c r="AA81" s="85"/>
      <c r="AB81" s="85"/>
      <c r="AC81" s="85"/>
      <c r="AD81" s="85"/>
      <c r="AE81" s="85"/>
      <c r="AF81" s="85"/>
      <c r="AG81" s="85"/>
      <c r="AH81" s="85"/>
      <c r="AI81" s="85"/>
      <c r="AJ81" s="85"/>
      <c r="AK81" s="85"/>
      <c r="AL81" s="85"/>
    </row>
    <row r="82" spans="1:38" s="80" customFormat="1" x14ac:dyDescent="0.25">
      <c r="A82" s="94">
        <f t="shared" si="8"/>
        <v>0</v>
      </c>
      <c r="B82" s="33" t="str">
        <f t="shared" si="13"/>
        <v/>
      </c>
      <c r="C82" s="34"/>
      <c r="D82" s="34"/>
      <c r="E82" s="34"/>
      <c r="F82" s="34"/>
      <c r="H82" s="95">
        <v>77</v>
      </c>
      <c r="I82" s="96" t="str">
        <f t="shared" si="9"/>
        <v/>
      </c>
      <c r="J82" s="95" t="e">
        <f t="shared" si="10"/>
        <v>#NUM!</v>
      </c>
      <c r="K82" s="95" t="e">
        <f t="shared" si="11"/>
        <v>#NUM!</v>
      </c>
      <c r="L82" s="95"/>
      <c r="M82" s="97">
        <f t="shared" si="12"/>
        <v>0</v>
      </c>
      <c r="S82" s="85"/>
      <c r="T82" s="85"/>
      <c r="U82" s="85"/>
      <c r="V82" s="85"/>
      <c r="W82" s="85"/>
      <c r="X82" s="85"/>
      <c r="Y82" s="85"/>
      <c r="Z82" s="85"/>
      <c r="AA82" s="85"/>
      <c r="AB82" s="85"/>
      <c r="AC82" s="85"/>
      <c r="AD82" s="85"/>
      <c r="AE82" s="85"/>
      <c r="AF82" s="85"/>
      <c r="AG82" s="85"/>
      <c r="AH82" s="85"/>
      <c r="AI82" s="85"/>
      <c r="AJ82" s="85"/>
      <c r="AK82" s="85"/>
      <c r="AL82" s="85"/>
    </row>
    <row r="83" spans="1:38" s="80" customFormat="1" x14ac:dyDescent="0.25">
      <c r="A83" s="98">
        <f t="shared" si="8"/>
        <v>0</v>
      </c>
      <c r="B83" s="39" t="str">
        <f t="shared" si="13"/>
        <v/>
      </c>
      <c r="C83" s="40"/>
      <c r="D83" s="40"/>
      <c r="E83" s="40"/>
      <c r="F83" s="40"/>
      <c r="H83" s="99">
        <v>78</v>
      </c>
      <c r="I83" s="100" t="str">
        <f t="shared" si="9"/>
        <v/>
      </c>
      <c r="J83" s="99" t="e">
        <f t="shared" si="10"/>
        <v>#NUM!</v>
      </c>
      <c r="K83" s="99" t="e">
        <f t="shared" si="11"/>
        <v>#NUM!</v>
      </c>
      <c r="L83" s="99"/>
      <c r="M83" s="101">
        <f t="shared" si="12"/>
        <v>0</v>
      </c>
      <c r="S83" s="85"/>
      <c r="T83" s="85"/>
      <c r="U83" s="85"/>
      <c r="V83" s="85"/>
      <c r="W83" s="85"/>
      <c r="X83" s="85"/>
      <c r="Y83" s="85"/>
      <c r="Z83" s="85"/>
      <c r="AA83" s="85"/>
      <c r="AB83" s="85"/>
      <c r="AC83" s="85"/>
      <c r="AD83" s="85"/>
      <c r="AE83" s="85"/>
      <c r="AF83" s="85"/>
      <c r="AG83" s="85"/>
      <c r="AH83" s="85"/>
      <c r="AI83" s="85"/>
      <c r="AJ83" s="85"/>
      <c r="AK83" s="85"/>
      <c r="AL83" s="85"/>
    </row>
    <row r="84" spans="1:38" s="80" customFormat="1" x14ac:dyDescent="0.25">
      <c r="A84" s="94">
        <f t="shared" si="8"/>
        <v>0</v>
      </c>
      <c r="B84" s="33" t="str">
        <f t="shared" si="13"/>
        <v/>
      </c>
      <c r="C84" s="34"/>
      <c r="D84" s="34"/>
      <c r="E84" s="34"/>
      <c r="F84" s="34"/>
      <c r="H84" s="95">
        <v>79</v>
      </c>
      <c r="I84" s="96" t="str">
        <f t="shared" si="9"/>
        <v/>
      </c>
      <c r="J84" s="95" t="e">
        <f t="shared" si="10"/>
        <v>#NUM!</v>
      </c>
      <c r="K84" s="95" t="e">
        <f t="shared" si="11"/>
        <v>#NUM!</v>
      </c>
      <c r="L84" s="95"/>
      <c r="M84" s="97">
        <f t="shared" si="12"/>
        <v>0</v>
      </c>
      <c r="S84" s="85"/>
      <c r="T84" s="85"/>
      <c r="U84" s="85"/>
      <c r="V84" s="85"/>
      <c r="W84" s="85"/>
      <c r="X84" s="85"/>
      <c r="Y84" s="85"/>
      <c r="Z84" s="85"/>
      <c r="AA84" s="85"/>
      <c r="AB84" s="85"/>
      <c r="AC84" s="85"/>
      <c r="AD84" s="85"/>
      <c r="AE84" s="85"/>
      <c r="AF84" s="85"/>
      <c r="AG84" s="85"/>
      <c r="AH84" s="85"/>
      <c r="AI84" s="85"/>
      <c r="AJ84" s="85"/>
      <c r="AK84" s="85"/>
      <c r="AL84" s="85"/>
    </row>
    <row r="85" spans="1:38" s="80" customFormat="1" x14ac:dyDescent="0.25">
      <c r="A85" s="98">
        <f t="shared" si="8"/>
        <v>0</v>
      </c>
      <c r="B85" s="39" t="str">
        <f t="shared" si="13"/>
        <v/>
      </c>
      <c r="C85" s="40"/>
      <c r="D85" s="40"/>
      <c r="E85" s="40"/>
      <c r="F85" s="40"/>
      <c r="H85" s="99">
        <v>80</v>
      </c>
      <c r="I85" s="100" t="str">
        <f t="shared" si="9"/>
        <v/>
      </c>
      <c r="J85" s="99" t="e">
        <f t="shared" si="10"/>
        <v>#NUM!</v>
      </c>
      <c r="K85" s="99" t="e">
        <f t="shared" si="11"/>
        <v>#NUM!</v>
      </c>
      <c r="L85" s="99"/>
      <c r="M85" s="101">
        <f t="shared" si="12"/>
        <v>0</v>
      </c>
      <c r="S85" s="85"/>
      <c r="T85" s="85"/>
      <c r="U85" s="85"/>
      <c r="V85" s="85"/>
      <c r="W85" s="85"/>
      <c r="X85" s="85"/>
      <c r="Y85" s="85"/>
      <c r="Z85" s="85"/>
      <c r="AA85" s="85"/>
      <c r="AB85" s="85"/>
      <c r="AC85" s="85"/>
      <c r="AD85" s="85"/>
      <c r="AE85" s="85"/>
      <c r="AF85" s="85"/>
      <c r="AG85" s="85"/>
      <c r="AH85" s="85"/>
      <c r="AI85" s="85"/>
      <c r="AJ85" s="85"/>
      <c r="AK85" s="85"/>
      <c r="AL85" s="85"/>
    </row>
    <row r="86" spans="1:38" s="80" customFormat="1" x14ac:dyDescent="0.25">
      <c r="A86" s="94">
        <f t="shared" si="8"/>
        <v>0</v>
      </c>
      <c r="B86" s="33" t="str">
        <f t="shared" si="13"/>
        <v/>
      </c>
      <c r="C86" s="34"/>
      <c r="D86" s="34"/>
      <c r="E86" s="34"/>
      <c r="F86" s="34"/>
      <c r="H86" s="95">
        <v>81</v>
      </c>
      <c r="I86" s="96" t="str">
        <f t="shared" si="9"/>
        <v/>
      </c>
      <c r="J86" s="95" t="e">
        <f t="shared" si="10"/>
        <v>#NUM!</v>
      </c>
      <c r="K86" s="95" t="e">
        <f t="shared" si="11"/>
        <v>#NUM!</v>
      </c>
      <c r="L86" s="95"/>
      <c r="M86" s="97">
        <f t="shared" si="12"/>
        <v>0</v>
      </c>
      <c r="S86" s="85"/>
      <c r="T86" s="85"/>
      <c r="U86" s="85"/>
      <c r="V86" s="85"/>
      <c r="W86" s="85"/>
      <c r="X86" s="85"/>
      <c r="Y86" s="85"/>
      <c r="Z86" s="85"/>
      <c r="AA86" s="85"/>
      <c r="AB86" s="85"/>
      <c r="AC86" s="85"/>
      <c r="AD86" s="85"/>
      <c r="AE86" s="85"/>
      <c r="AF86" s="85"/>
      <c r="AG86" s="85"/>
      <c r="AH86" s="85"/>
      <c r="AI86" s="85"/>
      <c r="AJ86" s="85"/>
      <c r="AK86" s="85"/>
      <c r="AL86" s="85"/>
    </row>
    <row r="87" spans="1:38" s="80" customFormat="1" x14ac:dyDescent="0.25">
      <c r="A87" s="98">
        <f t="shared" si="8"/>
        <v>0</v>
      </c>
      <c r="B87" s="39" t="str">
        <f t="shared" si="13"/>
        <v/>
      </c>
      <c r="C87" s="40"/>
      <c r="D87" s="40"/>
      <c r="E87" s="40"/>
      <c r="F87" s="40"/>
      <c r="H87" s="99">
        <v>82</v>
      </c>
      <c r="I87" s="100" t="str">
        <f t="shared" si="9"/>
        <v/>
      </c>
      <c r="J87" s="99" t="e">
        <f t="shared" si="10"/>
        <v>#NUM!</v>
      </c>
      <c r="K87" s="99" t="e">
        <f t="shared" si="11"/>
        <v>#NUM!</v>
      </c>
      <c r="L87" s="99"/>
      <c r="M87" s="101">
        <f t="shared" si="12"/>
        <v>0</v>
      </c>
      <c r="S87" s="85"/>
      <c r="T87" s="85"/>
      <c r="U87" s="85"/>
      <c r="V87" s="85"/>
      <c r="W87" s="85"/>
      <c r="X87" s="85"/>
      <c r="Y87" s="85"/>
      <c r="Z87" s="85"/>
      <c r="AA87" s="85"/>
      <c r="AB87" s="85"/>
      <c r="AC87" s="85"/>
      <c r="AD87" s="85"/>
      <c r="AE87" s="85"/>
      <c r="AF87" s="85"/>
      <c r="AG87" s="85"/>
      <c r="AH87" s="85"/>
      <c r="AI87" s="85"/>
      <c r="AJ87" s="85"/>
      <c r="AK87" s="85"/>
      <c r="AL87" s="85"/>
    </row>
    <row r="88" spans="1:38" s="80" customFormat="1" x14ac:dyDescent="0.25">
      <c r="A88" s="94">
        <f t="shared" si="8"/>
        <v>0</v>
      </c>
      <c r="B88" s="33" t="str">
        <f t="shared" si="13"/>
        <v/>
      </c>
      <c r="C88" s="34"/>
      <c r="D88" s="34"/>
      <c r="E88" s="34"/>
      <c r="F88" s="34"/>
      <c r="H88" s="95">
        <v>83</v>
      </c>
      <c r="I88" s="96" t="str">
        <f t="shared" si="9"/>
        <v/>
      </c>
      <c r="J88" s="95" t="e">
        <f t="shared" si="10"/>
        <v>#NUM!</v>
      </c>
      <c r="K88" s="95" t="e">
        <f t="shared" si="11"/>
        <v>#NUM!</v>
      </c>
      <c r="L88" s="95"/>
      <c r="M88" s="97">
        <f t="shared" si="12"/>
        <v>0</v>
      </c>
      <c r="S88" s="85"/>
      <c r="T88" s="85"/>
      <c r="U88" s="85"/>
      <c r="V88" s="85"/>
      <c r="W88" s="85"/>
      <c r="X88" s="85"/>
      <c r="Y88" s="85"/>
      <c r="Z88" s="85"/>
      <c r="AA88" s="85"/>
      <c r="AB88" s="85"/>
      <c r="AC88" s="85"/>
      <c r="AD88" s="85"/>
      <c r="AE88" s="85"/>
      <c r="AF88" s="85"/>
      <c r="AG88" s="85"/>
      <c r="AH88" s="85"/>
      <c r="AI88" s="85"/>
      <c r="AJ88" s="85"/>
      <c r="AK88" s="85"/>
      <c r="AL88" s="85"/>
    </row>
    <row r="89" spans="1:38" s="80" customFormat="1" x14ac:dyDescent="0.25">
      <c r="A89" s="98">
        <f t="shared" si="8"/>
        <v>0</v>
      </c>
      <c r="B89" s="39" t="str">
        <f t="shared" si="13"/>
        <v/>
      </c>
      <c r="C89" s="40"/>
      <c r="D89" s="40"/>
      <c r="E89" s="40"/>
      <c r="F89" s="40"/>
      <c r="H89" s="99">
        <v>84</v>
      </c>
      <c r="I89" s="100" t="str">
        <f t="shared" si="9"/>
        <v/>
      </c>
      <c r="J89" s="99" t="e">
        <f t="shared" si="10"/>
        <v>#NUM!</v>
      </c>
      <c r="K89" s="99" t="e">
        <f t="shared" si="11"/>
        <v>#NUM!</v>
      </c>
      <c r="L89" s="99"/>
      <c r="M89" s="101">
        <f t="shared" si="12"/>
        <v>0</v>
      </c>
      <c r="S89" s="85"/>
      <c r="T89" s="85"/>
      <c r="U89" s="85"/>
      <c r="V89" s="85"/>
      <c r="W89" s="85"/>
      <c r="X89" s="85"/>
      <c r="Y89" s="85"/>
      <c r="Z89" s="85"/>
      <c r="AA89" s="85"/>
      <c r="AB89" s="85"/>
      <c r="AC89" s="85"/>
      <c r="AD89" s="85"/>
      <c r="AE89" s="85"/>
      <c r="AF89" s="85"/>
      <c r="AG89" s="85"/>
      <c r="AH89" s="85"/>
      <c r="AI89" s="85"/>
      <c r="AJ89" s="85"/>
      <c r="AK89" s="85"/>
      <c r="AL89" s="85"/>
    </row>
    <row r="90" spans="1:38" s="80" customFormat="1" x14ac:dyDescent="0.25">
      <c r="A90" s="94">
        <f t="shared" si="8"/>
        <v>0</v>
      </c>
      <c r="B90" s="33" t="str">
        <f t="shared" si="13"/>
        <v/>
      </c>
      <c r="C90" s="34"/>
      <c r="D90" s="34"/>
      <c r="E90" s="34"/>
      <c r="F90" s="34"/>
      <c r="H90" s="95">
        <v>85</v>
      </c>
      <c r="I90" s="96" t="str">
        <f t="shared" si="9"/>
        <v/>
      </c>
      <c r="J90" s="95" t="e">
        <f t="shared" si="10"/>
        <v>#NUM!</v>
      </c>
      <c r="K90" s="95" t="e">
        <f t="shared" si="11"/>
        <v>#NUM!</v>
      </c>
      <c r="L90" s="95"/>
      <c r="M90" s="97">
        <f t="shared" si="12"/>
        <v>0</v>
      </c>
      <c r="S90" s="85"/>
      <c r="T90" s="85"/>
      <c r="U90" s="85"/>
      <c r="V90" s="85"/>
      <c r="W90" s="85"/>
      <c r="X90" s="85"/>
      <c r="Y90" s="85"/>
      <c r="Z90" s="85"/>
      <c r="AA90" s="85"/>
      <c r="AB90" s="85"/>
      <c r="AC90" s="85"/>
      <c r="AD90" s="85"/>
      <c r="AE90" s="85"/>
      <c r="AF90" s="85"/>
      <c r="AG90" s="85"/>
      <c r="AH90" s="85"/>
      <c r="AI90" s="85"/>
      <c r="AJ90" s="85"/>
      <c r="AK90" s="85"/>
      <c r="AL90" s="85"/>
    </row>
    <row r="91" spans="1:38" s="80" customFormat="1" x14ac:dyDescent="0.25">
      <c r="A91" s="98">
        <f t="shared" si="8"/>
        <v>0</v>
      </c>
      <c r="B91" s="39" t="str">
        <f t="shared" si="13"/>
        <v/>
      </c>
      <c r="C91" s="40"/>
      <c r="D91" s="40"/>
      <c r="E91" s="40"/>
      <c r="F91" s="40"/>
      <c r="H91" s="99">
        <v>86</v>
      </c>
      <c r="I91" s="100" t="str">
        <f t="shared" si="9"/>
        <v/>
      </c>
      <c r="J91" s="99" t="e">
        <f t="shared" si="10"/>
        <v>#NUM!</v>
      </c>
      <c r="K91" s="99" t="e">
        <f t="shared" si="11"/>
        <v>#NUM!</v>
      </c>
      <c r="L91" s="99"/>
      <c r="M91" s="101">
        <f t="shared" si="12"/>
        <v>0</v>
      </c>
      <c r="S91" s="85"/>
      <c r="T91" s="85"/>
      <c r="U91" s="85"/>
      <c r="V91" s="85"/>
      <c r="W91" s="85"/>
      <c r="X91" s="85"/>
      <c r="Y91" s="85"/>
      <c r="Z91" s="85"/>
      <c r="AA91" s="85"/>
      <c r="AB91" s="85"/>
      <c r="AC91" s="85"/>
      <c r="AD91" s="85"/>
      <c r="AE91" s="85"/>
      <c r="AF91" s="85"/>
      <c r="AG91" s="85"/>
      <c r="AH91" s="85"/>
      <c r="AI91" s="85"/>
      <c r="AJ91" s="85"/>
      <c r="AK91" s="85"/>
      <c r="AL91" s="85"/>
    </row>
    <row r="92" spans="1:38" s="80" customFormat="1" x14ac:dyDescent="0.25">
      <c r="A92" s="94">
        <f t="shared" si="8"/>
        <v>0</v>
      </c>
      <c r="B92" s="33" t="str">
        <f t="shared" si="13"/>
        <v/>
      </c>
      <c r="C92" s="34"/>
      <c r="D92" s="34"/>
      <c r="E92" s="34"/>
      <c r="F92" s="34"/>
      <c r="H92" s="95">
        <v>87</v>
      </c>
      <c r="I92" s="96" t="str">
        <f t="shared" si="9"/>
        <v/>
      </c>
      <c r="J92" s="95" t="e">
        <f t="shared" si="10"/>
        <v>#NUM!</v>
      </c>
      <c r="K92" s="95" t="e">
        <f t="shared" si="11"/>
        <v>#NUM!</v>
      </c>
      <c r="L92" s="95"/>
      <c r="M92" s="97">
        <f t="shared" si="12"/>
        <v>0</v>
      </c>
      <c r="S92" s="85"/>
      <c r="T92" s="85"/>
      <c r="U92" s="85"/>
      <c r="V92" s="85"/>
      <c r="W92" s="85"/>
      <c r="X92" s="85"/>
      <c r="Y92" s="85"/>
      <c r="Z92" s="85"/>
      <c r="AA92" s="85"/>
      <c r="AB92" s="85"/>
      <c r="AC92" s="85"/>
      <c r="AD92" s="85"/>
      <c r="AE92" s="85"/>
      <c r="AF92" s="85"/>
      <c r="AG92" s="85"/>
      <c r="AH92" s="85"/>
      <c r="AI92" s="85"/>
      <c r="AJ92" s="85"/>
      <c r="AK92" s="85"/>
      <c r="AL92" s="85"/>
    </row>
    <row r="93" spans="1:38" s="80" customFormat="1" x14ac:dyDescent="0.25">
      <c r="A93" s="98">
        <f t="shared" si="8"/>
        <v>0</v>
      </c>
      <c r="B93" s="39" t="str">
        <f t="shared" si="13"/>
        <v/>
      </c>
      <c r="C93" s="40"/>
      <c r="D93" s="40"/>
      <c r="E93" s="40"/>
      <c r="F93" s="40"/>
      <c r="H93" s="99">
        <v>88</v>
      </c>
      <c r="I93" s="100" t="str">
        <f t="shared" si="9"/>
        <v/>
      </c>
      <c r="J93" s="99" t="e">
        <f t="shared" si="10"/>
        <v>#NUM!</v>
      </c>
      <c r="K93" s="99" t="e">
        <f t="shared" si="11"/>
        <v>#NUM!</v>
      </c>
      <c r="L93" s="99"/>
      <c r="M93" s="101">
        <f t="shared" si="12"/>
        <v>0</v>
      </c>
      <c r="S93" s="85"/>
      <c r="T93" s="85"/>
      <c r="U93" s="85"/>
      <c r="V93" s="85"/>
      <c r="W93" s="85"/>
      <c r="X93" s="85"/>
      <c r="Y93" s="85"/>
      <c r="Z93" s="85"/>
      <c r="AA93" s="85"/>
      <c r="AB93" s="85"/>
      <c r="AC93" s="85"/>
      <c r="AD93" s="85"/>
      <c r="AE93" s="85"/>
      <c r="AF93" s="85"/>
      <c r="AG93" s="85"/>
      <c r="AH93" s="85"/>
      <c r="AI93" s="85"/>
      <c r="AJ93" s="85"/>
      <c r="AK93" s="85"/>
      <c r="AL93" s="85"/>
    </row>
    <row r="94" spans="1:38" s="80" customFormat="1" x14ac:dyDescent="0.25">
      <c r="A94" s="94">
        <f t="shared" si="8"/>
        <v>0</v>
      </c>
      <c r="B94" s="33" t="str">
        <f t="shared" si="13"/>
        <v/>
      </c>
      <c r="C94" s="34"/>
      <c r="D94" s="34"/>
      <c r="E94" s="34"/>
      <c r="F94" s="34"/>
      <c r="H94" s="95">
        <v>89</v>
      </c>
      <c r="I94" s="96" t="str">
        <f t="shared" si="9"/>
        <v/>
      </c>
      <c r="J94" s="95" t="e">
        <f t="shared" si="10"/>
        <v>#NUM!</v>
      </c>
      <c r="K94" s="95" t="e">
        <f t="shared" si="11"/>
        <v>#NUM!</v>
      </c>
      <c r="L94" s="95"/>
      <c r="M94" s="97">
        <f t="shared" si="12"/>
        <v>0</v>
      </c>
      <c r="S94" s="85"/>
      <c r="T94" s="85"/>
      <c r="U94" s="85"/>
      <c r="V94" s="85"/>
      <c r="W94" s="85"/>
      <c r="X94" s="85"/>
      <c r="Y94" s="85"/>
      <c r="Z94" s="85"/>
      <c r="AA94" s="85"/>
      <c r="AB94" s="85"/>
      <c r="AC94" s="85"/>
      <c r="AD94" s="85"/>
      <c r="AE94" s="85"/>
      <c r="AF94" s="85"/>
      <c r="AG94" s="85"/>
      <c r="AH94" s="85"/>
      <c r="AI94" s="85"/>
      <c r="AJ94" s="85"/>
      <c r="AK94" s="85"/>
      <c r="AL94" s="85"/>
    </row>
    <row r="95" spans="1:38" s="80" customFormat="1" x14ac:dyDescent="0.25">
      <c r="A95" s="98">
        <f t="shared" si="8"/>
        <v>0</v>
      </c>
      <c r="B95" s="39" t="str">
        <f t="shared" si="13"/>
        <v/>
      </c>
      <c r="C95" s="40"/>
      <c r="D95" s="40"/>
      <c r="E95" s="40"/>
      <c r="F95" s="40"/>
      <c r="H95" s="99">
        <v>90</v>
      </c>
      <c r="I95" s="100" t="str">
        <f t="shared" si="9"/>
        <v/>
      </c>
      <c r="J95" s="99" t="e">
        <f t="shared" si="10"/>
        <v>#NUM!</v>
      </c>
      <c r="K95" s="99" t="e">
        <f t="shared" si="11"/>
        <v>#NUM!</v>
      </c>
      <c r="L95" s="99"/>
      <c r="M95" s="101">
        <f t="shared" si="12"/>
        <v>0</v>
      </c>
      <c r="S95" s="85"/>
      <c r="T95" s="85"/>
      <c r="U95" s="85"/>
      <c r="V95" s="85"/>
      <c r="W95" s="85"/>
      <c r="X95" s="85"/>
      <c r="Y95" s="85"/>
      <c r="Z95" s="85"/>
      <c r="AA95" s="85"/>
      <c r="AB95" s="85"/>
      <c r="AC95" s="85"/>
      <c r="AD95" s="85"/>
      <c r="AE95" s="85"/>
      <c r="AF95" s="85"/>
      <c r="AG95" s="85"/>
      <c r="AH95" s="85"/>
      <c r="AI95" s="85"/>
      <c r="AJ95" s="85"/>
      <c r="AK95" s="85"/>
      <c r="AL95" s="85"/>
    </row>
    <row r="96" spans="1:38" s="80" customFormat="1" x14ac:dyDescent="0.25">
      <c r="A96" s="94">
        <f t="shared" si="8"/>
        <v>0</v>
      </c>
      <c r="B96" s="33" t="str">
        <f t="shared" si="13"/>
        <v/>
      </c>
      <c r="C96" s="34"/>
      <c r="D96" s="34"/>
      <c r="E96" s="34"/>
      <c r="F96" s="34"/>
      <c r="H96" s="95">
        <v>91</v>
      </c>
      <c r="I96" s="96" t="str">
        <f t="shared" si="9"/>
        <v/>
      </c>
      <c r="J96" s="95" t="e">
        <f t="shared" si="10"/>
        <v>#NUM!</v>
      </c>
      <c r="K96" s="95" t="e">
        <f t="shared" si="11"/>
        <v>#NUM!</v>
      </c>
      <c r="L96" s="95"/>
      <c r="M96" s="97">
        <f t="shared" si="12"/>
        <v>0</v>
      </c>
      <c r="S96" s="85"/>
      <c r="T96" s="85"/>
      <c r="U96" s="85"/>
      <c r="V96" s="85"/>
      <c r="W96" s="85"/>
      <c r="X96" s="85"/>
      <c r="Y96" s="85"/>
      <c r="Z96" s="85"/>
      <c r="AA96" s="85"/>
      <c r="AB96" s="85"/>
      <c r="AC96" s="85"/>
      <c r="AD96" s="85"/>
      <c r="AE96" s="85"/>
      <c r="AF96" s="85"/>
      <c r="AG96" s="85"/>
      <c r="AH96" s="85"/>
      <c r="AI96" s="85"/>
      <c r="AJ96" s="85"/>
      <c r="AK96" s="85"/>
      <c r="AL96" s="85"/>
    </row>
    <row r="97" spans="1:38" s="80" customFormat="1" x14ac:dyDescent="0.25">
      <c r="A97" s="98">
        <f t="shared" si="8"/>
        <v>0</v>
      </c>
      <c r="B97" s="39" t="str">
        <f t="shared" si="13"/>
        <v/>
      </c>
      <c r="C97" s="40"/>
      <c r="D97" s="40"/>
      <c r="E97" s="40"/>
      <c r="F97" s="40"/>
      <c r="H97" s="99">
        <v>92</v>
      </c>
      <c r="I97" s="100" t="str">
        <f t="shared" si="9"/>
        <v/>
      </c>
      <c r="J97" s="99" t="e">
        <f t="shared" si="10"/>
        <v>#NUM!</v>
      </c>
      <c r="K97" s="99" t="e">
        <f t="shared" si="11"/>
        <v>#NUM!</v>
      </c>
      <c r="L97" s="99"/>
      <c r="M97" s="101">
        <f t="shared" si="12"/>
        <v>0</v>
      </c>
      <c r="S97" s="85"/>
      <c r="T97" s="85"/>
      <c r="U97" s="85"/>
      <c r="V97" s="85"/>
      <c r="W97" s="85"/>
      <c r="X97" s="85"/>
      <c r="Y97" s="85"/>
      <c r="Z97" s="85"/>
      <c r="AA97" s="85"/>
      <c r="AB97" s="85"/>
      <c r="AC97" s="85"/>
      <c r="AD97" s="85"/>
      <c r="AE97" s="85"/>
      <c r="AF97" s="85"/>
      <c r="AG97" s="85"/>
      <c r="AH97" s="85"/>
      <c r="AI97" s="85"/>
      <c r="AJ97" s="85"/>
      <c r="AK97" s="85"/>
      <c r="AL97" s="85"/>
    </row>
    <row r="98" spans="1:38" s="80" customFormat="1" x14ac:dyDescent="0.25">
      <c r="A98" s="94">
        <f t="shared" si="8"/>
        <v>0</v>
      </c>
      <c r="B98" s="33" t="str">
        <f t="shared" si="13"/>
        <v/>
      </c>
      <c r="C98" s="34"/>
      <c r="D98" s="34"/>
      <c r="E98" s="34"/>
      <c r="F98" s="34"/>
      <c r="H98" s="95">
        <v>93</v>
      </c>
      <c r="I98" s="96" t="str">
        <f t="shared" si="9"/>
        <v/>
      </c>
      <c r="J98" s="95" t="e">
        <f t="shared" si="10"/>
        <v>#NUM!</v>
      </c>
      <c r="K98" s="95" t="e">
        <f t="shared" si="11"/>
        <v>#NUM!</v>
      </c>
      <c r="L98" s="95"/>
      <c r="M98" s="97">
        <f t="shared" si="12"/>
        <v>0</v>
      </c>
      <c r="S98" s="85"/>
      <c r="T98" s="85"/>
      <c r="U98" s="85"/>
      <c r="V98" s="85"/>
      <c r="W98" s="85"/>
      <c r="X98" s="85"/>
      <c r="Y98" s="85"/>
      <c r="Z98" s="85"/>
      <c r="AA98" s="85"/>
      <c r="AB98" s="85"/>
      <c r="AC98" s="85"/>
      <c r="AD98" s="85"/>
      <c r="AE98" s="85"/>
      <c r="AF98" s="85"/>
      <c r="AG98" s="85"/>
      <c r="AH98" s="85"/>
      <c r="AI98" s="85"/>
      <c r="AJ98" s="85"/>
      <c r="AK98" s="85"/>
      <c r="AL98" s="85"/>
    </row>
    <row r="99" spans="1:38" s="80" customFormat="1" x14ac:dyDescent="0.25">
      <c r="A99" s="98">
        <f t="shared" si="8"/>
        <v>0</v>
      </c>
      <c r="B99" s="39" t="str">
        <f t="shared" si="13"/>
        <v/>
      </c>
      <c r="C99" s="40"/>
      <c r="D99" s="40"/>
      <c r="E99" s="40"/>
      <c r="F99" s="40"/>
      <c r="H99" s="99">
        <v>94</v>
      </c>
      <c r="I99" s="100" t="str">
        <f t="shared" si="9"/>
        <v/>
      </c>
      <c r="J99" s="99" t="e">
        <f t="shared" si="10"/>
        <v>#NUM!</v>
      </c>
      <c r="K99" s="99" t="e">
        <f t="shared" si="11"/>
        <v>#NUM!</v>
      </c>
      <c r="L99" s="99"/>
      <c r="M99" s="101">
        <f t="shared" si="12"/>
        <v>0</v>
      </c>
      <c r="S99" s="85"/>
      <c r="T99" s="85"/>
      <c r="U99" s="85"/>
      <c r="V99" s="85"/>
      <c r="W99" s="85"/>
      <c r="X99" s="85"/>
      <c r="Y99" s="85"/>
      <c r="Z99" s="85"/>
      <c r="AA99" s="85"/>
      <c r="AB99" s="85"/>
      <c r="AC99" s="85"/>
      <c r="AD99" s="85"/>
      <c r="AE99" s="85"/>
      <c r="AF99" s="85"/>
      <c r="AG99" s="85"/>
      <c r="AH99" s="85"/>
      <c r="AI99" s="85"/>
      <c r="AJ99" s="85"/>
      <c r="AK99" s="85"/>
      <c r="AL99" s="85"/>
    </row>
    <row r="100" spans="1:38" s="80" customFormat="1" x14ac:dyDescent="0.25">
      <c r="A100" s="94">
        <f t="shared" si="8"/>
        <v>0</v>
      </c>
      <c r="B100" s="33" t="str">
        <f t="shared" si="13"/>
        <v/>
      </c>
      <c r="C100" s="34"/>
      <c r="D100" s="34"/>
      <c r="E100" s="34"/>
      <c r="F100" s="34"/>
      <c r="H100" s="95">
        <v>95</v>
      </c>
      <c r="I100" s="96" t="str">
        <f t="shared" si="9"/>
        <v/>
      </c>
      <c r="J100" s="95" t="e">
        <f t="shared" si="10"/>
        <v>#NUM!</v>
      </c>
      <c r="K100" s="95" t="e">
        <f t="shared" si="11"/>
        <v>#NUM!</v>
      </c>
      <c r="L100" s="95"/>
      <c r="M100" s="97">
        <f t="shared" si="12"/>
        <v>0</v>
      </c>
      <c r="S100" s="85"/>
      <c r="T100" s="85"/>
      <c r="U100" s="85"/>
      <c r="V100" s="85"/>
      <c r="W100" s="85"/>
      <c r="X100" s="85"/>
      <c r="Y100" s="85"/>
      <c r="Z100" s="85"/>
      <c r="AA100" s="85"/>
      <c r="AB100" s="85"/>
      <c r="AC100" s="85"/>
      <c r="AD100" s="85"/>
      <c r="AE100" s="85"/>
      <c r="AF100" s="85"/>
      <c r="AG100" s="85"/>
      <c r="AH100" s="85"/>
      <c r="AI100" s="85"/>
      <c r="AJ100" s="85"/>
      <c r="AK100" s="85"/>
      <c r="AL100" s="85"/>
    </row>
    <row r="101" spans="1:38" s="80" customFormat="1" x14ac:dyDescent="0.25">
      <c r="A101" s="98">
        <f t="shared" si="8"/>
        <v>0</v>
      </c>
      <c r="B101" s="39" t="str">
        <f t="shared" si="13"/>
        <v/>
      </c>
      <c r="C101" s="40"/>
      <c r="D101" s="40"/>
      <c r="E101" s="40"/>
      <c r="F101" s="40"/>
      <c r="H101" s="99">
        <v>96</v>
      </c>
      <c r="I101" s="100" t="str">
        <f t="shared" si="9"/>
        <v/>
      </c>
      <c r="J101" s="99" t="e">
        <f t="shared" si="10"/>
        <v>#NUM!</v>
      </c>
      <c r="K101" s="99" t="e">
        <f t="shared" si="11"/>
        <v>#NUM!</v>
      </c>
      <c r="L101" s="99"/>
      <c r="M101" s="101">
        <f t="shared" si="12"/>
        <v>0</v>
      </c>
      <c r="S101" s="85"/>
      <c r="T101" s="85"/>
      <c r="U101" s="85"/>
      <c r="V101" s="85"/>
      <c r="W101" s="85"/>
      <c r="X101" s="85"/>
      <c r="Y101" s="85"/>
      <c r="Z101" s="85"/>
      <c r="AA101" s="85"/>
      <c r="AB101" s="85"/>
      <c r="AC101" s="85"/>
      <c r="AD101" s="85"/>
      <c r="AE101" s="85"/>
      <c r="AF101" s="85"/>
      <c r="AG101" s="85"/>
      <c r="AH101" s="85"/>
      <c r="AI101" s="85"/>
      <c r="AJ101" s="85"/>
      <c r="AK101" s="85"/>
      <c r="AL101" s="85"/>
    </row>
    <row r="102" spans="1:38" s="80" customFormat="1" x14ac:dyDescent="0.25">
      <c r="A102" s="94">
        <f t="shared" ref="A102:A133" si="14">M102</f>
        <v>0</v>
      </c>
      <c r="B102" s="33" t="str">
        <f t="shared" si="13"/>
        <v/>
      </c>
      <c r="C102" s="34"/>
      <c r="D102" s="34"/>
      <c r="E102" s="34"/>
      <c r="F102" s="34"/>
      <c r="H102" s="95">
        <v>97</v>
      </c>
      <c r="I102" s="96" t="str">
        <f t="shared" si="9"/>
        <v/>
      </c>
      <c r="J102" s="95" t="e">
        <f t="shared" si="10"/>
        <v>#NUM!</v>
      </c>
      <c r="K102" s="95" t="e">
        <f t="shared" si="11"/>
        <v>#NUM!</v>
      </c>
      <c r="L102" s="95"/>
      <c r="M102" s="97">
        <f t="shared" si="12"/>
        <v>0</v>
      </c>
      <c r="S102" s="85"/>
      <c r="T102" s="85"/>
      <c r="U102" s="85"/>
      <c r="V102" s="85"/>
      <c r="W102" s="85"/>
      <c r="X102" s="85"/>
      <c r="Y102" s="85"/>
      <c r="Z102" s="85"/>
      <c r="AA102" s="85"/>
      <c r="AB102" s="85"/>
      <c r="AC102" s="85"/>
      <c r="AD102" s="85"/>
      <c r="AE102" s="85"/>
      <c r="AF102" s="85"/>
      <c r="AG102" s="85"/>
      <c r="AH102" s="85"/>
      <c r="AI102" s="85"/>
      <c r="AJ102" s="85"/>
      <c r="AK102" s="85"/>
      <c r="AL102" s="85"/>
    </row>
    <row r="103" spans="1:38" s="80" customFormat="1" x14ac:dyDescent="0.25">
      <c r="A103" s="98">
        <f t="shared" si="14"/>
        <v>0</v>
      </c>
      <c r="B103" s="39" t="str">
        <f t="shared" si="13"/>
        <v/>
      </c>
      <c r="C103" s="40"/>
      <c r="D103" s="40"/>
      <c r="E103" s="40"/>
      <c r="F103" s="40"/>
      <c r="H103" s="99">
        <v>98</v>
      </c>
      <c r="I103" s="100" t="str">
        <f t="shared" si="9"/>
        <v/>
      </c>
      <c r="J103" s="99" t="e">
        <f t="shared" si="10"/>
        <v>#NUM!</v>
      </c>
      <c r="K103" s="99" t="e">
        <f t="shared" si="11"/>
        <v>#NUM!</v>
      </c>
      <c r="L103" s="99"/>
      <c r="M103" s="101">
        <f t="shared" si="12"/>
        <v>0</v>
      </c>
      <c r="S103" s="85"/>
      <c r="T103" s="85"/>
      <c r="U103" s="85"/>
      <c r="V103" s="85"/>
      <c r="W103" s="85"/>
      <c r="X103" s="85"/>
      <c r="Y103" s="85"/>
      <c r="Z103" s="85"/>
      <c r="AA103" s="85"/>
      <c r="AB103" s="85"/>
      <c r="AC103" s="85"/>
      <c r="AD103" s="85"/>
      <c r="AE103" s="85"/>
      <c r="AF103" s="85"/>
      <c r="AG103" s="85"/>
      <c r="AH103" s="85"/>
      <c r="AI103" s="85"/>
      <c r="AJ103" s="85"/>
      <c r="AK103" s="85"/>
      <c r="AL103" s="85"/>
    </row>
    <row r="104" spans="1:38" s="80" customFormat="1" x14ac:dyDescent="0.25">
      <c r="A104" s="94">
        <f t="shared" si="14"/>
        <v>0</v>
      </c>
      <c r="B104" s="33" t="str">
        <f t="shared" si="13"/>
        <v/>
      </c>
      <c r="C104" s="34"/>
      <c r="D104" s="34"/>
      <c r="E104" s="34"/>
      <c r="F104" s="34"/>
      <c r="H104" s="95">
        <v>99</v>
      </c>
      <c r="I104" s="96" t="str">
        <f t="shared" si="9"/>
        <v/>
      </c>
      <c r="J104" s="95" t="e">
        <f t="shared" si="10"/>
        <v>#NUM!</v>
      </c>
      <c r="K104" s="95" t="e">
        <f t="shared" si="11"/>
        <v>#NUM!</v>
      </c>
      <c r="L104" s="95"/>
      <c r="M104" s="97">
        <f t="shared" si="12"/>
        <v>0</v>
      </c>
      <c r="S104" s="85"/>
      <c r="T104" s="85"/>
      <c r="U104" s="85"/>
      <c r="V104" s="85"/>
      <c r="W104" s="85"/>
      <c r="X104" s="85"/>
      <c r="Y104" s="85"/>
      <c r="Z104" s="85"/>
      <c r="AA104" s="85"/>
      <c r="AB104" s="85"/>
      <c r="AC104" s="85"/>
      <c r="AD104" s="85"/>
      <c r="AE104" s="85"/>
      <c r="AF104" s="85"/>
      <c r="AG104" s="85"/>
      <c r="AH104" s="85"/>
      <c r="AI104" s="85"/>
      <c r="AJ104" s="85"/>
      <c r="AK104" s="85"/>
      <c r="AL104" s="85"/>
    </row>
    <row r="105" spans="1:38" s="80" customFormat="1" x14ac:dyDescent="0.25">
      <c r="A105" s="98">
        <f t="shared" si="14"/>
        <v>0</v>
      </c>
      <c r="B105" s="39" t="str">
        <f t="shared" si="13"/>
        <v/>
      </c>
      <c r="C105" s="40"/>
      <c r="D105" s="40"/>
      <c r="E105" s="40"/>
      <c r="F105" s="40"/>
      <c r="H105" s="99">
        <v>100</v>
      </c>
      <c r="I105" s="100" t="str">
        <f t="shared" si="9"/>
        <v/>
      </c>
      <c r="J105" s="99" t="e">
        <f t="shared" si="10"/>
        <v>#NUM!</v>
      </c>
      <c r="K105" s="99" t="e">
        <f t="shared" si="11"/>
        <v>#NUM!</v>
      </c>
      <c r="L105" s="99"/>
      <c r="M105" s="101">
        <f t="shared" si="12"/>
        <v>0</v>
      </c>
      <c r="S105" s="85"/>
      <c r="T105" s="85"/>
      <c r="U105" s="85"/>
      <c r="V105" s="85"/>
      <c r="W105" s="85"/>
      <c r="X105" s="85"/>
      <c r="Y105" s="85"/>
      <c r="Z105" s="85"/>
      <c r="AA105" s="85"/>
      <c r="AB105" s="85"/>
      <c r="AC105" s="85"/>
      <c r="AD105" s="85"/>
      <c r="AE105" s="85"/>
      <c r="AF105" s="85"/>
      <c r="AG105" s="85"/>
      <c r="AH105" s="85"/>
      <c r="AI105" s="85"/>
      <c r="AJ105" s="85"/>
      <c r="AK105" s="85"/>
      <c r="AL105" s="85"/>
    </row>
    <row r="106" spans="1:38" s="80" customFormat="1" x14ac:dyDescent="0.25">
      <c r="A106" s="94">
        <f t="shared" si="14"/>
        <v>0</v>
      </c>
      <c r="B106" s="33" t="str">
        <f t="shared" ref="B106:B140" si="15">IF(H106&gt;$H$2,"",(ROW()-5))</f>
        <v/>
      </c>
      <c r="C106" s="34"/>
      <c r="D106" s="34"/>
      <c r="E106" s="34"/>
      <c r="F106" s="34"/>
      <c r="H106" s="95">
        <v>101</v>
      </c>
      <c r="I106" s="96" t="str">
        <f t="shared" si="9"/>
        <v/>
      </c>
      <c r="J106" s="95" t="e">
        <f t="shared" si="10"/>
        <v>#NUM!</v>
      </c>
      <c r="K106" s="95" t="e">
        <f t="shared" si="11"/>
        <v>#NUM!</v>
      </c>
      <c r="L106" s="95"/>
      <c r="M106" s="97">
        <f t="shared" si="12"/>
        <v>0</v>
      </c>
      <c r="S106" s="85"/>
      <c r="T106" s="85"/>
      <c r="U106" s="85"/>
      <c r="V106" s="85"/>
      <c r="W106" s="85"/>
      <c r="X106" s="85"/>
      <c r="Y106" s="85"/>
      <c r="Z106" s="85"/>
      <c r="AA106" s="85"/>
      <c r="AB106" s="85"/>
      <c r="AC106" s="85"/>
      <c r="AD106" s="85"/>
      <c r="AE106" s="85"/>
      <c r="AF106" s="85"/>
      <c r="AG106" s="85"/>
      <c r="AH106" s="85"/>
      <c r="AI106" s="85"/>
      <c r="AJ106" s="85"/>
      <c r="AK106" s="85"/>
      <c r="AL106" s="85"/>
    </row>
    <row r="107" spans="1:38" s="80" customFormat="1" x14ac:dyDescent="0.25">
      <c r="A107" s="98">
        <f t="shared" si="14"/>
        <v>0</v>
      </c>
      <c r="B107" s="39" t="str">
        <f t="shared" si="15"/>
        <v/>
      </c>
      <c r="C107" s="40"/>
      <c r="D107" s="40"/>
      <c r="E107" s="40"/>
      <c r="F107" s="40"/>
      <c r="H107" s="99">
        <v>102</v>
      </c>
      <c r="I107" s="100" t="str">
        <f t="shared" si="9"/>
        <v/>
      </c>
      <c r="J107" s="99" t="e">
        <f t="shared" si="10"/>
        <v>#NUM!</v>
      </c>
      <c r="K107" s="99" t="e">
        <f t="shared" si="11"/>
        <v>#NUM!</v>
      </c>
      <c r="L107" s="99"/>
      <c r="M107" s="101">
        <f t="shared" si="12"/>
        <v>0</v>
      </c>
      <c r="S107" s="85"/>
      <c r="T107" s="85"/>
      <c r="U107" s="85"/>
      <c r="V107" s="85"/>
      <c r="W107" s="85"/>
      <c r="X107" s="85"/>
      <c r="Y107" s="85"/>
      <c r="Z107" s="85"/>
      <c r="AA107" s="85"/>
      <c r="AB107" s="85"/>
      <c r="AC107" s="85"/>
      <c r="AD107" s="85"/>
      <c r="AE107" s="85"/>
      <c r="AF107" s="85"/>
      <c r="AG107" s="85"/>
      <c r="AH107" s="85"/>
      <c r="AI107" s="85"/>
      <c r="AJ107" s="85"/>
      <c r="AK107" s="85"/>
      <c r="AL107" s="85"/>
    </row>
    <row r="108" spans="1:38" s="80" customFormat="1" x14ac:dyDescent="0.25">
      <c r="A108" s="94">
        <f t="shared" si="14"/>
        <v>0</v>
      </c>
      <c r="B108" s="33" t="str">
        <f t="shared" si="15"/>
        <v/>
      </c>
      <c r="C108" s="34"/>
      <c r="D108" s="34"/>
      <c r="E108" s="34"/>
      <c r="F108" s="34"/>
      <c r="H108" s="95">
        <v>103</v>
      </c>
      <c r="I108" s="96" t="str">
        <f t="shared" si="9"/>
        <v/>
      </c>
      <c r="J108" s="95" t="e">
        <f t="shared" si="10"/>
        <v>#NUM!</v>
      </c>
      <c r="K108" s="95" t="e">
        <f t="shared" si="11"/>
        <v>#NUM!</v>
      </c>
      <c r="L108" s="95"/>
      <c r="M108" s="97">
        <f t="shared" si="12"/>
        <v>0</v>
      </c>
      <c r="S108" s="85"/>
      <c r="T108" s="85"/>
      <c r="U108" s="85"/>
      <c r="V108" s="85"/>
      <c r="W108" s="85"/>
      <c r="X108" s="85"/>
      <c r="Y108" s="85"/>
      <c r="Z108" s="85"/>
      <c r="AA108" s="85"/>
      <c r="AB108" s="85"/>
      <c r="AC108" s="85"/>
      <c r="AD108" s="85"/>
      <c r="AE108" s="85"/>
      <c r="AF108" s="85"/>
      <c r="AG108" s="85"/>
      <c r="AH108" s="85"/>
      <c r="AI108" s="85"/>
      <c r="AJ108" s="85"/>
      <c r="AK108" s="85"/>
      <c r="AL108" s="85"/>
    </row>
    <row r="109" spans="1:38" s="80" customFormat="1" x14ac:dyDescent="0.25">
      <c r="A109" s="98">
        <f t="shared" si="14"/>
        <v>0</v>
      </c>
      <c r="B109" s="39" t="str">
        <f t="shared" si="15"/>
        <v/>
      </c>
      <c r="C109" s="40"/>
      <c r="D109" s="40"/>
      <c r="E109" s="40"/>
      <c r="F109" s="40"/>
      <c r="H109" s="99">
        <v>104</v>
      </c>
      <c r="I109" s="100" t="str">
        <f t="shared" si="9"/>
        <v/>
      </c>
      <c r="J109" s="99" t="e">
        <f t="shared" si="10"/>
        <v>#NUM!</v>
      </c>
      <c r="K109" s="99" t="e">
        <f t="shared" si="11"/>
        <v>#NUM!</v>
      </c>
      <c r="L109" s="99"/>
      <c r="M109" s="101">
        <f t="shared" si="12"/>
        <v>0</v>
      </c>
      <c r="S109" s="85"/>
      <c r="T109" s="85"/>
      <c r="U109" s="85"/>
      <c r="V109" s="85"/>
      <c r="W109" s="85"/>
      <c r="X109" s="85"/>
      <c r="Y109" s="85"/>
      <c r="Z109" s="85"/>
      <c r="AA109" s="85"/>
      <c r="AB109" s="85"/>
      <c r="AC109" s="85"/>
      <c r="AD109" s="85"/>
      <c r="AE109" s="85"/>
      <c r="AF109" s="85"/>
      <c r="AG109" s="85"/>
      <c r="AH109" s="85"/>
      <c r="AI109" s="85"/>
      <c r="AJ109" s="85"/>
      <c r="AK109" s="85"/>
      <c r="AL109" s="85"/>
    </row>
    <row r="110" spans="1:38" s="80" customFormat="1" x14ac:dyDescent="0.25">
      <c r="A110" s="94">
        <f t="shared" si="14"/>
        <v>0</v>
      </c>
      <c r="B110" s="33" t="str">
        <f t="shared" si="15"/>
        <v/>
      </c>
      <c r="C110" s="34"/>
      <c r="D110" s="34"/>
      <c r="E110" s="34"/>
      <c r="F110" s="34"/>
      <c r="H110" s="95">
        <v>105</v>
      </c>
      <c r="I110" s="96" t="str">
        <f t="shared" si="9"/>
        <v/>
      </c>
      <c r="J110" s="95" t="e">
        <f t="shared" si="10"/>
        <v>#NUM!</v>
      </c>
      <c r="K110" s="95" t="e">
        <f t="shared" si="11"/>
        <v>#NUM!</v>
      </c>
      <c r="L110" s="95"/>
      <c r="M110" s="97">
        <f t="shared" si="12"/>
        <v>0</v>
      </c>
      <c r="S110" s="85"/>
      <c r="T110" s="85"/>
      <c r="U110" s="85"/>
      <c r="V110" s="85"/>
      <c r="W110" s="85"/>
      <c r="X110" s="85"/>
      <c r="Y110" s="85"/>
      <c r="Z110" s="85"/>
      <c r="AA110" s="85"/>
      <c r="AB110" s="85"/>
      <c r="AC110" s="85"/>
      <c r="AD110" s="85"/>
      <c r="AE110" s="85"/>
      <c r="AF110" s="85"/>
      <c r="AG110" s="85"/>
      <c r="AH110" s="85"/>
      <c r="AI110" s="85"/>
      <c r="AJ110" s="85"/>
      <c r="AK110" s="85"/>
      <c r="AL110" s="85"/>
    </row>
    <row r="111" spans="1:38" s="80" customFormat="1" x14ac:dyDescent="0.25">
      <c r="A111" s="98">
        <f t="shared" si="14"/>
        <v>0</v>
      </c>
      <c r="B111" s="39" t="str">
        <f t="shared" si="15"/>
        <v/>
      </c>
      <c r="C111" s="40"/>
      <c r="D111" s="40"/>
      <c r="E111" s="40"/>
      <c r="F111" s="40"/>
      <c r="H111" s="99">
        <v>106</v>
      </c>
      <c r="I111" s="100" t="str">
        <f t="shared" si="9"/>
        <v/>
      </c>
      <c r="J111" s="99" t="e">
        <f t="shared" si="10"/>
        <v>#NUM!</v>
      </c>
      <c r="K111" s="99" t="e">
        <f t="shared" si="11"/>
        <v>#NUM!</v>
      </c>
      <c r="L111" s="99"/>
      <c r="M111" s="101">
        <f t="shared" si="12"/>
        <v>0</v>
      </c>
      <c r="S111" s="85"/>
      <c r="T111" s="85"/>
      <c r="U111" s="85"/>
      <c r="V111" s="85"/>
      <c r="W111" s="85"/>
      <c r="X111" s="85"/>
      <c r="Y111" s="85"/>
      <c r="Z111" s="85"/>
      <c r="AA111" s="85"/>
      <c r="AB111" s="85"/>
      <c r="AC111" s="85"/>
      <c r="AD111" s="85"/>
      <c r="AE111" s="85"/>
      <c r="AF111" s="85"/>
      <c r="AG111" s="85"/>
      <c r="AH111" s="85"/>
      <c r="AI111" s="85"/>
      <c r="AJ111" s="85"/>
      <c r="AK111" s="85"/>
      <c r="AL111" s="85"/>
    </row>
    <row r="112" spans="1:38" s="80" customFormat="1" x14ac:dyDescent="0.25">
      <c r="A112" s="94">
        <f t="shared" si="14"/>
        <v>0</v>
      </c>
      <c r="B112" s="33" t="str">
        <f t="shared" si="15"/>
        <v/>
      </c>
      <c r="C112" s="34"/>
      <c r="D112" s="34"/>
      <c r="E112" s="34"/>
      <c r="F112" s="34"/>
      <c r="H112" s="95">
        <v>107</v>
      </c>
      <c r="I112" s="96" t="str">
        <f t="shared" si="9"/>
        <v/>
      </c>
      <c r="J112" s="95" t="e">
        <f t="shared" si="10"/>
        <v>#NUM!</v>
      </c>
      <c r="K112" s="95" t="e">
        <f t="shared" si="11"/>
        <v>#NUM!</v>
      </c>
      <c r="L112" s="95"/>
      <c r="M112" s="97">
        <f t="shared" si="12"/>
        <v>0</v>
      </c>
      <c r="S112" s="85"/>
      <c r="T112" s="85"/>
      <c r="U112" s="85"/>
      <c r="V112" s="85"/>
      <c r="W112" s="85"/>
      <c r="X112" s="85"/>
      <c r="Y112" s="85"/>
      <c r="Z112" s="85"/>
      <c r="AA112" s="85"/>
      <c r="AB112" s="85"/>
      <c r="AC112" s="85"/>
      <c r="AD112" s="85"/>
      <c r="AE112" s="85"/>
      <c r="AF112" s="85"/>
      <c r="AG112" s="85"/>
      <c r="AH112" s="85"/>
      <c r="AI112" s="85"/>
      <c r="AJ112" s="85"/>
      <c r="AK112" s="85"/>
      <c r="AL112" s="85"/>
    </row>
    <row r="113" spans="1:38" s="80" customFormat="1" x14ac:dyDescent="0.25">
      <c r="A113" s="98">
        <f t="shared" si="14"/>
        <v>0</v>
      </c>
      <c r="B113" s="39" t="str">
        <f t="shared" si="15"/>
        <v/>
      </c>
      <c r="C113" s="40"/>
      <c r="D113" s="40"/>
      <c r="E113" s="40"/>
      <c r="F113" s="40"/>
      <c r="H113" s="99">
        <v>108</v>
      </c>
      <c r="I113" s="100" t="str">
        <f t="shared" si="9"/>
        <v/>
      </c>
      <c r="J113" s="99" t="e">
        <f t="shared" si="10"/>
        <v>#NUM!</v>
      </c>
      <c r="K113" s="99" t="e">
        <f t="shared" si="11"/>
        <v>#NUM!</v>
      </c>
      <c r="L113" s="99"/>
      <c r="M113" s="101">
        <f t="shared" si="12"/>
        <v>0</v>
      </c>
      <c r="S113" s="85"/>
      <c r="T113" s="85"/>
      <c r="U113" s="85"/>
      <c r="V113" s="85"/>
      <c r="W113" s="85"/>
      <c r="X113" s="85"/>
      <c r="Y113" s="85"/>
      <c r="Z113" s="85"/>
      <c r="AA113" s="85"/>
      <c r="AB113" s="85"/>
      <c r="AC113" s="85"/>
      <c r="AD113" s="85"/>
      <c r="AE113" s="85"/>
      <c r="AF113" s="85"/>
      <c r="AG113" s="85"/>
      <c r="AH113" s="85"/>
      <c r="AI113" s="85"/>
      <c r="AJ113" s="85"/>
      <c r="AK113" s="85"/>
      <c r="AL113" s="85"/>
    </row>
    <row r="114" spans="1:38" s="80" customFormat="1" x14ac:dyDescent="0.25">
      <c r="A114" s="94">
        <f t="shared" si="14"/>
        <v>0</v>
      </c>
      <c r="B114" s="33" t="str">
        <f t="shared" si="15"/>
        <v/>
      </c>
      <c r="C114" s="34"/>
      <c r="D114" s="34"/>
      <c r="E114" s="34"/>
      <c r="F114" s="34"/>
      <c r="H114" s="95">
        <v>109</v>
      </c>
      <c r="I114" s="96" t="str">
        <f t="shared" si="9"/>
        <v/>
      </c>
      <c r="J114" s="95" t="e">
        <f t="shared" si="10"/>
        <v>#NUM!</v>
      </c>
      <c r="K114" s="95" t="e">
        <f t="shared" si="11"/>
        <v>#NUM!</v>
      </c>
      <c r="L114" s="95"/>
      <c r="M114" s="97">
        <f t="shared" si="12"/>
        <v>0</v>
      </c>
      <c r="S114" s="85"/>
      <c r="T114" s="85"/>
      <c r="U114" s="85"/>
      <c r="V114" s="85"/>
      <c r="W114" s="85"/>
      <c r="X114" s="85"/>
      <c r="Y114" s="85"/>
      <c r="Z114" s="85"/>
      <c r="AA114" s="85"/>
      <c r="AB114" s="85"/>
      <c r="AC114" s="85"/>
      <c r="AD114" s="85"/>
      <c r="AE114" s="85"/>
      <c r="AF114" s="85"/>
      <c r="AG114" s="85"/>
      <c r="AH114" s="85"/>
      <c r="AI114" s="85"/>
      <c r="AJ114" s="85"/>
      <c r="AK114" s="85"/>
      <c r="AL114" s="85"/>
    </row>
    <row r="115" spans="1:38" s="80" customFormat="1" x14ac:dyDescent="0.25">
      <c r="A115" s="98">
        <f t="shared" si="14"/>
        <v>0</v>
      </c>
      <c r="B115" s="39" t="str">
        <f t="shared" si="15"/>
        <v/>
      </c>
      <c r="C115" s="40"/>
      <c r="D115" s="40"/>
      <c r="E115" s="40"/>
      <c r="F115" s="40"/>
      <c r="H115" s="99">
        <v>110</v>
      </c>
      <c r="I115" s="100" t="str">
        <f t="shared" si="9"/>
        <v/>
      </c>
      <c r="J115" s="99" t="e">
        <f t="shared" si="10"/>
        <v>#NUM!</v>
      </c>
      <c r="K115" s="99" t="e">
        <f t="shared" si="11"/>
        <v>#NUM!</v>
      </c>
      <c r="L115" s="99"/>
      <c r="M115" s="101">
        <f t="shared" si="12"/>
        <v>0</v>
      </c>
      <c r="S115" s="85"/>
      <c r="T115" s="85"/>
      <c r="U115" s="85"/>
      <c r="V115" s="85"/>
      <c r="W115" s="85"/>
      <c r="X115" s="85"/>
      <c r="Y115" s="85"/>
      <c r="Z115" s="85"/>
      <c r="AA115" s="85"/>
      <c r="AB115" s="85"/>
      <c r="AC115" s="85"/>
      <c r="AD115" s="85"/>
      <c r="AE115" s="85"/>
      <c r="AF115" s="85"/>
      <c r="AG115" s="85"/>
      <c r="AH115" s="85"/>
      <c r="AI115" s="85"/>
      <c r="AJ115" s="85"/>
      <c r="AK115" s="85"/>
      <c r="AL115" s="85"/>
    </row>
    <row r="116" spans="1:38" s="80" customFormat="1" x14ac:dyDescent="0.25">
      <c r="A116" s="94">
        <f t="shared" si="14"/>
        <v>0</v>
      </c>
      <c r="B116" s="33" t="str">
        <f t="shared" si="15"/>
        <v/>
      </c>
      <c r="C116" s="34"/>
      <c r="D116" s="34"/>
      <c r="E116" s="34"/>
      <c r="F116" s="34"/>
      <c r="H116" s="95">
        <v>111</v>
      </c>
      <c r="I116" s="96" t="str">
        <f t="shared" si="9"/>
        <v/>
      </c>
      <c r="J116" s="95" t="e">
        <f t="shared" si="10"/>
        <v>#NUM!</v>
      </c>
      <c r="K116" s="95" t="e">
        <f t="shared" si="11"/>
        <v>#NUM!</v>
      </c>
      <c r="L116" s="95"/>
      <c r="M116" s="97">
        <f t="shared" si="12"/>
        <v>0</v>
      </c>
      <c r="S116" s="85"/>
      <c r="T116" s="85"/>
      <c r="U116" s="85"/>
      <c r="V116" s="85"/>
      <c r="W116" s="85"/>
      <c r="X116" s="85"/>
      <c r="Y116" s="85"/>
      <c r="Z116" s="85"/>
      <c r="AA116" s="85"/>
      <c r="AB116" s="85"/>
      <c r="AC116" s="85"/>
      <c r="AD116" s="85"/>
      <c r="AE116" s="85"/>
      <c r="AF116" s="85"/>
      <c r="AG116" s="85"/>
      <c r="AH116" s="85"/>
      <c r="AI116" s="85"/>
      <c r="AJ116" s="85"/>
      <c r="AK116" s="85"/>
      <c r="AL116" s="85"/>
    </row>
    <row r="117" spans="1:38" s="80" customFormat="1" x14ac:dyDescent="0.25">
      <c r="A117" s="98">
        <f t="shared" si="14"/>
        <v>0</v>
      </c>
      <c r="B117" s="39" t="str">
        <f t="shared" si="15"/>
        <v/>
      </c>
      <c r="C117" s="40"/>
      <c r="D117" s="40"/>
      <c r="E117" s="40"/>
      <c r="F117" s="40"/>
      <c r="H117" s="99">
        <v>112</v>
      </c>
      <c r="I117" s="100" t="str">
        <f t="shared" si="9"/>
        <v/>
      </c>
      <c r="J117" s="99" t="e">
        <f t="shared" si="10"/>
        <v>#NUM!</v>
      </c>
      <c r="K117" s="99" t="e">
        <f t="shared" si="11"/>
        <v>#NUM!</v>
      </c>
      <c r="L117" s="99"/>
      <c r="M117" s="101">
        <f t="shared" si="12"/>
        <v>0</v>
      </c>
      <c r="S117" s="85"/>
      <c r="T117" s="85"/>
      <c r="U117" s="85"/>
      <c r="V117" s="85"/>
      <c r="W117" s="85"/>
      <c r="X117" s="85"/>
      <c r="Y117" s="85"/>
      <c r="Z117" s="85"/>
      <c r="AA117" s="85"/>
      <c r="AB117" s="85"/>
      <c r="AC117" s="85"/>
      <c r="AD117" s="85"/>
      <c r="AE117" s="85"/>
      <c r="AF117" s="85"/>
      <c r="AG117" s="85"/>
      <c r="AH117" s="85"/>
      <c r="AI117" s="85"/>
      <c r="AJ117" s="85"/>
      <c r="AK117" s="85"/>
      <c r="AL117" s="85"/>
    </row>
    <row r="118" spans="1:38" s="80" customFormat="1" x14ac:dyDescent="0.25">
      <c r="A118" s="94">
        <f t="shared" si="14"/>
        <v>0</v>
      </c>
      <c r="B118" s="33" t="str">
        <f t="shared" si="15"/>
        <v/>
      </c>
      <c r="C118" s="34"/>
      <c r="D118" s="34"/>
      <c r="E118" s="34"/>
      <c r="F118" s="34"/>
      <c r="H118" s="95">
        <v>113</v>
      </c>
      <c r="I118" s="96" t="str">
        <f t="shared" si="9"/>
        <v/>
      </c>
      <c r="J118" s="95" t="e">
        <f t="shared" si="10"/>
        <v>#NUM!</v>
      </c>
      <c r="K118" s="95" t="e">
        <f t="shared" si="11"/>
        <v>#NUM!</v>
      </c>
      <c r="L118" s="95"/>
      <c r="M118" s="97">
        <f t="shared" si="12"/>
        <v>0</v>
      </c>
      <c r="S118" s="85"/>
      <c r="T118" s="85"/>
      <c r="U118" s="85"/>
      <c r="V118" s="85"/>
      <c r="W118" s="85"/>
      <c r="X118" s="85"/>
      <c r="Y118" s="85"/>
      <c r="Z118" s="85"/>
      <c r="AA118" s="85"/>
      <c r="AB118" s="85"/>
      <c r="AC118" s="85"/>
      <c r="AD118" s="85"/>
      <c r="AE118" s="85"/>
      <c r="AF118" s="85"/>
      <c r="AG118" s="85"/>
      <c r="AH118" s="85"/>
      <c r="AI118" s="85"/>
      <c r="AJ118" s="85"/>
      <c r="AK118" s="85"/>
      <c r="AL118" s="85"/>
    </row>
    <row r="119" spans="1:38" s="80" customFormat="1" x14ac:dyDescent="0.25">
      <c r="A119" s="98">
        <f t="shared" si="14"/>
        <v>0</v>
      </c>
      <c r="B119" s="39" t="str">
        <f t="shared" si="15"/>
        <v/>
      </c>
      <c r="C119" s="40"/>
      <c r="D119" s="40"/>
      <c r="E119" s="40"/>
      <c r="F119" s="40"/>
      <c r="H119" s="99">
        <v>114</v>
      </c>
      <c r="I119" s="100" t="str">
        <f t="shared" si="9"/>
        <v/>
      </c>
      <c r="J119" s="99" t="e">
        <f t="shared" si="10"/>
        <v>#NUM!</v>
      </c>
      <c r="K119" s="99" t="e">
        <f t="shared" si="11"/>
        <v>#NUM!</v>
      </c>
      <c r="L119" s="99"/>
      <c r="M119" s="101">
        <f t="shared" si="12"/>
        <v>0</v>
      </c>
      <c r="S119" s="85"/>
      <c r="T119" s="85"/>
      <c r="U119" s="85"/>
      <c r="V119" s="85"/>
      <c r="W119" s="85"/>
      <c r="X119" s="85"/>
      <c r="Y119" s="85"/>
      <c r="Z119" s="85"/>
      <c r="AA119" s="85"/>
      <c r="AB119" s="85"/>
      <c r="AC119" s="85"/>
      <c r="AD119" s="85"/>
      <c r="AE119" s="85"/>
      <c r="AF119" s="85"/>
      <c r="AG119" s="85"/>
      <c r="AH119" s="85"/>
      <c r="AI119" s="85"/>
      <c r="AJ119" s="85"/>
      <c r="AK119" s="85"/>
      <c r="AL119" s="85"/>
    </row>
    <row r="120" spans="1:38" s="80" customFormat="1" x14ac:dyDescent="0.25">
      <c r="A120" s="94">
        <f t="shared" si="14"/>
        <v>0</v>
      </c>
      <c r="B120" s="33" t="str">
        <f t="shared" si="15"/>
        <v/>
      </c>
      <c r="C120" s="34"/>
      <c r="D120" s="34"/>
      <c r="E120" s="34"/>
      <c r="F120" s="34"/>
      <c r="H120" s="95">
        <v>115</v>
      </c>
      <c r="I120" s="96" t="str">
        <f t="shared" si="9"/>
        <v/>
      </c>
      <c r="J120" s="95" t="e">
        <f t="shared" si="10"/>
        <v>#NUM!</v>
      </c>
      <c r="K120" s="95" t="e">
        <f t="shared" si="11"/>
        <v>#NUM!</v>
      </c>
      <c r="L120" s="95"/>
      <c r="M120" s="97">
        <f t="shared" si="12"/>
        <v>0</v>
      </c>
      <c r="S120" s="85"/>
      <c r="T120" s="85"/>
      <c r="U120" s="85"/>
      <c r="V120" s="85"/>
      <c r="W120" s="85"/>
      <c r="X120" s="85"/>
      <c r="Y120" s="85"/>
      <c r="Z120" s="85"/>
      <c r="AA120" s="85"/>
      <c r="AB120" s="85"/>
      <c r="AC120" s="85"/>
      <c r="AD120" s="85"/>
      <c r="AE120" s="85"/>
      <c r="AF120" s="85"/>
      <c r="AG120" s="85"/>
      <c r="AH120" s="85"/>
      <c r="AI120" s="85"/>
      <c r="AJ120" s="85"/>
      <c r="AK120" s="85"/>
      <c r="AL120" s="85"/>
    </row>
    <row r="121" spans="1:38" s="80" customFormat="1" x14ac:dyDescent="0.25">
      <c r="A121" s="98">
        <f t="shared" si="14"/>
        <v>0</v>
      </c>
      <c r="B121" s="39" t="str">
        <f t="shared" si="15"/>
        <v/>
      </c>
      <c r="C121" s="40"/>
      <c r="D121" s="40"/>
      <c r="E121" s="40"/>
      <c r="F121" s="40"/>
      <c r="H121" s="99">
        <v>116</v>
      </c>
      <c r="I121" s="100" t="str">
        <f t="shared" si="9"/>
        <v/>
      </c>
      <c r="J121" s="99" t="e">
        <f t="shared" si="10"/>
        <v>#NUM!</v>
      </c>
      <c r="K121" s="99" t="e">
        <f t="shared" si="11"/>
        <v>#NUM!</v>
      </c>
      <c r="L121" s="99"/>
      <c r="M121" s="101">
        <f t="shared" si="12"/>
        <v>0</v>
      </c>
      <c r="S121" s="85"/>
      <c r="T121" s="85"/>
      <c r="U121" s="85"/>
      <c r="V121" s="85"/>
      <c r="W121" s="85"/>
      <c r="X121" s="85"/>
      <c r="Y121" s="85"/>
      <c r="Z121" s="85"/>
      <c r="AA121" s="85"/>
      <c r="AB121" s="85"/>
      <c r="AC121" s="85"/>
      <c r="AD121" s="85"/>
      <c r="AE121" s="85"/>
      <c r="AF121" s="85"/>
      <c r="AG121" s="85"/>
      <c r="AH121" s="85"/>
      <c r="AI121" s="85"/>
      <c r="AJ121" s="85"/>
      <c r="AK121" s="85"/>
      <c r="AL121" s="85"/>
    </row>
    <row r="122" spans="1:38" s="80" customFormat="1" x14ac:dyDescent="0.25">
      <c r="A122" s="94">
        <f t="shared" si="14"/>
        <v>0</v>
      </c>
      <c r="B122" s="33" t="str">
        <f t="shared" si="15"/>
        <v/>
      </c>
      <c r="C122" s="34"/>
      <c r="D122" s="34"/>
      <c r="E122" s="34"/>
      <c r="F122" s="34"/>
      <c r="H122" s="95">
        <v>117</v>
      </c>
      <c r="I122" s="96" t="str">
        <f t="shared" si="9"/>
        <v/>
      </c>
      <c r="J122" s="95" t="e">
        <f t="shared" si="10"/>
        <v>#NUM!</v>
      </c>
      <c r="K122" s="95" t="e">
        <f t="shared" si="11"/>
        <v>#NUM!</v>
      </c>
      <c r="L122" s="95"/>
      <c r="M122" s="97">
        <f t="shared" si="12"/>
        <v>0</v>
      </c>
      <c r="S122" s="85"/>
      <c r="T122" s="85"/>
      <c r="U122" s="85"/>
      <c r="V122" s="85"/>
      <c r="W122" s="85"/>
      <c r="X122" s="85"/>
      <c r="Y122" s="85"/>
      <c r="Z122" s="85"/>
      <c r="AA122" s="85"/>
      <c r="AB122" s="85"/>
      <c r="AC122" s="85"/>
      <c r="AD122" s="85"/>
      <c r="AE122" s="85"/>
      <c r="AF122" s="85"/>
      <c r="AG122" s="85"/>
      <c r="AH122" s="85"/>
      <c r="AI122" s="85"/>
      <c r="AJ122" s="85"/>
      <c r="AK122" s="85"/>
      <c r="AL122" s="85"/>
    </row>
    <row r="123" spans="1:38" s="80" customFormat="1" x14ac:dyDescent="0.25">
      <c r="A123" s="98">
        <f t="shared" si="14"/>
        <v>0</v>
      </c>
      <c r="B123" s="39" t="str">
        <f t="shared" si="15"/>
        <v/>
      </c>
      <c r="C123" s="40"/>
      <c r="D123" s="40"/>
      <c r="E123" s="40"/>
      <c r="F123" s="40"/>
      <c r="H123" s="99">
        <v>118</v>
      </c>
      <c r="I123" s="100" t="str">
        <f t="shared" si="9"/>
        <v/>
      </c>
      <c r="J123" s="99" t="e">
        <f t="shared" si="10"/>
        <v>#NUM!</v>
      </c>
      <c r="K123" s="99" t="e">
        <f t="shared" si="11"/>
        <v>#NUM!</v>
      </c>
      <c r="L123" s="99"/>
      <c r="M123" s="101">
        <f t="shared" si="12"/>
        <v>0</v>
      </c>
      <c r="S123" s="85"/>
      <c r="T123" s="85"/>
      <c r="U123" s="85"/>
      <c r="V123" s="85"/>
      <c r="W123" s="85"/>
      <c r="X123" s="85"/>
      <c r="Y123" s="85"/>
      <c r="Z123" s="85"/>
      <c r="AA123" s="85"/>
      <c r="AB123" s="85"/>
      <c r="AC123" s="85"/>
      <c r="AD123" s="85"/>
      <c r="AE123" s="85"/>
      <c r="AF123" s="85"/>
      <c r="AG123" s="85"/>
      <c r="AH123" s="85"/>
      <c r="AI123" s="85"/>
      <c r="AJ123" s="85"/>
      <c r="AK123" s="85"/>
      <c r="AL123" s="85"/>
    </row>
    <row r="124" spans="1:38" s="80" customFormat="1" x14ac:dyDescent="0.25">
      <c r="A124" s="94">
        <f t="shared" si="14"/>
        <v>0</v>
      </c>
      <c r="B124" s="33" t="str">
        <f t="shared" si="15"/>
        <v/>
      </c>
      <c r="C124" s="34"/>
      <c r="D124" s="34"/>
      <c r="E124" s="34"/>
      <c r="F124" s="34"/>
      <c r="H124" s="95">
        <v>119</v>
      </c>
      <c r="I124" s="96" t="str">
        <f t="shared" si="9"/>
        <v/>
      </c>
      <c r="J124" s="95" t="e">
        <f t="shared" si="10"/>
        <v>#NUM!</v>
      </c>
      <c r="K124" s="95" t="e">
        <f t="shared" si="11"/>
        <v>#NUM!</v>
      </c>
      <c r="L124" s="95"/>
      <c r="M124" s="97">
        <f t="shared" si="12"/>
        <v>0</v>
      </c>
      <c r="S124" s="85"/>
      <c r="T124" s="85"/>
      <c r="U124" s="85"/>
      <c r="V124" s="85"/>
      <c r="W124" s="85"/>
      <c r="X124" s="85"/>
      <c r="Y124" s="85"/>
      <c r="Z124" s="85"/>
      <c r="AA124" s="85"/>
      <c r="AB124" s="85"/>
      <c r="AC124" s="85"/>
      <c r="AD124" s="85"/>
      <c r="AE124" s="85"/>
      <c r="AF124" s="85"/>
      <c r="AG124" s="85"/>
      <c r="AH124" s="85"/>
      <c r="AI124" s="85"/>
      <c r="AJ124" s="85"/>
      <c r="AK124" s="85"/>
      <c r="AL124" s="85"/>
    </row>
    <row r="125" spans="1:38" s="80" customFormat="1" x14ac:dyDescent="0.25">
      <c r="A125" s="98">
        <f t="shared" si="14"/>
        <v>0</v>
      </c>
      <c r="B125" s="39" t="str">
        <f t="shared" si="15"/>
        <v/>
      </c>
      <c r="C125" s="40"/>
      <c r="D125" s="40"/>
      <c r="E125" s="40"/>
      <c r="F125" s="40"/>
      <c r="H125" s="99">
        <v>120</v>
      </c>
      <c r="I125" s="100" t="str">
        <f t="shared" si="9"/>
        <v/>
      </c>
      <c r="J125" s="99" t="e">
        <f t="shared" si="10"/>
        <v>#NUM!</v>
      </c>
      <c r="K125" s="99" t="e">
        <f t="shared" si="11"/>
        <v>#NUM!</v>
      </c>
      <c r="L125" s="99"/>
      <c r="M125" s="101">
        <f t="shared" si="12"/>
        <v>0</v>
      </c>
      <c r="S125" s="85"/>
      <c r="T125" s="85"/>
      <c r="U125" s="85"/>
      <c r="V125" s="85"/>
      <c r="W125" s="85"/>
      <c r="X125" s="85"/>
      <c r="Y125" s="85"/>
      <c r="Z125" s="85"/>
      <c r="AA125" s="85"/>
      <c r="AB125" s="85"/>
      <c r="AC125" s="85"/>
      <c r="AD125" s="85"/>
      <c r="AE125" s="85"/>
      <c r="AF125" s="85"/>
      <c r="AG125" s="85"/>
      <c r="AH125" s="85"/>
      <c r="AI125" s="85"/>
      <c r="AJ125" s="85"/>
      <c r="AK125" s="85"/>
      <c r="AL125" s="85"/>
    </row>
    <row r="126" spans="1:38" s="80" customFormat="1" x14ac:dyDescent="0.25">
      <c r="A126" s="94">
        <f t="shared" si="14"/>
        <v>0</v>
      </c>
      <c r="B126" s="33" t="str">
        <f t="shared" si="15"/>
        <v/>
      </c>
      <c r="C126" s="34"/>
      <c r="D126" s="34"/>
      <c r="E126" s="34"/>
      <c r="F126" s="34"/>
      <c r="H126" s="95">
        <v>121</v>
      </c>
      <c r="I126" s="96" t="str">
        <f t="shared" si="9"/>
        <v/>
      </c>
      <c r="J126" s="95" t="e">
        <f t="shared" si="10"/>
        <v>#NUM!</v>
      </c>
      <c r="K126" s="95" t="e">
        <f t="shared" si="11"/>
        <v>#NUM!</v>
      </c>
      <c r="L126" s="95"/>
      <c r="M126" s="97">
        <f t="shared" si="12"/>
        <v>0</v>
      </c>
      <c r="S126" s="85"/>
      <c r="T126" s="85"/>
      <c r="U126" s="85"/>
      <c r="V126" s="85"/>
      <c r="W126" s="85"/>
      <c r="X126" s="85"/>
      <c r="Y126" s="85"/>
      <c r="Z126" s="85"/>
      <c r="AA126" s="85"/>
      <c r="AB126" s="85"/>
      <c r="AC126" s="85"/>
      <c r="AD126" s="85"/>
      <c r="AE126" s="85"/>
      <c r="AF126" s="85"/>
      <c r="AG126" s="85"/>
      <c r="AH126" s="85"/>
      <c r="AI126" s="85"/>
      <c r="AJ126" s="85"/>
      <c r="AK126" s="85"/>
      <c r="AL126" s="85"/>
    </row>
    <row r="127" spans="1:38" s="80" customFormat="1" x14ac:dyDescent="0.25">
      <c r="A127" s="98">
        <f t="shared" si="14"/>
        <v>0</v>
      </c>
      <c r="B127" s="39" t="str">
        <f t="shared" si="15"/>
        <v/>
      </c>
      <c r="C127" s="40"/>
      <c r="D127" s="40"/>
      <c r="E127" s="40"/>
      <c r="F127" s="40"/>
      <c r="H127" s="99">
        <v>122</v>
      </c>
      <c r="I127" s="100" t="str">
        <f t="shared" si="9"/>
        <v/>
      </c>
      <c r="J127" s="99" t="e">
        <f t="shared" si="10"/>
        <v>#NUM!</v>
      </c>
      <c r="K127" s="99" t="e">
        <f t="shared" si="11"/>
        <v>#NUM!</v>
      </c>
      <c r="L127" s="99"/>
      <c r="M127" s="101">
        <f t="shared" si="12"/>
        <v>0</v>
      </c>
      <c r="S127" s="85"/>
      <c r="T127" s="85"/>
      <c r="U127" s="85"/>
      <c r="V127" s="85"/>
      <c r="W127" s="85"/>
      <c r="X127" s="85"/>
      <c r="Y127" s="85"/>
      <c r="Z127" s="85"/>
      <c r="AA127" s="85"/>
      <c r="AB127" s="85"/>
      <c r="AC127" s="85"/>
      <c r="AD127" s="85"/>
      <c r="AE127" s="85"/>
      <c r="AF127" s="85"/>
      <c r="AG127" s="85"/>
      <c r="AH127" s="85"/>
      <c r="AI127" s="85"/>
      <c r="AJ127" s="85"/>
      <c r="AK127" s="85"/>
      <c r="AL127" s="85"/>
    </row>
    <row r="128" spans="1:38" s="80" customFormat="1" x14ac:dyDescent="0.25">
      <c r="A128" s="94">
        <f t="shared" si="14"/>
        <v>0</v>
      </c>
      <c r="B128" s="33" t="str">
        <f t="shared" si="15"/>
        <v/>
      </c>
      <c r="C128" s="34"/>
      <c r="D128" s="34"/>
      <c r="E128" s="34"/>
      <c r="F128" s="34"/>
      <c r="H128" s="95">
        <v>123</v>
      </c>
      <c r="I128" s="96" t="str">
        <f t="shared" si="9"/>
        <v/>
      </c>
      <c r="J128" s="95" t="e">
        <f t="shared" si="10"/>
        <v>#NUM!</v>
      </c>
      <c r="K128" s="95" t="e">
        <f t="shared" si="11"/>
        <v>#NUM!</v>
      </c>
      <c r="L128" s="95"/>
      <c r="M128" s="97">
        <f t="shared" si="12"/>
        <v>0</v>
      </c>
      <c r="S128" s="85"/>
      <c r="T128" s="85"/>
      <c r="U128" s="85"/>
      <c r="V128" s="85"/>
      <c r="W128" s="85"/>
      <c r="X128" s="85"/>
      <c r="Y128" s="85"/>
      <c r="Z128" s="85"/>
      <c r="AA128" s="85"/>
      <c r="AB128" s="85"/>
      <c r="AC128" s="85"/>
      <c r="AD128" s="85"/>
      <c r="AE128" s="85"/>
      <c r="AF128" s="85"/>
      <c r="AG128" s="85"/>
      <c r="AH128" s="85"/>
      <c r="AI128" s="85"/>
      <c r="AJ128" s="85"/>
      <c r="AK128" s="85"/>
      <c r="AL128" s="85"/>
    </row>
    <row r="129" spans="1:38" s="80" customFormat="1" x14ac:dyDescent="0.25">
      <c r="A129" s="98">
        <f t="shared" si="14"/>
        <v>0</v>
      </c>
      <c r="B129" s="39" t="str">
        <f t="shared" si="15"/>
        <v/>
      </c>
      <c r="C129" s="40"/>
      <c r="D129" s="40"/>
      <c r="E129" s="40"/>
      <c r="F129" s="40"/>
      <c r="H129" s="99">
        <v>124</v>
      </c>
      <c r="I129" s="100" t="str">
        <f t="shared" si="9"/>
        <v/>
      </c>
      <c r="J129" s="99" t="e">
        <f t="shared" si="10"/>
        <v>#NUM!</v>
      </c>
      <c r="K129" s="99" t="e">
        <f t="shared" si="11"/>
        <v>#NUM!</v>
      </c>
      <c r="L129" s="99"/>
      <c r="M129" s="101">
        <f t="shared" si="12"/>
        <v>0</v>
      </c>
      <c r="S129" s="85"/>
      <c r="T129" s="85"/>
      <c r="U129" s="85"/>
      <c r="V129" s="85"/>
      <c r="W129" s="85"/>
      <c r="X129" s="85"/>
      <c r="Y129" s="85"/>
      <c r="Z129" s="85"/>
      <c r="AA129" s="85"/>
      <c r="AB129" s="85"/>
      <c r="AC129" s="85"/>
      <c r="AD129" s="85"/>
      <c r="AE129" s="85"/>
      <c r="AF129" s="85"/>
      <c r="AG129" s="85"/>
      <c r="AH129" s="85"/>
      <c r="AI129" s="85"/>
      <c r="AJ129" s="85"/>
      <c r="AK129" s="85"/>
      <c r="AL129" s="85"/>
    </row>
    <row r="130" spans="1:38" s="80" customFormat="1" x14ac:dyDescent="0.25">
      <c r="A130" s="94">
        <f t="shared" si="14"/>
        <v>0</v>
      </c>
      <c r="B130" s="33" t="str">
        <f t="shared" si="15"/>
        <v/>
      </c>
      <c r="C130" s="34"/>
      <c r="D130" s="34"/>
      <c r="E130" s="34"/>
      <c r="F130" s="34"/>
      <c r="H130" s="95">
        <v>125</v>
      </c>
      <c r="I130" s="96" t="str">
        <f t="shared" si="9"/>
        <v/>
      </c>
      <c r="J130" s="95" t="e">
        <f t="shared" si="10"/>
        <v>#NUM!</v>
      </c>
      <c r="K130" s="95" t="e">
        <f t="shared" si="11"/>
        <v>#NUM!</v>
      </c>
      <c r="L130" s="95"/>
      <c r="M130" s="97">
        <f t="shared" si="12"/>
        <v>0</v>
      </c>
      <c r="S130" s="85"/>
      <c r="T130" s="85"/>
      <c r="U130" s="85"/>
      <c r="V130" s="85"/>
      <c r="W130" s="85"/>
      <c r="X130" s="85"/>
      <c r="Y130" s="85"/>
      <c r="Z130" s="85"/>
      <c r="AA130" s="85"/>
      <c r="AB130" s="85"/>
      <c r="AC130" s="85"/>
      <c r="AD130" s="85"/>
      <c r="AE130" s="85"/>
      <c r="AF130" s="85"/>
      <c r="AG130" s="85"/>
      <c r="AH130" s="85"/>
      <c r="AI130" s="85"/>
      <c r="AJ130" s="85"/>
      <c r="AK130" s="85"/>
      <c r="AL130" s="85"/>
    </row>
    <row r="131" spans="1:38" s="80" customFormat="1" x14ac:dyDescent="0.25">
      <c r="A131" s="98">
        <f t="shared" si="14"/>
        <v>0</v>
      </c>
      <c r="B131" s="39" t="str">
        <f t="shared" si="15"/>
        <v/>
      </c>
      <c r="C131" s="40"/>
      <c r="D131" s="40"/>
      <c r="E131" s="40"/>
      <c r="F131" s="40"/>
      <c r="H131" s="99">
        <v>126</v>
      </c>
      <c r="I131" s="100" t="str">
        <f t="shared" si="9"/>
        <v/>
      </c>
      <c r="J131" s="99" t="e">
        <f t="shared" si="10"/>
        <v>#NUM!</v>
      </c>
      <c r="K131" s="99" t="e">
        <f t="shared" si="11"/>
        <v>#NUM!</v>
      </c>
      <c r="L131" s="99"/>
      <c r="M131" s="101">
        <f t="shared" si="12"/>
        <v>0</v>
      </c>
      <c r="S131" s="85"/>
      <c r="T131" s="85"/>
      <c r="U131" s="85"/>
      <c r="V131" s="85"/>
      <c r="W131" s="85"/>
      <c r="X131" s="85"/>
      <c r="Y131" s="85"/>
      <c r="Z131" s="85"/>
      <c r="AA131" s="85"/>
      <c r="AB131" s="85"/>
      <c r="AC131" s="85"/>
      <c r="AD131" s="85"/>
      <c r="AE131" s="85"/>
      <c r="AF131" s="85"/>
      <c r="AG131" s="85"/>
      <c r="AH131" s="85"/>
      <c r="AI131" s="85"/>
      <c r="AJ131" s="85"/>
      <c r="AK131" s="85"/>
      <c r="AL131" s="85"/>
    </row>
    <row r="132" spans="1:38" s="80" customFormat="1" x14ac:dyDescent="0.25">
      <c r="A132" s="94">
        <f t="shared" si="14"/>
        <v>0</v>
      </c>
      <c r="B132" s="33" t="str">
        <f t="shared" si="15"/>
        <v/>
      </c>
      <c r="C132" s="34"/>
      <c r="D132" s="34"/>
      <c r="E132" s="34"/>
      <c r="F132" s="34"/>
      <c r="H132" s="95">
        <v>127</v>
      </c>
      <c r="I132" s="96" t="str">
        <f t="shared" si="9"/>
        <v/>
      </c>
      <c r="J132" s="95" t="e">
        <f t="shared" si="10"/>
        <v>#NUM!</v>
      </c>
      <c r="K132" s="95" t="e">
        <f t="shared" si="11"/>
        <v>#NUM!</v>
      </c>
      <c r="L132" s="95"/>
      <c r="M132" s="97">
        <f t="shared" si="12"/>
        <v>0</v>
      </c>
      <c r="S132" s="85"/>
      <c r="T132" s="85"/>
      <c r="U132" s="85"/>
      <c r="V132" s="85"/>
      <c r="W132" s="85"/>
      <c r="X132" s="85"/>
      <c r="Y132" s="85"/>
      <c r="Z132" s="85"/>
      <c r="AA132" s="85"/>
      <c r="AB132" s="85"/>
      <c r="AC132" s="85"/>
      <c r="AD132" s="85"/>
      <c r="AE132" s="85"/>
      <c r="AF132" s="85"/>
      <c r="AG132" s="85"/>
      <c r="AH132" s="85"/>
      <c r="AI132" s="85"/>
      <c r="AJ132" s="85"/>
      <c r="AK132" s="85"/>
      <c r="AL132" s="85"/>
    </row>
    <row r="133" spans="1:38" s="80" customFormat="1" x14ac:dyDescent="0.25">
      <c r="A133" s="98">
        <f t="shared" si="14"/>
        <v>0</v>
      </c>
      <c r="B133" s="39" t="str">
        <f t="shared" si="15"/>
        <v/>
      </c>
      <c r="C133" s="40"/>
      <c r="D133" s="40"/>
      <c r="E133" s="40"/>
      <c r="F133" s="40"/>
      <c r="H133" s="99">
        <v>128</v>
      </c>
      <c r="I133" s="100" t="str">
        <f t="shared" si="9"/>
        <v/>
      </c>
      <c r="J133" s="99" t="e">
        <f t="shared" si="10"/>
        <v>#NUM!</v>
      </c>
      <c r="K133" s="99" t="e">
        <f t="shared" si="11"/>
        <v>#NUM!</v>
      </c>
      <c r="L133" s="99"/>
      <c r="M133" s="101">
        <f t="shared" si="12"/>
        <v>0</v>
      </c>
      <c r="S133" s="85"/>
      <c r="T133" s="85"/>
      <c r="U133" s="85"/>
      <c r="V133" s="85"/>
      <c r="W133" s="85"/>
      <c r="X133" s="85"/>
      <c r="Y133" s="85"/>
      <c r="Z133" s="85"/>
      <c r="AA133" s="85"/>
      <c r="AB133" s="85"/>
      <c r="AC133" s="85"/>
      <c r="AD133" s="85"/>
      <c r="AE133" s="85"/>
      <c r="AF133" s="85"/>
      <c r="AG133" s="85"/>
      <c r="AH133" s="85"/>
      <c r="AI133" s="85"/>
      <c r="AJ133" s="85"/>
      <c r="AK133" s="85"/>
      <c r="AL133" s="85"/>
    </row>
    <row r="134" spans="1:38" s="80" customFormat="1" x14ac:dyDescent="0.25">
      <c r="A134" s="94">
        <f t="shared" ref="A134:A140" si="16">M134</f>
        <v>0</v>
      </c>
      <c r="B134" s="33" t="str">
        <f t="shared" si="15"/>
        <v/>
      </c>
      <c r="C134" s="34"/>
      <c r="D134" s="34"/>
      <c r="E134" s="34"/>
      <c r="F134" s="34"/>
      <c r="H134" s="95">
        <v>129</v>
      </c>
      <c r="I134" s="96" t="str">
        <f t="shared" ref="I134:I197" si="17">IF(H134&lt;$H$2+1,($I$2-($I$2-1)*(LOG(H134)/LOG($H$2))),"")</f>
        <v/>
      </c>
      <c r="J134" s="95" t="e">
        <f t="shared" ref="J134:J197" si="18">INT(LOG($H$2,2))-ROUNDUP(LOG(H134,2),0)+IF(OR($H$2=1,$H$2=2,$H$2=4,$H$2=8,$H$2=16,$H$2=32,$H$2=64,$H$2=128,$H$2=256),0,1)</f>
        <v>#NUM!</v>
      </c>
      <c r="K134" s="95" t="e">
        <f t="shared" ref="K134:K197" si="19">J134*$J$2</f>
        <v>#NUM!</v>
      </c>
      <c r="L134" s="95"/>
      <c r="M134" s="97">
        <f t="shared" ref="M134:M197" si="20">IF(I134&lt;&gt;"",K134+I134+L134,0)</f>
        <v>0</v>
      </c>
      <c r="S134" s="85"/>
      <c r="T134" s="85"/>
      <c r="U134" s="85"/>
      <c r="V134" s="85"/>
      <c r="W134" s="85"/>
      <c r="X134" s="85"/>
      <c r="Y134" s="85"/>
      <c r="Z134" s="85"/>
      <c r="AA134" s="85"/>
      <c r="AB134" s="85"/>
      <c r="AC134" s="85"/>
      <c r="AD134" s="85"/>
      <c r="AE134" s="85"/>
      <c r="AF134" s="85"/>
      <c r="AG134" s="85"/>
      <c r="AH134" s="85"/>
      <c r="AI134" s="85"/>
      <c r="AJ134" s="85"/>
      <c r="AK134" s="85"/>
      <c r="AL134" s="85"/>
    </row>
    <row r="135" spans="1:38" s="80" customFormat="1" x14ac:dyDescent="0.25">
      <c r="A135" s="98">
        <f t="shared" si="16"/>
        <v>0</v>
      </c>
      <c r="B135" s="39" t="str">
        <f t="shared" si="15"/>
        <v/>
      </c>
      <c r="C135" s="40"/>
      <c r="D135" s="40"/>
      <c r="E135" s="40"/>
      <c r="F135" s="40"/>
      <c r="H135" s="99">
        <v>130</v>
      </c>
      <c r="I135" s="100" t="str">
        <f t="shared" si="17"/>
        <v/>
      </c>
      <c r="J135" s="99" t="e">
        <f t="shared" si="18"/>
        <v>#NUM!</v>
      </c>
      <c r="K135" s="99" t="e">
        <f t="shared" si="19"/>
        <v>#NUM!</v>
      </c>
      <c r="L135" s="99"/>
      <c r="M135" s="101">
        <f t="shared" si="20"/>
        <v>0</v>
      </c>
      <c r="S135" s="85"/>
      <c r="T135" s="85"/>
      <c r="U135" s="85"/>
      <c r="V135" s="85"/>
      <c r="W135" s="85"/>
      <c r="X135" s="85"/>
      <c r="Y135" s="85"/>
      <c r="Z135" s="85"/>
      <c r="AA135" s="85"/>
      <c r="AB135" s="85"/>
      <c r="AC135" s="85"/>
      <c r="AD135" s="85"/>
      <c r="AE135" s="85"/>
      <c r="AF135" s="85"/>
      <c r="AG135" s="85"/>
      <c r="AH135" s="85"/>
      <c r="AI135" s="85"/>
      <c r="AJ135" s="85"/>
      <c r="AK135" s="85"/>
      <c r="AL135" s="85"/>
    </row>
    <row r="136" spans="1:38" s="80" customFormat="1" x14ac:dyDescent="0.25">
      <c r="A136" s="94">
        <f t="shared" si="16"/>
        <v>0</v>
      </c>
      <c r="B136" s="33" t="str">
        <f t="shared" si="15"/>
        <v/>
      </c>
      <c r="C136" s="34"/>
      <c r="D136" s="34"/>
      <c r="E136" s="34"/>
      <c r="F136" s="34"/>
      <c r="H136" s="95">
        <v>131</v>
      </c>
      <c r="I136" s="96" t="str">
        <f t="shared" si="17"/>
        <v/>
      </c>
      <c r="J136" s="95" t="e">
        <f t="shared" si="18"/>
        <v>#NUM!</v>
      </c>
      <c r="K136" s="95" t="e">
        <f t="shared" si="19"/>
        <v>#NUM!</v>
      </c>
      <c r="L136" s="95"/>
      <c r="M136" s="97">
        <f t="shared" si="20"/>
        <v>0</v>
      </c>
      <c r="S136" s="85"/>
      <c r="T136" s="85"/>
      <c r="U136" s="85"/>
      <c r="V136" s="85"/>
      <c r="W136" s="85"/>
      <c r="X136" s="85"/>
      <c r="Y136" s="85"/>
      <c r="Z136" s="85"/>
      <c r="AA136" s="85"/>
      <c r="AB136" s="85"/>
      <c r="AC136" s="85"/>
      <c r="AD136" s="85"/>
      <c r="AE136" s="85"/>
      <c r="AF136" s="85"/>
      <c r="AG136" s="85"/>
      <c r="AH136" s="85"/>
      <c r="AI136" s="85"/>
      <c r="AJ136" s="85"/>
      <c r="AK136" s="85"/>
      <c r="AL136" s="85"/>
    </row>
    <row r="137" spans="1:38" s="80" customFormat="1" x14ac:dyDescent="0.25">
      <c r="A137" s="98">
        <f t="shared" si="16"/>
        <v>0</v>
      </c>
      <c r="B137" s="39" t="str">
        <f t="shared" si="15"/>
        <v/>
      </c>
      <c r="C137" s="40"/>
      <c r="D137" s="40"/>
      <c r="E137" s="40"/>
      <c r="F137" s="40"/>
      <c r="H137" s="99">
        <v>132</v>
      </c>
      <c r="I137" s="100" t="str">
        <f t="shared" si="17"/>
        <v/>
      </c>
      <c r="J137" s="99" t="e">
        <f t="shared" si="18"/>
        <v>#NUM!</v>
      </c>
      <c r="K137" s="99" t="e">
        <f t="shared" si="19"/>
        <v>#NUM!</v>
      </c>
      <c r="L137" s="99"/>
      <c r="M137" s="101">
        <f t="shared" si="20"/>
        <v>0</v>
      </c>
      <c r="S137" s="85"/>
      <c r="T137" s="85"/>
      <c r="U137" s="85"/>
      <c r="V137" s="85"/>
      <c r="W137" s="85"/>
      <c r="X137" s="85"/>
      <c r="Y137" s="85"/>
      <c r="Z137" s="85"/>
      <c r="AA137" s="85"/>
      <c r="AB137" s="85"/>
      <c r="AC137" s="85"/>
      <c r="AD137" s="85"/>
      <c r="AE137" s="85"/>
      <c r="AF137" s="85"/>
      <c r="AG137" s="85"/>
      <c r="AH137" s="85"/>
      <c r="AI137" s="85"/>
      <c r="AJ137" s="85"/>
      <c r="AK137" s="85"/>
      <c r="AL137" s="85"/>
    </row>
    <row r="138" spans="1:38" s="80" customFormat="1" x14ac:dyDescent="0.25">
      <c r="A138" s="94">
        <f t="shared" si="16"/>
        <v>0</v>
      </c>
      <c r="B138" s="33" t="str">
        <f t="shared" si="15"/>
        <v/>
      </c>
      <c r="C138" s="34"/>
      <c r="D138" s="34"/>
      <c r="E138" s="34"/>
      <c r="F138" s="34"/>
      <c r="H138" s="95">
        <v>133</v>
      </c>
      <c r="I138" s="96" t="str">
        <f t="shared" si="17"/>
        <v/>
      </c>
      <c r="J138" s="95" t="e">
        <f t="shared" si="18"/>
        <v>#NUM!</v>
      </c>
      <c r="K138" s="95" t="e">
        <f t="shared" si="19"/>
        <v>#NUM!</v>
      </c>
      <c r="L138" s="95"/>
      <c r="M138" s="97">
        <f t="shared" si="20"/>
        <v>0</v>
      </c>
      <c r="S138" s="85"/>
      <c r="T138" s="85"/>
      <c r="U138" s="85"/>
      <c r="V138" s="85"/>
      <c r="W138" s="85"/>
      <c r="X138" s="85"/>
      <c r="Y138" s="85"/>
      <c r="Z138" s="85"/>
      <c r="AA138" s="85"/>
      <c r="AB138" s="85"/>
      <c r="AC138" s="85"/>
      <c r="AD138" s="85"/>
      <c r="AE138" s="85"/>
      <c r="AF138" s="85"/>
      <c r="AG138" s="85"/>
      <c r="AH138" s="85"/>
      <c r="AI138" s="85"/>
      <c r="AJ138" s="85"/>
      <c r="AK138" s="85"/>
      <c r="AL138" s="85"/>
    </row>
    <row r="139" spans="1:38" s="80" customFormat="1" x14ac:dyDescent="0.25">
      <c r="A139" s="98">
        <f t="shared" si="16"/>
        <v>0</v>
      </c>
      <c r="B139" s="39" t="str">
        <f t="shared" si="15"/>
        <v/>
      </c>
      <c r="C139" s="40"/>
      <c r="D139" s="40"/>
      <c r="E139" s="40"/>
      <c r="F139" s="40"/>
      <c r="H139" s="99">
        <v>134</v>
      </c>
      <c r="I139" s="100" t="str">
        <f t="shared" si="17"/>
        <v/>
      </c>
      <c r="J139" s="99" t="e">
        <f t="shared" si="18"/>
        <v>#NUM!</v>
      </c>
      <c r="K139" s="99" t="e">
        <f t="shared" si="19"/>
        <v>#NUM!</v>
      </c>
      <c r="L139" s="99"/>
      <c r="M139" s="101">
        <f t="shared" si="20"/>
        <v>0</v>
      </c>
      <c r="S139" s="85"/>
      <c r="T139" s="85"/>
      <c r="U139" s="85"/>
      <c r="V139" s="85"/>
      <c r="W139" s="85"/>
      <c r="X139" s="85"/>
      <c r="Y139" s="85"/>
      <c r="Z139" s="85"/>
      <c r="AA139" s="85"/>
      <c r="AB139" s="85"/>
      <c r="AC139" s="85"/>
      <c r="AD139" s="85"/>
      <c r="AE139" s="85"/>
      <c r="AF139" s="85"/>
      <c r="AG139" s="85"/>
      <c r="AH139" s="85"/>
      <c r="AI139" s="85"/>
      <c r="AJ139" s="85"/>
      <c r="AK139" s="85"/>
      <c r="AL139" s="85"/>
    </row>
    <row r="140" spans="1:38" s="80" customFormat="1" x14ac:dyDescent="0.25">
      <c r="A140" s="94">
        <f t="shared" si="16"/>
        <v>0</v>
      </c>
      <c r="B140" s="33" t="str">
        <f t="shared" si="15"/>
        <v/>
      </c>
      <c r="C140" s="34"/>
      <c r="D140" s="34"/>
      <c r="E140" s="34"/>
      <c r="F140" s="34"/>
      <c r="H140" s="95">
        <v>135</v>
      </c>
      <c r="I140" s="96" t="str">
        <f t="shared" si="17"/>
        <v/>
      </c>
      <c r="J140" s="95" t="e">
        <f t="shared" si="18"/>
        <v>#NUM!</v>
      </c>
      <c r="K140" s="95" t="e">
        <f t="shared" si="19"/>
        <v>#NUM!</v>
      </c>
      <c r="L140" s="95"/>
      <c r="M140" s="97">
        <f t="shared" si="20"/>
        <v>0</v>
      </c>
      <c r="S140" s="85"/>
      <c r="T140" s="85"/>
      <c r="U140" s="85"/>
      <c r="V140" s="85"/>
      <c r="W140" s="85"/>
      <c r="X140" s="85"/>
      <c r="Y140" s="85"/>
      <c r="Z140" s="85"/>
      <c r="AA140" s="85"/>
      <c r="AB140" s="85"/>
      <c r="AC140" s="85"/>
      <c r="AD140" s="85"/>
      <c r="AE140" s="85"/>
      <c r="AF140" s="85"/>
      <c r="AG140" s="85"/>
      <c r="AH140" s="85"/>
      <c r="AI140" s="85"/>
      <c r="AJ140" s="85"/>
      <c r="AK140" s="85"/>
      <c r="AL140" s="85"/>
    </row>
    <row r="141" spans="1:38" x14ac:dyDescent="0.25">
      <c r="A141" s="116"/>
      <c r="G141" s="80"/>
      <c r="H141" s="99">
        <v>136</v>
      </c>
      <c r="I141" s="96" t="str">
        <f t="shared" si="17"/>
        <v/>
      </c>
      <c r="J141" s="95" t="e">
        <f t="shared" si="18"/>
        <v>#NUM!</v>
      </c>
      <c r="K141" s="95" t="e">
        <f t="shared" si="19"/>
        <v>#NUM!</v>
      </c>
      <c r="L141" s="95"/>
      <c r="M141" s="97">
        <f t="shared" si="20"/>
        <v>0</v>
      </c>
    </row>
    <row r="142" spans="1:38" x14ac:dyDescent="0.25">
      <c r="A142" s="116"/>
      <c r="G142" s="80"/>
      <c r="H142" s="95">
        <v>137</v>
      </c>
      <c r="I142" s="96" t="str">
        <f t="shared" si="17"/>
        <v/>
      </c>
      <c r="J142" s="95" t="e">
        <f t="shared" si="18"/>
        <v>#NUM!</v>
      </c>
      <c r="K142" s="95" t="e">
        <f t="shared" si="19"/>
        <v>#NUM!</v>
      </c>
      <c r="L142" s="95"/>
      <c r="M142" s="97">
        <f t="shared" si="20"/>
        <v>0</v>
      </c>
    </row>
    <row r="143" spans="1:38" x14ac:dyDescent="0.25">
      <c r="A143" s="116"/>
      <c r="G143" s="80"/>
      <c r="H143" s="99">
        <v>138</v>
      </c>
      <c r="I143" s="96" t="str">
        <f t="shared" si="17"/>
        <v/>
      </c>
      <c r="J143" s="95" t="e">
        <f t="shared" si="18"/>
        <v>#NUM!</v>
      </c>
      <c r="K143" s="95" t="e">
        <f t="shared" si="19"/>
        <v>#NUM!</v>
      </c>
      <c r="L143" s="95"/>
      <c r="M143" s="97">
        <f t="shared" si="20"/>
        <v>0</v>
      </c>
    </row>
    <row r="144" spans="1:38" x14ac:dyDescent="0.25">
      <c r="A144" s="116"/>
      <c r="G144" s="80"/>
      <c r="H144" s="95">
        <v>139</v>
      </c>
      <c r="I144" s="96" t="str">
        <f t="shared" si="17"/>
        <v/>
      </c>
      <c r="J144" s="95" t="e">
        <f t="shared" si="18"/>
        <v>#NUM!</v>
      </c>
      <c r="K144" s="95" t="e">
        <f t="shared" si="19"/>
        <v>#NUM!</v>
      </c>
      <c r="L144" s="95"/>
      <c r="M144" s="97">
        <f t="shared" si="20"/>
        <v>0</v>
      </c>
    </row>
    <row r="145" spans="1:38" s="80" customFormat="1" x14ac:dyDescent="0.25">
      <c r="A145" s="116"/>
      <c r="B145" s="115"/>
      <c r="C145" s="115"/>
      <c r="D145" s="115"/>
      <c r="E145" s="115"/>
      <c r="F145" s="115"/>
      <c r="H145" s="99">
        <v>140</v>
      </c>
      <c r="I145" s="96" t="str">
        <f t="shared" si="17"/>
        <v/>
      </c>
      <c r="J145" s="95" t="e">
        <f t="shared" si="18"/>
        <v>#NUM!</v>
      </c>
      <c r="K145" s="95" t="e">
        <f t="shared" si="19"/>
        <v>#NUM!</v>
      </c>
      <c r="L145" s="95"/>
      <c r="M145" s="97">
        <f t="shared" si="20"/>
        <v>0</v>
      </c>
      <c r="S145" s="85"/>
      <c r="T145" s="85"/>
      <c r="U145" s="85"/>
      <c r="V145" s="85"/>
      <c r="W145" s="85"/>
      <c r="X145" s="85"/>
      <c r="Y145" s="85"/>
      <c r="Z145" s="85"/>
      <c r="AA145" s="85"/>
      <c r="AB145" s="85"/>
      <c r="AC145" s="85"/>
      <c r="AD145" s="85"/>
      <c r="AE145" s="85"/>
      <c r="AF145" s="85"/>
      <c r="AG145" s="85"/>
      <c r="AH145" s="85"/>
      <c r="AI145" s="85"/>
      <c r="AJ145" s="85"/>
      <c r="AK145" s="85"/>
      <c r="AL145" s="85"/>
    </row>
    <row r="146" spans="1:38" s="80" customFormat="1" x14ac:dyDescent="0.25">
      <c r="A146" s="116"/>
      <c r="B146" s="115"/>
      <c r="C146" s="115"/>
      <c r="D146" s="115"/>
      <c r="E146" s="115"/>
      <c r="F146" s="115"/>
      <c r="H146" s="95">
        <v>141</v>
      </c>
      <c r="I146" s="96" t="str">
        <f t="shared" si="17"/>
        <v/>
      </c>
      <c r="J146" s="95" t="e">
        <f t="shared" si="18"/>
        <v>#NUM!</v>
      </c>
      <c r="K146" s="95" t="e">
        <f t="shared" si="19"/>
        <v>#NUM!</v>
      </c>
      <c r="L146" s="95"/>
      <c r="M146" s="97">
        <f t="shared" si="20"/>
        <v>0</v>
      </c>
      <c r="S146" s="85"/>
      <c r="T146" s="85"/>
      <c r="U146" s="85"/>
      <c r="V146" s="85"/>
      <c r="W146" s="85"/>
      <c r="X146" s="85"/>
      <c r="Y146" s="85"/>
      <c r="Z146" s="85"/>
      <c r="AA146" s="85"/>
      <c r="AB146" s="85"/>
      <c r="AC146" s="85"/>
      <c r="AD146" s="85"/>
      <c r="AE146" s="85"/>
      <c r="AF146" s="85"/>
      <c r="AG146" s="85"/>
      <c r="AH146" s="85"/>
      <c r="AI146" s="85"/>
      <c r="AJ146" s="85"/>
      <c r="AK146" s="85"/>
      <c r="AL146" s="85"/>
    </row>
    <row r="147" spans="1:38" s="80" customFormat="1" x14ac:dyDescent="0.25">
      <c r="A147" s="116"/>
      <c r="B147" s="115"/>
      <c r="C147" s="115"/>
      <c r="D147" s="115"/>
      <c r="E147" s="115"/>
      <c r="F147" s="115"/>
      <c r="H147" s="99">
        <v>142</v>
      </c>
      <c r="I147" s="96" t="str">
        <f t="shared" si="17"/>
        <v/>
      </c>
      <c r="J147" s="95" t="e">
        <f t="shared" si="18"/>
        <v>#NUM!</v>
      </c>
      <c r="K147" s="95" t="e">
        <f t="shared" si="19"/>
        <v>#NUM!</v>
      </c>
      <c r="L147" s="95"/>
      <c r="M147" s="97">
        <f t="shared" si="20"/>
        <v>0</v>
      </c>
      <c r="S147" s="85"/>
      <c r="T147" s="85"/>
      <c r="U147" s="85"/>
      <c r="V147" s="85"/>
      <c r="W147" s="85"/>
      <c r="X147" s="85"/>
      <c r="Y147" s="85"/>
      <c r="Z147" s="85"/>
      <c r="AA147" s="85"/>
      <c r="AB147" s="85"/>
      <c r="AC147" s="85"/>
      <c r="AD147" s="85"/>
      <c r="AE147" s="85"/>
      <c r="AF147" s="85"/>
      <c r="AG147" s="85"/>
      <c r="AH147" s="85"/>
      <c r="AI147" s="85"/>
      <c r="AJ147" s="85"/>
      <c r="AK147" s="85"/>
      <c r="AL147" s="85"/>
    </row>
    <row r="148" spans="1:38" s="80" customFormat="1" x14ac:dyDescent="0.25">
      <c r="A148" s="116"/>
      <c r="B148" s="115"/>
      <c r="C148" s="115"/>
      <c r="D148" s="115"/>
      <c r="E148" s="115"/>
      <c r="F148" s="115"/>
      <c r="H148" s="95">
        <v>143</v>
      </c>
      <c r="I148" s="96" t="str">
        <f t="shared" si="17"/>
        <v/>
      </c>
      <c r="J148" s="95" t="e">
        <f t="shared" si="18"/>
        <v>#NUM!</v>
      </c>
      <c r="K148" s="95" t="e">
        <f t="shared" si="19"/>
        <v>#NUM!</v>
      </c>
      <c r="L148" s="95"/>
      <c r="M148" s="97">
        <f t="shared" si="20"/>
        <v>0</v>
      </c>
      <c r="S148" s="85"/>
      <c r="T148" s="85"/>
      <c r="U148" s="85"/>
      <c r="V148" s="85"/>
      <c r="W148" s="85"/>
      <c r="X148" s="85"/>
      <c r="Y148" s="85"/>
      <c r="Z148" s="85"/>
      <c r="AA148" s="85"/>
      <c r="AB148" s="85"/>
      <c r="AC148" s="85"/>
      <c r="AD148" s="85"/>
      <c r="AE148" s="85"/>
      <c r="AF148" s="85"/>
      <c r="AG148" s="85"/>
      <c r="AH148" s="85"/>
      <c r="AI148" s="85"/>
      <c r="AJ148" s="85"/>
      <c r="AK148" s="85"/>
      <c r="AL148" s="85"/>
    </row>
    <row r="149" spans="1:38" s="80" customFormat="1" x14ac:dyDescent="0.25">
      <c r="A149" s="116"/>
      <c r="B149" s="115"/>
      <c r="C149" s="115"/>
      <c r="D149" s="115"/>
      <c r="E149" s="115"/>
      <c r="F149" s="115"/>
      <c r="H149" s="99">
        <v>144</v>
      </c>
      <c r="I149" s="96" t="str">
        <f t="shared" si="17"/>
        <v/>
      </c>
      <c r="J149" s="95" t="e">
        <f t="shared" si="18"/>
        <v>#NUM!</v>
      </c>
      <c r="K149" s="95" t="e">
        <f t="shared" si="19"/>
        <v>#NUM!</v>
      </c>
      <c r="L149" s="95"/>
      <c r="M149" s="97">
        <f t="shared" si="20"/>
        <v>0</v>
      </c>
      <c r="S149" s="85"/>
      <c r="T149" s="85"/>
      <c r="U149" s="85"/>
      <c r="V149" s="85"/>
      <c r="W149" s="85"/>
      <c r="X149" s="85"/>
      <c r="Y149" s="85"/>
      <c r="Z149" s="85"/>
      <c r="AA149" s="85"/>
      <c r="AB149" s="85"/>
      <c r="AC149" s="85"/>
      <c r="AD149" s="85"/>
      <c r="AE149" s="85"/>
      <c r="AF149" s="85"/>
      <c r="AG149" s="85"/>
      <c r="AH149" s="85"/>
      <c r="AI149" s="85"/>
      <c r="AJ149" s="85"/>
      <c r="AK149" s="85"/>
      <c r="AL149" s="85"/>
    </row>
    <row r="150" spans="1:38" s="80" customFormat="1" x14ac:dyDescent="0.25">
      <c r="A150" s="116"/>
      <c r="B150" s="115"/>
      <c r="C150" s="115"/>
      <c r="D150" s="115"/>
      <c r="E150" s="115"/>
      <c r="F150" s="115"/>
      <c r="H150" s="95">
        <v>145</v>
      </c>
      <c r="I150" s="96" t="str">
        <f t="shared" si="17"/>
        <v/>
      </c>
      <c r="J150" s="95" t="e">
        <f t="shared" si="18"/>
        <v>#NUM!</v>
      </c>
      <c r="K150" s="95" t="e">
        <f t="shared" si="19"/>
        <v>#NUM!</v>
      </c>
      <c r="L150" s="95"/>
      <c r="M150" s="97">
        <f t="shared" si="20"/>
        <v>0</v>
      </c>
      <c r="S150" s="85"/>
      <c r="T150" s="85"/>
      <c r="U150" s="85"/>
      <c r="V150" s="85"/>
      <c r="W150" s="85"/>
      <c r="X150" s="85"/>
      <c r="Y150" s="85"/>
      <c r="Z150" s="85"/>
      <c r="AA150" s="85"/>
      <c r="AB150" s="85"/>
      <c r="AC150" s="85"/>
      <c r="AD150" s="85"/>
      <c r="AE150" s="85"/>
      <c r="AF150" s="85"/>
      <c r="AG150" s="85"/>
      <c r="AH150" s="85"/>
      <c r="AI150" s="85"/>
      <c r="AJ150" s="85"/>
      <c r="AK150" s="85"/>
      <c r="AL150" s="85"/>
    </row>
    <row r="151" spans="1:38" s="80" customFormat="1" x14ac:dyDescent="0.25">
      <c r="A151" s="116"/>
      <c r="B151" s="115"/>
      <c r="C151" s="115"/>
      <c r="D151" s="115"/>
      <c r="E151" s="115"/>
      <c r="F151" s="115"/>
      <c r="H151" s="99">
        <v>146</v>
      </c>
      <c r="I151" s="96" t="str">
        <f t="shared" si="17"/>
        <v/>
      </c>
      <c r="J151" s="95" t="e">
        <f t="shared" si="18"/>
        <v>#NUM!</v>
      </c>
      <c r="K151" s="95" t="e">
        <f t="shared" si="19"/>
        <v>#NUM!</v>
      </c>
      <c r="L151" s="95"/>
      <c r="M151" s="97">
        <f t="shared" si="20"/>
        <v>0</v>
      </c>
      <c r="S151" s="85"/>
      <c r="T151" s="85"/>
      <c r="U151" s="85"/>
      <c r="V151" s="85"/>
      <c r="W151" s="85"/>
      <c r="X151" s="85"/>
      <c r="Y151" s="85"/>
      <c r="Z151" s="85"/>
      <c r="AA151" s="85"/>
      <c r="AB151" s="85"/>
      <c r="AC151" s="85"/>
      <c r="AD151" s="85"/>
      <c r="AE151" s="85"/>
      <c r="AF151" s="85"/>
      <c r="AG151" s="85"/>
      <c r="AH151" s="85"/>
      <c r="AI151" s="85"/>
      <c r="AJ151" s="85"/>
      <c r="AK151" s="85"/>
      <c r="AL151" s="85"/>
    </row>
    <row r="152" spans="1:38" s="80" customFormat="1" x14ac:dyDescent="0.25">
      <c r="A152" s="116"/>
      <c r="B152" s="115"/>
      <c r="C152" s="115"/>
      <c r="D152" s="115"/>
      <c r="E152" s="115"/>
      <c r="F152" s="115"/>
      <c r="H152" s="95">
        <v>147</v>
      </c>
      <c r="I152" s="96" t="str">
        <f t="shared" si="17"/>
        <v/>
      </c>
      <c r="J152" s="95" t="e">
        <f t="shared" si="18"/>
        <v>#NUM!</v>
      </c>
      <c r="K152" s="95" t="e">
        <f t="shared" si="19"/>
        <v>#NUM!</v>
      </c>
      <c r="L152" s="95"/>
      <c r="M152" s="97">
        <f t="shared" si="20"/>
        <v>0</v>
      </c>
      <c r="S152" s="85"/>
      <c r="T152" s="85"/>
      <c r="U152" s="85"/>
      <c r="V152" s="85"/>
      <c r="W152" s="85"/>
      <c r="X152" s="85"/>
      <c r="Y152" s="85"/>
      <c r="Z152" s="85"/>
      <c r="AA152" s="85"/>
      <c r="AB152" s="85"/>
      <c r="AC152" s="85"/>
      <c r="AD152" s="85"/>
      <c r="AE152" s="85"/>
      <c r="AF152" s="85"/>
      <c r="AG152" s="85"/>
      <c r="AH152" s="85"/>
      <c r="AI152" s="85"/>
      <c r="AJ152" s="85"/>
      <c r="AK152" s="85"/>
      <c r="AL152" s="85"/>
    </row>
    <row r="153" spans="1:38" s="80" customFormat="1" x14ac:dyDescent="0.25">
      <c r="A153" s="116"/>
      <c r="B153" s="115"/>
      <c r="C153" s="115"/>
      <c r="D153" s="115"/>
      <c r="E153" s="115"/>
      <c r="F153" s="115"/>
      <c r="H153" s="99">
        <v>148</v>
      </c>
      <c r="I153" s="96" t="str">
        <f t="shared" si="17"/>
        <v/>
      </c>
      <c r="J153" s="95" t="e">
        <f t="shared" si="18"/>
        <v>#NUM!</v>
      </c>
      <c r="K153" s="95" t="e">
        <f t="shared" si="19"/>
        <v>#NUM!</v>
      </c>
      <c r="L153" s="95"/>
      <c r="M153" s="97">
        <f t="shared" si="20"/>
        <v>0</v>
      </c>
      <c r="S153" s="85"/>
      <c r="T153" s="85"/>
      <c r="U153" s="85"/>
      <c r="V153" s="85"/>
      <c r="W153" s="85"/>
      <c r="X153" s="85"/>
      <c r="Y153" s="85"/>
      <c r="Z153" s="85"/>
      <c r="AA153" s="85"/>
      <c r="AB153" s="85"/>
      <c r="AC153" s="85"/>
      <c r="AD153" s="85"/>
      <c r="AE153" s="85"/>
      <c r="AF153" s="85"/>
      <c r="AG153" s="85"/>
      <c r="AH153" s="85"/>
      <c r="AI153" s="85"/>
      <c r="AJ153" s="85"/>
      <c r="AK153" s="85"/>
      <c r="AL153" s="85"/>
    </row>
    <row r="154" spans="1:38" s="80" customFormat="1" x14ac:dyDescent="0.25">
      <c r="A154" s="116"/>
      <c r="B154" s="115"/>
      <c r="C154" s="115"/>
      <c r="D154" s="115"/>
      <c r="E154" s="115"/>
      <c r="F154" s="115"/>
      <c r="H154" s="95">
        <v>149</v>
      </c>
      <c r="I154" s="96" t="str">
        <f t="shared" si="17"/>
        <v/>
      </c>
      <c r="J154" s="95" t="e">
        <f t="shared" si="18"/>
        <v>#NUM!</v>
      </c>
      <c r="K154" s="95" t="e">
        <f t="shared" si="19"/>
        <v>#NUM!</v>
      </c>
      <c r="L154" s="95"/>
      <c r="M154" s="97">
        <f t="shared" si="20"/>
        <v>0</v>
      </c>
      <c r="S154" s="85"/>
      <c r="T154" s="85"/>
      <c r="U154" s="85"/>
      <c r="V154" s="85"/>
      <c r="W154" s="85"/>
      <c r="X154" s="85"/>
      <c r="Y154" s="85"/>
      <c r="Z154" s="85"/>
      <c r="AA154" s="85"/>
      <c r="AB154" s="85"/>
      <c r="AC154" s="85"/>
      <c r="AD154" s="85"/>
      <c r="AE154" s="85"/>
      <c r="AF154" s="85"/>
      <c r="AG154" s="85"/>
      <c r="AH154" s="85"/>
      <c r="AI154" s="85"/>
      <c r="AJ154" s="85"/>
      <c r="AK154" s="85"/>
      <c r="AL154" s="85"/>
    </row>
    <row r="155" spans="1:38" s="80" customFormat="1" x14ac:dyDescent="0.25">
      <c r="A155" s="116"/>
      <c r="B155" s="115"/>
      <c r="C155" s="115"/>
      <c r="D155" s="115"/>
      <c r="E155" s="115"/>
      <c r="F155" s="115"/>
      <c r="H155" s="99">
        <v>150</v>
      </c>
      <c r="I155" s="96" t="str">
        <f t="shared" si="17"/>
        <v/>
      </c>
      <c r="J155" s="95" t="e">
        <f t="shared" si="18"/>
        <v>#NUM!</v>
      </c>
      <c r="K155" s="95" t="e">
        <f t="shared" si="19"/>
        <v>#NUM!</v>
      </c>
      <c r="L155" s="95"/>
      <c r="M155" s="97">
        <f t="shared" si="20"/>
        <v>0</v>
      </c>
      <c r="S155" s="85"/>
      <c r="T155" s="85"/>
      <c r="U155" s="85"/>
      <c r="V155" s="85"/>
      <c r="W155" s="85"/>
      <c r="X155" s="85"/>
      <c r="Y155" s="85"/>
      <c r="Z155" s="85"/>
      <c r="AA155" s="85"/>
      <c r="AB155" s="85"/>
      <c r="AC155" s="85"/>
      <c r="AD155" s="85"/>
      <c r="AE155" s="85"/>
      <c r="AF155" s="85"/>
      <c r="AG155" s="85"/>
      <c r="AH155" s="85"/>
      <c r="AI155" s="85"/>
      <c r="AJ155" s="85"/>
      <c r="AK155" s="85"/>
      <c r="AL155" s="85"/>
    </row>
    <row r="156" spans="1:38" s="80" customFormat="1" x14ac:dyDescent="0.25">
      <c r="A156" s="116"/>
      <c r="B156" s="115"/>
      <c r="C156" s="115"/>
      <c r="D156" s="115"/>
      <c r="E156" s="115"/>
      <c r="F156" s="115"/>
      <c r="H156" s="95">
        <v>151</v>
      </c>
      <c r="I156" s="96" t="str">
        <f t="shared" si="17"/>
        <v/>
      </c>
      <c r="J156" s="95" t="e">
        <f t="shared" si="18"/>
        <v>#NUM!</v>
      </c>
      <c r="K156" s="95" t="e">
        <f t="shared" si="19"/>
        <v>#NUM!</v>
      </c>
      <c r="L156" s="95"/>
      <c r="M156" s="97">
        <f t="shared" si="20"/>
        <v>0</v>
      </c>
      <c r="S156" s="85"/>
      <c r="T156" s="85"/>
      <c r="U156" s="85"/>
      <c r="V156" s="85"/>
      <c r="W156" s="85"/>
      <c r="X156" s="85"/>
      <c r="Y156" s="85"/>
      <c r="Z156" s="85"/>
      <c r="AA156" s="85"/>
      <c r="AB156" s="85"/>
      <c r="AC156" s="85"/>
      <c r="AD156" s="85"/>
      <c r="AE156" s="85"/>
      <c r="AF156" s="85"/>
      <c r="AG156" s="85"/>
      <c r="AH156" s="85"/>
      <c r="AI156" s="85"/>
      <c r="AJ156" s="85"/>
      <c r="AK156" s="85"/>
      <c r="AL156" s="85"/>
    </row>
    <row r="157" spans="1:38" s="80" customFormat="1" x14ac:dyDescent="0.25">
      <c r="A157" s="116"/>
      <c r="B157" s="115"/>
      <c r="C157" s="115"/>
      <c r="D157" s="115"/>
      <c r="E157" s="115"/>
      <c r="F157" s="115"/>
      <c r="H157" s="99">
        <v>152</v>
      </c>
      <c r="I157" s="96" t="str">
        <f t="shared" si="17"/>
        <v/>
      </c>
      <c r="J157" s="95" t="e">
        <f t="shared" si="18"/>
        <v>#NUM!</v>
      </c>
      <c r="K157" s="95" t="e">
        <f t="shared" si="19"/>
        <v>#NUM!</v>
      </c>
      <c r="L157" s="95"/>
      <c r="M157" s="97">
        <f t="shared" si="20"/>
        <v>0</v>
      </c>
      <c r="S157" s="85"/>
      <c r="T157" s="85"/>
      <c r="U157" s="85"/>
      <c r="V157" s="85"/>
      <c r="W157" s="85"/>
      <c r="X157" s="85"/>
      <c r="Y157" s="85"/>
      <c r="Z157" s="85"/>
      <c r="AA157" s="85"/>
      <c r="AB157" s="85"/>
      <c r="AC157" s="85"/>
      <c r="AD157" s="85"/>
      <c r="AE157" s="85"/>
      <c r="AF157" s="85"/>
      <c r="AG157" s="85"/>
      <c r="AH157" s="85"/>
      <c r="AI157" s="85"/>
      <c r="AJ157" s="85"/>
      <c r="AK157" s="85"/>
      <c r="AL157" s="85"/>
    </row>
    <row r="158" spans="1:38" s="80" customFormat="1" x14ac:dyDescent="0.25">
      <c r="A158" s="116"/>
      <c r="B158" s="115"/>
      <c r="C158" s="115"/>
      <c r="D158" s="115"/>
      <c r="E158" s="115"/>
      <c r="F158" s="115"/>
      <c r="H158" s="95">
        <v>153</v>
      </c>
      <c r="I158" s="96" t="str">
        <f t="shared" si="17"/>
        <v/>
      </c>
      <c r="J158" s="95" t="e">
        <f t="shared" si="18"/>
        <v>#NUM!</v>
      </c>
      <c r="K158" s="95" t="e">
        <f t="shared" si="19"/>
        <v>#NUM!</v>
      </c>
      <c r="L158" s="95"/>
      <c r="M158" s="97">
        <f t="shared" si="20"/>
        <v>0</v>
      </c>
      <c r="S158" s="85"/>
      <c r="T158" s="85"/>
      <c r="U158" s="85"/>
      <c r="V158" s="85"/>
      <c r="W158" s="85"/>
      <c r="X158" s="85"/>
      <c r="Y158" s="85"/>
      <c r="Z158" s="85"/>
      <c r="AA158" s="85"/>
      <c r="AB158" s="85"/>
      <c r="AC158" s="85"/>
      <c r="AD158" s="85"/>
      <c r="AE158" s="85"/>
      <c r="AF158" s="85"/>
      <c r="AG158" s="85"/>
      <c r="AH158" s="85"/>
      <c r="AI158" s="85"/>
      <c r="AJ158" s="85"/>
      <c r="AK158" s="85"/>
      <c r="AL158" s="85"/>
    </row>
    <row r="159" spans="1:38" s="80" customFormat="1" x14ac:dyDescent="0.25">
      <c r="A159" s="116"/>
      <c r="B159" s="115"/>
      <c r="C159" s="115"/>
      <c r="D159" s="115"/>
      <c r="E159" s="115"/>
      <c r="F159" s="115"/>
      <c r="H159" s="99">
        <v>154</v>
      </c>
      <c r="I159" s="96" t="str">
        <f t="shared" si="17"/>
        <v/>
      </c>
      <c r="J159" s="95" t="e">
        <f t="shared" si="18"/>
        <v>#NUM!</v>
      </c>
      <c r="K159" s="95" t="e">
        <f t="shared" si="19"/>
        <v>#NUM!</v>
      </c>
      <c r="L159" s="95"/>
      <c r="M159" s="97">
        <f t="shared" si="20"/>
        <v>0</v>
      </c>
      <c r="S159" s="85"/>
      <c r="T159" s="85"/>
      <c r="U159" s="85"/>
      <c r="V159" s="85"/>
      <c r="W159" s="85"/>
      <c r="X159" s="85"/>
      <c r="Y159" s="85"/>
      <c r="Z159" s="85"/>
      <c r="AA159" s="85"/>
      <c r="AB159" s="85"/>
      <c r="AC159" s="85"/>
      <c r="AD159" s="85"/>
      <c r="AE159" s="85"/>
      <c r="AF159" s="85"/>
      <c r="AG159" s="85"/>
      <c r="AH159" s="85"/>
      <c r="AI159" s="85"/>
      <c r="AJ159" s="85"/>
      <c r="AK159" s="85"/>
      <c r="AL159" s="85"/>
    </row>
    <row r="160" spans="1:38" s="80" customFormat="1" x14ac:dyDescent="0.25">
      <c r="A160" s="116"/>
      <c r="B160" s="115"/>
      <c r="C160" s="115"/>
      <c r="D160" s="115"/>
      <c r="E160" s="115"/>
      <c r="F160" s="115"/>
      <c r="H160" s="95">
        <v>155</v>
      </c>
      <c r="I160" s="96" t="str">
        <f t="shared" si="17"/>
        <v/>
      </c>
      <c r="J160" s="95" t="e">
        <f t="shared" si="18"/>
        <v>#NUM!</v>
      </c>
      <c r="K160" s="95" t="e">
        <f t="shared" si="19"/>
        <v>#NUM!</v>
      </c>
      <c r="L160" s="95"/>
      <c r="M160" s="97">
        <f t="shared" si="20"/>
        <v>0</v>
      </c>
      <c r="S160" s="85"/>
      <c r="T160" s="85"/>
      <c r="U160" s="85"/>
      <c r="V160" s="85"/>
      <c r="W160" s="85"/>
      <c r="X160" s="85"/>
      <c r="Y160" s="85"/>
      <c r="Z160" s="85"/>
      <c r="AA160" s="85"/>
      <c r="AB160" s="85"/>
      <c r="AC160" s="85"/>
      <c r="AD160" s="85"/>
      <c r="AE160" s="85"/>
      <c r="AF160" s="85"/>
      <c r="AG160" s="85"/>
      <c r="AH160" s="85"/>
      <c r="AI160" s="85"/>
      <c r="AJ160" s="85"/>
      <c r="AK160" s="85"/>
      <c r="AL160" s="85"/>
    </row>
    <row r="161" spans="1:38" s="80" customFormat="1" x14ac:dyDescent="0.25">
      <c r="A161" s="116"/>
      <c r="B161" s="115"/>
      <c r="C161" s="115"/>
      <c r="D161" s="115"/>
      <c r="E161" s="115"/>
      <c r="F161" s="115"/>
      <c r="H161" s="99">
        <v>156</v>
      </c>
      <c r="I161" s="96" t="str">
        <f t="shared" si="17"/>
        <v/>
      </c>
      <c r="J161" s="95" t="e">
        <f t="shared" si="18"/>
        <v>#NUM!</v>
      </c>
      <c r="K161" s="95" t="e">
        <f t="shared" si="19"/>
        <v>#NUM!</v>
      </c>
      <c r="L161" s="95"/>
      <c r="M161" s="97">
        <f t="shared" si="20"/>
        <v>0</v>
      </c>
      <c r="S161" s="85"/>
      <c r="T161" s="85"/>
      <c r="U161" s="85"/>
      <c r="V161" s="85"/>
      <c r="W161" s="85"/>
      <c r="X161" s="85"/>
      <c r="Y161" s="85"/>
      <c r="Z161" s="85"/>
      <c r="AA161" s="85"/>
      <c r="AB161" s="85"/>
      <c r="AC161" s="85"/>
      <c r="AD161" s="85"/>
      <c r="AE161" s="85"/>
      <c r="AF161" s="85"/>
      <c r="AG161" s="85"/>
      <c r="AH161" s="85"/>
      <c r="AI161" s="85"/>
      <c r="AJ161" s="85"/>
      <c r="AK161" s="85"/>
      <c r="AL161" s="85"/>
    </row>
    <row r="162" spans="1:38" s="80" customFormat="1" x14ac:dyDescent="0.25">
      <c r="A162" s="116"/>
      <c r="B162" s="115"/>
      <c r="C162" s="115"/>
      <c r="D162" s="115"/>
      <c r="E162" s="115"/>
      <c r="F162" s="115"/>
      <c r="H162" s="95">
        <v>157</v>
      </c>
      <c r="I162" s="96" t="str">
        <f t="shared" si="17"/>
        <v/>
      </c>
      <c r="J162" s="95" t="e">
        <f t="shared" si="18"/>
        <v>#NUM!</v>
      </c>
      <c r="K162" s="95" t="e">
        <f t="shared" si="19"/>
        <v>#NUM!</v>
      </c>
      <c r="L162" s="95"/>
      <c r="M162" s="97">
        <f t="shared" si="20"/>
        <v>0</v>
      </c>
      <c r="S162" s="85"/>
      <c r="T162" s="85"/>
      <c r="U162" s="85"/>
      <c r="V162" s="85"/>
      <c r="W162" s="85"/>
      <c r="X162" s="85"/>
      <c r="Y162" s="85"/>
      <c r="Z162" s="85"/>
      <c r="AA162" s="85"/>
      <c r="AB162" s="85"/>
      <c r="AC162" s="85"/>
      <c r="AD162" s="85"/>
      <c r="AE162" s="85"/>
      <c r="AF162" s="85"/>
      <c r="AG162" s="85"/>
      <c r="AH162" s="85"/>
      <c r="AI162" s="85"/>
      <c r="AJ162" s="85"/>
      <c r="AK162" s="85"/>
      <c r="AL162" s="85"/>
    </row>
    <row r="163" spans="1:38" s="80" customFormat="1" x14ac:dyDescent="0.25">
      <c r="A163" s="116"/>
      <c r="B163" s="115"/>
      <c r="C163" s="115"/>
      <c r="D163" s="115"/>
      <c r="E163" s="115"/>
      <c r="F163" s="115"/>
      <c r="H163" s="99">
        <v>158</v>
      </c>
      <c r="I163" s="96" t="str">
        <f t="shared" si="17"/>
        <v/>
      </c>
      <c r="J163" s="95" t="e">
        <f t="shared" si="18"/>
        <v>#NUM!</v>
      </c>
      <c r="K163" s="95" t="e">
        <f t="shared" si="19"/>
        <v>#NUM!</v>
      </c>
      <c r="L163" s="95"/>
      <c r="M163" s="97">
        <f t="shared" si="20"/>
        <v>0</v>
      </c>
      <c r="S163" s="85"/>
      <c r="T163" s="85"/>
      <c r="U163" s="85"/>
      <c r="V163" s="85"/>
      <c r="W163" s="85"/>
      <c r="X163" s="85"/>
      <c r="Y163" s="85"/>
      <c r="Z163" s="85"/>
      <c r="AA163" s="85"/>
      <c r="AB163" s="85"/>
      <c r="AC163" s="85"/>
      <c r="AD163" s="85"/>
      <c r="AE163" s="85"/>
      <c r="AF163" s="85"/>
      <c r="AG163" s="85"/>
      <c r="AH163" s="85"/>
      <c r="AI163" s="85"/>
      <c r="AJ163" s="85"/>
      <c r="AK163" s="85"/>
      <c r="AL163" s="85"/>
    </row>
    <row r="164" spans="1:38" s="80" customFormat="1" x14ac:dyDescent="0.25">
      <c r="A164" s="116"/>
      <c r="B164" s="115"/>
      <c r="C164" s="115"/>
      <c r="D164" s="115"/>
      <c r="E164" s="115"/>
      <c r="F164" s="115"/>
      <c r="H164" s="95">
        <v>159</v>
      </c>
      <c r="I164" s="96" t="str">
        <f t="shared" si="17"/>
        <v/>
      </c>
      <c r="J164" s="95" t="e">
        <f t="shared" si="18"/>
        <v>#NUM!</v>
      </c>
      <c r="K164" s="95" t="e">
        <f t="shared" si="19"/>
        <v>#NUM!</v>
      </c>
      <c r="L164" s="95"/>
      <c r="M164" s="97">
        <f t="shared" si="20"/>
        <v>0</v>
      </c>
      <c r="S164" s="85"/>
      <c r="T164" s="85"/>
      <c r="U164" s="85"/>
      <c r="V164" s="85"/>
      <c r="W164" s="85"/>
      <c r="X164" s="85"/>
      <c r="Y164" s="85"/>
      <c r="Z164" s="85"/>
      <c r="AA164" s="85"/>
      <c r="AB164" s="85"/>
      <c r="AC164" s="85"/>
      <c r="AD164" s="85"/>
      <c r="AE164" s="85"/>
      <c r="AF164" s="85"/>
      <c r="AG164" s="85"/>
      <c r="AH164" s="85"/>
      <c r="AI164" s="85"/>
      <c r="AJ164" s="85"/>
      <c r="AK164" s="85"/>
      <c r="AL164" s="85"/>
    </row>
    <row r="165" spans="1:38" s="80" customFormat="1" x14ac:dyDescent="0.25">
      <c r="A165" s="116"/>
      <c r="B165" s="115"/>
      <c r="C165" s="115"/>
      <c r="D165" s="115"/>
      <c r="E165" s="115"/>
      <c r="F165" s="115"/>
      <c r="H165" s="99">
        <v>160</v>
      </c>
      <c r="I165" s="96" t="str">
        <f t="shared" si="17"/>
        <v/>
      </c>
      <c r="J165" s="95" t="e">
        <f t="shared" si="18"/>
        <v>#NUM!</v>
      </c>
      <c r="K165" s="95" t="e">
        <f t="shared" si="19"/>
        <v>#NUM!</v>
      </c>
      <c r="L165" s="95"/>
      <c r="M165" s="97">
        <f t="shared" si="20"/>
        <v>0</v>
      </c>
      <c r="S165" s="85"/>
      <c r="T165" s="85"/>
      <c r="U165" s="85"/>
      <c r="V165" s="85"/>
      <c r="W165" s="85"/>
      <c r="X165" s="85"/>
      <c r="Y165" s="85"/>
      <c r="Z165" s="85"/>
      <c r="AA165" s="85"/>
      <c r="AB165" s="85"/>
      <c r="AC165" s="85"/>
      <c r="AD165" s="85"/>
      <c r="AE165" s="85"/>
      <c r="AF165" s="85"/>
      <c r="AG165" s="85"/>
      <c r="AH165" s="85"/>
      <c r="AI165" s="85"/>
      <c r="AJ165" s="85"/>
      <c r="AK165" s="85"/>
      <c r="AL165" s="85"/>
    </row>
    <row r="166" spans="1:38" s="80" customFormat="1" x14ac:dyDescent="0.25">
      <c r="A166" s="116"/>
      <c r="B166" s="115"/>
      <c r="C166" s="115"/>
      <c r="D166" s="115"/>
      <c r="E166" s="115"/>
      <c r="F166" s="115"/>
      <c r="H166" s="95">
        <v>161</v>
      </c>
      <c r="I166" s="96" t="str">
        <f t="shared" si="17"/>
        <v/>
      </c>
      <c r="J166" s="95" t="e">
        <f t="shared" si="18"/>
        <v>#NUM!</v>
      </c>
      <c r="K166" s="95" t="e">
        <f t="shared" si="19"/>
        <v>#NUM!</v>
      </c>
      <c r="L166" s="95"/>
      <c r="M166" s="97">
        <f t="shared" si="20"/>
        <v>0</v>
      </c>
      <c r="S166" s="85"/>
      <c r="T166" s="85"/>
      <c r="U166" s="85"/>
      <c r="V166" s="85"/>
      <c r="W166" s="85"/>
      <c r="X166" s="85"/>
      <c r="Y166" s="85"/>
      <c r="Z166" s="85"/>
      <c r="AA166" s="85"/>
      <c r="AB166" s="85"/>
      <c r="AC166" s="85"/>
      <c r="AD166" s="85"/>
      <c r="AE166" s="85"/>
      <c r="AF166" s="85"/>
      <c r="AG166" s="85"/>
      <c r="AH166" s="85"/>
      <c r="AI166" s="85"/>
      <c r="AJ166" s="85"/>
      <c r="AK166" s="85"/>
      <c r="AL166" s="85"/>
    </row>
    <row r="167" spans="1:38" s="80" customFormat="1" x14ac:dyDescent="0.25">
      <c r="A167" s="116"/>
      <c r="B167" s="115"/>
      <c r="C167" s="115"/>
      <c r="D167" s="115"/>
      <c r="E167" s="115"/>
      <c r="F167" s="115"/>
      <c r="H167" s="99">
        <v>162</v>
      </c>
      <c r="I167" s="96" t="str">
        <f t="shared" si="17"/>
        <v/>
      </c>
      <c r="J167" s="95" t="e">
        <f t="shared" si="18"/>
        <v>#NUM!</v>
      </c>
      <c r="K167" s="95" t="e">
        <f t="shared" si="19"/>
        <v>#NUM!</v>
      </c>
      <c r="L167" s="95"/>
      <c r="M167" s="97">
        <f t="shared" si="20"/>
        <v>0</v>
      </c>
      <c r="S167" s="85"/>
      <c r="T167" s="85"/>
      <c r="U167" s="85"/>
      <c r="V167" s="85"/>
      <c r="W167" s="85"/>
      <c r="X167" s="85"/>
      <c r="Y167" s="85"/>
      <c r="Z167" s="85"/>
      <c r="AA167" s="85"/>
      <c r="AB167" s="85"/>
      <c r="AC167" s="85"/>
      <c r="AD167" s="85"/>
      <c r="AE167" s="85"/>
      <c r="AF167" s="85"/>
      <c r="AG167" s="85"/>
      <c r="AH167" s="85"/>
      <c r="AI167" s="85"/>
      <c r="AJ167" s="85"/>
      <c r="AK167" s="85"/>
      <c r="AL167" s="85"/>
    </row>
    <row r="168" spans="1:38" s="80" customFormat="1" x14ac:dyDescent="0.25">
      <c r="A168" s="116"/>
      <c r="B168" s="115"/>
      <c r="C168" s="115"/>
      <c r="D168" s="115"/>
      <c r="E168" s="115"/>
      <c r="F168" s="115"/>
      <c r="H168" s="95">
        <v>163</v>
      </c>
      <c r="I168" s="96" t="str">
        <f t="shared" si="17"/>
        <v/>
      </c>
      <c r="J168" s="95" t="e">
        <f t="shared" si="18"/>
        <v>#NUM!</v>
      </c>
      <c r="K168" s="95" t="e">
        <f t="shared" si="19"/>
        <v>#NUM!</v>
      </c>
      <c r="L168" s="95"/>
      <c r="M168" s="97">
        <f t="shared" si="20"/>
        <v>0</v>
      </c>
      <c r="S168" s="85"/>
      <c r="T168" s="85"/>
      <c r="U168" s="85"/>
      <c r="V168" s="85"/>
      <c r="W168" s="85"/>
      <c r="X168" s="85"/>
      <c r="Y168" s="85"/>
      <c r="Z168" s="85"/>
      <c r="AA168" s="85"/>
      <c r="AB168" s="85"/>
      <c r="AC168" s="85"/>
      <c r="AD168" s="85"/>
      <c r="AE168" s="85"/>
      <c r="AF168" s="85"/>
      <c r="AG168" s="85"/>
      <c r="AH168" s="85"/>
      <c r="AI168" s="85"/>
      <c r="AJ168" s="85"/>
      <c r="AK168" s="85"/>
      <c r="AL168" s="85"/>
    </row>
    <row r="169" spans="1:38" s="80" customFormat="1" x14ac:dyDescent="0.25">
      <c r="A169" s="116"/>
      <c r="B169" s="115"/>
      <c r="C169" s="115" t="s">
        <v>40</v>
      </c>
      <c r="D169" s="115"/>
      <c r="E169" s="115"/>
      <c r="F169" s="115"/>
      <c r="H169" s="99">
        <v>164</v>
      </c>
      <c r="I169" s="96" t="str">
        <f t="shared" si="17"/>
        <v/>
      </c>
      <c r="J169" s="95" t="e">
        <f t="shared" si="18"/>
        <v>#NUM!</v>
      </c>
      <c r="K169" s="95" t="e">
        <f t="shared" si="19"/>
        <v>#NUM!</v>
      </c>
      <c r="L169" s="95"/>
      <c r="M169" s="97">
        <f t="shared" si="20"/>
        <v>0</v>
      </c>
      <c r="S169" s="85"/>
      <c r="T169" s="85"/>
      <c r="U169" s="85"/>
      <c r="V169" s="85"/>
      <c r="W169" s="85"/>
      <c r="X169" s="85"/>
      <c r="Y169" s="85"/>
      <c r="Z169" s="85"/>
      <c r="AA169" s="85"/>
      <c r="AB169" s="85"/>
      <c r="AC169" s="85"/>
      <c r="AD169" s="85"/>
      <c r="AE169" s="85"/>
      <c r="AF169" s="85"/>
      <c r="AG169" s="85"/>
      <c r="AH169" s="85"/>
      <c r="AI169" s="85"/>
      <c r="AJ169" s="85"/>
      <c r="AK169" s="85"/>
      <c r="AL169" s="85"/>
    </row>
    <row r="170" spans="1:38" s="80" customFormat="1" x14ac:dyDescent="0.25">
      <c r="A170" s="116"/>
      <c r="B170" s="115"/>
      <c r="C170" s="115"/>
      <c r="D170" s="115"/>
      <c r="E170" s="115"/>
      <c r="F170" s="115"/>
      <c r="H170" s="95">
        <v>165</v>
      </c>
      <c r="I170" s="96" t="str">
        <f t="shared" si="17"/>
        <v/>
      </c>
      <c r="J170" s="95" t="e">
        <f t="shared" si="18"/>
        <v>#NUM!</v>
      </c>
      <c r="K170" s="95" t="e">
        <f t="shared" si="19"/>
        <v>#NUM!</v>
      </c>
      <c r="L170" s="95"/>
      <c r="M170" s="97">
        <f t="shared" si="20"/>
        <v>0</v>
      </c>
      <c r="S170" s="85"/>
      <c r="T170" s="85"/>
      <c r="U170" s="85"/>
      <c r="V170" s="85"/>
      <c r="W170" s="85"/>
      <c r="X170" s="85"/>
      <c r="Y170" s="85"/>
      <c r="Z170" s="85"/>
      <c r="AA170" s="85"/>
      <c r="AB170" s="85"/>
      <c r="AC170" s="85"/>
      <c r="AD170" s="85"/>
      <c r="AE170" s="85"/>
      <c r="AF170" s="85"/>
      <c r="AG170" s="85"/>
      <c r="AH170" s="85"/>
      <c r="AI170" s="85"/>
      <c r="AJ170" s="85"/>
      <c r="AK170" s="85"/>
      <c r="AL170" s="85"/>
    </row>
    <row r="171" spans="1:38" s="80" customFormat="1" x14ac:dyDescent="0.25">
      <c r="A171" s="116"/>
      <c r="B171" s="115"/>
      <c r="C171" s="115"/>
      <c r="D171" s="115"/>
      <c r="E171" s="115"/>
      <c r="F171" s="115"/>
      <c r="H171" s="99">
        <v>166</v>
      </c>
      <c r="I171" s="96" t="str">
        <f t="shared" si="17"/>
        <v/>
      </c>
      <c r="J171" s="95" t="e">
        <f t="shared" si="18"/>
        <v>#NUM!</v>
      </c>
      <c r="K171" s="95" t="e">
        <f t="shared" si="19"/>
        <v>#NUM!</v>
      </c>
      <c r="L171" s="95"/>
      <c r="M171" s="97">
        <f t="shared" si="20"/>
        <v>0</v>
      </c>
      <c r="S171" s="85"/>
      <c r="T171" s="85"/>
      <c r="U171" s="85"/>
      <c r="V171" s="85"/>
      <c r="W171" s="85"/>
      <c r="X171" s="85"/>
      <c r="Y171" s="85"/>
      <c r="Z171" s="85"/>
      <c r="AA171" s="85"/>
      <c r="AB171" s="85"/>
      <c r="AC171" s="85"/>
      <c r="AD171" s="85"/>
      <c r="AE171" s="85"/>
      <c r="AF171" s="85"/>
      <c r="AG171" s="85"/>
      <c r="AH171" s="85"/>
      <c r="AI171" s="85"/>
      <c r="AJ171" s="85"/>
      <c r="AK171" s="85"/>
      <c r="AL171" s="85"/>
    </row>
    <row r="172" spans="1:38" s="80" customFormat="1" x14ac:dyDescent="0.25">
      <c r="A172" s="116"/>
      <c r="B172" s="115"/>
      <c r="C172" s="115"/>
      <c r="D172" s="115"/>
      <c r="E172" s="115"/>
      <c r="F172" s="115"/>
      <c r="H172" s="95">
        <v>167</v>
      </c>
      <c r="I172" s="96" t="str">
        <f t="shared" si="17"/>
        <v/>
      </c>
      <c r="J172" s="95" t="e">
        <f t="shared" si="18"/>
        <v>#NUM!</v>
      </c>
      <c r="K172" s="95" t="e">
        <f t="shared" si="19"/>
        <v>#NUM!</v>
      </c>
      <c r="L172" s="95"/>
      <c r="M172" s="97">
        <f t="shared" si="20"/>
        <v>0</v>
      </c>
      <c r="S172" s="85"/>
      <c r="T172" s="85"/>
      <c r="U172" s="85"/>
      <c r="V172" s="85"/>
      <c r="W172" s="85"/>
      <c r="X172" s="85"/>
      <c r="Y172" s="85"/>
      <c r="Z172" s="85"/>
      <c r="AA172" s="85"/>
      <c r="AB172" s="85"/>
      <c r="AC172" s="85"/>
      <c r="AD172" s="85"/>
      <c r="AE172" s="85"/>
      <c r="AF172" s="85"/>
      <c r="AG172" s="85"/>
      <c r="AH172" s="85"/>
      <c r="AI172" s="85"/>
      <c r="AJ172" s="85"/>
      <c r="AK172" s="85"/>
      <c r="AL172" s="85"/>
    </row>
    <row r="173" spans="1:38" s="80" customFormat="1" x14ac:dyDescent="0.25">
      <c r="A173" s="116"/>
      <c r="B173" s="115"/>
      <c r="C173" s="115"/>
      <c r="D173" s="115"/>
      <c r="E173" s="115"/>
      <c r="F173" s="115"/>
      <c r="H173" s="99">
        <v>168</v>
      </c>
      <c r="I173" s="96" t="str">
        <f t="shared" si="17"/>
        <v/>
      </c>
      <c r="J173" s="95" t="e">
        <f t="shared" si="18"/>
        <v>#NUM!</v>
      </c>
      <c r="K173" s="95" t="e">
        <f t="shared" si="19"/>
        <v>#NUM!</v>
      </c>
      <c r="L173" s="95"/>
      <c r="M173" s="97">
        <f t="shared" si="20"/>
        <v>0</v>
      </c>
      <c r="S173" s="85"/>
      <c r="T173" s="85"/>
      <c r="U173" s="85"/>
      <c r="V173" s="85"/>
      <c r="W173" s="85"/>
      <c r="X173" s="85"/>
      <c r="Y173" s="85"/>
      <c r="Z173" s="85"/>
      <c r="AA173" s="85"/>
      <c r="AB173" s="85"/>
      <c r="AC173" s="85"/>
      <c r="AD173" s="85"/>
      <c r="AE173" s="85"/>
      <c r="AF173" s="85"/>
      <c r="AG173" s="85"/>
      <c r="AH173" s="85"/>
      <c r="AI173" s="85"/>
      <c r="AJ173" s="85"/>
      <c r="AK173" s="85"/>
      <c r="AL173" s="85"/>
    </row>
    <row r="174" spans="1:38" s="80" customFormat="1" x14ac:dyDescent="0.25">
      <c r="A174" s="116"/>
      <c r="B174" s="115"/>
      <c r="C174" s="115"/>
      <c r="D174" s="115"/>
      <c r="E174" s="115"/>
      <c r="F174" s="115"/>
      <c r="H174" s="95">
        <v>169</v>
      </c>
      <c r="I174" s="96" t="str">
        <f t="shared" si="17"/>
        <v/>
      </c>
      <c r="J174" s="95" t="e">
        <f t="shared" si="18"/>
        <v>#NUM!</v>
      </c>
      <c r="K174" s="95" t="e">
        <f t="shared" si="19"/>
        <v>#NUM!</v>
      </c>
      <c r="L174" s="95"/>
      <c r="M174" s="97">
        <f t="shared" si="20"/>
        <v>0</v>
      </c>
      <c r="S174" s="85"/>
      <c r="T174" s="85"/>
      <c r="U174" s="85"/>
      <c r="V174" s="85"/>
      <c r="W174" s="85"/>
      <c r="X174" s="85"/>
      <c r="Y174" s="85"/>
      <c r="Z174" s="85"/>
      <c r="AA174" s="85"/>
      <c r="AB174" s="85"/>
      <c r="AC174" s="85"/>
      <c r="AD174" s="85"/>
      <c r="AE174" s="85"/>
      <c r="AF174" s="85"/>
      <c r="AG174" s="85"/>
      <c r="AH174" s="85"/>
      <c r="AI174" s="85"/>
      <c r="AJ174" s="85"/>
      <c r="AK174" s="85"/>
      <c r="AL174" s="85"/>
    </row>
    <row r="175" spans="1:38" s="80" customFormat="1" x14ac:dyDescent="0.25">
      <c r="A175" s="116"/>
      <c r="B175" s="115"/>
      <c r="C175" s="115"/>
      <c r="D175" s="115"/>
      <c r="E175" s="115"/>
      <c r="F175" s="115"/>
      <c r="H175" s="99">
        <v>170</v>
      </c>
      <c r="I175" s="96" t="str">
        <f t="shared" si="17"/>
        <v/>
      </c>
      <c r="J175" s="95" t="e">
        <f t="shared" si="18"/>
        <v>#NUM!</v>
      </c>
      <c r="K175" s="95" t="e">
        <f t="shared" si="19"/>
        <v>#NUM!</v>
      </c>
      <c r="L175" s="95"/>
      <c r="M175" s="97">
        <f t="shared" si="20"/>
        <v>0</v>
      </c>
      <c r="S175" s="85"/>
      <c r="T175" s="85"/>
      <c r="U175" s="85"/>
      <c r="V175" s="85"/>
      <c r="W175" s="85"/>
      <c r="X175" s="85"/>
      <c r="Y175" s="85"/>
      <c r="Z175" s="85"/>
      <c r="AA175" s="85"/>
      <c r="AB175" s="85"/>
      <c r="AC175" s="85"/>
      <c r="AD175" s="85"/>
      <c r="AE175" s="85"/>
      <c r="AF175" s="85"/>
      <c r="AG175" s="85"/>
      <c r="AH175" s="85"/>
      <c r="AI175" s="85"/>
      <c r="AJ175" s="85"/>
      <c r="AK175" s="85"/>
      <c r="AL175" s="85"/>
    </row>
    <row r="176" spans="1:38" s="80" customFormat="1" x14ac:dyDescent="0.25">
      <c r="A176" s="116"/>
      <c r="B176" s="115"/>
      <c r="C176" s="115"/>
      <c r="D176" s="115"/>
      <c r="E176" s="115"/>
      <c r="F176" s="115"/>
      <c r="H176" s="95">
        <v>171</v>
      </c>
      <c r="I176" s="96" t="str">
        <f t="shared" si="17"/>
        <v/>
      </c>
      <c r="J176" s="95" t="e">
        <f t="shared" si="18"/>
        <v>#NUM!</v>
      </c>
      <c r="K176" s="95" t="e">
        <f t="shared" si="19"/>
        <v>#NUM!</v>
      </c>
      <c r="L176" s="95"/>
      <c r="M176" s="97">
        <f t="shared" si="20"/>
        <v>0</v>
      </c>
      <c r="S176" s="85"/>
      <c r="T176" s="85"/>
      <c r="U176" s="85"/>
      <c r="V176" s="85"/>
      <c r="W176" s="85"/>
      <c r="X176" s="85"/>
      <c r="Y176" s="85"/>
      <c r="Z176" s="85"/>
      <c r="AA176" s="85"/>
      <c r="AB176" s="85"/>
      <c r="AC176" s="85"/>
      <c r="AD176" s="85"/>
      <c r="AE176" s="85"/>
      <c r="AF176" s="85"/>
      <c r="AG176" s="85"/>
      <c r="AH176" s="85"/>
      <c r="AI176" s="85"/>
      <c r="AJ176" s="85"/>
      <c r="AK176" s="85"/>
      <c r="AL176" s="85"/>
    </row>
    <row r="177" spans="1:38" s="80" customFormat="1" x14ac:dyDescent="0.25">
      <c r="A177" s="116"/>
      <c r="B177" s="115"/>
      <c r="C177" s="115"/>
      <c r="D177" s="115"/>
      <c r="E177" s="115"/>
      <c r="F177" s="115"/>
      <c r="H177" s="99">
        <v>172</v>
      </c>
      <c r="I177" s="96" t="str">
        <f t="shared" si="17"/>
        <v/>
      </c>
      <c r="J177" s="95" t="e">
        <f t="shared" si="18"/>
        <v>#NUM!</v>
      </c>
      <c r="K177" s="95" t="e">
        <f t="shared" si="19"/>
        <v>#NUM!</v>
      </c>
      <c r="L177" s="95"/>
      <c r="M177" s="97">
        <f t="shared" si="20"/>
        <v>0</v>
      </c>
      <c r="S177" s="85"/>
      <c r="T177" s="85"/>
      <c r="U177" s="85"/>
      <c r="V177" s="85"/>
      <c r="W177" s="85"/>
      <c r="X177" s="85"/>
      <c r="Y177" s="85"/>
      <c r="Z177" s="85"/>
      <c r="AA177" s="85"/>
      <c r="AB177" s="85"/>
      <c r="AC177" s="85"/>
      <c r="AD177" s="85"/>
      <c r="AE177" s="85"/>
      <c r="AF177" s="85"/>
      <c r="AG177" s="85"/>
      <c r="AH177" s="85"/>
      <c r="AI177" s="85"/>
      <c r="AJ177" s="85"/>
      <c r="AK177" s="85"/>
      <c r="AL177" s="85"/>
    </row>
    <row r="178" spans="1:38" s="80" customFormat="1" x14ac:dyDescent="0.25">
      <c r="A178" s="116"/>
      <c r="B178" s="115"/>
      <c r="C178" s="115"/>
      <c r="D178" s="115"/>
      <c r="E178" s="115"/>
      <c r="F178" s="115"/>
      <c r="H178" s="95">
        <v>173</v>
      </c>
      <c r="I178" s="96" t="str">
        <f t="shared" si="17"/>
        <v/>
      </c>
      <c r="J178" s="95" t="e">
        <f t="shared" si="18"/>
        <v>#NUM!</v>
      </c>
      <c r="K178" s="95" t="e">
        <f t="shared" si="19"/>
        <v>#NUM!</v>
      </c>
      <c r="L178" s="95"/>
      <c r="M178" s="97">
        <f t="shared" si="20"/>
        <v>0</v>
      </c>
      <c r="S178" s="85"/>
      <c r="T178" s="85"/>
      <c r="U178" s="85"/>
      <c r="V178" s="85"/>
      <c r="W178" s="85"/>
      <c r="X178" s="85"/>
      <c r="Y178" s="85"/>
      <c r="Z178" s="85"/>
      <c r="AA178" s="85"/>
      <c r="AB178" s="85"/>
      <c r="AC178" s="85"/>
      <c r="AD178" s="85"/>
      <c r="AE178" s="85"/>
      <c r="AF178" s="85"/>
      <c r="AG178" s="85"/>
      <c r="AH178" s="85"/>
      <c r="AI178" s="85"/>
      <c r="AJ178" s="85"/>
      <c r="AK178" s="85"/>
      <c r="AL178" s="85"/>
    </row>
    <row r="179" spans="1:38" s="80" customFormat="1" x14ac:dyDescent="0.25">
      <c r="A179" s="116"/>
      <c r="B179" s="115"/>
      <c r="C179" s="115"/>
      <c r="D179" s="115"/>
      <c r="E179" s="115"/>
      <c r="F179" s="115"/>
      <c r="H179" s="99">
        <v>174</v>
      </c>
      <c r="I179" s="96" t="str">
        <f t="shared" si="17"/>
        <v/>
      </c>
      <c r="J179" s="95" t="e">
        <f t="shared" si="18"/>
        <v>#NUM!</v>
      </c>
      <c r="K179" s="95" t="e">
        <f t="shared" si="19"/>
        <v>#NUM!</v>
      </c>
      <c r="L179" s="95"/>
      <c r="M179" s="97">
        <f t="shared" si="20"/>
        <v>0</v>
      </c>
      <c r="S179" s="85"/>
      <c r="T179" s="85"/>
      <c r="U179" s="85"/>
      <c r="V179" s="85"/>
      <c r="W179" s="85"/>
      <c r="X179" s="85"/>
      <c r="Y179" s="85"/>
      <c r="Z179" s="85"/>
      <c r="AA179" s="85"/>
      <c r="AB179" s="85"/>
      <c r="AC179" s="85"/>
      <c r="AD179" s="85"/>
      <c r="AE179" s="85"/>
      <c r="AF179" s="85"/>
      <c r="AG179" s="85"/>
      <c r="AH179" s="85"/>
      <c r="AI179" s="85"/>
      <c r="AJ179" s="85"/>
      <c r="AK179" s="85"/>
      <c r="AL179" s="85"/>
    </row>
    <row r="180" spans="1:38" s="80" customFormat="1" x14ac:dyDescent="0.25">
      <c r="A180" s="116"/>
      <c r="B180" s="115"/>
      <c r="C180" s="115"/>
      <c r="D180" s="115"/>
      <c r="E180" s="115"/>
      <c r="F180" s="115"/>
      <c r="H180" s="95">
        <v>175</v>
      </c>
      <c r="I180" s="96" t="str">
        <f t="shared" si="17"/>
        <v/>
      </c>
      <c r="J180" s="95" t="e">
        <f t="shared" si="18"/>
        <v>#NUM!</v>
      </c>
      <c r="K180" s="95" t="e">
        <f t="shared" si="19"/>
        <v>#NUM!</v>
      </c>
      <c r="L180" s="95"/>
      <c r="M180" s="97">
        <f t="shared" si="20"/>
        <v>0</v>
      </c>
      <c r="S180" s="85"/>
      <c r="T180" s="85"/>
      <c r="U180" s="85"/>
      <c r="V180" s="85"/>
      <c r="W180" s="85"/>
      <c r="X180" s="85"/>
      <c r="Y180" s="85"/>
      <c r="Z180" s="85"/>
      <c r="AA180" s="85"/>
      <c r="AB180" s="85"/>
      <c r="AC180" s="85"/>
      <c r="AD180" s="85"/>
      <c r="AE180" s="85"/>
      <c r="AF180" s="85"/>
      <c r="AG180" s="85"/>
      <c r="AH180" s="85"/>
      <c r="AI180" s="85"/>
      <c r="AJ180" s="85"/>
      <c r="AK180" s="85"/>
      <c r="AL180" s="85"/>
    </row>
    <row r="181" spans="1:38" s="80" customFormat="1" x14ac:dyDescent="0.25">
      <c r="A181" s="116"/>
      <c r="B181" s="115"/>
      <c r="C181" s="115"/>
      <c r="D181" s="115"/>
      <c r="E181" s="115"/>
      <c r="F181" s="115"/>
      <c r="H181" s="99">
        <v>176</v>
      </c>
      <c r="I181" s="96" t="str">
        <f t="shared" si="17"/>
        <v/>
      </c>
      <c r="J181" s="95" t="e">
        <f t="shared" si="18"/>
        <v>#NUM!</v>
      </c>
      <c r="K181" s="95" t="e">
        <f t="shared" si="19"/>
        <v>#NUM!</v>
      </c>
      <c r="L181" s="95"/>
      <c r="M181" s="97">
        <f t="shared" si="20"/>
        <v>0</v>
      </c>
      <c r="S181" s="85"/>
      <c r="T181" s="85"/>
      <c r="U181" s="85"/>
      <c r="V181" s="85"/>
      <c r="W181" s="85"/>
      <c r="X181" s="85"/>
      <c r="Y181" s="85"/>
      <c r="Z181" s="85"/>
      <c r="AA181" s="85"/>
      <c r="AB181" s="85"/>
      <c r="AC181" s="85"/>
      <c r="AD181" s="85"/>
      <c r="AE181" s="85"/>
      <c r="AF181" s="85"/>
      <c r="AG181" s="85"/>
      <c r="AH181" s="85"/>
      <c r="AI181" s="85"/>
      <c r="AJ181" s="85"/>
      <c r="AK181" s="85"/>
      <c r="AL181" s="85"/>
    </row>
    <row r="182" spans="1:38" s="80" customFormat="1" x14ac:dyDescent="0.25">
      <c r="A182" s="116"/>
      <c r="B182" s="115"/>
      <c r="C182" s="115"/>
      <c r="D182" s="115"/>
      <c r="E182" s="115"/>
      <c r="F182" s="115"/>
      <c r="H182" s="95">
        <v>177</v>
      </c>
      <c r="I182" s="96" t="str">
        <f t="shared" si="17"/>
        <v/>
      </c>
      <c r="J182" s="95" t="e">
        <f t="shared" si="18"/>
        <v>#NUM!</v>
      </c>
      <c r="K182" s="95" t="e">
        <f t="shared" si="19"/>
        <v>#NUM!</v>
      </c>
      <c r="L182" s="95"/>
      <c r="M182" s="97">
        <f t="shared" si="20"/>
        <v>0</v>
      </c>
      <c r="S182" s="85"/>
      <c r="T182" s="85"/>
      <c r="U182" s="85"/>
      <c r="V182" s="85"/>
      <c r="W182" s="85"/>
      <c r="X182" s="85"/>
      <c r="Y182" s="85"/>
      <c r="Z182" s="85"/>
      <c r="AA182" s="85"/>
      <c r="AB182" s="85"/>
      <c r="AC182" s="85"/>
      <c r="AD182" s="85"/>
      <c r="AE182" s="85"/>
      <c r="AF182" s="85"/>
      <c r="AG182" s="85"/>
      <c r="AH182" s="85"/>
      <c r="AI182" s="85"/>
      <c r="AJ182" s="85"/>
      <c r="AK182" s="85"/>
      <c r="AL182" s="85"/>
    </row>
    <row r="183" spans="1:38" s="80" customFormat="1" x14ac:dyDescent="0.25">
      <c r="A183" s="116"/>
      <c r="B183" s="115"/>
      <c r="C183" s="115"/>
      <c r="D183" s="115"/>
      <c r="E183" s="115"/>
      <c r="F183" s="115"/>
      <c r="H183" s="99">
        <v>178</v>
      </c>
      <c r="I183" s="96" t="str">
        <f t="shared" si="17"/>
        <v/>
      </c>
      <c r="J183" s="95" t="e">
        <f t="shared" si="18"/>
        <v>#NUM!</v>
      </c>
      <c r="K183" s="95" t="e">
        <f t="shared" si="19"/>
        <v>#NUM!</v>
      </c>
      <c r="L183" s="95"/>
      <c r="M183" s="97">
        <f t="shared" si="20"/>
        <v>0</v>
      </c>
      <c r="S183" s="85"/>
      <c r="T183" s="85"/>
      <c r="U183" s="85"/>
      <c r="V183" s="85"/>
      <c r="W183" s="85"/>
      <c r="X183" s="85"/>
      <c r="Y183" s="85"/>
      <c r="Z183" s="85"/>
      <c r="AA183" s="85"/>
      <c r="AB183" s="85"/>
      <c r="AC183" s="85"/>
      <c r="AD183" s="85"/>
      <c r="AE183" s="85"/>
      <c r="AF183" s="85"/>
      <c r="AG183" s="85"/>
      <c r="AH183" s="85"/>
      <c r="AI183" s="85"/>
      <c r="AJ183" s="85"/>
      <c r="AK183" s="85"/>
      <c r="AL183" s="85"/>
    </row>
    <row r="184" spans="1:38" s="80" customFormat="1" x14ac:dyDescent="0.25">
      <c r="A184" s="116"/>
      <c r="B184" s="115"/>
      <c r="C184" s="115"/>
      <c r="D184" s="115"/>
      <c r="E184" s="115"/>
      <c r="F184" s="115"/>
      <c r="H184" s="95">
        <v>179</v>
      </c>
      <c r="I184" s="96" t="str">
        <f t="shared" si="17"/>
        <v/>
      </c>
      <c r="J184" s="95" t="e">
        <f t="shared" si="18"/>
        <v>#NUM!</v>
      </c>
      <c r="K184" s="95" t="e">
        <f t="shared" si="19"/>
        <v>#NUM!</v>
      </c>
      <c r="L184" s="95"/>
      <c r="M184" s="97">
        <f t="shared" si="20"/>
        <v>0</v>
      </c>
      <c r="S184" s="85"/>
      <c r="T184" s="85"/>
      <c r="U184" s="85"/>
      <c r="V184" s="85"/>
      <c r="W184" s="85"/>
      <c r="X184" s="85"/>
      <c r="Y184" s="85"/>
      <c r="Z184" s="85"/>
      <c r="AA184" s="85"/>
      <c r="AB184" s="85"/>
      <c r="AC184" s="85"/>
      <c r="AD184" s="85"/>
      <c r="AE184" s="85"/>
      <c r="AF184" s="85"/>
      <c r="AG184" s="85"/>
      <c r="AH184" s="85"/>
      <c r="AI184" s="85"/>
      <c r="AJ184" s="85"/>
      <c r="AK184" s="85"/>
      <c r="AL184" s="85"/>
    </row>
    <row r="185" spans="1:38" s="80" customFormat="1" x14ac:dyDescent="0.25">
      <c r="A185" s="116"/>
      <c r="B185" s="115"/>
      <c r="C185" s="115"/>
      <c r="D185" s="115"/>
      <c r="E185" s="115"/>
      <c r="F185" s="115"/>
      <c r="H185" s="99">
        <v>180</v>
      </c>
      <c r="I185" s="96" t="str">
        <f t="shared" si="17"/>
        <v/>
      </c>
      <c r="J185" s="95" t="e">
        <f t="shared" si="18"/>
        <v>#NUM!</v>
      </c>
      <c r="K185" s="95" t="e">
        <f t="shared" si="19"/>
        <v>#NUM!</v>
      </c>
      <c r="L185" s="95"/>
      <c r="M185" s="97">
        <f t="shared" si="20"/>
        <v>0</v>
      </c>
      <c r="S185" s="85"/>
      <c r="T185" s="85"/>
      <c r="U185" s="85"/>
      <c r="V185" s="85"/>
      <c r="W185" s="85"/>
      <c r="X185" s="85"/>
      <c r="Y185" s="85"/>
      <c r="Z185" s="85"/>
      <c r="AA185" s="85"/>
      <c r="AB185" s="85"/>
      <c r="AC185" s="85"/>
      <c r="AD185" s="85"/>
      <c r="AE185" s="85"/>
      <c r="AF185" s="85"/>
      <c r="AG185" s="85"/>
      <c r="AH185" s="85"/>
      <c r="AI185" s="85"/>
      <c r="AJ185" s="85"/>
      <c r="AK185" s="85"/>
      <c r="AL185" s="85"/>
    </row>
    <row r="186" spans="1:38" s="80" customFormat="1" x14ac:dyDescent="0.25">
      <c r="A186" s="116"/>
      <c r="B186" s="115"/>
      <c r="C186" s="115"/>
      <c r="D186" s="115"/>
      <c r="E186" s="115"/>
      <c r="F186" s="115"/>
      <c r="H186" s="95">
        <v>181</v>
      </c>
      <c r="I186" s="96" t="str">
        <f t="shared" si="17"/>
        <v/>
      </c>
      <c r="J186" s="95" t="e">
        <f t="shared" si="18"/>
        <v>#NUM!</v>
      </c>
      <c r="K186" s="95" t="e">
        <f t="shared" si="19"/>
        <v>#NUM!</v>
      </c>
      <c r="L186" s="95"/>
      <c r="M186" s="97">
        <f t="shared" si="20"/>
        <v>0</v>
      </c>
      <c r="S186" s="85"/>
      <c r="T186" s="85"/>
      <c r="U186" s="85"/>
      <c r="V186" s="85"/>
      <c r="W186" s="85"/>
      <c r="X186" s="85"/>
      <c r="Y186" s="85"/>
      <c r="Z186" s="85"/>
      <c r="AA186" s="85"/>
      <c r="AB186" s="85"/>
      <c r="AC186" s="85"/>
      <c r="AD186" s="85"/>
      <c r="AE186" s="85"/>
      <c r="AF186" s="85"/>
      <c r="AG186" s="85"/>
      <c r="AH186" s="85"/>
      <c r="AI186" s="85"/>
      <c r="AJ186" s="85"/>
      <c r="AK186" s="85"/>
      <c r="AL186" s="85"/>
    </row>
    <row r="187" spans="1:38" s="80" customFormat="1" x14ac:dyDescent="0.25">
      <c r="A187" s="116"/>
      <c r="B187" s="115"/>
      <c r="C187" s="115"/>
      <c r="D187" s="115"/>
      <c r="E187" s="115"/>
      <c r="F187" s="115"/>
      <c r="H187" s="99">
        <v>182</v>
      </c>
      <c r="I187" s="96" t="str">
        <f t="shared" si="17"/>
        <v/>
      </c>
      <c r="J187" s="95" t="e">
        <f t="shared" si="18"/>
        <v>#NUM!</v>
      </c>
      <c r="K187" s="95" t="e">
        <f t="shared" si="19"/>
        <v>#NUM!</v>
      </c>
      <c r="L187" s="95"/>
      <c r="M187" s="97">
        <f t="shared" si="20"/>
        <v>0</v>
      </c>
      <c r="S187" s="85"/>
      <c r="T187" s="85"/>
      <c r="U187" s="85"/>
      <c r="V187" s="85"/>
      <c r="W187" s="85"/>
      <c r="X187" s="85"/>
      <c r="Y187" s="85"/>
      <c r="Z187" s="85"/>
      <c r="AA187" s="85"/>
      <c r="AB187" s="85"/>
      <c r="AC187" s="85"/>
      <c r="AD187" s="85"/>
      <c r="AE187" s="85"/>
      <c r="AF187" s="85"/>
      <c r="AG187" s="85"/>
      <c r="AH187" s="85"/>
      <c r="AI187" s="85"/>
      <c r="AJ187" s="85"/>
      <c r="AK187" s="85"/>
      <c r="AL187" s="85"/>
    </row>
    <row r="188" spans="1:38" s="80" customFormat="1" x14ac:dyDescent="0.25">
      <c r="A188" s="116"/>
      <c r="B188" s="115"/>
      <c r="C188" s="115"/>
      <c r="D188" s="115"/>
      <c r="E188" s="115"/>
      <c r="F188" s="115"/>
      <c r="H188" s="95">
        <v>183</v>
      </c>
      <c r="I188" s="96" t="str">
        <f t="shared" si="17"/>
        <v/>
      </c>
      <c r="J188" s="95" t="e">
        <f t="shared" si="18"/>
        <v>#NUM!</v>
      </c>
      <c r="K188" s="95" t="e">
        <f t="shared" si="19"/>
        <v>#NUM!</v>
      </c>
      <c r="L188" s="95"/>
      <c r="M188" s="97">
        <f t="shared" si="20"/>
        <v>0</v>
      </c>
      <c r="S188" s="85"/>
      <c r="T188" s="85"/>
      <c r="U188" s="85"/>
      <c r="V188" s="85"/>
      <c r="W188" s="85"/>
      <c r="X188" s="85"/>
      <c r="Y188" s="85"/>
      <c r="Z188" s="85"/>
      <c r="AA188" s="85"/>
      <c r="AB188" s="85"/>
      <c r="AC188" s="85"/>
      <c r="AD188" s="85"/>
      <c r="AE188" s="85"/>
      <c r="AF188" s="85"/>
      <c r="AG188" s="85"/>
      <c r="AH188" s="85"/>
      <c r="AI188" s="85"/>
      <c r="AJ188" s="85"/>
      <c r="AK188" s="85"/>
      <c r="AL188" s="85"/>
    </row>
    <row r="189" spans="1:38" s="80" customFormat="1" x14ac:dyDescent="0.25">
      <c r="A189" s="116"/>
      <c r="B189" s="115"/>
      <c r="C189" s="115"/>
      <c r="D189" s="115"/>
      <c r="E189" s="115"/>
      <c r="F189" s="115"/>
      <c r="H189" s="99">
        <v>184</v>
      </c>
      <c r="I189" s="96" t="str">
        <f t="shared" si="17"/>
        <v/>
      </c>
      <c r="J189" s="95" t="e">
        <f t="shared" si="18"/>
        <v>#NUM!</v>
      </c>
      <c r="K189" s="95" t="e">
        <f t="shared" si="19"/>
        <v>#NUM!</v>
      </c>
      <c r="L189" s="95"/>
      <c r="M189" s="97">
        <f t="shared" si="20"/>
        <v>0</v>
      </c>
      <c r="S189" s="85"/>
      <c r="T189" s="85"/>
      <c r="U189" s="85"/>
      <c r="V189" s="85"/>
      <c r="W189" s="85"/>
      <c r="X189" s="85"/>
      <c r="Y189" s="85"/>
      <c r="Z189" s="85"/>
      <c r="AA189" s="85"/>
      <c r="AB189" s="85"/>
      <c r="AC189" s="85"/>
      <c r="AD189" s="85"/>
      <c r="AE189" s="85"/>
      <c r="AF189" s="85"/>
      <c r="AG189" s="85"/>
      <c r="AH189" s="85"/>
      <c r="AI189" s="85"/>
      <c r="AJ189" s="85"/>
      <c r="AK189" s="85"/>
      <c r="AL189" s="85"/>
    </row>
    <row r="190" spans="1:38" s="80" customFormat="1" x14ac:dyDescent="0.25">
      <c r="A190" s="116"/>
      <c r="B190" s="115"/>
      <c r="C190" s="115"/>
      <c r="D190" s="115"/>
      <c r="E190" s="115"/>
      <c r="F190" s="115"/>
      <c r="H190" s="95">
        <v>185</v>
      </c>
      <c r="I190" s="96" t="str">
        <f t="shared" si="17"/>
        <v/>
      </c>
      <c r="J190" s="95" t="e">
        <f t="shared" si="18"/>
        <v>#NUM!</v>
      </c>
      <c r="K190" s="95" t="e">
        <f t="shared" si="19"/>
        <v>#NUM!</v>
      </c>
      <c r="L190" s="95"/>
      <c r="M190" s="97">
        <f t="shared" si="20"/>
        <v>0</v>
      </c>
      <c r="S190" s="85"/>
      <c r="T190" s="85"/>
      <c r="U190" s="85"/>
      <c r="V190" s="85"/>
      <c r="W190" s="85"/>
      <c r="X190" s="85"/>
      <c r="Y190" s="85"/>
      <c r="Z190" s="85"/>
      <c r="AA190" s="85"/>
      <c r="AB190" s="85"/>
      <c r="AC190" s="85"/>
      <c r="AD190" s="85"/>
      <c r="AE190" s="85"/>
      <c r="AF190" s="85"/>
      <c r="AG190" s="85"/>
      <c r="AH190" s="85"/>
      <c r="AI190" s="85"/>
      <c r="AJ190" s="85"/>
      <c r="AK190" s="85"/>
      <c r="AL190" s="85"/>
    </row>
    <row r="191" spans="1:38" s="80" customFormat="1" x14ac:dyDescent="0.25">
      <c r="A191" s="116"/>
      <c r="B191" s="115"/>
      <c r="C191" s="115"/>
      <c r="D191" s="115"/>
      <c r="E191" s="115"/>
      <c r="F191" s="115"/>
      <c r="H191" s="99">
        <v>186</v>
      </c>
      <c r="I191" s="96" t="str">
        <f t="shared" si="17"/>
        <v/>
      </c>
      <c r="J191" s="95" t="e">
        <f t="shared" si="18"/>
        <v>#NUM!</v>
      </c>
      <c r="K191" s="95" t="e">
        <f t="shared" si="19"/>
        <v>#NUM!</v>
      </c>
      <c r="L191" s="95"/>
      <c r="M191" s="97">
        <f t="shared" si="20"/>
        <v>0</v>
      </c>
      <c r="S191" s="85"/>
      <c r="T191" s="85"/>
      <c r="U191" s="85"/>
      <c r="V191" s="85"/>
      <c r="W191" s="85"/>
      <c r="X191" s="85"/>
      <c r="Y191" s="85"/>
      <c r="Z191" s="85"/>
      <c r="AA191" s="85"/>
      <c r="AB191" s="85"/>
      <c r="AC191" s="85"/>
      <c r="AD191" s="85"/>
      <c r="AE191" s="85"/>
      <c r="AF191" s="85"/>
      <c r="AG191" s="85"/>
      <c r="AH191" s="85"/>
      <c r="AI191" s="85"/>
      <c r="AJ191" s="85"/>
      <c r="AK191" s="85"/>
      <c r="AL191" s="85"/>
    </row>
    <row r="192" spans="1:38" s="80" customFormat="1" x14ac:dyDescent="0.25">
      <c r="A192" s="116"/>
      <c r="B192" s="115"/>
      <c r="C192" s="115"/>
      <c r="D192" s="115"/>
      <c r="E192" s="115"/>
      <c r="F192" s="115"/>
      <c r="H192" s="95">
        <v>187</v>
      </c>
      <c r="I192" s="96" t="str">
        <f t="shared" si="17"/>
        <v/>
      </c>
      <c r="J192" s="95" t="e">
        <f t="shared" si="18"/>
        <v>#NUM!</v>
      </c>
      <c r="K192" s="95" t="e">
        <f t="shared" si="19"/>
        <v>#NUM!</v>
      </c>
      <c r="L192" s="95"/>
      <c r="M192" s="97">
        <f t="shared" si="20"/>
        <v>0</v>
      </c>
      <c r="S192" s="85"/>
      <c r="T192" s="85"/>
      <c r="U192" s="85"/>
      <c r="V192" s="85"/>
      <c r="W192" s="85"/>
      <c r="X192" s="85"/>
      <c r="Y192" s="85"/>
      <c r="Z192" s="85"/>
      <c r="AA192" s="85"/>
      <c r="AB192" s="85"/>
      <c r="AC192" s="85"/>
      <c r="AD192" s="85"/>
      <c r="AE192" s="85"/>
      <c r="AF192" s="85"/>
      <c r="AG192" s="85"/>
      <c r="AH192" s="85"/>
      <c r="AI192" s="85"/>
      <c r="AJ192" s="85"/>
      <c r="AK192" s="85"/>
      <c r="AL192" s="85"/>
    </row>
    <row r="193" spans="1:38" s="80" customFormat="1" x14ac:dyDescent="0.25">
      <c r="A193" s="116"/>
      <c r="B193" s="115"/>
      <c r="C193" s="115"/>
      <c r="D193" s="115"/>
      <c r="E193" s="115"/>
      <c r="F193" s="115"/>
      <c r="H193" s="99">
        <v>188</v>
      </c>
      <c r="I193" s="96" t="str">
        <f t="shared" si="17"/>
        <v/>
      </c>
      <c r="J193" s="95" t="e">
        <f t="shared" si="18"/>
        <v>#NUM!</v>
      </c>
      <c r="K193" s="95" t="e">
        <f t="shared" si="19"/>
        <v>#NUM!</v>
      </c>
      <c r="L193" s="95"/>
      <c r="M193" s="97">
        <f t="shared" si="20"/>
        <v>0</v>
      </c>
      <c r="S193" s="85"/>
      <c r="T193" s="85"/>
      <c r="U193" s="85"/>
      <c r="V193" s="85"/>
      <c r="W193" s="85"/>
      <c r="X193" s="85"/>
      <c r="Y193" s="85"/>
      <c r="Z193" s="85"/>
      <c r="AA193" s="85"/>
      <c r="AB193" s="85"/>
      <c r="AC193" s="85"/>
      <c r="AD193" s="85"/>
      <c r="AE193" s="85"/>
      <c r="AF193" s="85"/>
      <c r="AG193" s="85"/>
      <c r="AH193" s="85"/>
      <c r="AI193" s="85"/>
      <c r="AJ193" s="85"/>
      <c r="AK193" s="85"/>
      <c r="AL193" s="85"/>
    </row>
    <row r="194" spans="1:38" s="80" customFormat="1" x14ac:dyDescent="0.25">
      <c r="A194" s="116"/>
      <c r="B194" s="115"/>
      <c r="C194" s="115"/>
      <c r="D194" s="115"/>
      <c r="E194" s="115"/>
      <c r="F194" s="115"/>
      <c r="H194" s="95">
        <v>189</v>
      </c>
      <c r="I194" s="96" t="str">
        <f t="shared" si="17"/>
        <v/>
      </c>
      <c r="J194" s="95" t="e">
        <f t="shared" si="18"/>
        <v>#NUM!</v>
      </c>
      <c r="K194" s="95" t="e">
        <f t="shared" si="19"/>
        <v>#NUM!</v>
      </c>
      <c r="L194" s="95"/>
      <c r="M194" s="97">
        <f t="shared" si="20"/>
        <v>0</v>
      </c>
      <c r="S194" s="85"/>
      <c r="T194" s="85"/>
      <c r="U194" s="85"/>
      <c r="V194" s="85"/>
      <c r="W194" s="85"/>
      <c r="X194" s="85"/>
      <c r="Y194" s="85"/>
      <c r="Z194" s="85"/>
      <c r="AA194" s="85"/>
      <c r="AB194" s="85"/>
      <c r="AC194" s="85"/>
      <c r="AD194" s="85"/>
      <c r="AE194" s="85"/>
      <c r="AF194" s="85"/>
      <c r="AG194" s="85"/>
      <c r="AH194" s="85"/>
      <c r="AI194" s="85"/>
      <c r="AJ194" s="85"/>
      <c r="AK194" s="85"/>
      <c r="AL194" s="85"/>
    </row>
    <row r="195" spans="1:38" s="80" customFormat="1" x14ac:dyDescent="0.25">
      <c r="A195" s="116"/>
      <c r="B195" s="115"/>
      <c r="C195" s="115"/>
      <c r="D195" s="115"/>
      <c r="E195" s="115"/>
      <c r="F195" s="115"/>
      <c r="H195" s="99">
        <v>190</v>
      </c>
      <c r="I195" s="96" t="str">
        <f t="shared" si="17"/>
        <v/>
      </c>
      <c r="J195" s="95" t="e">
        <f t="shared" si="18"/>
        <v>#NUM!</v>
      </c>
      <c r="K195" s="95" t="e">
        <f t="shared" si="19"/>
        <v>#NUM!</v>
      </c>
      <c r="L195" s="95"/>
      <c r="M195" s="97">
        <f t="shared" si="20"/>
        <v>0</v>
      </c>
      <c r="S195" s="85"/>
      <c r="T195" s="85"/>
      <c r="U195" s="85"/>
      <c r="V195" s="85"/>
      <c r="W195" s="85"/>
      <c r="X195" s="85"/>
      <c r="Y195" s="85"/>
      <c r="Z195" s="85"/>
      <c r="AA195" s="85"/>
      <c r="AB195" s="85"/>
      <c r="AC195" s="85"/>
      <c r="AD195" s="85"/>
      <c r="AE195" s="85"/>
      <c r="AF195" s="85"/>
      <c r="AG195" s="85"/>
      <c r="AH195" s="85"/>
      <c r="AI195" s="85"/>
      <c r="AJ195" s="85"/>
      <c r="AK195" s="85"/>
      <c r="AL195" s="85"/>
    </row>
    <row r="196" spans="1:38" s="80" customFormat="1" x14ac:dyDescent="0.25">
      <c r="A196" s="116"/>
      <c r="B196" s="115"/>
      <c r="C196" s="115"/>
      <c r="D196" s="115"/>
      <c r="E196" s="115"/>
      <c r="F196" s="115"/>
      <c r="H196" s="95">
        <v>191</v>
      </c>
      <c r="I196" s="96" t="str">
        <f t="shared" si="17"/>
        <v/>
      </c>
      <c r="J196" s="95" t="e">
        <f t="shared" si="18"/>
        <v>#NUM!</v>
      </c>
      <c r="K196" s="95" t="e">
        <f t="shared" si="19"/>
        <v>#NUM!</v>
      </c>
      <c r="L196" s="95"/>
      <c r="M196" s="97">
        <f t="shared" si="20"/>
        <v>0</v>
      </c>
      <c r="S196" s="85"/>
      <c r="T196" s="85"/>
      <c r="U196" s="85"/>
      <c r="V196" s="85"/>
      <c r="W196" s="85"/>
      <c r="X196" s="85"/>
      <c r="Y196" s="85"/>
      <c r="Z196" s="85"/>
      <c r="AA196" s="85"/>
      <c r="AB196" s="85"/>
      <c r="AC196" s="85"/>
      <c r="AD196" s="85"/>
      <c r="AE196" s="85"/>
      <c r="AF196" s="85"/>
      <c r="AG196" s="85"/>
      <c r="AH196" s="85"/>
      <c r="AI196" s="85"/>
      <c r="AJ196" s="85"/>
      <c r="AK196" s="85"/>
      <c r="AL196" s="85"/>
    </row>
    <row r="197" spans="1:38" s="80" customFormat="1" x14ac:dyDescent="0.25">
      <c r="A197" s="116"/>
      <c r="B197" s="115"/>
      <c r="C197" s="115"/>
      <c r="D197" s="115"/>
      <c r="E197" s="115"/>
      <c r="F197" s="115"/>
      <c r="H197" s="99">
        <v>192</v>
      </c>
      <c r="I197" s="96" t="str">
        <f t="shared" si="17"/>
        <v/>
      </c>
      <c r="J197" s="95" t="e">
        <f t="shared" si="18"/>
        <v>#NUM!</v>
      </c>
      <c r="K197" s="95" t="e">
        <f t="shared" si="19"/>
        <v>#NUM!</v>
      </c>
      <c r="L197" s="95"/>
      <c r="M197" s="97">
        <f t="shared" si="20"/>
        <v>0</v>
      </c>
      <c r="S197" s="85"/>
      <c r="T197" s="85"/>
      <c r="U197" s="85"/>
      <c r="V197" s="85"/>
      <c r="W197" s="85"/>
      <c r="X197" s="85"/>
      <c r="Y197" s="85"/>
      <c r="Z197" s="85"/>
      <c r="AA197" s="85"/>
      <c r="AB197" s="85"/>
      <c r="AC197" s="85"/>
      <c r="AD197" s="85"/>
      <c r="AE197" s="85"/>
      <c r="AF197" s="85"/>
      <c r="AG197" s="85"/>
      <c r="AH197" s="85"/>
      <c r="AI197" s="85"/>
      <c r="AJ197" s="85"/>
      <c r="AK197" s="85"/>
      <c r="AL197" s="85"/>
    </row>
    <row r="198" spans="1:38" s="80" customFormat="1" x14ac:dyDescent="0.25">
      <c r="A198" s="116"/>
      <c r="B198" s="115"/>
      <c r="C198" s="115"/>
      <c r="D198" s="115"/>
      <c r="E198" s="115"/>
      <c r="F198" s="115"/>
      <c r="H198" s="95">
        <v>193</v>
      </c>
      <c r="I198" s="96" t="str">
        <f t="shared" ref="I198:I261" si="21">IF(H198&lt;$H$2+1,($I$2-($I$2-1)*(LOG(H198)/LOG($H$2))),"")</f>
        <v/>
      </c>
      <c r="J198" s="95" t="e">
        <f t="shared" ref="J198:J261" si="22">INT(LOG($H$2,2))-ROUNDUP(LOG(H198,2),0)+IF(OR($H$2=1,$H$2=2,$H$2=4,$H$2=8,$H$2=16,$H$2=32,$H$2=64,$H$2=128,$H$2=256),0,1)</f>
        <v>#NUM!</v>
      </c>
      <c r="K198" s="95" t="e">
        <f t="shared" ref="K198:K261" si="23">J198*$J$2</f>
        <v>#NUM!</v>
      </c>
      <c r="L198" s="95"/>
      <c r="M198" s="97">
        <f t="shared" ref="M198:M261" si="24">IF(I198&lt;&gt;"",K198+I198+L198,0)</f>
        <v>0</v>
      </c>
      <c r="S198" s="85"/>
      <c r="T198" s="85"/>
      <c r="U198" s="85"/>
      <c r="V198" s="85"/>
      <c r="W198" s="85"/>
      <c r="X198" s="85"/>
      <c r="Y198" s="85"/>
      <c r="Z198" s="85"/>
      <c r="AA198" s="85"/>
      <c r="AB198" s="85"/>
      <c r="AC198" s="85"/>
      <c r="AD198" s="85"/>
      <c r="AE198" s="85"/>
      <c r="AF198" s="85"/>
      <c r="AG198" s="85"/>
      <c r="AH198" s="85"/>
      <c r="AI198" s="85"/>
      <c r="AJ198" s="85"/>
      <c r="AK198" s="85"/>
      <c r="AL198" s="85"/>
    </row>
    <row r="199" spans="1:38" s="80" customFormat="1" x14ac:dyDescent="0.25">
      <c r="A199" s="116"/>
      <c r="B199" s="115"/>
      <c r="C199" s="115"/>
      <c r="D199" s="115"/>
      <c r="E199" s="115"/>
      <c r="F199" s="115"/>
      <c r="H199" s="99">
        <v>194</v>
      </c>
      <c r="I199" s="96" t="str">
        <f t="shared" si="21"/>
        <v/>
      </c>
      <c r="J199" s="95" t="e">
        <f t="shared" si="22"/>
        <v>#NUM!</v>
      </c>
      <c r="K199" s="95" t="e">
        <f t="shared" si="23"/>
        <v>#NUM!</v>
      </c>
      <c r="L199" s="95"/>
      <c r="M199" s="97">
        <f t="shared" si="24"/>
        <v>0</v>
      </c>
      <c r="S199" s="85"/>
      <c r="T199" s="85"/>
      <c r="U199" s="85"/>
      <c r="V199" s="85"/>
      <c r="W199" s="85"/>
      <c r="X199" s="85"/>
      <c r="Y199" s="85"/>
      <c r="Z199" s="85"/>
      <c r="AA199" s="85"/>
      <c r="AB199" s="85"/>
      <c r="AC199" s="85"/>
      <c r="AD199" s="85"/>
      <c r="AE199" s="85"/>
      <c r="AF199" s="85"/>
      <c r="AG199" s="85"/>
      <c r="AH199" s="85"/>
      <c r="AI199" s="85"/>
      <c r="AJ199" s="85"/>
      <c r="AK199" s="85"/>
      <c r="AL199" s="85"/>
    </row>
    <row r="200" spans="1:38" s="80" customFormat="1" x14ac:dyDescent="0.25">
      <c r="A200" s="116"/>
      <c r="B200" s="115"/>
      <c r="C200" s="115"/>
      <c r="D200" s="115"/>
      <c r="E200" s="115"/>
      <c r="F200" s="115"/>
      <c r="H200" s="95">
        <v>195</v>
      </c>
      <c r="I200" s="96" t="str">
        <f t="shared" si="21"/>
        <v/>
      </c>
      <c r="J200" s="95" t="e">
        <f t="shared" si="22"/>
        <v>#NUM!</v>
      </c>
      <c r="K200" s="95" t="e">
        <f t="shared" si="23"/>
        <v>#NUM!</v>
      </c>
      <c r="L200" s="95"/>
      <c r="M200" s="97">
        <f t="shared" si="24"/>
        <v>0</v>
      </c>
      <c r="S200" s="85"/>
      <c r="T200" s="85"/>
      <c r="U200" s="85"/>
      <c r="V200" s="85"/>
      <c r="W200" s="85"/>
      <c r="X200" s="85"/>
      <c r="Y200" s="85"/>
      <c r="Z200" s="85"/>
      <c r="AA200" s="85"/>
      <c r="AB200" s="85"/>
      <c r="AC200" s="85"/>
      <c r="AD200" s="85"/>
      <c r="AE200" s="85"/>
      <c r="AF200" s="85"/>
      <c r="AG200" s="85"/>
      <c r="AH200" s="85"/>
      <c r="AI200" s="85"/>
      <c r="AJ200" s="85"/>
      <c r="AK200" s="85"/>
      <c r="AL200" s="85"/>
    </row>
    <row r="201" spans="1:38" s="80" customFormat="1" x14ac:dyDescent="0.25">
      <c r="A201" s="116"/>
      <c r="B201" s="115"/>
      <c r="C201" s="115"/>
      <c r="D201" s="115"/>
      <c r="E201" s="115"/>
      <c r="F201" s="115"/>
      <c r="H201" s="99">
        <v>196</v>
      </c>
      <c r="I201" s="96" t="str">
        <f t="shared" si="21"/>
        <v/>
      </c>
      <c r="J201" s="95" t="e">
        <f t="shared" si="22"/>
        <v>#NUM!</v>
      </c>
      <c r="K201" s="95" t="e">
        <f t="shared" si="23"/>
        <v>#NUM!</v>
      </c>
      <c r="L201" s="95"/>
      <c r="M201" s="97">
        <f t="shared" si="24"/>
        <v>0</v>
      </c>
      <c r="S201" s="85"/>
      <c r="T201" s="85"/>
      <c r="U201" s="85"/>
      <c r="V201" s="85"/>
      <c r="W201" s="85"/>
      <c r="X201" s="85"/>
      <c r="Y201" s="85"/>
      <c r="Z201" s="85"/>
      <c r="AA201" s="85"/>
      <c r="AB201" s="85"/>
      <c r="AC201" s="85"/>
      <c r="AD201" s="85"/>
      <c r="AE201" s="85"/>
      <c r="AF201" s="85"/>
      <c r="AG201" s="85"/>
      <c r="AH201" s="85"/>
      <c r="AI201" s="85"/>
      <c r="AJ201" s="85"/>
      <c r="AK201" s="85"/>
      <c r="AL201" s="85"/>
    </row>
    <row r="202" spans="1:38" s="80" customFormat="1" x14ac:dyDescent="0.25">
      <c r="A202" s="116"/>
      <c r="B202" s="115"/>
      <c r="C202" s="115"/>
      <c r="D202" s="115"/>
      <c r="E202" s="115"/>
      <c r="F202" s="115"/>
      <c r="H202" s="95">
        <v>197</v>
      </c>
      <c r="I202" s="96" t="str">
        <f t="shared" si="21"/>
        <v/>
      </c>
      <c r="J202" s="95" t="e">
        <f t="shared" si="22"/>
        <v>#NUM!</v>
      </c>
      <c r="K202" s="95" t="e">
        <f t="shared" si="23"/>
        <v>#NUM!</v>
      </c>
      <c r="L202" s="95"/>
      <c r="M202" s="97">
        <f t="shared" si="24"/>
        <v>0</v>
      </c>
      <c r="S202" s="85"/>
      <c r="T202" s="85"/>
      <c r="U202" s="85"/>
      <c r="V202" s="85"/>
      <c r="W202" s="85"/>
      <c r="X202" s="85"/>
      <c r="Y202" s="85"/>
      <c r="Z202" s="85"/>
      <c r="AA202" s="85"/>
      <c r="AB202" s="85"/>
      <c r="AC202" s="85"/>
      <c r="AD202" s="85"/>
      <c r="AE202" s="85"/>
      <c r="AF202" s="85"/>
      <c r="AG202" s="85"/>
      <c r="AH202" s="85"/>
      <c r="AI202" s="85"/>
      <c r="AJ202" s="85"/>
      <c r="AK202" s="85"/>
      <c r="AL202" s="85"/>
    </row>
    <row r="203" spans="1:38" s="80" customFormat="1" x14ac:dyDescent="0.25">
      <c r="A203" s="116"/>
      <c r="B203" s="115"/>
      <c r="C203" s="115"/>
      <c r="D203" s="115"/>
      <c r="E203" s="115"/>
      <c r="F203" s="115"/>
      <c r="H203" s="99">
        <v>198</v>
      </c>
      <c r="I203" s="96" t="str">
        <f t="shared" si="21"/>
        <v/>
      </c>
      <c r="J203" s="95" t="e">
        <f t="shared" si="22"/>
        <v>#NUM!</v>
      </c>
      <c r="K203" s="95" t="e">
        <f t="shared" si="23"/>
        <v>#NUM!</v>
      </c>
      <c r="L203" s="95"/>
      <c r="M203" s="97">
        <f t="shared" si="24"/>
        <v>0</v>
      </c>
      <c r="S203" s="85"/>
      <c r="T203" s="85"/>
      <c r="U203" s="85"/>
      <c r="V203" s="85"/>
      <c r="W203" s="85"/>
      <c r="X203" s="85"/>
      <c r="Y203" s="85"/>
      <c r="Z203" s="85"/>
      <c r="AA203" s="85"/>
      <c r="AB203" s="85"/>
      <c r="AC203" s="85"/>
      <c r="AD203" s="85"/>
      <c r="AE203" s="85"/>
      <c r="AF203" s="85"/>
      <c r="AG203" s="85"/>
      <c r="AH203" s="85"/>
      <c r="AI203" s="85"/>
      <c r="AJ203" s="85"/>
      <c r="AK203" s="85"/>
      <c r="AL203" s="85"/>
    </row>
    <row r="204" spans="1:38" s="80" customFormat="1" x14ac:dyDescent="0.25">
      <c r="A204" s="116"/>
      <c r="B204" s="115"/>
      <c r="C204" s="115"/>
      <c r="D204" s="115"/>
      <c r="E204" s="115"/>
      <c r="F204" s="115"/>
      <c r="H204" s="95">
        <v>199</v>
      </c>
      <c r="I204" s="96" t="str">
        <f t="shared" si="21"/>
        <v/>
      </c>
      <c r="J204" s="95" t="e">
        <f t="shared" si="22"/>
        <v>#NUM!</v>
      </c>
      <c r="K204" s="95" t="e">
        <f t="shared" si="23"/>
        <v>#NUM!</v>
      </c>
      <c r="L204" s="95"/>
      <c r="M204" s="97">
        <f t="shared" si="24"/>
        <v>0</v>
      </c>
      <c r="S204" s="85"/>
      <c r="T204" s="85"/>
      <c r="U204" s="85"/>
      <c r="V204" s="85"/>
      <c r="W204" s="85"/>
      <c r="X204" s="85"/>
      <c r="Y204" s="85"/>
      <c r="Z204" s="85"/>
      <c r="AA204" s="85"/>
      <c r="AB204" s="85"/>
      <c r="AC204" s="85"/>
      <c r="AD204" s="85"/>
      <c r="AE204" s="85"/>
      <c r="AF204" s="85"/>
      <c r="AG204" s="85"/>
      <c r="AH204" s="85"/>
      <c r="AI204" s="85"/>
      <c r="AJ204" s="85"/>
      <c r="AK204" s="85"/>
      <c r="AL204" s="85"/>
    </row>
    <row r="205" spans="1:38" s="80" customFormat="1" x14ac:dyDescent="0.25">
      <c r="A205" s="116"/>
      <c r="B205" s="115"/>
      <c r="C205" s="115"/>
      <c r="D205" s="115"/>
      <c r="E205" s="115"/>
      <c r="F205" s="115"/>
      <c r="H205" s="99">
        <v>200</v>
      </c>
      <c r="I205" s="96" t="str">
        <f t="shared" si="21"/>
        <v/>
      </c>
      <c r="J205" s="95" t="e">
        <f t="shared" si="22"/>
        <v>#NUM!</v>
      </c>
      <c r="K205" s="95" t="e">
        <f t="shared" si="23"/>
        <v>#NUM!</v>
      </c>
      <c r="L205" s="95"/>
      <c r="M205" s="97">
        <f t="shared" si="24"/>
        <v>0</v>
      </c>
      <c r="S205" s="85"/>
      <c r="T205" s="85"/>
      <c r="U205" s="85"/>
      <c r="V205" s="85"/>
      <c r="W205" s="85"/>
      <c r="X205" s="85"/>
      <c r="Y205" s="85"/>
      <c r="Z205" s="85"/>
      <c r="AA205" s="85"/>
      <c r="AB205" s="85"/>
      <c r="AC205" s="85"/>
      <c r="AD205" s="85"/>
      <c r="AE205" s="85"/>
      <c r="AF205" s="85"/>
      <c r="AG205" s="85"/>
      <c r="AH205" s="85"/>
      <c r="AI205" s="85"/>
      <c r="AJ205" s="85"/>
      <c r="AK205" s="85"/>
      <c r="AL205" s="85"/>
    </row>
    <row r="206" spans="1:38" s="80" customFormat="1" x14ac:dyDescent="0.25">
      <c r="A206" s="116"/>
      <c r="B206" s="115"/>
      <c r="C206" s="115"/>
      <c r="D206" s="115"/>
      <c r="E206" s="115"/>
      <c r="F206" s="115"/>
      <c r="H206" s="95">
        <v>201</v>
      </c>
      <c r="I206" s="96" t="str">
        <f t="shared" si="21"/>
        <v/>
      </c>
      <c r="J206" s="95" t="e">
        <f t="shared" si="22"/>
        <v>#NUM!</v>
      </c>
      <c r="K206" s="95" t="e">
        <f t="shared" si="23"/>
        <v>#NUM!</v>
      </c>
      <c r="L206" s="95"/>
      <c r="M206" s="97">
        <f t="shared" si="24"/>
        <v>0</v>
      </c>
      <c r="S206" s="85"/>
      <c r="T206" s="85"/>
      <c r="U206" s="85"/>
      <c r="V206" s="85"/>
      <c r="W206" s="85"/>
      <c r="X206" s="85"/>
      <c r="Y206" s="85"/>
      <c r="Z206" s="85"/>
      <c r="AA206" s="85"/>
      <c r="AB206" s="85"/>
      <c r="AC206" s="85"/>
      <c r="AD206" s="85"/>
      <c r="AE206" s="85"/>
      <c r="AF206" s="85"/>
      <c r="AG206" s="85"/>
      <c r="AH206" s="85"/>
      <c r="AI206" s="85"/>
      <c r="AJ206" s="85"/>
      <c r="AK206" s="85"/>
      <c r="AL206" s="85"/>
    </row>
    <row r="207" spans="1:38" s="80" customFormat="1" x14ac:dyDescent="0.25">
      <c r="A207" s="116"/>
      <c r="B207" s="115"/>
      <c r="C207" s="115"/>
      <c r="D207" s="115"/>
      <c r="E207" s="115"/>
      <c r="F207" s="115"/>
      <c r="H207" s="99">
        <v>202</v>
      </c>
      <c r="I207" s="96" t="str">
        <f t="shared" si="21"/>
        <v/>
      </c>
      <c r="J207" s="95" t="e">
        <f t="shared" si="22"/>
        <v>#NUM!</v>
      </c>
      <c r="K207" s="95" t="e">
        <f t="shared" si="23"/>
        <v>#NUM!</v>
      </c>
      <c r="L207" s="95"/>
      <c r="M207" s="97">
        <f t="shared" si="24"/>
        <v>0</v>
      </c>
      <c r="S207" s="85"/>
      <c r="T207" s="85"/>
      <c r="U207" s="85"/>
      <c r="V207" s="85"/>
      <c r="W207" s="85"/>
      <c r="X207" s="85"/>
      <c r="Y207" s="85"/>
      <c r="Z207" s="85"/>
      <c r="AA207" s="85"/>
      <c r="AB207" s="85"/>
      <c r="AC207" s="85"/>
      <c r="AD207" s="85"/>
      <c r="AE207" s="85"/>
      <c r="AF207" s="85"/>
      <c r="AG207" s="85"/>
      <c r="AH207" s="85"/>
      <c r="AI207" s="85"/>
      <c r="AJ207" s="85"/>
      <c r="AK207" s="85"/>
      <c r="AL207" s="85"/>
    </row>
    <row r="208" spans="1:38" s="80" customFormat="1" x14ac:dyDescent="0.25">
      <c r="A208" s="116"/>
      <c r="B208" s="115"/>
      <c r="C208" s="115"/>
      <c r="D208" s="115"/>
      <c r="E208" s="115"/>
      <c r="F208" s="115"/>
      <c r="H208" s="95">
        <v>203</v>
      </c>
      <c r="I208" s="96" t="str">
        <f t="shared" si="21"/>
        <v/>
      </c>
      <c r="J208" s="95" t="e">
        <f t="shared" si="22"/>
        <v>#NUM!</v>
      </c>
      <c r="K208" s="95" t="e">
        <f t="shared" si="23"/>
        <v>#NUM!</v>
      </c>
      <c r="L208" s="95"/>
      <c r="M208" s="97">
        <f t="shared" si="24"/>
        <v>0</v>
      </c>
      <c r="S208" s="85"/>
      <c r="T208" s="85"/>
      <c r="U208" s="85"/>
      <c r="V208" s="85"/>
      <c r="W208" s="85"/>
      <c r="X208" s="85"/>
      <c r="Y208" s="85"/>
      <c r="Z208" s="85"/>
      <c r="AA208" s="85"/>
      <c r="AB208" s="85"/>
      <c r="AC208" s="85"/>
      <c r="AD208" s="85"/>
      <c r="AE208" s="85"/>
      <c r="AF208" s="85"/>
      <c r="AG208" s="85"/>
      <c r="AH208" s="85"/>
      <c r="AI208" s="85"/>
      <c r="AJ208" s="85"/>
      <c r="AK208" s="85"/>
      <c r="AL208" s="85"/>
    </row>
    <row r="209" spans="1:38" s="80" customFormat="1" x14ac:dyDescent="0.25">
      <c r="A209" s="116"/>
      <c r="B209" s="115"/>
      <c r="C209" s="115"/>
      <c r="D209" s="115"/>
      <c r="E209" s="115"/>
      <c r="F209" s="115"/>
      <c r="H209" s="99">
        <v>204</v>
      </c>
      <c r="I209" s="96" t="str">
        <f t="shared" si="21"/>
        <v/>
      </c>
      <c r="J209" s="95" t="e">
        <f t="shared" si="22"/>
        <v>#NUM!</v>
      </c>
      <c r="K209" s="95" t="e">
        <f t="shared" si="23"/>
        <v>#NUM!</v>
      </c>
      <c r="L209" s="95"/>
      <c r="M209" s="97">
        <f t="shared" si="24"/>
        <v>0</v>
      </c>
      <c r="S209" s="85"/>
      <c r="T209" s="85"/>
      <c r="U209" s="85"/>
      <c r="V209" s="85"/>
      <c r="W209" s="85"/>
      <c r="X209" s="85"/>
      <c r="Y209" s="85"/>
      <c r="Z209" s="85"/>
      <c r="AA209" s="85"/>
      <c r="AB209" s="85"/>
      <c r="AC209" s="85"/>
      <c r="AD209" s="85"/>
      <c r="AE209" s="85"/>
      <c r="AF209" s="85"/>
      <c r="AG209" s="85"/>
      <c r="AH209" s="85"/>
      <c r="AI209" s="85"/>
      <c r="AJ209" s="85"/>
      <c r="AK209" s="85"/>
      <c r="AL209" s="85"/>
    </row>
    <row r="210" spans="1:38" s="80" customFormat="1" x14ac:dyDescent="0.25">
      <c r="A210" s="116"/>
      <c r="B210" s="115"/>
      <c r="C210" s="115"/>
      <c r="D210" s="115"/>
      <c r="E210" s="115"/>
      <c r="F210" s="115"/>
      <c r="H210" s="95">
        <v>205</v>
      </c>
      <c r="I210" s="96" t="str">
        <f t="shared" si="21"/>
        <v/>
      </c>
      <c r="J210" s="95" t="e">
        <f t="shared" si="22"/>
        <v>#NUM!</v>
      </c>
      <c r="K210" s="95" t="e">
        <f t="shared" si="23"/>
        <v>#NUM!</v>
      </c>
      <c r="L210" s="95"/>
      <c r="M210" s="97">
        <f t="shared" si="24"/>
        <v>0</v>
      </c>
      <c r="S210" s="85"/>
      <c r="T210" s="85"/>
      <c r="U210" s="85"/>
      <c r="V210" s="85"/>
      <c r="W210" s="85"/>
      <c r="X210" s="85"/>
      <c r="Y210" s="85"/>
      <c r="Z210" s="85"/>
      <c r="AA210" s="85"/>
      <c r="AB210" s="85"/>
      <c r="AC210" s="85"/>
      <c r="AD210" s="85"/>
      <c r="AE210" s="85"/>
      <c r="AF210" s="85"/>
      <c r="AG210" s="85"/>
      <c r="AH210" s="85"/>
      <c r="AI210" s="85"/>
      <c r="AJ210" s="85"/>
      <c r="AK210" s="85"/>
      <c r="AL210" s="85"/>
    </row>
    <row r="211" spans="1:38" s="80" customFormat="1" x14ac:dyDescent="0.25">
      <c r="A211" s="116"/>
      <c r="B211" s="115"/>
      <c r="C211" s="115"/>
      <c r="D211" s="115"/>
      <c r="E211" s="115"/>
      <c r="F211" s="115"/>
      <c r="H211" s="99">
        <v>206</v>
      </c>
      <c r="I211" s="96" t="str">
        <f t="shared" si="21"/>
        <v/>
      </c>
      <c r="J211" s="95" t="e">
        <f t="shared" si="22"/>
        <v>#NUM!</v>
      </c>
      <c r="K211" s="95" t="e">
        <f t="shared" si="23"/>
        <v>#NUM!</v>
      </c>
      <c r="L211" s="95"/>
      <c r="M211" s="97">
        <f t="shared" si="24"/>
        <v>0</v>
      </c>
      <c r="S211" s="85"/>
      <c r="T211" s="85"/>
      <c r="U211" s="85"/>
      <c r="V211" s="85"/>
      <c r="W211" s="85"/>
      <c r="X211" s="85"/>
      <c r="Y211" s="85"/>
      <c r="Z211" s="85"/>
      <c r="AA211" s="85"/>
      <c r="AB211" s="85"/>
      <c r="AC211" s="85"/>
      <c r="AD211" s="85"/>
      <c r="AE211" s="85"/>
      <c r="AF211" s="85"/>
      <c r="AG211" s="85"/>
      <c r="AH211" s="85"/>
      <c r="AI211" s="85"/>
      <c r="AJ211" s="85"/>
      <c r="AK211" s="85"/>
      <c r="AL211" s="85"/>
    </row>
    <row r="212" spans="1:38" s="80" customFormat="1" x14ac:dyDescent="0.25">
      <c r="A212" s="116"/>
      <c r="B212" s="115"/>
      <c r="C212" s="115"/>
      <c r="D212" s="115"/>
      <c r="E212" s="115"/>
      <c r="F212" s="115"/>
      <c r="H212" s="95">
        <v>207</v>
      </c>
      <c r="I212" s="96" t="str">
        <f t="shared" si="21"/>
        <v/>
      </c>
      <c r="J212" s="95" t="e">
        <f t="shared" si="22"/>
        <v>#NUM!</v>
      </c>
      <c r="K212" s="95" t="e">
        <f t="shared" si="23"/>
        <v>#NUM!</v>
      </c>
      <c r="L212" s="95"/>
      <c r="M212" s="97">
        <f t="shared" si="24"/>
        <v>0</v>
      </c>
      <c r="S212" s="85"/>
      <c r="T212" s="85"/>
      <c r="U212" s="85"/>
      <c r="V212" s="85"/>
      <c r="W212" s="85"/>
      <c r="X212" s="85"/>
      <c r="Y212" s="85"/>
      <c r="Z212" s="85"/>
      <c r="AA212" s="85"/>
      <c r="AB212" s="85"/>
      <c r="AC212" s="85"/>
      <c r="AD212" s="85"/>
      <c r="AE212" s="85"/>
      <c r="AF212" s="85"/>
      <c r="AG212" s="85"/>
      <c r="AH212" s="85"/>
      <c r="AI212" s="85"/>
      <c r="AJ212" s="85"/>
      <c r="AK212" s="85"/>
      <c r="AL212" s="85"/>
    </row>
    <row r="213" spans="1:38" s="80" customFormat="1" x14ac:dyDescent="0.25">
      <c r="A213" s="116"/>
      <c r="B213" s="115"/>
      <c r="C213" s="115"/>
      <c r="D213" s="115"/>
      <c r="E213" s="115"/>
      <c r="F213" s="115"/>
      <c r="H213" s="99">
        <v>208</v>
      </c>
      <c r="I213" s="96" t="str">
        <f t="shared" si="21"/>
        <v/>
      </c>
      <c r="J213" s="95" t="e">
        <f t="shared" si="22"/>
        <v>#NUM!</v>
      </c>
      <c r="K213" s="95" t="e">
        <f t="shared" si="23"/>
        <v>#NUM!</v>
      </c>
      <c r="L213" s="95"/>
      <c r="M213" s="97">
        <f t="shared" si="24"/>
        <v>0</v>
      </c>
      <c r="S213" s="85"/>
      <c r="T213" s="85"/>
      <c r="U213" s="85"/>
      <c r="V213" s="85"/>
      <c r="W213" s="85"/>
      <c r="X213" s="85"/>
      <c r="Y213" s="85"/>
      <c r="Z213" s="85"/>
      <c r="AA213" s="85"/>
      <c r="AB213" s="85"/>
      <c r="AC213" s="85"/>
      <c r="AD213" s="85"/>
      <c r="AE213" s="85"/>
      <c r="AF213" s="85"/>
      <c r="AG213" s="85"/>
      <c r="AH213" s="85"/>
      <c r="AI213" s="85"/>
      <c r="AJ213" s="85"/>
      <c r="AK213" s="85"/>
      <c r="AL213" s="85"/>
    </row>
    <row r="214" spans="1:38" s="80" customFormat="1" x14ac:dyDescent="0.25">
      <c r="A214" s="116"/>
      <c r="B214" s="115"/>
      <c r="C214" s="115"/>
      <c r="D214" s="115"/>
      <c r="E214" s="115"/>
      <c r="F214" s="115"/>
      <c r="H214" s="95">
        <v>209</v>
      </c>
      <c r="I214" s="96" t="str">
        <f t="shared" si="21"/>
        <v/>
      </c>
      <c r="J214" s="95" t="e">
        <f t="shared" si="22"/>
        <v>#NUM!</v>
      </c>
      <c r="K214" s="95" t="e">
        <f t="shared" si="23"/>
        <v>#NUM!</v>
      </c>
      <c r="L214" s="95"/>
      <c r="M214" s="97">
        <f t="shared" si="24"/>
        <v>0</v>
      </c>
      <c r="S214" s="85"/>
      <c r="T214" s="85"/>
      <c r="U214" s="85"/>
      <c r="V214" s="85"/>
      <c r="W214" s="85"/>
      <c r="X214" s="85"/>
      <c r="Y214" s="85"/>
      <c r="Z214" s="85"/>
      <c r="AA214" s="85"/>
      <c r="AB214" s="85"/>
      <c r="AC214" s="85"/>
      <c r="AD214" s="85"/>
      <c r="AE214" s="85"/>
      <c r="AF214" s="85"/>
      <c r="AG214" s="85"/>
      <c r="AH214" s="85"/>
      <c r="AI214" s="85"/>
      <c r="AJ214" s="85"/>
      <c r="AK214" s="85"/>
      <c r="AL214" s="85"/>
    </row>
    <row r="215" spans="1:38" s="80" customFormat="1" x14ac:dyDescent="0.25">
      <c r="A215" s="116"/>
      <c r="B215" s="115"/>
      <c r="C215" s="115"/>
      <c r="D215" s="115"/>
      <c r="E215" s="115"/>
      <c r="F215" s="115"/>
      <c r="H215" s="99">
        <v>210</v>
      </c>
      <c r="I215" s="96" t="str">
        <f t="shared" si="21"/>
        <v/>
      </c>
      <c r="J215" s="95" t="e">
        <f t="shared" si="22"/>
        <v>#NUM!</v>
      </c>
      <c r="K215" s="95" t="e">
        <f t="shared" si="23"/>
        <v>#NUM!</v>
      </c>
      <c r="L215" s="95"/>
      <c r="M215" s="97">
        <f t="shared" si="24"/>
        <v>0</v>
      </c>
      <c r="S215" s="85"/>
      <c r="T215" s="85"/>
      <c r="U215" s="85"/>
      <c r="V215" s="85"/>
      <c r="W215" s="85"/>
      <c r="X215" s="85"/>
      <c r="Y215" s="85"/>
      <c r="Z215" s="85"/>
      <c r="AA215" s="85"/>
      <c r="AB215" s="85"/>
      <c r="AC215" s="85"/>
      <c r="AD215" s="85"/>
      <c r="AE215" s="85"/>
      <c r="AF215" s="85"/>
      <c r="AG215" s="85"/>
      <c r="AH215" s="85"/>
      <c r="AI215" s="85"/>
      <c r="AJ215" s="85"/>
      <c r="AK215" s="85"/>
      <c r="AL215" s="85"/>
    </row>
    <row r="216" spans="1:38" s="80" customFormat="1" x14ac:dyDescent="0.25">
      <c r="A216" s="116"/>
      <c r="B216" s="115"/>
      <c r="C216" s="115"/>
      <c r="D216" s="115"/>
      <c r="E216" s="115"/>
      <c r="F216" s="115"/>
      <c r="H216" s="95">
        <v>211</v>
      </c>
      <c r="I216" s="96" t="str">
        <f t="shared" si="21"/>
        <v/>
      </c>
      <c r="J216" s="95" t="e">
        <f t="shared" si="22"/>
        <v>#NUM!</v>
      </c>
      <c r="K216" s="95" t="e">
        <f t="shared" si="23"/>
        <v>#NUM!</v>
      </c>
      <c r="L216" s="95"/>
      <c r="M216" s="97">
        <f t="shared" si="24"/>
        <v>0</v>
      </c>
      <c r="S216" s="85"/>
      <c r="T216" s="85"/>
      <c r="U216" s="85"/>
      <c r="V216" s="85"/>
      <c r="W216" s="85"/>
      <c r="X216" s="85"/>
      <c r="Y216" s="85"/>
      <c r="Z216" s="85"/>
      <c r="AA216" s="85"/>
      <c r="AB216" s="85"/>
      <c r="AC216" s="85"/>
      <c r="AD216" s="85"/>
      <c r="AE216" s="85"/>
      <c r="AF216" s="85"/>
      <c r="AG216" s="85"/>
      <c r="AH216" s="85"/>
      <c r="AI216" s="85"/>
      <c r="AJ216" s="85"/>
      <c r="AK216" s="85"/>
      <c r="AL216" s="85"/>
    </row>
    <row r="217" spans="1:38" s="80" customFormat="1" x14ac:dyDescent="0.25">
      <c r="A217" s="116"/>
      <c r="B217" s="115"/>
      <c r="C217" s="115"/>
      <c r="D217" s="115"/>
      <c r="E217" s="115"/>
      <c r="F217" s="115"/>
      <c r="H217" s="99">
        <v>212</v>
      </c>
      <c r="I217" s="96" t="str">
        <f t="shared" si="21"/>
        <v/>
      </c>
      <c r="J217" s="95" t="e">
        <f t="shared" si="22"/>
        <v>#NUM!</v>
      </c>
      <c r="K217" s="95" t="e">
        <f t="shared" si="23"/>
        <v>#NUM!</v>
      </c>
      <c r="L217" s="95"/>
      <c r="M217" s="97">
        <f t="shared" si="24"/>
        <v>0</v>
      </c>
      <c r="S217" s="85"/>
      <c r="T217" s="85"/>
      <c r="U217" s="85"/>
      <c r="V217" s="85"/>
      <c r="W217" s="85"/>
      <c r="X217" s="85"/>
      <c r="Y217" s="85"/>
      <c r="Z217" s="85"/>
      <c r="AA217" s="85"/>
      <c r="AB217" s="85"/>
      <c r="AC217" s="85"/>
      <c r="AD217" s="85"/>
      <c r="AE217" s="85"/>
      <c r="AF217" s="85"/>
      <c r="AG217" s="85"/>
      <c r="AH217" s="85"/>
      <c r="AI217" s="85"/>
      <c r="AJ217" s="85"/>
      <c r="AK217" s="85"/>
      <c r="AL217" s="85"/>
    </row>
    <row r="218" spans="1:38" s="80" customFormat="1" x14ac:dyDescent="0.25">
      <c r="A218" s="116"/>
      <c r="B218" s="115"/>
      <c r="C218" s="115"/>
      <c r="D218" s="115"/>
      <c r="E218" s="115"/>
      <c r="F218" s="115"/>
      <c r="H218" s="95">
        <v>213</v>
      </c>
      <c r="I218" s="96" t="str">
        <f t="shared" si="21"/>
        <v/>
      </c>
      <c r="J218" s="95" t="e">
        <f t="shared" si="22"/>
        <v>#NUM!</v>
      </c>
      <c r="K218" s="95" t="e">
        <f t="shared" si="23"/>
        <v>#NUM!</v>
      </c>
      <c r="L218" s="95"/>
      <c r="M218" s="97">
        <f t="shared" si="24"/>
        <v>0</v>
      </c>
      <c r="S218" s="85"/>
      <c r="T218" s="85"/>
      <c r="U218" s="85"/>
      <c r="V218" s="85"/>
      <c r="W218" s="85"/>
      <c r="X218" s="85"/>
      <c r="Y218" s="85"/>
      <c r="Z218" s="85"/>
      <c r="AA218" s="85"/>
      <c r="AB218" s="85"/>
      <c r="AC218" s="85"/>
      <c r="AD218" s="85"/>
      <c r="AE218" s="85"/>
      <c r="AF218" s="85"/>
      <c r="AG218" s="85"/>
      <c r="AH218" s="85"/>
      <c r="AI218" s="85"/>
      <c r="AJ218" s="85"/>
      <c r="AK218" s="85"/>
      <c r="AL218" s="85"/>
    </row>
    <row r="219" spans="1:38" s="80" customFormat="1" x14ac:dyDescent="0.25">
      <c r="A219" s="116"/>
      <c r="B219" s="115"/>
      <c r="C219" s="115"/>
      <c r="D219" s="115"/>
      <c r="E219" s="115"/>
      <c r="F219" s="115"/>
      <c r="H219" s="99">
        <v>214</v>
      </c>
      <c r="I219" s="96" t="str">
        <f t="shared" si="21"/>
        <v/>
      </c>
      <c r="J219" s="95" t="e">
        <f t="shared" si="22"/>
        <v>#NUM!</v>
      </c>
      <c r="K219" s="95" t="e">
        <f t="shared" si="23"/>
        <v>#NUM!</v>
      </c>
      <c r="L219" s="95"/>
      <c r="M219" s="97">
        <f t="shared" si="24"/>
        <v>0</v>
      </c>
      <c r="S219" s="85"/>
      <c r="T219" s="85"/>
      <c r="U219" s="85"/>
      <c r="V219" s="85"/>
      <c r="W219" s="85"/>
      <c r="X219" s="85"/>
      <c r="Y219" s="85"/>
      <c r="Z219" s="85"/>
      <c r="AA219" s="85"/>
      <c r="AB219" s="85"/>
      <c r="AC219" s="85"/>
      <c r="AD219" s="85"/>
      <c r="AE219" s="85"/>
      <c r="AF219" s="85"/>
      <c r="AG219" s="85"/>
      <c r="AH219" s="85"/>
      <c r="AI219" s="85"/>
      <c r="AJ219" s="85"/>
      <c r="AK219" s="85"/>
      <c r="AL219" s="85"/>
    </row>
    <row r="220" spans="1:38" s="80" customFormat="1" x14ac:dyDescent="0.25">
      <c r="A220" s="116"/>
      <c r="B220" s="115"/>
      <c r="C220" s="115"/>
      <c r="D220" s="115"/>
      <c r="E220" s="115"/>
      <c r="F220" s="115"/>
      <c r="H220" s="95">
        <v>215</v>
      </c>
      <c r="I220" s="96" t="str">
        <f t="shared" si="21"/>
        <v/>
      </c>
      <c r="J220" s="95" t="e">
        <f t="shared" si="22"/>
        <v>#NUM!</v>
      </c>
      <c r="K220" s="95" t="e">
        <f t="shared" si="23"/>
        <v>#NUM!</v>
      </c>
      <c r="L220" s="95"/>
      <c r="M220" s="97">
        <f t="shared" si="24"/>
        <v>0</v>
      </c>
      <c r="S220" s="85"/>
      <c r="T220" s="85"/>
      <c r="U220" s="85"/>
      <c r="V220" s="85"/>
      <c r="W220" s="85"/>
      <c r="X220" s="85"/>
      <c r="Y220" s="85"/>
      <c r="Z220" s="85"/>
      <c r="AA220" s="85"/>
      <c r="AB220" s="85"/>
      <c r="AC220" s="85"/>
      <c r="AD220" s="85"/>
      <c r="AE220" s="85"/>
      <c r="AF220" s="85"/>
      <c r="AG220" s="85"/>
      <c r="AH220" s="85"/>
      <c r="AI220" s="85"/>
      <c r="AJ220" s="85"/>
      <c r="AK220" s="85"/>
      <c r="AL220" s="85"/>
    </row>
    <row r="221" spans="1:38" s="80" customFormat="1" x14ac:dyDescent="0.25">
      <c r="A221" s="116"/>
      <c r="B221" s="115"/>
      <c r="C221" s="115"/>
      <c r="D221" s="115"/>
      <c r="E221" s="115"/>
      <c r="F221" s="115"/>
      <c r="H221" s="99">
        <v>216</v>
      </c>
      <c r="I221" s="96" t="str">
        <f t="shared" si="21"/>
        <v/>
      </c>
      <c r="J221" s="95" t="e">
        <f t="shared" si="22"/>
        <v>#NUM!</v>
      </c>
      <c r="K221" s="95" t="e">
        <f t="shared" si="23"/>
        <v>#NUM!</v>
      </c>
      <c r="L221" s="95"/>
      <c r="M221" s="97">
        <f t="shared" si="24"/>
        <v>0</v>
      </c>
      <c r="S221" s="85"/>
      <c r="T221" s="85"/>
      <c r="U221" s="85"/>
      <c r="V221" s="85"/>
      <c r="W221" s="85"/>
      <c r="X221" s="85"/>
      <c r="Y221" s="85"/>
      <c r="Z221" s="85"/>
      <c r="AA221" s="85"/>
      <c r="AB221" s="85"/>
      <c r="AC221" s="85"/>
      <c r="AD221" s="85"/>
      <c r="AE221" s="85"/>
      <c r="AF221" s="85"/>
      <c r="AG221" s="85"/>
      <c r="AH221" s="85"/>
      <c r="AI221" s="85"/>
      <c r="AJ221" s="85"/>
      <c r="AK221" s="85"/>
      <c r="AL221" s="85"/>
    </row>
    <row r="222" spans="1:38" s="80" customFormat="1" x14ac:dyDescent="0.25">
      <c r="A222" s="116"/>
      <c r="B222" s="115"/>
      <c r="C222" s="115"/>
      <c r="D222" s="115"/>
      <c r="E222" s="115"/>
      <c r="F222" s="115"/>
      <c r="H222" s="95">
        <v>217</v>
      </c>
      <c r="I222" s="96" t="str">
        <f t="shared" si="21"/>
        <v/>
      </c>
      <c r="J222" s="95" t="e">
        <f t="shared" si="22"/>
        <v>#NUM!</v>
      </c>
      <c r="K222" s="95" t="e">
        <f t="shared" si="23"/>
        <v>#NUM!</v>
      </c>
      <c r="L222" s="95"/>
      <c r="M222" s="97">
        <f t="shared" si="24"/>
        <v>0</v>
      </c>
      <c r="S222" s="85"/>
      <c r="T222" s="85"/>
      <c r="U222" s="85"/>
      <c r="V222" s="85"/>
      <c r="W222" s="85"/>
      <c r="X222" s="85"/>
      <c r="Y222" s="85"/>
      <c r="Z222" s="85"/>
      <c r="AA222" s="85"/>
      <c r="AB222" s="85"/>
      <c r="AC222" s="85"/>
      <c r="AD222" s="85"/>
      <c r="AE222" s="85"/>
      <c r="AF222" s="85"/>
      <c r="AG222" s="85"/>
      <c r="AH222" s="85"/>
      <c r="AI222" s="85"/>
      <c r="AJ222" s="85"/>
      <c r="AK222" s="85"/>
      <c r="AL222" s="85"/>
    </row>
    <row r="223" spans="1:38" s="80" customFormat="1" x14ac:dyDescent="0.25">
      <c r="A223" s="116"/>
      <c r="B223" s="115"/>
      <c r="C223" s="115"/>
      <c r="D223" s="115"/>
      <c r="E223" s="115"/>
      <c r="F223" s="115"/>
      <c r="H223" s="99">
        <v>218</v>
      </c>
      <c r="I223" s="96" t="str">
        <f t="shared" si="21"/>
        <v/>
      </c>
      <c r="J223" s="95" t="e">
        <f t="shared" si="22"/>
        <v>#NUM!</v>
      </c>
      <c r="K223" s="95" t="e">
        <f t="shared" si="23"/>
        <v>#NUM!</v>
      </c>
      <c r="L223" s="95"/>
      <c r="M223" s="97">
        <f t="shared" si="24"/>
        <v>0</v>
      </c>
      <c r="S223" s="85"/>
      <c r="T223" s="85"/>
      <c r="U223" s="85"/>
      <c r="V223" s="85"/>
      <c r="W223" s="85"/>
      <c r="X223" s="85"/>
      <c r="Y223" s="85"/>
      <c r="Z223" s="85"/>
      <c r="AA223" s="85"/>
      <c r="AB223" s="85"/>
      <c r="AC223" s="85"/>
      <c r="AD223" s="85"/>
      <c r="AE223" s="85"/>
      <c r="AF223" s="85"/>
      <c r="AG223" s="85"/>
      <c r="AH223" s="85"/>
      <c r="AI223" s="85"/>
      <c r="AJ223" s="85"/>
      <c r="AK223" s="85"/>
      <c r="AL223" s="85"/>
    </row>
    <row r="224" spans="1:38" s="80" customFormat="1" x14ac:dyDescent="0.25">
      <c r="A224" s="116"/>
      <c r="B224" s="115"/>
      <c r="C224" s="115"/>
      <c r="D224" s="115"/>
      <c r="E224" s="115"/>
      <c r="F224" s="115"/>
      <c r="H224" s="95">
        <v>219</v>
      </c>
      <c r="I224" s="96" t="str">
        <f t="shared" si="21"/>
        <v/>
      </c>
      <c r="J224" s="95" t="e">
        <f t="shared" si="22"/>
        <v>#NUM!</v>
      </c>
      <c r="K224" s="95" t="e">
        <f t="shared" si="23"/>
        <v>#NUM!</v>
      </c>
      <c r="L224" s="95"/>
      <c r="M224" s="97">
        <f t="shared" si="24"/>
        <v>0</v>
      </c>
      <c r="S224" s="85"/>
      <c r="T224" s="85"/>
      <c r="U224" s="85"/>
      <c r="V224" s="85"/>
      <c r="W224" s="85"/>
      <c r="X224" s="85"/>
      <c r="Y224" s="85"/>
      <c r="Z224" s="85"/>
      <c r="AA224" s="85"/>
      <c r="AB224" s="85"/>
      <c r="AC224" s="85"/>
      <c r="AD224" s="85"/>
      <c r="AE224" s="85"/>
      <c r="AF224" s="85"/>
      <c r="AG224" s="85"/>
      <c r="AH224" s="85"/>
      <c r="AI224" s="85"/>
      <c r="AJ224" s="85"/>
      <c r="AK224" s="85"/>
      <c r="AL224" s="85"/>
    </row>
    <row r="225" spans="1:38" s="80" customFormat="1" x14ac:dyDescent="0.25">
      <c r="A225" s="116"/>
      <c r="B225" s="115"/>
      <c r="C225" s="115"/>
      <c r="D225" s="115"/>
      <c r="E225" s="115"/>
      <c r="F225" s="115"/>
      <c r="H225" s="99">
        <v>220</v>
      </c>
      <c r="I225" s="96" t="str">
        <f t="shared" si="21"/>
        <v/>
      </c>
      <c r="J225" s="95" t="e">
        <f t="shared" si="22"/>
        <v>#NUM!</v>
      </c>
      <c r="K225" s="95" t="e">
        <f t="shared" si="23"/>
        <v>#NUM!</v>
      </c>
      <c r="L225" s="95"/>
      <c r="M225" s="97">
        <f t="shared" si="24"/>
        <v>0</v>
      </c>
      <c r="S225" s="85"/>
      <c r="T225" s="85"/>
      <c r="U225" s="85"/>
      <c r="V225" s="85"/>
      <c r="W225" s="85"/>
      <c r="X225" s="85"/>
      <c r="Y225" s="85"/>
      <c r="Z225" s="85"/>
      <c r="AA225" s="85"/>
      <c r="AB225" s="85"/>
      <c r="AC225" s="85"/>
      <c r="AD225" s="85"/>
      <c r="AE225" s="85"/>
      <c r="AF225" s="85"/>
      <c r="AG225" s="85"/>
      <c r="AH225" s="85"/>
      <c r="AI225" s="85"/>
      <c r="AJ225" s="85"/>
      <c r="AK225" s="85"/>
      <c r="AL225" s="85"/>
    </row>
    <row r="226" spans="1:38" s="80" customFormat="1" x14ac:dyDescent="0.25">
      <c r="A226" s="116"/>
      <c r="B226" s="115"/>
      <c r="C226" s="115"/>
      <c r="D226" s="115"/>
      <c r="E226" s="115"/>
      <c r="F226" s="115"/>
      <c r="H226" s="95">
        <v>221</v>
      </c>
      <c r="I226" s="96" t="str">
        <f t="shared" si="21"/>
        <v/>
      </c>
      <c r="J226" s="95" t="e">
        <f t="shared" si="22"/>
        <v>#NUM!</v>
      </c>
      <c r="K226" s="95" t="e">
        <f t="shared" si="23"/>
        <v>#NUM!</v>
      </c>
      <c r="L226" s="95"/>
      <c r="M226" s="97">
        <f t="shared" si="24"/>
        <v>0</v>
      </c>
      <c r="S226" s="85"/>
      <c r="T226" s="85"/>
      <c r="U226" s="85"/>
      <c r="V226" s="85"/>
      <c r="W226" s="85"/>
      <c r="X226" s="85"/>
      <c r="Y226" s="85"/>
      <c r="Z226" s="85"/>
      <c r="AA226" s="85"/>
      <c r="AB226" s="85"/>
      <c r="AC226" s="85"/>
      <c r="AD226" s="85"/>
      <c r="AE226" s="85"/>
      <c r="AF226" s="85"/>
      <c r="AG226" s="85"/>
      <c r="AH226" s="85"/>
      <c r="AI226" s="85"/>
      <c r="AJ226" s="85"/>
      <c r="AK226" s="85"/>
      <c r="AL226" s="85"/>
    </row>
    <row r="227" spans="1:38" s="80" customFormat="1" x14ac:dyDescent="0.25">
      <c r="A227" s="116"/>
      <c r="B227" s="115"/>
      <c r="C227" s="115"/>
      <c r="D227" s="115"/>
      <c r="E227" s="115"/>
      <c r="F227" s="115"/>
      <c r="H227" s="99">
        <v>222</v>
      </c>
      <c r="I227" s="96" t="str">
        <f t="shared" si="21"/>
        <v/>
      </c>
      <c r="J227" s="95" t="e">
        <f t="shared" si="22"/>
        <v>#NUM!</v>
      </c>
      <c r="K227" s="95" t="e">
        <f t="shared" si="23"/>
        <v>#NUM!</v>
      </c>
      <c r="L227" s="95"/>
      <c r="M227" s="97">
        <f t="shared" si="24"/>
        <v>0</v>
      </c>
      <c r="S227" s="85"/>
      <c r="T227" s="85"/>
      <c r="U227" s="85"/>
      <c r="V227" s="85"/>
      <c r="W227" s="85"/>
      <c r="X227" s="85"/>
      <c r="Y227" s="85"/>
      <c r="Z227" s="85"/>
      <c r="AA227" s="85"/>
      <c r="AB227" s="85"/>
      <c r="AC227" s="85"/>
      <c r="AD227" s="85"/>
      <c r="AE227" s="85"/>
      <c r="AF227" s="85"/>
      <c r="AG227" s="85"/>
      <c r="AH227" s="85"/>
      <c r="AI227" s="85"/>
      <c r="AJ227" s="85"/>
      <c r="AK227" s="85"/>
      <c r="AL227" s="85"/>
    </row>
    <row r="228" spans="1:38" s="80" customFormat="1" x14ac:dyDescent="0.25">
      <c r="A228" s="116"/>
      <c r="B228" s="115"/>
      <c r="C228" s="115"/>
      <c r="D228" s="115"/>
      <c r="E228" s="115"/>
      <c r="F228" s="115"/>
      <c r="H228" s="95">
        <v>223</v>
      </c>
      <c r="I228" s="96" t="str">
        <f t="shared" si="21"/>
        <v/>
      </c>
      <c r="J228" s="95" t="e">
        <f t="shared" si="22"/>
        <v>#NUM!</v>
      </c>
      <c r="K228" s="95" t="e">
        <f t="shared" si="23"/>
        <v>#NUM!</v>
      </c>
      <c r="L228" s="95"/>
      <c r="M228" s="97">
        <f t="shared" si="24"/>
        <v>0</v>
      </c>
      <c r="S228" s="85"/>
      <c r="T228" s="85"/>
      <c r="U228" s="85"/>
      <c r="V228" s="85"/>
      <c r="W228" s="85"/>
      <c r="X228" s="85"/>
      <c r="Y228" s="85"/>
      <c r="Z228" s="85"/>
      <c r="AA228" s="85"/>
      <c r="AB228" s="85"/>
      <c r="AC228" s="85"/>
      <c r="AD228" s="85"/>
      <c r="AE228" s="85"/>
      <c r="AF228" s="85"/>
      <c r="AG228" s="85"/>
      <c r="AH228" s="85"/>
      <c r="AI228" s="85"/>
      <c r="AJ228" s="85"/>
      <c r="AK228" s="85"/>
      <c r="AL228" s="85"/>
    </row>
    <row r="229" spans="1:38" s="80" customFormat="1" x14ac:dyDescent="0.25">
      <c r="A229" s="116"/>
      <c r="B229" s="115"/>
      <c r="C229" s="115"/>
      <c r="D229" s="115"/>
      <c r="E229" s="115"/>
      <c r="F229" s="115"/>
      <c r="H229" s="99">
        <v>224</v>
      </c>
      <c r="I229" s="96" t="str">
        <f t="shared" si="21"/>
        <v/>
      </c>
      <c r="J229" s="95" t="e">
        <f t="shared" si="22"/>
        <v>#NUM!</v>
      </c>
      <c r="K229" s="95" t="e">
        <f t="shared" si="23"/>
        <v>#NUM!</v>
      </c>
      <c r="L229" s="95"/>
      <c r="M229" s="97">
        <f t="shared" si="24"/>
        <v>0</v>
      </c>
      <c r="S229" s="85"/>
      <c r="T229" s="85"/>
      <c r="U229" s="85"/>
      <c r="V229" s="85"/>
      <c r="W229" s="85"/>
      <c r="X229" s="85"/>
      <c r="Y229" s="85"/>
      <c r="Z229" s="85"/>
      <c r="AA229" s="85"/>
      <c r="AB229" s="85"/>
      <c r="AC229" s="85"/>
      <c r="AD229" s="85"/>
      <c r="AE229" s="85"/>
      <c r="AF229" s="85"/>
      <c r="AG229" s="85"/>
      <c r="AH229" s="85"/>
      <c r="AI229" s="85"/>
      <c r="AJ229" s="85"/>
      <c r="AK229" s="85"/>
      <c r="AL229" s="85"/>
    </row>
    <row r="230" spans="1:38" s="80" customFormat="1" x14ac:dyDescent="0.25">
      <c r="A230" s="116"/>
      <c r="B230" s="115"/>
      <c r="C230" s="115"/>
      <c r="D230" s="115"/>
      <c r="E230" s="115"/>
      <c r="F230" s="115"/>
      <c r="H230" s="95">
        <v>225</v>
      </c>
      <c r="I230" s="96" t="str">
        <f t="shared" si="21"/>
        <v/>
      </c>
      <c r="J230" s="95" t="e">
        <f t="shared" si="22"/>
        <v>#NUM!</v>
      </c>
      <c r="K230" s="95" t="e">
        <f t="shared" si="23"/>
        <v>#NUM!</v>
      </c>
      <c r="L230" s="95"/>
      <c r="M230" s="97">
        <f t="shared" si="24"/>
        <v>0</v>
      </c>
      <c r="S230" s="85"/>
      <c r="T230" s="85"/>
      <c r="U230" s="85"/>
      <c r="V230" s="85"/>
      <c r="W230" s="85"/>
      <c r="X230" s="85"/>
      <c r="Y230" s="85"/>
      <c r="Z230" s="85"/>
      <c r="AA230" s="85"/>
      <c r="AB230" s="85"/>
      <c r="AC230" s="85"/>
      <c r="AD230" s="85"/>
      <c r="AE230" s="85"/>
      <c r="AF230" s="85"/>
      <c r="AG230" s="85"/>
      <c r="AH230" s="85"/>
      <c r="AI230" s="85"/>
      <c r="AJ230" s="85"/>
      <c r="AK230" s="85"/>
      <c r="AL230" s="85"/>
    </row>
    <row r="231" spans="1:38" s="80" customFormat="1" x14ac:dyDescent="0.25">
      <c r="A231" s="116"/>
      <c r="B231" s="115"/>
      <c r="C231" s="115"/>
      <c r="D231" s="115"/>
      <c r="E231" s="115"/>
      <c r="F231" s="115"/>
      <c r="H231" s="99">
        <v>226</v>
      </c>
      <c r="I231" s="96" t="str">
        <f t="shared" si="21"/>
        <v/>
      </c>
      <c r="J231" s="95" t="e">
        <f t="shared" si="22"/>
        <v>#NUM!</v>
      </c>
      <c r="K231" s="95" t="e">
        <f t="shared" si="23"/>
        <v>#NUM!</v>
      </c>
      <c r="L231" s="95"/>
      <c r="M231" s="97">
        <f t="shared" si="24"/>
        <v>0</v>
      </c>
      <c r="S231" s="85"/>
      <c r="T231" s="85"/>
      <c r="U231" s="85"/>
      <c r="V231" s="85"/>
      <c r="W231" s="85"/>
      <c r="X231" s="85"/>
      <c r="Y231" s="85"/>
      <c r="Z231" s="85"/>
      <c r="AA231" s="85"/>
      <c r="AB231" s="85"/>
      <c r="AC231" s="85"/>
      <c r="AD231" s="85"/>
      <c r="AE231" s="85"/>
      <c r="AF231" s="85"/>
      <c r="AG231" s="85"/>
      <c r="AH231" s="85"/>
      <c r="AI231" s="85"/>
      <c r="AJ231" s="85"/>
      <c r="AK231" s="85"/>
      <c r="AL231" s="85"/>
    </row>
    <row r="232" spans="1:38" s="80" customFormat="1" x14ac:dyDescent="0.25">
      <c r="A232" s="116"/>
      <c r="B232" s="115"/>
      <c r="C232" s="115"/>
      <c r="D232" s="115"/>
      <c r="E232" s="115"/>
      <c r="F232" s="115"/>
      <c r="H232" s="95">
        <v>227</v>
      </c>
      <c r="I232" s="96" t="str">
        <f t="shared" si="21"/>
        <v/>
      </c>
      <c r="J232" s="95" t="e">
        <f t="shared" si="22"/>
        <v>#NUM!</v>
      </c>
      <c r="K232" s="95" t="e">
        <f t="shared" si="23"/>
        <v>#NUM!</v>
      </c>
      <c r="L232" s="95"/>
      <c r="M232" s="97">
        <f t="shared" si="24"/>
        <v>0</v>
      </c>
      <c r="S232" s="85"/>
      <c r="T232" s="85"/>
      <c r="U232" s="85"/>
      <c r="V232" s="85"/>
      <c r="W232" s="85"/>
      <c r="X232" s="85"/>
      <c r="Y232" s="85"/>
      <c r="Z232" s="85"/>
      <c r="AA232" s="85"/>
      <c r="AB232" s="85"/>
      <c r="AC232" s="85"/>
      <c r="AD232" s="85"/>
      <c r="AE232" s="85"/>
      <c r="AF232" s="85"/>
      <c r="AG232" s="85"/>
      <c r="AH232" s="85"/>
      <c r="AI232" s="85"/>
      <c r="AJ232" s="85"/>
      <c r="AK232" s="85"/>
      <c r="AL232" s="85"/>
    </row>
    <row r="233" spans="1:38" s="80" customFormat="1" x14ac:dyDescent="0.25">
      <c r="A233" s="116"/>
      <c r="B233" s="115"/>
      <c r="C233" s="115"/>
      <c r="D233" s="115"/>
      <c r="E233" s="115"/>
      <c r="F233" s="115"/>
      <c r="H233" s="99">
        <v>228</v>
      </c>
      <c r="I233" s="96" t="str">
        <f t="shared" si="21"/>
        <v/>
      </c>
      <c r="J233" s="95" t="e">
        <f t="shared" si="22"/>
        <v>#NUM!</v>
      </c>
      <c r="K233" s="95" t="e">
        <f t="shared" si="23"/>
        <v>#NUM!</v>
      </c>
      <c r="L233" s="95"/>
      <c r="M233" s="97">
        <f t="shared" si="24"/>
        <v>0</v>
      </c>
      <c r="S233" s="85"/>
      <c r="T233" s="85"/>
      <c r="U233" s="85"/>
      <c r="V233" s="85"/>
      <c r="W233" s="85"/>
      <c r="X233" s="85"/>
      <c r="Y233" s="85"/>
      <c r="Z233" s="85"/>
      <c r="AA233" s="85"/>
      <c r="AB233" s="85"/>
      <c r="AC233" s="85"/>
      <c r="AD233" s="85"/>
      <c r="AE233" s="85"/>
      <c r="AF233" s="85"/>
      <c r="AG233" s="85"/>
      <c r="AH233" s="85"/>
      <c r="AI233" s="85"/>
      <c r="AJ233" s="85"/>
      <c r="AK233" s="85"/>
      <c r="AL233" s="85"/>
    </row>
    <row r="234" spans="1:38" s="80" customFormat="1" x14ac:dyDescent="0.25">
      <c r="A234" s="116"/>
      <c r="B234" s="115"/>
      <c r="C234" s="115"/>
      <c r="D234" s="115"/>
      <c r="E234" s="115"/>
      <c r="F234" s="115"/>
      <c r="H234" s="95">
        <v>229</v>
      </c>
      <c r="I234" s="96" t="str">
        <f t="shared" si="21"/>
        <v/>
      </c>
      <c r="J234" s="95" t="e">
        <f t="shared" si="22"/>
        <v>#NUM!</v>
      </c>
      <c r="K234" s="95" t="e">
        <f t="shared" si="23"/>
        <v>#NUM!</v>
      </c>
      <c r="L234" s="95"/>
      <c r="M234" s="97">
        <f t="shared" si="24"/>
        <v>0</v>
      </c>
      <c r="S234" s="85"/>
      <c r="T234" s="85"/>
      <c r="U234" s="85"/>
      <c r="V234" s="85"/>
      <c r="W234" s="85"/>
      <c r="X234" s="85"/>
      <c r="Y234" s="85"/>
      <c r="Z234" s="85"/>
      <c r="AA234" s="85"/>
      <c r="AB234" s="85"/>
      <c r="AC234" s="85"/>
      <c r="AD234" s="85"/>
      <c r="AE234" s="85"/>
      <c r="AF234" s="85"/>
      <c r="AG234" s="85"/>
      <c r="AH234" s="85"/>
      <c r="AI234" s="85"/>
      <c r="AJ234" s="85"/>
      <c r="AK234" s="85"/>
      <c r="AL234" s="85"/>
    </row>
    <row r="235" spans="1:38" s="80" customFormat="1" x14ac:dyDescent="0.25">
      <c r="A235" s="116"/>
      <c r="B235" s="115"/>
      <c r="C235" s="115"/>
      <c r="D235" s="115"/>
      <c r="E235" s="115"/>
      <c r="F235" s="115"/>
      <c r="H235" s="99">
        <v>230</v>
      </c>
      <c r="I235" s="96" t="str">
        <f t="shared" si="21"/>
        <v/>
      </c>
      <c r="J235" s="95" t="e">
        <f t="shared" si="22"/>
        <v>#NUM!</v>
      </c>
      <c r="K235" s="95" t="e">
        <f t="shared" si="23"/>
        <v>#NUM!</v>
      </c>
      <c r="L235" s="95"/>
      <c r="M235" s="97">
        <f t="shared" si="24"/>
        <v>0</v>
      </c>
      <c r="S235" s="85"/>
      <c r="T235" s="85"/>
      <c r="U235" s="85"/>
      <c r="V235" s="85"/>
      <c r="W235" s="85"/>
      <c r="X235" s="85"/>
      <c r="Y235" s="85"/>
      <c r="Z235" s="85"/>
      <c r="AA235" s="85"/>
      <c r="AB235" s="85"/>
      <c r="AC235" s="85"/>
      <c r="AD235" s="85"/>
      <c r="AE235" s="85"/>
      <c r="AF235" s="85"/>
      <c r="AG235" s="85"/>
      <c r="AH235" s="85"/>
      <c r="AI235" s="85"/>
      <c r="AJ235" s="85"/>
      <c r="AK235" s="85"/>
      <c r="AL235" s="85"/>
    </row>
    <row r="236" spans="1:38" s="80" customFormat="1" x14ac:dyDescent="0.25">
      <c r="A236" s="116"/>
      <c r="B236" s="115"/>
      <c r="C236" s="115"/>
      <c r="D236" s="115"/>
      <c r="E236" s="115"/>
      <c r="F236" s="115"/>
      <c r="H236" s="95">
        <v>231</v>
      </c>
      <c r="I236" s="96" t="str">
        <f t="shared" si="21"/>
        <v/>
      </c>
      <c r="J236" s="95" t="e">
        <f t="shared" si="22"/>
        <v>#NUM!</v>
      </c>
      <c r="K236" s="95" t="e">
        <f t="shared" si="23"/>
        <v>#NUM!</v>
      </c>
      <c r="L236" s="95"/>
      <c r="M236" s="97">
        <f t="shared" si="24"/>
        <v>0</v>
      </c>
      <c r="S236" s="85"/>
      <c r="T236" s="85"/>
      <c r="U236" s="85"/>
      <c r="V236" s="85"/>
      <c r="W236" s="85"/>
      <c r="X236" s="85"/>
      <c r="Y236" s="85"/>
      <c r="Z236" s="85"/>
      <c r="AA236" s="85"/>
      <c r="AB236" s="85"/>
      <c r="AC236" s="85"/>
      <c r="AD236" s="85"/>
      <c r="AE236" s="85"/>
      <c r="AF236" s="85"/>
      <c r="AG236" s="85"/>
      <c r="AH236" s="85"/>
      <c r="AI236" s="85"/>
      <c r="AJ236" s="85"/>
      <c r="AK236" s="85"/>
      <c r="AL236" s="85"/>
    </row>
    <row r="237" spans="1:38" s="80" customFormat="1" x14ac:dyDescent="0.25">
      <c r="A237" s="116"/>
      <c r="B237" s="115"/>
      <c r="C237" s="115"/>
      <c r="D237" s="115"/>
      <c r="E237" s="115"/>
      <c r="F237" s="115"/>
      <c r="H237" s="99">
        <v>232</v>
      </c>
      <c r="I237" s="96" t="str">
        <f t="shared" si="21"/>
        <v/>
      </c>
      <c r="J237" s="95" t="e">
        <f t="shared" si="22"/>
        <v>#NUM!</v>
      </c>
      <c r="K237" s="95" t="e">
        <f t="shared" si="23"/>
        <v>#NUM!</v>
      </c>
      <c r="L237" s="95"/>
      <c r="M237" s="97">
        <f t="shared" si="24"/>
        <v>0</v>
      </c>
      <c r="S237" s="85"/>
      <c r="T237" s="85"/>
      <c r="U237" s="85"/>
      <c r="V237" s="85"/>
      <c r="W237" s="85"/>
      <c r="X237" s="85"/>
      <c r="Y237" s="85"/>
      <c r="Z237" s="85"/>
      <c r="AA237" s="85"/>
      <c r="AB237" s="85"/>
      <c r="AC237" s="85"/>
      <c r="AD237" s="85"/>
      <c r="AE237" s="85"/>
      <c r="AF237" s="85"/>
      <c r="AG237" s="85"/>
      <c r="AH237" s="85"/>
      <c r="AI237" s="85"/>
      <c r="AJ237" s="85"/>
      <c r="AK237" s="85"/>
      <c r="AL237" s="85"/>
    </row>
    <row r="238" spans="1:38" s="80" customFormat="1" x14ac:dyDescent="0.25">
      <c r="A238" s="116"/>
      <c r="B238" s="115"/>
      <c r="C238" s="115"/>
      <c r="D238" s="115"/>
      <c r="E238" s="115"/>
      <c r="F238" s="115"/>
      <c r="H238" s="95">
        <v>233</v>
      </c>
      <c r="I238" s="96" t="str">
        <f t="shared" si="21"/>
        <v/>
      </c>
      <c r="J238" s="95" t="e">
        <f t="shared" si="22"/>
        <v>#NUM!</v>
      </c>
      <c r="K238" s="95" t="e">
        <f t="shared" si="23"/>
        <v>#NUM!</v>
      </c>
      <c r="L238" s="95"/>
      <c r="M238" s="97">
        <f t="shared" si="24"/>
        <v>0</v>
      </c>
      <c r="S238" s="85"/>
      <c r="T238" s="85"/>
      <c r="U238" s="85"/>
      <c r="V238" s="85"/>
      <c r="W238" s="85"/>
      <c r="X238" s="85"/>
      <c r="Y238" s="85"/>
      <c r="Z238" s="85"/>
      <c r="AA238" s="85"/>
      <c r="AB238" s="85"/>
      <c r="AC238" s="85"/>
      <c r="AD238" s="85"/>
      <c r="AE238" s="85"/>
      <c r="AF238" s="85"/>
      <c r="AG238" s="85"/>
      <c r="AH238" s="85"/>
      <c r="AI238" s="85"/>
      <c r="AJ238" s="85"/>
      <c r="AK238" s="85"/>
      <c r="AL238" s="85"/>
    </row>
    <row r="239" spans="1:38" s="80" customFormat="1" x14ac:dyDescent="0.25">
      <c r="A239" s="116"/>
      <c r="B239" s="115"/>
      <c r="C239" s="115"/>
      <c r="D239" s="115"/>
      <c r="E239" s="115"/>
      <c r="F239" s="115"/>
      <c r="H239" s="99">
        <v>234</v>
      </c>
      <c r="I239" s="96" t="str">
        <f t="shared" si="21"/>
        <v/>
      </c>
      <c r="J239" s="95" t="e">
        <f t="shared" si="22"/>
        <v>#NUM!</v>
      </c>
      <c r="K239" s="95" t="e">
        <f t="shared" si="23"/>
        <v>#NUM!</v>
      </c>
      <c r="L239" s="95"/>
      <c r="M239" s="97">
        <f t="shared" si="24"/>
        <v>0</v>
      </c>
      <c r="S239" s="85"/>
      <c r="T239" s="85"/>
      <c r="U239" s="85"/>
      <c r="V239" s="85"/>
      <c r="W239" s="85"/>
      <c r="X239" s="85"/>
      <c r="Y239" s="85"/>
      <c r="Z239" s="85"/>
      <c r="AA239" s="85"/>
      <c r="AB239" s="85"/>
      <c r="AC239" s="85"/>
      <c r="AD239" s="85"/>
      <c r="AE239" s="85"/>
      <c r="AF239" s="85"/>
      <c r="AG239" s="85"/>
      <c r="AH239" s="85"/>
      <c r="AI239" s="85"/>
      <c r="AJ239" s="85"/>
      <c r="AK239" s="85"/>
      <c r="AL239" s="85"/>
    </row>
    <row r="240" spans="1:38" s="80" customFormat="1" x14ac:dyDescent="0.25">
      <c r="A240" s="116"/>
      <c r="B240" s="115"/>
      <c r="C240" s="115"/>
      <c r="D240" s="115"/>
      <c r="E240" s="115"/>
      <c r="F240" s="115"/>
      <c r="H240" s="95">
        <v>235</v>
      </c>
      <c r="I240" s="96" t="str">
        <f t="shared" si="21"/>
        <v/>
      </c>
      <c r="J240" s="95" t="e">
        <f t="shared" si="22"/>
        <v>#NUM!</v>
      </c>
      <c r="K240" s="95" t="e">
        <f t="shared" si="23"/>
        <v>#NUM!</v>
      </c>
      <c r="L240" s="95"/>
      <c r="M240" s="97">
        <f t="shared" si="24"/>
        <v>0</v>
      </c>
      <c r="S240" s="85"/>
      <c r="T240" s="85"/>
      <c r="U240" s="85"/>
      <c r="V240" s="85"/>
      <c r="W240" s="85"/>
      <c r="X240" s="85"/>
      <c r="Y240" s="85"/>
      <c r="Z240" s="85"/>
      <c r="AA240" s="85"/>
      <c r="AB240" s="85"/>
      <c r="AC240" s="85"/>
      <c r="AD240" s="85"/>
      <c r="AE240" s="85"/>
      <c r="AF240" s="85"/>
      <c r="AG240" s="85"/>
      <c r="AH240" s="85"/>
      <c r="AI240" s="85"/>
      <c r="AJ240" s="85"/>
      <c r="AK240" s="85"/>
      <c r="AL240" s="85"/>
    </row>
    <row r="241" spans="1:38" s="80" customFormat="1" x14ac:dyDescent="0.25">
      <c r="A241" s="116"/>
      <c r="B241" s="115"/>
      <c r="C241" s="115"/>
      <c r="D241" s="115"/>
      <c r="E241" s="115"/>
      <c r="F241" s="115"/>
      <c r="H241" s="99">
        <v>236</v>
      </c>
      <c r="I241" s="96" t="str">
        <f t="shared" si="21"/>
        <v/>
      </c>
      <c r="J241" s="95" t="e">
        <f t="shared" si="22"/>
        <v>#NUM!</v>
      </c>
      <c r="K241" s="95" t="e">
        <f t="shared" si="23"/>
        <v>#NUM!</v>
      </c>
      <c r="L241" s="95"/>
      <c r="M241" s="97">
        <f t="shared" si="24"/>
        <v>0</v>
      </c>
      <c r="S241" s="85"/>
      <c r="T241" s="85"/>
      <c r="U241" s="85"/>
      <c r="V241" s="85"/>
      <c r="W241" s="85"/>
      <c r="X241" s="85"/>
      <c r="Y241" s="85"/>
      <c r="Z241" s="85"/>
      <c r="AA241" s="85"/>
      <c r="AB241" s="85"/>
      <c r="AC241" s="85"/>
      <c r="AD241" s="85"/>
      <c r="AE241" s="85"/>
      <c r="AF241" s="85"/>
      <c r="AG241" s="85"/>
      <c r="AH241" s="85"/>
      <c r="AI241" s="85"/>
      <c r="AJ241" s="85"/>
      <c r="AK241" s="85"/>
      <c r="AL241" s="85"/>
    </row>
    <row r="242" spans="1:38" s="80" customFormat="1" x14ac:dyDescent="0.25">
      <c r="A242" s="116"/>
      <c r="B242" s="115"/>
      <c r="C242" s="115"/>
      <c r="D242" s="115"/>
      <c r="E242" s="115"/>
      <c r="F242" s="115"/>
      <c r="H242" s="95">
        <v>237</v>
      </c>
      <c r="I242" s="96" t="str">
        <f t="shared" si="21"/>
        <v/>
      </c>
      <c r="J242" s="95" t="e">
        <f t="shared" si="22"/>
        <v>#NUM!</v>
      </c>
      <c r="K242" s="95" t="e">
        <f t="shared" si="23"/>
        <v>#NUM!</v>
      </c>
      <c r="L242" s="95"/>
      <c r="M242" s="97">
        <f t="shared" si="24"/>
        <v>0</v>
      </c>
      <c r="S242" s="85"/>
      <c r="T242" s="85"/>
      <c r="U242" s="85"/>
      <c r="V242" s="85"/>
      <c r="W242" s="85"/>
      <c r="X242" s="85"/>
      <c r="Y242" s="85"/>
      <c r="Z242" s="85"/>
      <c r="AA242" s="85"/>
      <c r="AB242" s="85"/>
      <c r="AC242" s="85"/>
      <c r="AD242" s="85"/>
      <c r="AE242" s="85"/>
      <c r="AF242" s="85"/>
      <c r="AG242" s="85"/>
      <c r="AH242" s="85"/>
      <c r="AI242" s="85"/>
      <c r="AJ242" s="85"/>
      <c r="AK242" s="85"/>
      <c r="AL242" s="85"/>
    </row>
    <row r="243" spans="1:38" s="80" customFormat="1" x14ac:dyDescent="0.25">
      <c r="A243" s="116"/>
      <c r="B243" s="115"/>
      <c r="C243" s="115"/>
      <c r="D243" s="115"/>
      <c r="E243" s="115"/>
      <c r="F243" s="115"/>
      <c r="H243" s="99">
        <v>238</v>
      </c>
      <c r="I243" s="96" t="str">
        <f t="shared" si="21"/>
        <v/>
      </c>
      <c r="J243" s="95" t="e">
        <f t="shared" si="22"/>
        <v>#NUM!</v>
      </c>
      <c r="K243" s="95" t="e">
        <f t="shared" si="23"/>
        <v>#NUM!</v>
      </c>
      <c r="L243" s="95"/>
      <c r="M243" s="97">
        <f t="shared" si="24"/>
        <v>0</v>
      </c>
      <c r="S243" s="85"/>
      <c r="T243" s="85"/>
      <c r="U243" s="85"/>
      <c r="V243" s="85"/>
      <c r="W243" s="85"/>
      <c r="X243" s="85"/>
      <c r="Y243" s="85"/>
      <c r="Z243" s="85"/>
      <c r="AA243" s="85"/>
      <c r="AB243" s="85"/>
      <c r="AC243" s="85"/>
      <c r="AD243" s="85"/>
      <c r="AE243" s="85"/>
      <c r="AF243" s="85"/>
      <c r="AG243" s="85"/>
      <c r="AH243" s="85"/>
      <c r="AI243" s="85"/>
      <c r="AJ243" s="85"/>
      <c r="AK243" s="85"/>
      <c r="AL243" s="85"/>
    </row>
    <row r="244" spans="1:38" s="80" customFormat="1" x14ac:dyDescent="0.25">
      <c r="A244" s="116"/>
      <c r="B244" s="115"/>
      <c r="C244" s="115"/>
      <c r="D244" s="115"/>
      <c r="E244" s="115"/>
      <c r="F244" s="115"/>
      <c r="H244" s="95">
        <v>239</v>
      </c>
      <c r="I244" s="96" t="str">
        <f t="shared" si="21"/>
        <v/>
      </c>
      <c r="J244" s="95" t="e">
        <f t="shared" si="22"/>
        <v>#NUM!</v>
      </c>
      <c r="K244" s="95" t="e">
        <f t="shared" si="23"/>
        <v>#NUM!</v>
      </c>
      <c r="L244" s="95"/>
      <c r="M244" s="97">
        <f t="shared" si="24"/>
        <v>0</v>
      </c>
      <c r="S244" s="85"/>
      <c r="T244" s="85"/>
      <c r="U244" s="85"/>
      <c r="V244" s="85"/>
      <c r="W244" s="85"/>
      <c r="X244" s="85"/>
      <c r="Y244" s="85"/>
      <c r="Z244" s="85"/>
      <c r="AA244" s="85"/>
      <c r="AB244" s="85"/>
      <c r="AC244" s="85"/>
      <c r="AD244" s="85"/>
      <c r="AE244" s="85"/>
      <c r="AF244" s="85"/>
      <c r="AG244" s="85"/>
      <c r="AH244" s="85"/>
      <c r="AI244" s="85"/>
      <c r="AJ244" s="85"/>
      <c r="AK244" s="85"/>
      <c r="AL244" s="85"/>
    </row>
    <row r="245" spans="1:38" s="80" customFormat="1" x14ac:dyDescent="0.25">
      <c r="A245" s="116"/>
      <c r="B245" s="115"/>
      <c r="C245" s="115"/>
      <c r="D245" s="115"/>
      <c r="E245" s="115"/>
      <c r="F245" s="115"/>
      <c r="H245" s="99">
        <v>240</v>
      </c>
      <c r="I245" s="96" t="str">
        <f t="shared" si="21"/>
        <v/>
      </c>
      <c r="J245" s="95" t="e">
        <f t="shared" si="22"/>
        <v>#NUM!</v>
      </c>
      <c r="K245" s="95" t="e">
        <f t="shared" si="23"/>
        <v>#NUM!</v>
      </c>
      <c r="L245" s="95"/>
      <c r="M245" s="97">
        <f t="shared" si="24"/>
        <v>0</v>
      </c>
      <c r="S245" s="85"/>
      <c r="T245" s="85"/>
      <c r="U245" s="85"/>
      <c r="V245" s="85"/>
      <c r="W245" s="85"/>
      <c r="X245" s="85"/>
      <c r="Y245" s="85"/>
      <c r="Z245" s="85"/>
      <c r="AA245" s="85"/>
      <c r="AB245" s="85"/>
      <c r="AC245" s="85"/>
      <c r="AD245" s="85"/>
      <c r="AE245" s="85"/>
      <c r="AF245" s="85"/>
      <c r="AG245" s="85"/>
      <c r="AH245" s="85"/>
      <c r="AI245" s="85"/>
      <c r="AJ245" s="85"/>
      <c r="AK245" s="85"/>
      <c r="AL245" s="85"/>
    </row>
    <row r="246" spans="1:38" s="80" customFormat="1" x14ac:dyDescent="0.25">
      <c r="A246" s="116"/>
      <c r="B246" s="115"/>
      <c r="C246" s="115"/>
      <c r="D246" s="115"/>
      <c r="E246" s="115"/>
      <c r="F246" s="115"/>
      <c r="H246" s="95">
        <v>241</v>
      </c>
      <c r="I246" s="96" t="str">
        <f t="shared" si="21"/>
        <v/>
      </c>
      <c r="J246" s="95" t="e">
        <f t="shared" si="22"/>
        <v>#NUM!</v>
      </c>
      <c r="K246" s="95" t="e">
        <f t="shared" si="23"/>
        <v>#NUM!</v>
      </c>
      <c r="L246" s="95"/>
      <c r="M246" s="97">
        <f t="shared" si="24"/>
        <v>0</v>
      </c>
      <c r="S246" s="85"/>
      <c r="T246" s="85"/>
      <c r="U246" s="85"/>
      <c r="V246" s="85"/>
      <c r="W246" s="85"/>
      <c r="X246" s="85"/>
      <c r="Y246" s="85"/>
      <c r="Z246" s="85"/>
      <c r="AA246" s="85"/>
      <c r="AB246" s="85"/>
      <c r="AC246" s="85"/>
      <c r="AD246" s="85"/>
      <c r="AE246" s="85"/>
      <c r="AF246" s="85"/>
      <c r="AG246" s="85"/>
      <c r="AH246" s="85"/>
      <c r="AI246" s="85"/>
      <c r="AJ246" s="85"/>
      <c r="AK246" s="85"/>
      <c r="AL246" s="85"/>
    </row>
    <row r="247" spans="1:38" s="80" customFormat="1" x14ac:dyDescent="0.25">
      <c r="A247" s="116"/>
      <c r="B247" s="115"/>
      <c r="C247" s="115"/>
      <c r="D247" s="115"/>
      <c r="E247" s="115"/>
      <c r="F247" s="115"/>
      <c r="H247" s="99">
        <v>242</v>
      </c>
      <c r="I247" s="96" t="str">
        <f t="shared" si="21"/>
        <v/>
      </c>
      <c r="J247" s="95" t="e">
        <f t="shared" si="22"/>
        <v>#NUM!</v>
      </c>
      <c r="K247" s="95" t="e">
        <f t="shared" si="23"/>
        <v>#NUM!</v>
      </c>
      <c r="L247" s="95"/>
      <c r="M247" s="97">
        <f t="shared" si="24"/>
        <v>0</v>
      </c>
      <c r="S247" s="85"/>
      <c r="T247" s="85"/>
      <c r="U247" s="85"/>
      <c r="V247" s="85"/>
      <c r="W247" s="85"/>
      <c r="X247" s="85"/>
      <c r="Y247" s="85"/>
      <c r="Z247" s="85"/>
      <c r="AA247" s="85"/>
      <c r="AB247" s="85"/>
      <c r="AC247" s="85"/>
      <c r="AD247" s="85"/>
      <c r="AE247" s="85"/>
      <c r="AF247" s="85"/>
      <c r="AG247" s="85"/>
      <c r="AH247" s="85"/>
      <c r="AI247" s="85"/>
      <c r="AJ247" s="85"/>
      <c r="AK247" s="85"/>
      <c r="AL247" s="85"/>
    </row>
    <row r="248" spans="1:38" s="80" customFormat="1" x14ac:dyDescent="0.25">
      <c r="A248" s="116"/>
      <c r="B248" s="115"/>
      <c r="C248" s="115"/>
      <c r="D248" s="115"/>
      <c r="E248" s="115"/>
      <c r="F248" s="115"/>
      <c r="H248" s="95">
        <v>243</v>
      </c>
      <c r="I248" s="96" t="str">
        <f t="shared" si="21"/>
        <v/>
      </c>
      <c r="J248" s="95" t="e">
        <f t="shared" si="22"/>
        <v>#NUM!</v>
      </c>
      <c r="K248" s="95" t="e">
        <f t="shared" si="23"/>
        <v>#NUM!</v>
      </c>
      <c r="L248" s="95"/>
      <c r="M248" s="97">
        <f t="shared" si="24"/>
        <v>0</v>
      </c>
      <c r="S248" s="85"/>
      <c r="T248" s="85"/>
      <c r="U248" s="85"/>
      <c r="V248" s="85"/>
      <c r="W248" s="85"/>
      <c r="X248" s="85"/>
      <c r="Y248" s="85"/>
      <c r="Z248" s="85"/>
      <c r="AA248" s="85"/>
      <c r="AB248" s="85"/>
      <c r="AC248" s="85"/>
      <c r="AD248" s="85"/>
      <c r="AE248" s="85"/>
      <c r="AF248" s="85"/>
      <c r="AG248" s="85"/>
      <c r="AH248" s="85"/>
      <c r="AI248" s="85"/>
      <c r="AJ248" s="85"/>
      <c r="AK248" s="85"/>
      <c r="AL248" s="85"/>
    </row>
    <row r="249" spans="1:38" s="80" customFormat="1" x14ac:dyDescent="0.25">
      <c r="A249" s="116"/>
      <c r="B249" s="115"/>
      <c r="C249" s="115"/>
      <c r="D249" s="115"/>
      <c r="E249" s="115"/>
      <c r="F249" s="115"/>
      <c r="H249" s="99">
        <v>244</v>
      </c>
      <c r="I249" s="96" t="str">
        <f t="shared" si="21"/>
        <v/>
      </c>
      <c r="J249" s="95" t="e">
        <f t="shared" si="22"/>
        <v>#NUM!</v>
      </c>
      <c r="K249" s="95" t="e">
        <f t="shared" si="23"/>
        <v>#NUM!</v>
      </c>
      <c r="L249" s="95"/>
      <c r="M249" s="97">
        <f t="shared" si="24"/>
        <v>0</v>
      </c>
      <c r="S249" s="85"/>
      <c r="T249" s="85"/>
      <c r="U249" s="85"/>
      <c r="V249" s="85"/>
      <c r="W249" s="85"/>
      <c r="X249" s="85"/>
      <c r="Y249" s="85"/>
      <c r="Z249" s="85"/>
      <c r="AA249" s="85"/>
      <c r="AB249" s="85"/>
      <c r="AC249" s="85"/>
      <c r="AD249" s="85"/>
      <c r="AE249" s="85"/>
      <c r="AF249" s="85"/>
      <c r="AG249" s="85"/>
      <c r="AH249" s="85"/>
      <c r="AI249" s="85"/>
      <c r="AJ249" s="85"/>
      <c r="AK249" s="85"/>
      <c r="AL249" s="85"/>
    </row>
    <row r="250" spans="1:38" s="80" customFormat="1" x14ac:dyDescent="0.25">
      <c r="A250" s="116"/>
      <c r="B250" s="115"/>
      <c r="C250" s="115"/>
      <c r="D250" s="115"/>
      <c r="E250" s="115"/>
      <c r="F250" s="115"/>
      <c r="H250" s="95">
        <v>245</v>
      </c>
      <c r="I250" s="96" t="str">
        <f t="shared" si="21"/>
        <v/>
      </c>
      <c r="J250" s="95" t="e">
        <f t="shared" si="22"/>
        <v>#NUM!</v>
      </c>
      <c r="K250" s="95" t="e">
        <f t="shared" si="23"/>
        <v>#NUM!</v>
      </c>
      <c r="L250" s="95"/>
      <c r="M250" s="97">
        <f t="shared" si="24"/>
        <v>0</v>
      </c>
      <c r="S250" s="85"/>
      <c r="T250" s="85"/>
      <c r="U250" s="85"/>
      <c r="V250" s="85"/>
      <c r="W250" s="85"/>
      <c r="X250" s="85"/>
      <c r="Y250" s="85"/>
      <c r="Z250" s="85"/>
      <c r="AA250" s="85"/>
      <c r="AB250" s="85"/>
      <c r="AC250" s="85"/>
      <c r="AD250" s="85"/>
      <c r="AE250" s="85"/>
      <c r="AF250" s="85"/>
      <c r="AG250" s="85"/>
      <c r="AH250" s="85"/>
      <c r="AI250" s="85"/>
      <c r="AJ250" s="85"/>
      <c r="AK250" s="85"/>
      <c r="AL250" s="85"/>
    </row>
    <row r="251" spans="1:38" s="80" customFormat="1" x14ac:dyDescent="0.25">
      <c r="A251" s="116"/>
      <c r="B251" s="115"/>
      <c r="C251" s="115"/>
      <c r="D251" s="115"/>
      <c r="E251" s="115"/>
      <c r="F251" s="115"/>
      <c r="H251" s="99">
        <v>246</v>
      </c>
      <c r="I251" s="96" t="str">
        <f t="shared" si="21"/>
        <v/>
      </c>
      <c r="J251" s="95" t="e">
        <f t="shared" si="22"/>
        <v>#NUM!</v>
      </c>
      <c r="K251" s="95" t="e">
        <f t="shared" si="23"/>
        <v>#NUM!</v>
      </c>
      <c r="L251" s="95"/>
      <c r="M251" s="97">
        <f t="shared" si="24"/>
        <v>0</v>
      </c>
      <c r="S251" s="85"/>
      <c r="T251" s="85"/>
      <c r="U251" s="85"/>
      <c r="V251" s="85"/>
      <c r="W251" s="85"/>
      <c r="X251" s="85"/>
      <c r="Y251" s="85"/>
      <c r="Z251" s="85"/>
      <c r="AA251" s="85"/>
      <c r="AB251" s="85"/>
      <c r="AC251" s="85"/>
      <c r="AD251" s="85"/>
      <c r="AE251" s="85"/>
      <c r="AF251" s="85"/>
      <c r="AG251" s="85"/>
      <c r="AH251" s="85"/>
      <c r="AI251" s="85"/>
      <c r="AJ251" s="85"/>
      <c r="AK251" s="85"/>
      <c r="AL251" s="85"/>
    </row>
    <row r="252" spans="1:38" s="80" customFormat="1" x14ac:dyDescent="0.25">
      <c r="A252" s="116"/>
      <c r="B252" s="115"/>
      <c r="C252" s="115"/>
      <c r="D252" s="115"/>
      <c r="E252" s="115"/>
      <c r="F252" s="115"/>
      <c r="H252" s="95">
        <v>247</v>
      </c>
      <c r="I252" s="96" t="str">
        <f t="shared" si="21"/>
        <v/>
      </c>
      <c r="J252" s="95" t="e">
        <f t="shared" si="22"/>
        <v>#NUM!</v>
      </c>
      <c r="K252" s="95" t="e">
        <f t="shared" si="23"/>
        <v>#NUM!</v>
      </c>
      <c r="L252" s="95"/>
      <c r="M252" s="97">
        <f t="shared" si="24"/>
        <v>0</v>
      </c>
      <c r="S252" s="85"/>
      <c r="T252" s="85"/>
      <c r="U252" s="85"/>
      <c r="V252" s="85"/>
      <c r="W252" s="85"/>
      <c r="X252" s="85"/>
      <c r="Y252" s="85"/>
      <c r="Z252" s="85"/>
      <c r="AA252" s="85"/>
      <c r="AB252" s="85"/>
      <c r="AC252" s="85"/>
      <c r="AD252" s="85"/>
      <c r="AE252" s="85"/>
      <c r="AF252" s="85"/>
      <c r="AG252" s="85"/>
      <c r="AH252" s="85"/>
      <c r="AI252" s="85"/>
      <c r="AJ252" s="85"/>
      <c r="AK252" s="85"/>
      <c r="AL252" s="85"/>
    </row>
    <row r="253" spans="1:38" s="80" customFormat="1" x14ac:dyDescent="0.25">
      <c r="A253" s="116"/>
      <c r="B253" s="115"/>
      <c r="C253" s="115"/>
      <c r="D253" s="115"/>
      <c r="E253" s="115"/>
      <c r="F253" s="115"/>
      <c r="H253" s="99">
        <v>248</v>
      </c>
      <c r="I253" s="96" t="str">
        <f t="shared" si="21"/>
        <v/>
      </c>
      <c r="J253" s="95" t="e">
        <f t="shared" si="22"/>
        <v>#NUM!</v>
      </c>
      <c r="K253" s="95" t="e">
        <f t="shared" si="23"/>
        <v>#NUM!</v>
      </c>
      <c r="L253" s="95"/>
      <c r="M253" s="97">
        <f t="shared" si="24"/>
        <v>0</v>
      </c>
      <c r="S253" s="85"/>
      <c r="T253" s="85"/>
      <c r="U253" s="85"/>
      <c r="V253" s="85"/>
      <c r="W253" s="85"/>
      <c r="X253" s="85"/>
      <c r="Y253" s="85"/>
      <c r="Z253" s="85"/>
      <c r="AA253" s="85"/>
      <c r="AB253" s="85"/>
      <c r="AC253" s="85"/>
      <c r="AD253" s="85"/>
      <c r="AE253" s="85"/>
      <c r="AF253" s="85"/>
      <c r="AG253" s="85"/>
      <c r="AH253" s="85"/>
      <c r="AI253" s="85"/>
      <c r="AJ253" s="85"/>
      <c r="AK253" s="85"/>
      <c r="AL253" s="85"/>
    </row>
    <row r="254" spans="1:38" s="80" customFormat="1" x14ac:dyDescent="0.25">
      <c r="A254" s="116"/>
      <c r="B254" s="115"/>
      <c r="C254" s="115"/>
      <c r="D254" s="115"/>
      <c r="E254" s="115"/>
      <c r="F254" s="115"/>
      <c r="H254" s="95">
        <v>249</v>
      </c>
      <c r="I254" s="96" t="str">
        <f t="shared" si="21"/>
        <v/>
      </c>
      <c r="J254" s="95" t="e">
        <f t="shared" si="22"/>
        <v>#NUM!</v>
      </c>
      <c r="K254" s="95" t="e">
        <f t="shared" si="23"/>
        <v>#NUM!</v>
      </c>
      <c r="L254" s="95"/>
      <c r="M254" s="97">
        <f t="shared" si="24"/>
        <v>0</v>
      </c>
      <c r="S254" s="85"/>
      <c r="T254" s="85"/>
      <c r="U254" s="85"/>
      <c r="V254" s="85"/>
      <c r="W254" s="85"/>
      <c r="X254" s="85"/>
      <c r="Y254" s="85"/>
      <c r="Z254" s="85"/>
      <c r="AA254" s="85"/>
      <c r="AB254" s="85"/>
      <c r="AC254" s="85"/>
      <c r="AD254" s="85"/>
      <c r="AE254" s="85"/>
      <c r="AF254" s="85"/>
      <c r="AG254" s="85"/>
      <c r="AH254" s="85"/>
      <c r="AI254" s="85"/>
      <c r="AJ254" s="85"/>
      <c r="AK254" s="85"/>
      <c r="AL254" s="85"/>
    </row>
    <row r="255" spans="1:38" s="80" customFormat="1" x14ac:dyDescent="0.25">
      <c r="A255" s="116"/>
      <c r="B255" s="115"/>
      <c r="C255" s="115"/>
      <c r="D255" s="115"/>
      <c r="E255" s="115"/>
      <c r="F255" s="115"/>
      <c r="H255" s="99">
        <v>250</v>
      </c>
      <c r="I255" s="96" t="str">
        <f t="shared" si="21"/>
        <v/>
      </c>
      <c r="J255" s="95" t="e">
        <f t="shared" si="22"/>
        <v>#NUM!</v>
      </c>
      <c r="K255" s="95" t="e">
        <f t="shared" si="23"/>
        <v>#NUM!</v>
      </c>
      <c r="L255" s="95"/>
      <c r="M255" s="97">
        <f t="shared" si="24"/>
        <v>0</v>
      </c>
      <c r="S255" s="85"/>
      <c r="T255" s="85"/>
      <c r="U255" s="85"/>
      <c r="V255" s="85"/>
      <c r="W255" s="85"/>
      <c r="X255" s="85"/>
      <c r="Y255" s="85"/>
      <c r="Z255" s="85"/>
      <c r="AA255" s="85"/>
      <c r="AB255" s="85"/>
      <c r="AC255" s="85"/>
      <c r="AD255" s="85"/>
      <c r="AE255" s="85"/>
      <c r="AF255" s="85"/>
      <c r="AG255" s="85"/>
      <c r="AH255" s="85"/>
      <c r="AI255" s="85"/>
      <c r="AJ255" s="85"/>
      <c r="AK255" s="85"/>
      <c r="AL255" s="85"/>
    </row>
    <row r="256" spans="1:38" s="80" customFormat="1" x14ac:dyDescent="0.25">
      <c r="A256" s="116"/>
      <c r="B256" s="115"/>
      <c r="C256" s="115"/>
      <c r="D256" s="115"/>
      <c r="E256" s="115"/>
      <c r="F256" s="115"/>
      <c r="H256" s="95">
        <v>251</v>
      </c>
      <c r="I256" s="96" t="str">
        <f t="shared" si="21"/>
        <v/>
      </c>
      <c r="J256" s="95" t="e">
        <f t="shared" si="22"/>
        <v>#NUM!</v>
      </c>
      <c r="K256" s="95" t="e">
        <f t="shared" si="23"/>
        <v>#NUM!</v>
      </c>
      <c r="L256" s="95"/>
      <c r="M256" s="97">
        <f t="shared" si="24"/>
        <v>0</v>
      </c>
      <c r="S256" s="85"/>
      <c r="T256" s="85"/>
      <c r="U256" s="85"/>
      <c r="V256" s="85"/>
      <c r="W256" s="85"/>
      <c r="X256" s="85"/>
      <c r="Y256" s="85"/>
      <c r="Z256" s="85"/>
      <c r="AA256" s="85"/>
      <c r="AB256" s="85"/>
      <c r="AC256" s="85"/>
      <c r="AD256" s="85"/>
      <c r="AE256" s="85"/>
      <c r="AF256" s="85"/>
      <c r="AG256" s="85"/>
      <c r="AH256" s="85"/>
      <c r="AI256" s="85"/>
      <c r="AJ256" s="85"/>
      <c r="AK256" s="85"/>
      <c r="AL256" s="85"/>
    </row>
    <row r="257" spans="1:38" s="80" customFormat="1" x14ac:dyDescent="0.25">
      <c r="A257" s="116"/>
      <c r="B257" s="115"/>
      <c r="C257" s="115"/>
      <c r="D257" s="115"/>
      <c r="E257" s="115"/>
      <c r="F257" s="115"/>
      <c r="H257" s="99">
        <v>252</v>
      </c>
      <c r="I257" s="96" t="str">
        <f t="shared" si="21"/>
        <v/>
      </c>
      <c r="J257" s="95" t="e">
        <f t="shared" si="22"/>
        <v>#NUM!</v>
      </c>
      <c r="K257" s="95" t="e">
        <f t="shared" si="23"/>
        <v>#NUM!</v>
      </c>
      <c r="L257" s="95"/>
      <c r="M257" s="97">
        <f t="shared" si="24"/>
        <v>0</v>
      </c>
      <c r="S257" s="85"/>
      <c r="T257" s="85"/>
      <c r="U257" s="85"/>
      <c r="V257" s="85"/>
      <c r="W257" s="85"/>
      <c r="X257" s="85"/>
      <c r="Y257" s="85"/>
      <c r="Z257" s="85"/>
      <c r="AA257" s="85"/>
      <c r="AB257" s="85"/>
      <c r="AC257" s="85"/>
      <c r="AD257" s="85"/>
      <c r="AE257" s="85"/>
      <c r="AF257" s="85"/>
      <c r="AG257" s="85"/>
      <c r="AH257" s="85"/>
      <c r="AI257" s="85"/>
      <c r="AJ257" s="85"/>
      <c r="AK257" s="85"/>
      <c r="AL257" s="85"/>
    </row>
    <row r="258" spans="1:38" s="80" customFormat="1" x14ac:dyDescent="0.25">
      <c r="A258" s="116"/>
      <c r="B258" s="115"/>
      <c r="C258" s="115"/>
      <c r="D258" s="115"/>
      <c r="E258" s="115"/>
      <c r="F258" s="115"/>
      <c r="H258" s="95">
        <v>253</v>
      </c>
      <c r="I258" s="96" t="str">
        <f t="shared" si="21"/>
        <v/>
      </c>
      <c r="J258" s="95" t="e">
        <f t="shared" si="22"/>
        <v>#NUM!</v>
      </c>
      <c r="K258" s="95" t="e">
        <f t="shared" si="23"/>
        <v>#NUM!</v>
      </c>
      <c r="L258" s="95"/>
      <c r="M258" s="97">
        <f t="shared" si="24"/>
        <v>0</v>
      </c>
      <c r="S258" s="85"/>
      <c r="T258" s="85"/>
      <c r="U258" s="85"/>
      <c r="V258" s="85"/>
      <c r="W258" s="85"/>
      <c r="X258" s="85"/>
      <c r="Y258" s="85"/>
      <c r="Z258" s="85"/>
      <c r="AA258" s="85"/>
      <c r="AB258" s="85"/>
      <c r="AC258" s="85"/>
      <c r="AD258" s="85"/>
      <c r="AE258" s="85"/>
      <c r="AF258" s="85"/>
      <c r="AG258" s="85"/>
      <c r="AH258" s="85"/>
      <c r="AI258" s="85"/>
      <c r="AJ258" s="85"/>
      <c r="AK258" s="85"/>
      <c r="AL258" s="85"/>
    </row>
    <row r="259" spans="1:38" s="80" customFormat="1" x14ac:dyDescent="0.25">
      <c r="A259" s="116"/>
      <c r="B259" s="115"/>
      <c r="C259" s="115"/>
      <c r="D259" s="115"/>
      <c r="E259" s="115"/>
      <c r="F259" s="115"/>
      <c r="H259" s="99">
        <v>254</v>
      </c>
      <c r="I259" s="96" t="str">
        <f t="shared" si="21"/>
        <v/>
      </c>
      <c r="J259" s="95" t="e">
        <f t="shared" si="22"/>
        <v>#NUM!</v>
      </c>
      <c r="K259" s="95" t="e">
        <f t="shared" si="23"/>
        <v>#NUM!</v>
      </c>
      <c r="L259" s="95"/>
      <c r="M259" s="97">
        <f t="shared" si="24"/>
        <v>0</v>
      </c>
      <c r="S259" s="85"/>
      <c r="T259" s="85"/>
      <c r="U259" s="85"/>
      <c r="V259" s="85"/>
      <c r="W259" s="85"/>
      <c r="X259" s="85"/>
      <c r="Y259" s="85"/>
      <c r="Z259" s="85"/>
      <c r="AA259" s="85"/>
      <c r="AB259" s="85"/>
      <c r="AC259" s="85"/>
      <c r="AD259" s="85"/>
      <c r="AE259" s="85"/>
      <c r="AF259" s="85"/>
      <c r="AG259" s="85"/>
      <c r="AH259" s="85"/>
      <c r="AI259" s="85"/>
      <c r="AJ259" s="85"/>
      <c r="AK259" s="85"/>
      <c r="AL259" s="85"/>
    </row>
    <row r="260" spans="1:38" s="80" customFormat="1" x14ac:dyDescent="0.25">
      <c r="A260" s="116"/>
      <c r="B260" s="115"/>
      <c r="C260" s="115"/>
      <c r="D260" s="115"/>
      <c r="E260" s="115"/>
      <c r="F260" s="115"/>
      <c r="H260" s="95">
        <v>255</v>
      </c>
      <c r="I260" s="96" t="str">
        <f t="shared" si="21"/>
        <v/>
      </c>
      <c r="J260" s="95" t="e">
        <f t="shared" si="22"/>
        <v>#NUM!</v>
      </c>
      <c r="K260" s="95" t="e">
        <f t="shared" si="23"/>
        <v>#NUM!</v>
      </c>
      <c r="L260" s="95"/>
      <c r="M260" s="97">
        <f t="shared" si="24"/>
        <v>0</v>
      </c>
      <c r="S260" s="85"/>
      <c r="T260" s="85"/>
      <c r="U260" s="85"/>
      <c r="V260" s="85"/>
      <c r="W260" s="85"/>
      <c r="X260" s="85"/>
      <c r="Y260" s="85"/>
      <c r="Z260" s="85"/>
      <c r="AA260" s="85"/>
      <c r="AB260" s="85"/>
      <c r="AC260" s="85"/>
      <c r="AD260" s="85"/>
      <c r="AE260" s="85"/>
      <c r="AF260" s="85"/>
      <c r="AG260" s="85"/>
      <c r="AH260" s="85"/>
      <c r="AI260" s="85"/>
      <c r="AJ260" s="85"/>
      <c r="AK260" s="85"/>
      <c r="AL260" s="85"/>
    </row>
    <row r="261" spans="1:38" s="80" customFormat="1" x14ac:dyDescent="0.25">
      <c r="A261" s="116"/>
      <c r="B261" s="115"/>
      <c r="C261" s="115"/>
      <c r="D261" s="115"/>
      <c r="E261" s="115"/>
      <c r="F261" s="115"/>
      <c r="H261" s="99">
        <v>256</v>
      </c>
      <c r="I261" s="96" t="str">
        <f t="shared" si="21"/>
        <v/>
      </c>
      <c r="J261" s="95" t="e">
        <f t="shared" si="22"/>
        <v>#NUM!</v>
      </c>
      <c r="K261" s="95" t="e">
        <f t="shared" si="23"/>
        <v>#NUM!</v>
      </c>
      <c r="L261" s="95"/>
      <c r="M261" s="97">
        <f t="shared" si="24"/>
        <v>0</v>
      </c>
      <c r="S261" s="85"/>
      <c r="T261" s="85"/>
      <c r="U261" s="85"/>
      <c r="V261" s="85"/>
      <c r="W261" s="85"/>
      <c r="X261" s="85"/>
      <c r="Y261" s="85"/>
      <c r="Z261" s="85"/>
      <c r="AA261" s="85"/>
      <c r="AB261" s="85"/>
      <c r="AC261" s="85"/>
      <c r="AD261" s="85"/>
      <c r="AE261" s="85"/>
      <c r="AF261" s="85"/>
      <c r="AG261" s="85"/>
      <c r="AH261" s="85"/>
      <c r="AI261" s="85"/>
      <c r="AJ261" s="85"/>
      <c r="AK261" s="85"/>
      <c r="AL261" s="85"/>
    </row>
    <row r="262" spans="1:38" s="80" customFormat="1" x14ac:dyDescent="0.25">
      <c r="A262" s="116"/>
      <c r="B262" s="115"/>
      <c r="C262" s="115"/>
      <c r="D262" s="115"/>
      <c r="E262" s="115"/>
      <c r="F262" s="115"/>
      <c r="H262" s="95">
        <v>257</v>
      </c>
      <c r="I262" s="96" t="str">
        <f t="shared" ref="I262:I305" si="25">IF(H262&lt;$H$2+1,($I$2-($I$2-1)*(LOG(H262)/LOG($H$2))),"")</f>
        <v/>
      </c>
      <c r="J262" s="95" t="e">
        <f t="shared" ref="J262:J305" si="26">INT(LOG($H$2,2))-ROUNDUP(LOG(H262,2),0)+IF(OR($H$2=1,$H$2=2,$H$2=4,$H$2=8,$H$2=16,$H$2=32,$H$2=64,$H$2=128,$H$2=256),0,1)</f>
        <v>#NUM!</v>
      </c>
      <c r="K262" s="95" t="e">
        <f t="shared" ref="K262:K305" si="27">J262*$J$2</f>
        <v>#NUM!</v>
      </c>
      <c r="L262" s="95"/>
      <c r="M262" s="97">
        <f t="shared" ref="M262:M305" si="28">IF(I262&lt;&gt;"",K262+I262+L262,0)</f>
        <v>0</v>
      </c>
      <c r="S262" s="85"/>
      <c r="T262" s="85"/>
      <c r="U262" s="85"/>
      <c r="V262" s="85"/>
      <c r="W262" s="85"/>
      <c r="X262" s="85"/>
      <c r="Y262" s="85"/>
      <c r="Z262" s="85"/>
      <c r="AA262" s="85"/>
      <c r="AB262" s="85"/>
      <c r="AC262" s="85"/>
      <c r="AD262" s="85"/>
      <c r="AE262" s="85"/>
      <c r="AF262" s="85"/>
      <c r="AG262" s="85"/>
      <c r="AH262" s="85"/>
      <c r="AI262" s="85"/>
      <c r="AJ262" s="85"/>
      <c r="AK262" s="85"/>
      <c r="AL262" s="85"/>
    </row>
    <row r="263" spans="1:38" s="80" customFormat="1" x14ac:dyDescent="0.25">
      <c r="A263" s="116"/>
      <c r="B263" s="115"/>
      <c r="C263" s="115"/>
      <c r="D263" s="115"/>
      <c r="E263" s="115"/>
      <c r="F263" s="115"/>
      <c r="H263" s="99">
        <v>258</v>
      </c>
      <c r="I263" s="96" t="str">
        <f t="shared" si="25"/>
        <v/>
      </c>
      <c r="J263" s="95" t="e">
        <f t="shared" si="26"/>
        <v>#NUM!</v>
      </c>
      <c r="K263" s="95" t="e">
        <f t="shared" si="27"/>
        <v>#NUM!</v>
      </c>
      <c r="L263" s="95"/>
      <c r="M263" s="97">
        <f t="shared" si="28"/>
        <v>0</v>
      </c>
      <c r="S263" s="85"/>
      <c r="T263" s="85"/>
      <c r="U263" s="85"/>
      <c r="V263" s="85"/>
      <c r="W263" s="85"/>
      <c r="X263" s="85"/>
      <c r="Y263" s="85"/>
      <c r="Z263" s="85"/>
      <c r="AA263" s="85"/>
      <c r="AB263" s="85"/>
      <c r="AC263" s="85"/>
      <c r="AD263" s="85"/>
      <c r="AE263" s="85"/>
      <c r="AF263" s="85"/>
      <c r="AG263" s="85"/>
      <c r="AH263" s="85"/>
      <c r="AI263" s="85"/>
      <c r="AJ263" s="85"/>
      <c r="AK263" s="85"/>
      <c r="AL263" s="85"/>
    </row>
    <row r="264" spans="1:38" s="80" customFormat="1" x14ac:dyDescent="0.25">
      <c r="A264" s="116"/>
      <c r="B264" s="115"/>
      <c r="C264" s="115"/>
      <c r="D264" s="115"/>
      <c r="E264" s="115"/>
      <c r="F264" s="115"/>
      <c r="H264" s="95">
        <v>259</v>
      </c>
      <c r="I264" s="96" t="str">
        <f t="shared" si="25"/>
        <v/>
      </c>
      <c r="J264" s="95" t="e">
        <f t="shared" si="26"/>
        <v>#NUM!</v>
      </c>
      <c r="K264" s="95" t="e">
        <f t="shared" si="27"/>
        <v>#NUM!</v>
      </c>
      <c r="L264" s="95"/>
      <c r="M264" s="97">
        <f t="shared" si="28"/>
        <v>0</v>
      </c>
      <c r="S264" s="85"/>
      <c r="T264" s="85"/>
      <c r="U264" s="85"/>
      <c r="V264" s="85"/>
      <c r="W264" s="85"/>
      <c r="X264" s="85"/>
      <c r="Y264" s="85"/>
      <c r="Z264" s="85"/>
      <c r="AA264" s="85"/>
      <c r="AB264" s="85"/>
      <c r="AC264" s="85"/>
      <c r="AD264" s="85"/>
      <c r="AE264" s="85"/>
      <c r="AF264" s="85"/>
      <c r="AG264" s="85"/>
      <c r="AH264" s="85"/>
      <c r="AI264" s="85"/>
      <c r="AJ264" s="85"/>
      <c r="AK264" s="85"/>
      <c r="AL264" s="85"/>
    </row>
    <row r="265" spans="1:38" s="80" customFormat="1" x14ac:dyDescent="0.25">
      <c r="A265" s="116"/>
      <c r="B265" s="115"/>
      <c r="C265" s="115"/>
      <c r="D265" s="115"/>
      <c r="E265" s="115"/>
      <c r="F265" s="115"/>
      <c r="H265" s="99">
        <v>260</v>
      </c>
      <c r="I265" s="96" t="str">
        <f t="shared" si="25"/>
        <v/>
      </c>
      <c r="J265" s="95" t="e">
        <f t="shared" si="26"/>
        <v>#NUM!</v>
      </c>
      <c r="K265" s="95" t="e">
        <f t="shared" si="27"/>
        <v>#NUM!</v>
      </c>
      <c r="L265" s="95"/>
      <c r="M265" s="97">
        <f t="shared" si="28"/>
        <v>0</v>
      </c>
      <c r="S265" s="85"/>
      <c r="T265" s="85"/>
      <c r="U265" s="85"/>
      <c r="V265" s="85"/>
      <c r="W265" s="85"/>
      <c r="X265" s="85"/>
      <c r="Y265" s="85"/>
      <c r="Z265" s="85"/>
      <c r="AA265" s="85"/>
      <c r="AB265" s="85"/>
      <c r="AC265" s="85"/>
      <c r="AD265" s="85"/>
      <c r="AE265" s="85"/>
      <c r="AF265" s="85"/>
      <c r="AG265" s="85"/>
      <c r="AH265" s="85"/>
      <c r="AI265" s="85"/>
      <c r="AJ265" s="85"/>
      <c r="AK265" s="85"/>
      <c r="AL265" s="85"/>
    </row>
    <row r="266" spans="1:38" s="80" customFormat="1" x14ac:dyDescent="0.25">
      <c r="A266" s="116"/>
      <c r="B266" s="115"/>
      <c r="C266" s="115"/>
      <c r="D266" s="115"/>
      <c r="E266" s="115"/>
      <c r="F266" s="115"/>
      <c r="H266" s="95">
        <v>261</v>
      </c>
      <c r="I266" s="96" t="str">
        <f t="shared" si="25"/>
        <v/>
      </c>
      <c r="J266" s="95" t="e">
        <f t="shared" si="26"/>
        <v>#NUM!</v>
      </c>
      <c r="K266" s="95" t="e">
        <f t="shared" si="27"/>
        <v>#NUM!</v>
      </c>
      <c r="L266" s="95"/>
      <c r="M266" s="97">
        <f t="shared" si="28"/>
        <v>0</v>
      </c>
      <c r="S266" s="85"/>
      <c r="T266" s="85"/>
      <c r="U266" s="85"/>
      <c r="V266" s="85"/>
      <c r="W266" s="85"/>
      <c r="X266" s="85"/>
      <c r="Y266" s="85"/>
      <c r="Z266" s="85"/>
      <c r="AA266" s="85"/>
      <c r="AB266" s="85"/>
      <c r="AC266" s="85"/>
      <c r="AD266" s="85"/>
      <c r="AE266" s="85"/>
      <c r="AF266" s="85"/>
      <c r="AG266" s="85"/>
      <c r="AH266" s="85"/>
      <c r="AI266" s="85"/>
      <c r="AJ266" s="85"/>
      <c r="AK266" s="85"/>
      <c r="AL266" s="85"/>
    </row>
    <row r="267" spans="1:38" s="80" customFormat="1" x14ac:dyDescent="0.25">
      <c r="A267" s="116"/>
      <c r="B267" s="115"/>
      <c r="C267" s="115"/>
      <c r="D267" s="115"/>
      <c r="E267" s="115"/>
      <c r="F267" s="115"/>
      <c r="H267" s="99">
        <v>262</v>
      </c>
      <c r="I267" s="96" t="str">
        <f t="shared" si="25"/>
        <v/>
      </c>
      <c r="J267" s="95" t="e">
        <f t="shared" si="26"/>
        <v>#NUM!</v>
      </c>
      <c r="K267" s="95" t="e">
        <f t="shared" si="27"/>
        <v>#NUM!</v>
      </c>
      <c r="L267" s="95"/>
      <c r="M267" s="97">
        <f t="shared" si="28"/>
        <v>0</v>
      </c>
      <c r="S267" s="85"/>
      <c r="T267" s="85"/>
      <c r="U267" s="85"/>
      <c r="V267" s="85"/>
      <c r="W267" s="85"/>
      <c r="X267" s="85"/>
      <c r="Y267" s="85"/>
      <c r="Z267" s="85"/>
      <c r="AA267" s="85"/>
      <c r="AB267" s="85"/>
      <c r="AC267" s="85"/>
      <c r="AD267" s="85"/>
      <c r="AE267" s="85"/>
      <c r="AF267" s="85"/>
      <c r="AG267" s="85"/>
      <c r="AH267" s="85"/>
      <c r="AI267" s="85"/>
      <c r="AJ267" s="85"/>
      <c r="AK267" s="85"/>
      <c r="AL267" s="85"/>
    </row>
    <row r="268" spans="1:38" s="80" customFormat="1" x14ac:dyDescent="0.25">
      <c r="A268" s="116"/>
      <c r="B268" s="115"/>
      <c r="C268" s="115"/>
      <c r="D268" s="115"/>
      <c r="E268" s="115"/>
      <c r="F268" s="115"/>
      <c r="H268" s="95">
        <v>263</v>
      </c>
      <c r="I268" s="96" t="str">
        <f t="shared" si="25"/>
        <v/>
      </c>
      <c r="J268" s="95" t="e">
        <f t="shared" si="26"/>
        <v>#NUM!</v>
      </c>
      <c r="K268" s="95" t="e">
        <f t="shared" si="27"/>
        <v>#NUM!</v>
      </c>
      <c r="L268" s="95"/>
      <c r="M268" s="97">
        <f t="shared" si="28"/>
        <v>0</v>
      </c>
      <c r="S268" s="85"/>
      <c r="T268" s="85"/>
      <c r="U268" s="85"/>
      <c r="V268" s="85"/>
      <c r="W268" s="85"/>
      <c r="X268" s="85"/>
      <c r="Y268" s="85"/>
      <c r="Z268" s="85"/>
      <c r="AA268" s="85"/>
      <c r="AB268" s="85"/>
      <c r="AC268" s="85"/>
      <c r="AD268" s="85"/>
      <c r="AE268" s="85"/>
      <c r="AF268" s="85"/>
      <c r="AG268" s="85"/>
      <c r="AH268" s="85"/>
      <c r="AI268" s="85"/>
      <c r="AJ268" s="85"/>
      <c r="AK268" s="85"/>
      <c r="AL268" s="85"/>
    </row>
    <row r="269" spans="1:38" s="80" customFormat="1" x14ac:dyDescent="0.25">
      <c r="A269" s="116"/>
      <c r="B269" s="115"/>
      <c r="C269" s="115"/>
      <c r="D269" s="115"/>
      <c r="E269" s="115"/>
      <c r="F269" s="115"/>
      <c r="H269" s="99">
        <v>264</v>
      </c>
      <c r="I269" s="96" t="str">
        <f t="shared" si="25"/>
        <v/>
      </c>
      <c r="J269" s="95" t="e">
        <f t="shared" si="26"/>
        <v>#NUM!</v>
      </c>
      <c r="K269" s="95" t="e">
        <f t="shared" si="27"/>
        <v>#NUM!</v>
      </c>
      <c r="L269" s="95"/>
      <c r="M269" s="97">
        <f t="shared" si="28"/>
        <v>0</v>
      </c>
      <c r="S269" s="85"/>
      <c r="T269" s="85"/>
      <c r="U269" s="85"/>
      <c r="V269" s="85"/>
      <c r="W269" s="85"/>
      <c r="X269" s="85"/>
      <c r="Y269" s="85"/>
      <c r="Z269" s="85"/>
      <c r="AA269" s="85"/>
      <c r="AB269" s="85"/>
      <c r="AC269" s="85"/>
      <c r="AD269" s="85"/>
      <c r="AE269" s="85"/>
      <c r="AF269" s="85"/>
      <c r="AG269" s="85"/>
      <c r="AH269" s="85"/>
      <c r="AI269" s="85"/>
      <c r="AJ269" s="85"/>
      <c r="AK269" s="85"/>
      <c r="AL269" s="85"/>
    </row>
    <row r="270" spans="1:38" s="80" customFormat="1" x14ac:dyDescent="0.25">
      <c r="A270" s="116"/>
      <c r="B270" s="115"/>
      <c r="C270" s="115"/>
      <c r="D270" s="115"/>
      <c r="E270" s="115"/>
      <c r="F270" s="115"/>
      <c r="H270" s="95">
        <v>265</v>
      </c>
      <c r="I270" s="96" t="str">
        <f t="shared" si="25"/>
        <v/>
      </c>
      <c r="J270" s="95" t="e">
        <f t="shared" si="26"/>
        <v>#NUM!</v>
      </c>
      <c r="K270" s="95" t="e">
        <f t="shared" si="27"/>
        <v>#NUM!</v>
      </c>
      <c r="L270" s="95"/>
      <c r="M270" s="97">
        <f t="shared" si="28"/>
        <v>0</v>
      </c>
      <c r="S270" s="85"/>
      <c r="T270" s="85"/>
      <c r="U270" s="85"/>
      <c r="V270" s="85"/>
      <c r="W270" s="85"/>
      <c r="X270" s="85"/>
      <c r="Y270" s="85"/>
      <c r="Z270" s="85"/>
      <c r="AA270" s="85"/>
      <c r="AB270" s="85"/>
      <c r="AC270" s="85"/>
      <c r="AD270" s="85"/>
      <c r="AE270" s="85"/>
      <c r="AF270" s="85"/>
      <c r="AG270" s="85"/>
      <c r="AH270" s="85"/>
      <c r="AI270" s="85"/>
      <c r="AJ270" s="85"/>
      <c r="AK270" s="85"/>
      <c r="AL270" s="85"/>
    </row>
    <row r="271" spans="1:38" s="80" customFormat="1" x14ac:dyDescent="0.25">
      <c r="A271" s="116"/>
      <c r="B271" s="115"/>
      <c r="C271" s="115"/>
      <c r="D271" s="115"/>
      <c r="E271" s="115"/>
      <c r="F271" s="115"/>
      <c r="H271" s="99">
        <v>266</v>
      </c>
      <c r="I271" s="96" t="str">
        <f t="shared" si="25"/>
        <v/>
      </c>
      <c r="J271" s="95" t="e">
        <f t="shared" si="26"/>
        <v>#NUM!</v>
      </c>
      <c r="K271" s="95" t="e">
        <f t="shared" si="27"/>
        <v>#NUM!</v>
      </c>
      <c r="L271" s="95"/>
      <c r="M271" s="97">
        <f t="shared" si="28"/>
        <v>0</v>
      </c>
      <c r="S271" s="85"/>
      <c r="T271" s="85"/>
      <c r="U271" s="85"/>
      <c r="V271" s="85"/>
      <c r="W271" s="85"/>
      <c r="X271" s="85"/>
      <c r="Y271" s="85"/>
      <c r="Z271" s="85"/>
      <c r="AA271" s="85"/>
      <c r="AB271" s="85"/>
      <c r="AC271" s="85"/>
      <c r="AD271" s="85"/>
      <c r="AE271" s="85"/>
      <c r="AF271" s="85"/>
      <c r="AG271" s="85"/>
      <c r="AH271" s="85"/>
      <c r="AI271" s="85"/>
      <c r="AJ271" s="85"/>
      <c r="AK271" s="85"/>
      <c r="AL271" s="85"/>
    </row>
    <row r="272" spans="1:38" s="80" customFormat="1" x14ac:dyDescent="0.25">
      <c r="A272" s="116"/>
      <c r="B272" s="115"/>
      <c r="C272" s="115"/>
      <c r="D272" s="115"/>
      <c r="E272" s="115"/>
      <c r="F272" s="115"/>
      <c r="H272" s="95">
        <v>267</v>
      </c>
      <c r="I272" s="96" t="str">
        <f t="shared" si="25"/>
        <v/>
      </c>
      <c r="J272" s="95" t="e">
        <f t="shared" si="26"/>
        <v>#NUM!</v>
      </c>
      <c r="K272" s="95" t="e">
        <f t="shared" si="27"/>
        <v>#NUM!</v>
      </c>
      <c r="L272" s="95"/>
      <c r="M272" s="97">
        <f t="shared" si="28"/>
        <v>0</v>
      </c>
      <c r="S272" s="85"/>
      <c r="T272" s="85"/>
      <c r="U272" s="85"/>
      <c r="V272" s="85"/>
      <c r="W272" s="85"/>
      <c r="X272" s="85"/>
      <c r="Y272" s="85"/>
      <c r="Z272" s="85"/>
      <c r="AA272" s="85"/>
      <c r="AB272" s="85"/>
      <c r="AC272" s="85"/>
      <c r="AD272" s="85"/>
      <c r="AE272" s="85"/>
      <c r="AF272" s="85"/>
      <c r="AG272" s="85"/>
      <c r="AH272" s="85"/>
      <c r="AI272" s="85"/>
      <c r="AJ272" s="85"/>
      <c r="AK272" s="85"/>
      <c r="AL272" s="85"/>
    </row>
    <row r="273" spans="1:38" s="80" customFormat="1" x14ac:dyDescent="0.25">
      <c r="A273" s="116"/>
      <c r="B273" s="115"/>
      <c r="C273" s="115"/>
      <c r="D273" s="115"/>
      <c r="E273" s="115"/>
      <c r="F273" s="115"/>
      <c r="H273" s="99">
        <v>268</v>
      </c>
      <c r="I273" s="96" t="str">
        <f t="shared" si="25"/>
        <v/>
      </c>
      <c r="J273" s="95" t="e">
        <f t="shared" si="26"/>
        <v>#NUM!</v>
      </c>
      <c r="K273" s="95" t="e">
        <f t="shared" si="27"/>
        <v>#NUM!</v>
      </c>
      <c r="L273" s="95"/>
      <c r="M273" s="97">
        <f t="shared" si="28"/>
        <v>0</v>
      </c>
      <c r="S273" s="85"/>
      <c r="T273" s="85"/>
      <c r="U273" s="85"/>
      <c r="V273" s="85"/>
      <c r="W273" s="85"/>
      <c r="X273" s="85"/>
      <c r="Y273" s="85"/>
      <c r="Z273" s="85"/>
      <c r="AA273" s="85"/>
      <c r="AB273" s="85"/>
      <c r="AC273" s="85"/>
      <c r="AD273" s="85"/>
      <c r="AE273" s="85"/>
      <c r="AF273" s="85"/>
      <c r="AG273" s="85"/>
      <c r="AH273" s="85"/>
      <c r="AI273" s="85"/>
      <c r="AJ273" s="85"/>
      <c r="AK273" s="85"/>
      <c r="AL273" s="85"/>
    </row>
    <row r="274" spans="1:38" s="80" customFormat="1" x14ac:dyDescent="0.25">
      <c r="A274" s="116"/>
      <c r="B274" s="115"/>
      <c r="C274" s="115"/>
      <c r="D274" s="115"/>
      <c r="E274" s="115"/>
      <c r="F274" s="115"/>
      <c r="H274" s="95">
        <v>269</v>
      </c>
      <c r="I274" s="96" t="str">
        <f t="shared" si="25"/>
        <v/>
      </c>
      <c r="J274" s="95" t="e">
        <f t="shared" si="26"/>
        <v>#NUM!</v>
      </c>
      <c r="K274" s="95" t="e">
        <f t="shared" si="27"/>
        <v>#NUM!</v>
      </c>
      <c r="L274" s="95"/>
      <c r="M274" s="97">
        <f t="shared" si="28"/>
        <v>0</v>
      </c>
      <c r="S274" s="85"/>
      <c r="T274" s="85"/>
      <c r="U274" s="85"/>
      <c r="V274" s="85"/>
      <c r="W274" s="85"/>
      <c r="X274" s="85"/>
      <c r="Y274" s="85"/>
      <c r="Z274" s="85"/>
      <c r="AA274" s="85"/>
      <c r="AB274" s="85"/>
      <c r="AC274" s="85"/>
      <c r="AD274" s="85"/>
      <c r="AE274" s="85"/>
      <c r="AF274" s="85"/>
      <c r="AG274" s="85"/>
      <c r="AH274" s="85"/>
      <c r="AI274" s="85"/>
      <c r="AJ274" s="85"/>
      <c r="AK274" s="85"/>
      <c r="AL274" s="85"/>
    </row>
    <row r="275" spans="1:38" s="80" customFormat="1" x14ac:dyDescent="0.25">
      <c r="A275" s="116"/>
      <c r="B275" s="115"/>
      <c r="C275" s="115"/>
      <c r="D275" s="115"/>
      <c r="E275" s="115"/>
      <c r="F275" s="115"/>
      <c r="H275" s="99">
        <v>270</v>
      </c>
      <c r="I275" s="96" t="str">
        <f t="shared" si="25"/>
        <v/>
      </c>
      <c r="J275" s="95" t="e">
        <f t="shared" si="26"/>
        <v>#NUM!</v>
      </c>
      <c r="K275" s="95" t="e">
        <f t="shared" si="27"/>
        <v>#NUM!</v>
      </c>
      <c r="L275" s="95"/>
      <c r="M275" s="97">
        <f t="shared" si="28"/>
        <v>0</v>
      </c>
      <c r="S275" s="85"/>
      <c r="T275" s="85"/>
      <c r="U275" s="85"/>
      <c r="V275" s="85"/>
      <c r="W275" s="85"/>
      <c r="X275" s="85"/>
      <c r="Y275" s="85"/>
      <c r="Z275" s="85"/>
      <c r="AA275" s="85"/>
      <c r="AB275" s="85"/>
      <c r="AC275" s="85"/>
      <c r="AD275" s="85"/>
      <c r="AE275" s="85"/>
      <c r="AF275" s="85"/>
      <c r="AG275" s="85"/>
      <c r="AH275" s="85"/>
      <c r="AI275" s="85"/>
      <c r="AJ275" s="85"/>
      <c r="AK275" s="85"/>
      <c r="AL275" s="85"/>
    </row>
    <row r="276" spans="1:38" s="80" customFormat="1" x14ac:dyDescent="0.25">
      <c r="A276" s="116"/>
      <c r="B276" s="115"/>
      <c r="C276" s="115"/>
      <c r="D276" s="115"/>
      <c r="E276" s="115"/>
      <c r="F276" s="115"/>
      <c r="H276" s="95">
        <v>271</v>
      </c>
      <c r="I276" s="96" t="str">
        <f t="shared" si="25"/>
        <v/>
      </c>
      <c r="J276" s="95" t="e">
        <f t="shared" si="26"/>
        <v>#NUM!</v>
      </c>
      <c r="K276" s="95" t="e">
        <f t="shared" si="27"/>
        <v>#NUM!</v>
      </c>
      <c r="L276" s="95"/>
      <c r="M276" s="97">
        <f t="shared" si="28"/>
        <v>0</v>
      </c>
      <c r="S276" s="85"/>
      <c r="T276" s="85"/>
      <c r="U276" s="85"/>
      <c r="V276" s="85"/>
      <c r="W276" s="85"/>
      <c r="X276" s="85"/>
      <c r="Y276" s="85"/>
      <c r="Z276" s="85"/>
      <c r="AA276" s="85"/>
      <c r="AB276" s="85"/>
      <c r="AC276" s="85"/>
      <c r="AD276" s="85"/>
      <c r="AE276" s="85"/>
      <c r="AF276" s="85"/>
      <c r="AG276" s="85"/>
      <c r="AH276" s="85"/>
      <c r="AI276" s="85"/>
      <c r="AJ276" s="85"/>
      <c r="AK276" s="85"/>
      <c r="AL276" s="85"/>
    </row>
    <row r="277" spans="1:38" s="80" customFormat="1" x14ac:dyDescent="0.25">
      <c r="A277" s="116"/>
      <c r="B277" s="115"/>
      <c r="C277" s="115"/>
      <c r="D277" s="115"/>
      <c r="E277" s="115"/>
      <c r="F277" s="115"/>
      <c r="H277" s="99">
        <v>272</v>
      </c>
      <c r="I277" s="96" t="str">
        <f t="shared" si="25"/>
        <v/>
      </c>
      <c r="J277" s="95" t="e">
        <f t="shared" si="26"/>
        <v>#NUM!</v>
      </c>
      <c r="K277" s="95" t="e">
        <f t="shared" si="27"/>
        <v>#NUM!</v>
      </c>
      <c r="L277" s="95"/>
      <c r="M277" s="97">
        <f t="shared" si="28"/>
        <v>0</v>
      </c>
      <c r="S277" s="85"/>
      <c r="T277" s="85"/>
      <c r="U277" s="85"/>
      <c r="V277" s="85"/>
      <c r="W277" s="85"/>
      <c r="X277" s="85"/>
      <c r="Y277" s="85"/>
      <c r="Z277" s="85"/>
      <c r="AA277" s="85"/>
      <c r="AB277" s="85"/>
      <c r="AC277" s="85"/>
      <c r="AD277" s="85"/>
      <c r="AE277" s="85"/>
      <c r="AF277" s="85"/>
      <c r="AG277" s="85"/>
      <c r="AH277" s="85"/>
      <c r="AI277" s="85"/>
      <c r="AJ277" s="85"/>
      <c r="AK277" s="85"/>
      <c r="AL277" s="85"/>
    </row>
    <row r="278" spans="1:38" s="80" customFormat="1" x14ac:dyDescent="0.25">
      <c r="A278" s="116"/>
      <c r="B278" s="115"/>
      <c r="C278" s="115"/>
      <c r="D278" s="115"/>
      <c r="E278" s="115"/>
      <c r="F278" s="115"/>
      <c r="H278" s="95">
        <v>273</v>
      </c>
      <c r="I278" s="96" t="str">
        <f t="shared" si="25"/>
        <v/>
      </c>
      <c r="J278" s="95" t="e">
        <f t="shared" si="26"/>
        <v>#NUM!</v>
      </c>
      <c r="K278" s="95" t="e">
        <f t="shared" si="27"/>
        <v>#NUM!</v>
      </c>
      <c r="L278" s="95"/>
      <c r="M278" s="97">
        <f t="shared" si="28"/>
        <v>0</v>
      </c>
      <c r="S278" s="85"/>
      <c r="T278" s="85"/>
      <c r="U278" s="85"/>
      <c r="V278" s="85"/>
      <c r="W278" s="85"/>
      <c r="X278" s="85"/>
      <c r="Y278" s="85"/>
      <c r="Z278" s="85"/>
      <c r="AA278" s="85"/>
      <c r="AB278" s="85"/>
      <c r="AC278" s="85"/>
      <c r="AD278" s="85"/>
      <c r="AE278" s="85"/>
      <c r="AF278" s="85"/>
      <c r="AG278" s="85"/>
      <c r="AH278" s="85"/>
      <c r="AI278" s="85"/>
      <c r="AJ278" s="85"/>
      <c r="AK278" s="85"/>
      <c r="AL278" s="85"/>
    </row>
    <row r="279" spans="1:38" s="80" customFormat="1" x14ac:dyDescent="0.25">
      <c r="A279" s="116"/>
      <c r="B279" s="115"/>
      <c r="C279" s="115"/>
      <c r="D279" s="115"/>
      <c r="E279" s="115"/>
      <c r="F279" s="115"/>
      <c r="H279" s="99">
        <v>274</v>
      </c>
      <c r="I279" s="96" t="str">
        <f t="shared" si="25"/>
        <v/>
      </c>
      <c r="J279" s="95" t="e">
        <f t="shared" si="26"/>
        <v>#NUM!</v>
      </c>
      <c r="K279" s="95" t="e">
        <f t="shared" si="27"/>
        <v>#NUM!</v>
      </c>
      <c r="L279" s="95"/>
      <c r="M279" s="97">
        <f t="shared" si="28"/>
        <v>0</v>
      </c>
      <c r="S279" s="85"/>
      <c r="T279" s="85"/>
      <c r="U279" s="85"/>
      <c r="V279" s="85"/>
      <c r="W279" s="85"/>
      <c r="X279" s="85"/>
      <c r="Y279" s="85"/>
      <c r="Z279" s="85"/>
      <c r="AA279" s="85"/>
      <c r="AB279" s="85"/>
      <c r="AC279" s="85"/>
      <c r="AD279" s="85"/>
      <c r="AE279" s="85"/>
      <c r="AF279" s="85"/>
      <c r="AG279" s="85"/>
      <c r="AH279" s="85"/>
      <c r="AI279" s="85"/>
      <c r="AJ279" s="85"/>
      <c r="AK279" s="85"/>
      <c r="AL279" s="85"/>
    </row>
    <row r="280" spans="1:38" s="80" customFormat="1" x14ac:dyDescent="0.25">
      <c r="A280" s="116"/>
      <c r="B280" s="115"/>
      <c r="C280" s="115"/>
      <c r="D280" s="115"/>
      <c r="E280" s="115"/>
      <c r="F280" s="115"/>
      <c r="H280" s="95">
        <v>275</v>
      </c>
      <c r="I280" s="96" t="str">
        <f t="shared" si="25"/>
        <v/>
      </c>
      <c r="J280" s="95" t="e">
        <f t="shared" si="26"/>
        <v>#NUM!</v>
      </c>
      <c r="K280" s="95" t="e">
        <f t="shared" si="27"/>
        <v>#NUM!</v>
      </c>
      <c r="L280" s="95"/>
      <c r="M280" s="97">
        <f t="shared" si="28"/>
        <v>0</v>
      </c>
      <c r="S280" s="85"/>
      <c r="T280" s="85"/>
      <c r="U280" s="85"/>
      <c r="V280" s="85"/>
      <c r="W280" s="85"/>
      <c r="X280" s="85"/>
      <c r="Y280" s="85"/>
      <c r="Z280" s="85"/>
      <c r="AA280" s="85"/>
      <c r="AB280" s="85"/>
      <c r="AC280" s="85"/>
      <c r="AD280" s="85"/>
      <c r="AE280" s="85"/>
      <c r="AF280" s="85"/>
      <c r="AG280" s="85"/>
      <c r="AH280" s="85"/>
      <c r="AI280" s="85"/>
      <c r="AJ280" s="85"/>
      <c r="AK280" s="85"/>
      <c r="AL280" s="85"/>
    </row>
    <row r="281" spans="1:38" s="80" customFormat="1" x14ac:dyDescent="0.25">
      <c r="A281" s="116"/>
      <c r="B281" s="115"/>
      <c r="C281" s="115"/>
      <c r="D281" s="115"/>
      <c r="E281" s="115"/>
      <c r="F281" s="115"/>
      <c r="H281" s="99">
        <v>276</v>
      </c>
      <c r="I281" s="96" t="str">
        <f t="shared" si="25"/>
        <v/>
      </c>
      <c r="J281" s="95" t="e">
        <f t="shared" si="26"/>
        <v>#NUM!</v>
      </c>
      <c r="K281" s="95" t="e">
        <f t="shared" si="27"/>
        <v>#NUM!</v>
      </c>
      <c r="L281" s="95"/>
      <c r="M281" s="97">
        <f t="shared" si="28"/>
        <v>0</v>
      </c>
      <c r="S281" s="85"/>
      <c r="T281" s="85"/>
      <c r="U281" s="85"/>
      <c r="V281" s="85"/>
      <c r="W281" s="85"/>
      <c r="X281" s="85"/>
      <c r="Y281" s="85"/>
      <c r="Z281" s="85"/>
      <c r="AA281" s="85"/>
      <c r="AB281" s="85"/>
      <c r="AC281" s="85"/>
      <c r="AD281" s="85"/>
      <c r="AE281" s="85"/>
      <c r="AF281" s="85"/>
      <c r="AG281" s="85"/>
      <c r="AH281" s="85"/>
      <c r="AI281" s="85"/>
      <c r="AJ281" s="85"/>
      <c r="AK281" s="85"/>
      <c r="AL281" s="85"/>
    </row>
    <row r="282" spans="1:38" s="80" customFormat="1" x14ac:dyDescent="0.25">
      <c r="A282" s="116"/>
      <c r="B282" s="115"/>
      <c r="C282" s="115"/>
      <c r="D282" s="115"/>
      <c r="E282" s="115"/>
      <c r="F282" s="115"/>
      <c r="H282" s="95">
        <v>277</v>
      </c>
      <c r="I282" s="96" t="str">
        <f t="shared" si="25"/>
        <v/>
      </c>
      <c r="J282" s="95" t="e">
        <f t="shared" si="26"/>
        <v>#NUM!</v>
      </c>
      <c r="K282" s="95" t="e">
        <f t="shared" si="27"/>
        <v>#NUM!</v>
      </c>
      <c r="L282" s="95"/>
      <c r="M282" s="97">
        <f t="shared" si="28"/>
        <v>0</v>
      </c>
      <c r="S282" s="85"/>
      <c r="T282" s="85"/>
      <c r="U282" s="85"/>
      <c r="V282" s="85"/>
      <c r="W282" s="85"/>
      <c r="X282" s="85"/>
      <c r="Y282" s="85"/>
      <c r="Z282" s="85"/>
      <c r="AA282" s="85"/>
      <c r="AB282" s="85"/>
      <c r="AC282" s="85"/>
      <c r="AD282" s="85"/>
      <c r="AE282" s="85"/>
      <c r="AF282" s="85"/>
      <c r="AG282" s="85"/>
      <c r="AH282" s="85"/>
      <c r="AI282" s="85"/>
      <c r="AJ282" s="85"/>
      <c r="AK282" s="85"/>
      <c r="AL282" s="85"/>
    </row>
    <row r="283" spans="1:38" s="80" customFormat="1" x14ac:dyDescent="0.25">
      <c r="A283" s="116"/>
      <c r="B283" s="115"/>
      <c r="C283" s="115"/>
      <c r="D283" s="115"/>
      <c r="E283" s="115"/>
      <c r="F283" s="115"/>
      <c r="H283" s="99">
        <v>278</v>
      </c>
      <c r="I283" s="96" t="str">
        <f t="shared" si="25"/>
        <v/>
      </c>
      <c r="J283" s="95" t="e">
        <f t="shared" si="26"/>
        <v>#NUM!</v>
      </c>
      <c r="K283" s="95" t="e">
        <f t="shared" si="27"/>
        <v>#NUM!</v>
      </c>
      <c r="L283" s="95"/>
      <c r="M283" s="97">
        <f t="shared" si="28"/>
        <v>0</v>
      </c>
      <c r="S283" s="85"/>
      <c r="T283" s="85"/>
      <c r="U283" s="85"/>
      <c r="V283" s="85"/>
      <c r="W283" s="85"/>
      <c r="X283" s="85"/>
      <c r="Y283" s="85"/>
      <c r="Z283" s="85"/>
      <c r="AA283" s="85"/>
      <c r="AB283" s="85"/>
      <c r="AC283" s="85"/>
      <c r="AD283" s="85"/>
      <c r="AE283" s="85"/>
      <c r="AF283" s="85"/>
      <c r="AG283" s="85"/>
      <c r="AH283" s="85"/>
      <c r="AI283" s="85"/>
      <c r="AJ283" s="85"/>
      <c r="AK283" s="85"/>
      <c r="AL283" s="85"/>
    </row>
    <row r="284" spans="1:38" s="80" customFormat="1" x14ac:dyDescent="0.25">
      <c r="A284" s="116"/>
      <c r="B284" s="115"/>
      <c r="C284" s="115"/>
      <c r="D284" s="115"/>
      <c r="E284" s="115"/>
      <c r="F284" s="115"/>
      <c r="H284" s="95">
        <v>279</v>
      </c>
      <c r="I284" s="96" t="str">
        <f t="shared" si="25"/>
        <v/>
      </c>
      <c r="J284" s="95" t="e">
        <f t="shared" si="26"/>
        <v>#NUM!</v>
      </c>
      <c r="K284" s="95" t="e">
        <f t="shared" si="27"/>
        <v>#NUM!</v>
      </c>
      <c r="L284" s="95"/>
      <c r="M284" s="97">
        <f t="shared" si="28"/>
        <v>0</v>
      </c>
      <c r="S284" s="85"/>
      <c r="T284" s="85"/>
      <c r="U284" s="85"/>
      <c r="V284" s="85"/>
      <c r="W284" s="85"/>
      <c r="X284" s="85"/>
      <c r="Y284" s="85"/>
      <c r="Z284" s="85"/>
      <c r="AA284" s="85"/>
      <c r="AB284" s="85"/>
      <c r="AC284" s="85"/>
      <c r="AD284" s="85"/>
      <c r="AE284" s="85"/>
      <c r="AF284" s="85"/>
      <c r="AG284" s="85"/>
      <c r="AH284" s="85"/>
      <c r="AI284" s="85"/>
      <c r="AJ284" s="85"/>
      <c r="AK284" s="85"/>
      <c r="AL284" s="85"/>
    </row>
    <row r="285" spans="1:38" s="80" customFormat="1" x14ac:dyDescent="0.25">
      <c r="A285" s="116"/>
      <c r="B285" s="115"/>
      <c r="C285" s="115"/>
      <c r="D285" s="115"/>
      <c r="E285" s="115"/>
      <c r="F285" s="115"/>
      <c r="H285" s="99">
        <v>280</v>
      </c>
      <c r="I285" s="96" t="str">
        <f t="shared" si="25"/>
        <v/>
      </c>
      <c r="J285" s="95" t="e">
        <f t="shared" si="26"/>
        <v>#NUM!</v>
      </c>
      <c r="K285" s="95" t="e">
        <f t="shared" si="27"/>
        <v>#NUM!</v>
      </c>
      <c r="L285" s="95"/>
      <c r="M285" s="97">
        <f t="shared" si="28"/>
        <v>0</v>
      </c>
      <c r="S285" s="85"/>
      <c r="T285" s="85"/>
      <c r="U285" s="85"/>
      <c r="V285" s="85"/>
      <c r="W285" s="85"/>
      <c r="X285" s="85"/>
      <c r="Y285" s="85"/>
      <c r="Z285" s="85"/>
      <c r="AA285" s="85"/>
      <c r="AB285" s="85"/>
      <c r="AC285" s="85"/>
      <c r="AD285" s="85"/>
      <c r="AE285" s="85"/>
      <c r="AF285" s="85"/>
      <c r="AG285" s="85"/>
      <c r="AH285" s="85"/>
      <c r="AI285" s="85"/>
      <c r="AJ285" s="85"/>
      <c r="AK285" s="85"/>
      <c r="AL285" s="85"/>
    </row>
    <row r="286" spans="1:38" s="80" customFormat="1" x14ac:dyDescent="0.25">
      <c r="A286" s="116"/>
      <c r="B286" s="115"/>
      <c r="C286" s="115"/>
      <c r="D286" s="115"/>
      <c r="E286" s="115"/>
      <c r="F286" s="115"/>
      <c r="H286" s="95">
        <v>281</v>
      </c>
      <c r="I286" s="96" t="str">
        <f t="shared" si="25"/>
        <v/>
      </c>
      <c r="J286" s="95" t="e">
        <f t="shared" si="26"/>
        <v>#NUM!</v>
      </c>
      <c r="K286" s="95" t="e">
        <f t="shared" si="27"/>
        <v>#NUM!</v>
      </c>
      <c r="L286" s="95"/>
      <c r="M286" s="97">
        <f t="shared" si="28"/>
        <v>0</v>
      </c>
      <c r="S286" s="85"/>
      <c r="T286" s="85"/>
      <c r="U286" s="85"/>
      <c r="V286" s="85"/>
      <c r="W286" s="85"/>
      <c r="X286" s="85"/>
      <c r="Y286" s="85"/>
      <c r="Z286" s="85"/>
      <c r="AA286" s="85"/>
      <c r="AB286" s="85"/>
      <c r="AC286" s="85"/>
      <c r="AD286" s="85"/>
      <c r="AE286" s="85"/>
      <c r="AF286" s="85"/>
      <c r="AG286" s="85"/>
      <c r="AH286" s="85"/>
      <c r="AI286" s="85"/>
      <c r="AJ286" s="85"/>
      <c r="AK286" s="85"/>
      <c r="AL286" s="85"/>
    </row>
    <row r="287" spans="1:38" s="80" customFormat="1" x14ac:dyDescent="0.25">
      <c r="A287" s="116"/>
      <c r="B287" s="115"/>
      <c r="C287" s="115"/>
      <c r="D287" s="115"/>
      <c r="E287" s="115"/>
      <c r="F287" s="115"/>
      <c r="H287" s="99">
        <v>282</v>
      </c>
      <c r="I287" s="96" t="str">
        <f t="shared" si="25"/>
        <v/>
      </c>
      <c r="J287" s="95" t="e">
        <f t="shared" si="26"/>
        <v>#NUM!</v>
      </c>
      <c r="K287" s="95" t="e">
        <f t="shared" si="27"/>
        <v>#NUM!</v>
      </c>
      <c r="L287" s="95"/>
      <c r="M287" s="97">
        <f t="shared" si="28"/>
        <v>0</v>
      </c>
      <c r="S287" s="85"/>
      <c r="T287" s="85"/>
      <c r="U287" s="85"/>
      <c r="V287" s="85"/>
      <c r="W287" s="85"/>
      <c r="X287" s="85"/>
      <c r="Y287" s="85"/>
      <c r="Z287" s="85"/>
      <c r="AA287" s="85"/>
      <c r="AB287" s="85"/>
      <c r="AC287" s="85"/>
      <c r="AD287" s="85"/>
      <c r="AE287" s="85"/>
      <c r="AF287" s="85"/>
      <c r="AG287" s="85"/>
      <c r="AH287" s="85"/>
      <c r="AI287" s="85"/>
      <c r="AJ287" s="85"/>
      <c r="AK287" s="85"/>
      <c r="AL287" s="85"/>
    </row>
    <row r="288" spans="1:38" s="80" customFormat="1" x14ac:dyDescent="0.25">
      <c r="A288" s="116"/>
      <c r="B288" s="115"/>
      <c r="C288" s="115"/>
      <c r="D288" s="115"/>
      <c r="E288" s="115"/>
      <c r="F288" s="115"/>
      <c r="H288" s="95">
        <v>283</v>
      </c>
      <c r="I288" s="96" t="str">
        <f t="shared" si="25"/>
        <v/>
      </c>
      <c r="J288" s="95" t="e">
        <f t="shared" si="26"/>
        <v>#NUM!</v>
      </c>
      <c r="K288" s="95" t="e">
        <f t="shared" si="27"/>
        <v>#NUM!</v>
      </c>
      <c r="L288" s="95"/>
      <c r="M288" s="97">
        <f t="shared" si="28"/>
        <v>0</v>
      </c>
      <c r="S288" s="85"/>
      <c r="T288" s="85"/>
      <c r="U288" s="85"/>
      <c r="V288" s="85"/>
      <c r="W288" s="85"/>
      <c r="X288" s="85"/>
      <c r="Y288" s="85"/>
      <c r="Z288" s="85"/>
      <c r="AA288" s="85"/>
      <c r="AB288" s="85"/>
      <c r="AC288" s="85"/>
      <c r="AD288" s="85"/>
      <c r="AE288" s="85"/>
      <c r="AF288" s="85"/>
      <c r="AG288" s="85"/>
      <c r="AH288" s="85"/>
      <c r="AI288" s="85"/>
      <c r="AJ288" s="85"/>
      <c r="AK288" s="85"/>
      <c r="AL288" s="85"/>
    </row>
    <row r="289" spans="1:38" s="80" customFormat="1" x14ac:dyDescent="0.25">
      <c r="A289" s="116"/>
      <c r="B289" s="115"/>
      <c r="C289" s="115"/>
      <c r="D289" s="115"/>
      <c r="E289" s="115"/>
      <c r="F289" s="115"/>
      <c r="H289" s="99">
        <v>284</v>
      </c>
      <c r="I289" s="96" t="str">
        <f t="shared" si="25"/>
        <v/>
      </c>
      <c r="J289" s="95" t="e">
        <f t="shared" si="26"/>
        <v>#NUM!</v>
      </c>
      <c r="K289" s="95" t="e">
        <f t="shared" si="27"/>
        <v>#NUM!</v>
      </c>
      <c r="L289" s="95"/>
      <c r="M289" s="97">
        <f t="shared" si="28"/>
        <v>0</v>
      </c>
      <c r="S289" s="85"/>
      <c r="T289" s="85"/>
      <c r="U289" s="85"/>
      <c r="V289" s="85"/>
      <c r="W289" s="85"/>
      <c r="X289" s="85"/>
      <c r="Y289" s="85"/>
      <c r="Z289" s="85"/>
      <c r="AA289" s="85"/>
      <c r="AB289" s="85"/>
      <c r="AC289" s="85"/>
      <c r="AD289" s="85"/>
      <c r="AE289" s="85"/>
      <c r="AF289" s="85"/>
      <c r="AG289" s="85"/>
      <c r="AH289" s="85"/>
      <c r="AI289" s="85"/>
      <c r="AJ289" s="85"/>
      <c r="AK289" s="85"/>
      <c r="AL289" s="85"/>
    </row>
    <row r="290" spans="1:38" s="80" customFormat="1" x14ac:dyDescent="0.25">
      <c r="A290" s="116"/>
      <c r="B290" s="115"/>
      <c r="C290" s="115"/>
      <c r="D290" s="115"/>
      <c r="E290" s="115"/>
      <c r="F290" s="115"/>
      <c r="H290" s="95">
        <v>285</v>
      </c>
      <c r="I290" s="96" t="str">
        <f t="shared" si="25"/>
        <v/>
      </c>
      <c r="J290" s="95" t="e">
        <f t="shared" si="26"/>
        <v>#NUM!</v>
      </c>
      <c r="K290" s="95" t="e">
        <f t="shared" si="27"/>
        <v>#NUM!</v>
      </c>
      <c r="L290" s="95"/>
      <c r="M290" s="97">
        <f t="shared" si="28"/>
        <v>0</v>
      </c>
      <c r="S290" s="85"/>
      <c r="T290" s="85"/>
      <c r="U290" s="85"/>
      <c r="V290" s="85"/>
      <c r="W290" s="85"/>
      <c r="X290" s="85"/>
      <c r="Y290" s="85"/>
      <c r="Z290" s="85"/>
      <c r="AA290" s="85"/>
      <c r="AB290" s="85"/>
      <c r="AC290" s="85"/>
      <c r="AD290" s="85"/>
      <c r="AE290" s="85"/>
      <c r="AF290" s="85"/>
      <c r="AG290" s="85"/>
      <c r="AH290" s="85"/>
      <c r="AI290" s="85"/>
      <c r="AJ290" s="85"/>
      <c r="AK290" s="85"/>
      <c r="AL290" s="85"/>
    </row>
    <row r="291" spans="1:38" s="80" customFormat="1" x14ac:dyDescent="0.25">
      <c r="A291" s="116"/>
      <c r="B291" s="115"/>
      <c r="C291" s="115"/>
      <c r="D291" s="115"/>
      <c r="E291" s="115"/>
      <c r="F291" s="115"/>
      <c r="H291" s="99">
        <v>286</v>
      </c>
      <c r="I291" s="96" t="str">
        <f t="shared" si="25"/>
        <v/>
      </c>
      <c r="J291" s="95" t="e">
        <f t="shared" si="26"/>
        <v>#NUM!</v>
      </c>
      <c r="K291" s="95" t="e">
        <f t="shared" si="27"/>
        <v>#NUM!</v>
      </c>
      <c r="L291" s="95"/>
      <c r="M291" s="97">
        <f t="shared" si="28"/>
        <v>0</v>
      </c>
      <c r="S291" s="85"/>
      <c r="T291" s="85"/>
      <c r="U291" s="85"/>
      <c r="V291" s="85"/>
      <c r="W291" s="85"/>
      <c r="X291" s="85"/>
      <c r="Y291" s="85"/>
      <c r="Z291" s="85"/>
      <c r="AA291" s="85"/>
      <c r="AB291" s="85"/>
      <c r="AC291" s="85"/>
      <c r="AD291" s="85"/>
      <c r="AE291" s="85"/>
      <c r="AF291" s="85"/>
      <c r="AG291" s="85"/>
      <c r="AH291" s="85"/>
      <c r="AI291" s="85"/>
      <c r="AJ291" s="85"/>
      <c r="AK291" s="85"/>
      <c r="AL291" s="85"/>
    </row>
    <row r="292" spans="1:38" s="80" customFormat="1" x14ac:dyDescent="0.25">
      <c r="A292" s="116"/>
      <c r="B292" s="115"/>
      <c r="C292" s="115"/>
      <c r="D292" s="115"/>
      <c r="E292" s="115"/>
      <c r="F292" s="115"/>
      <c r="H292" s="95">
        <v>287</v>
      </c>
      <c r="I292" s="96" t="str">
        <f t="shared" si="25"/>
        <v/>
      </c>
      <c r="J292" s="95" t="e">
        <f t="shared" si="26"/>
        <v>#NUM!</v>
      </c>
      <c r="K292" s="95" t="e">
        <f t="shared" si="27"/>
        <v>#NUM!</v>
      </c>
      <c r="L292" s="95"/>
      <c r="M292" s="97">
        <f t="shared" si="28"/>
        <v>0</v>
      </c>
      <c r="S292" s="85"/>
      <c r="T292" s="85"/>
      <c r="U292" s="85"/>
      <c r="V292" s="85"/>
      <c r="W292" s="85"/>
      <c r="X292" s="85"/>
      <c r="Y292" s="85"/>
      <c r="Z292" s="85"/>
      <c r="AA292" s="85"/>
      <c r="AB292" s="85"/>
      <c r="AC292" s="85"/>
      <c r="AD292" s="85"/>
      <c r="AE292" s="85"/>
      <c r="AF292" s="85"/>
      <c r="AG292" s="85"/>
      <c r="AH292" s="85"/>
      <c r="AI292" s="85"/>
      <c r="AJ292" s="85"/>
      <c r="AK292" s="85"/>
      <c r="AL292" s="85"/>
    </row>
    <row r="293" spans="1:38" s="80" customFormat="1" x14ac:dyDescent="0.25">
      <c r="A293" s="116"/>
      <c r="B293" s="115"/>
      <c r="C293" s="115"/>
      <c r="D293" s="115"/>
      <c r="E293" s="115"/>
      <c r="F293" s="115"/>
      <c r="H293" s="95">
        <v>288</v>
      </c>
      <c r="I293" s="96" t="str">
        <f t="shared" si="25"/>
        <v/>
      </c>
      <c r="J293" s="95" t="e">
        <f t="shared" si="26"/>
        <v>#NUM!</v>
      </c>
      <c r="K293" s="95" t="e">
        <f t="shared" si="27"/>
        <v>#NUM!</v>
      </c>
      <c r="L293" s="95"/>
      <c r="M293" s="97">
        <f t="shared" si="28"/>
        <v>0</v>
      </c>
      <c r="S293" s="85"/>
      <c r="T293" s="85"/>
      <c r="U293" s="85"/>
      <c r="V293" s="85"/>
      <c r="W293" s="85"/>
      <c r="X293" s="85"/>
      <c r="Y293" s="85"/>
      <c r="Z293" s="85"/>
      <c r="AA293" s="85"/>
      <c r="AB293" s="85"/>
      <c r="AC293" s="85"/>
      <c r="AD293" s="85"/>
      <c r="AE293" s="85"/>
      <c r="AF293" s="85"/>
      <c r="AG293" s="85"/>
      <c r="AH293" s="85"/>
      <c r="AI293" s="85"/>
      <c r="AJ293" s="85"/>
      <c r="AK293" s="85"/>
      <c r="AL293" s="85"/>
    </row>
    <row r="294" spans="1:38" s="80" customFormat="1" x14ac:dyDescent="0.25">
      <c r="A294" s="116"/>
      <c r="B294" s="115"/>
      <c r="C294" s="115"/>
      <c r="D294" s="115"/>
      <c r="E294" s="115"/>
      <c r="F294" s="115"/>
      <c r="H294" s="95">
        <v>289</v>
      </c>
      <c r="I294" s="96" t="str">
        <f t="shared" si="25"/>
        <v/>
      </c>
      <c r="J294" s="95" t="e">
        <f t="shared" si="26"/>
        <v>#NUM!</v>
      </c>
      <c r="K294" s="95" t="e">
        <f t="shared" si="27"/>
        <v>#NUM!</v>
      </c>
      <c r="L294" s="95"/>
      <c r="M294" s="97">
        <f t="shared" si="28"/>
        <v>0</v>
      </c>
      <c r="S294" s="85"/>
      <c r="T294" s="85"/>
      <c r="U294" s="85"/>
      <c r="V294" s="85"/>
      <c r="W294" s="85"/>
      <c r="X294" s="85"/>
      <c r="Y294" s="85"/>
      <c r="Z294" s="85"/>
      <c r="AA294" s="85"/>
      <c r="AB294" s="85"/>
      <c r="AC294" s="85"/>
      <c r="AD294" s="85"/>
      <c r="AE294" s="85"/>
      <c r="AF294" s="85"/>
      <c r="AG294" s="85"/>
      <c r="AH294" s="85"/>
      <c r="AI294" s="85"/>
      <c r="AJ294" s="85"/>
      <c r="AK294" s="85"/>
      <c r="AL294" s="85"/>
    </row>
    <row r="295" spans="1:38" s="80" customFormat="1" x14ac:dyDescent="0.25">
      <c r="A295" s="116"/>
      <c r="B295" s="115"/>
      <c r="C295" s="115"/>
      <c r="D295" s="115"/>
      <c r="E295" s="115"/>
      <c r="F295" s="115"/>
      <c r="H295" s="95">
        <v>290</v>
      </c>
      <c r="I295" s="96" t="str">
        <f t="shared" si="25"/>
        <v/>
      </c>
      <c r="J295" s="95" t="e">
        <f t="shared" si="26"/>
        <v>#NUM!</v>
      </c>
      <c r="K295" s="95" t="e">
        <f t="shared" si="27"/>
        <v>#NUM!</v>
      </c>
      <c r="L295" s="95"/>
      <c r="M295" s="97">
        <f t="shared" si="28"/>
        <v>0</v>
      </c>
      <c r="S295" s="85"/>
      <c r="T295" s="85"/>
      <c r="U295" s="85"/>
      <c r="V295" s="85"/>
      <c r="W295" s="85"/>
      <c r="X295" s="85"/>
      <c r="Y295" s="85"/>
      <c r="Z295" s="85"/>
      <c r="AA295" s="85"/>
      <c r="AB295" s="85"/>
      <c r="AC295" s="85"/>
      <c r="AD295" s="85"/>
      <c r="AE295" s="85"/>
      <c r="AF295" s="85"/>
      <c r="AG295" s="85"/>
      <c r="AH295" s="85"/>
      <c r="AI295" s="85"/>
      <c r="AJ295" s="85"/>
      <c r="AK295" s="85"/>
      <c r="AL295" s="85"/>
    </row>
    <row r="296" spans="1:38" s="80" customFormat="1" x14ac:dyDescent="0.25">
      <c r="A296" s="116"/>
      <c r="B296" s="115"/>
      <c r="C296" s="115"/>
      <c r="D296" s="115"/>
      <c r="E296" s="115"/>
      <c r="F296" s="115"/>
      <c r="H296" s="95">
        <v>291</v>
      </c>
      <c r="I296" s="96" t="str">
        <f t="shared" si="25"/>
        <v/>
      </c>
      <c r="J296" s="95" t="e">
        <f t="shared" si="26"/>
        <v>#NUM!</v>
      </c>
      <c r="K296" s="95" t="e">
        <f t="shared" si="27"/>
        <v>#NUM!</v>
      </c>
      <c r="L296" s="95"/>
      <c r="M296" s="97">
        <f t="shared" si="28"/>
        <v>0</v>
      </c>
      <c r="S296" s="85"/>
      <c r="T296" s="85"/>
      <c r="U296" s="85"/>
      <c r="V296" s="85"/>
      <c r="W296" s="85"/>
      <c r="X296" s="85"/>
      <c r="Y296" s="85"/>
      <c r="Z296" s="85"/>
      <c r="AA296" s="85"/>
      <c r="AB296" s="85"/>
      <c r="AC296" s="85"/>
      <c r="AD296" s="85"/>
      <c r="AE296" s="85"/>
      <c r="AF296" s="85"/>
      <c r="AG296" s="85"/>
      <c r="AH296" s="85"/>
      <c r="AI296" s="85"/>
      <c r="AJ296" s="85"/>
      <c r="AK296" s="85"/>
      <c r="AL296" s="85"/>
    </row>
    <row r="297" spans="1:38" s="80" customFormat="1" x14ac:dyDescent="0.25">
      <c r="A297" s="116"/>
      <c r="B297" s="115"/>
      <c r="C297" s="115"/>
      <c r="D297" s="115"/>
      <c r="E297" s="115"/>
      <c r="F297" s="115"/>
      <c r="H297" s="95">
        <v>292</v>
      </c>
      <c r="I297" s="96" t="str">
        <f t="shared" si="25"/>
        <v/>
      </c>
      <c r="J297" s="95" t="e">
        <f t="shared" si="26"/>
        <v>#NUM!</v>
      </c>
      <c r="K297" s="95" t="e">
        <f t="shared" si="27"/>
        <v>#NUM!</v>
      </c>
      <c r="L297" s="95"/>
      <c r="M297" s="97">
        <f t="shared" si="28"/>
        <v>0</v>
      </c>
      <c r="S297" s="85"/>
      <c r="T297" s="85"/>
      <c r="U297" s="85"/>
      <c r="V297" s="85"/>
      <c r="W297" s="85"/>
      <c r="X297" s="85"/>
      <c r="Y297" s="85"/>
      <c r="Z297" s="85"/>
      <c r="AA297" s="85"/>
      <c r="AB297" s="85"/>
      <c r="AC297" s="85"/>
      <c r="AD297" s="85"/>
      <c r="AE297" s="85"/>
      <c r="AF297" s="85"/>
      <c r="AG297" s="85"/>
      <c r="AH297" s="85"/>
      <c r="AI297" s="85"/>
      <c r="AJ297" s="85"/>
      <c r="AK297" s="85"/>
      <c r="AL297" s="85"/>
    </row>
    <row r="298" spans="1:38" s="80" customFormat="1" x14ac:dyDescent="0.25">
      <c r="A298" s="116"/>
      <c r="B298" s="115"/>
      <c r="C298" s="115"/>
      <c r="D298" s="115"/>
      <c r="E298" s="115"/>
      <c r="F298" s="115"/>
      <c r="H298" s="95">
        <v>293</v>
      </c>
      <c r="I298" s="96" t="str">
        <f t="shared" si="25"/>
        <v/>
      </c>
      <c r="J298" s="95" t="e">
        <f t="shared" si="26"/>
        <v>#NUM!</v>
      </c>
      <c r="K298" s="95" t="e">
        <f t="shared" si="27"/>
        <v>#NUM!</v>
      </c>
      <c r="L298" s="95"/>
      <c r="M298" s="97">
        <f t="shared" si="28"/>
        <v>0</v>
      </c>
      <c r="S298" s="85"/>
      <c r="T298" s="85"/>
      <c r="U298" s="85"/>
      <c r="V298" s="85"/>
      <c r="W298" s="85"/>
      <c r="X298" s="85"/>
      <c r="Y298" s="85"/>
      <c r="Z298" s="85"/>
      <c r="AA298" s="85"/>
      <c r="AB298" s="85"/>
      <c r="AC298" s="85"/>
      <c r="AD298" s="85"/>
      <c r="AE298" s="85"/>
      <c r="AF298" s="85"/>
      <c r="AG298" s="85"/>
      <c r="AH298" s="85"/>
      <c r="AI298" s="85"/>
      <c r="AJ298" s="85"/>
      <c r="AK298" s="85"/>
      <c r="AL298" s="85"/>
    </row>
    <row r="299" spans="1:38" s="80" customFormat="1" x14ac:dyDescent="0.25">
      <c r="A299" s="116"/>
      <c r="B299" s="115"/>
      <c r="C299" s="115"/>
      <c r="D299" s="115"/>
      <c r="E299" s="115"/>
      <c r="F299" s="115"/>
      <c r="H299" s="95">
        <v>294</v>
      </c>
      <c r="I299" s="96" t="str">
        <f t="shared" si="25"/>
        <v/>
      </c>
      <c r="J299" s="95" t="e">
        <f t="shared" si="26"/>
        <v>#NUM!</v>
      </c>
      <c r="K299" s="95" t="e">
        <f t="shared" si="27"/>
        <v>#NUM!</v>
      </c>
      <c r="L299" s="95"/>
      <c r="M299" s="97">
        <f t="shared" si="28"/>
        <v>0</v>
      </c>
      <c r="S299" s="85"/>
      <c r="T299" s="85"/>
      <c r="U299" s="85"/>
      <c r="V299" s="85"/>
      <c r="W299" s="85"/>
      <c r="X299" s="85"/>
      <c r="Y299" s="85"/>
      <c r="Z299" s="85"/>
      <c r="AA299" s="85"/>
      <c r="AB299" s="85"/>
      <c r="AC299" s="85"/>
      <c r="AD299" s="85"/>
      <c r="AE299" s="85"/>
      <c r="AF299" s="85"/>
      <c r="AG299" s="85"/>
      <c r="AH299" s="85"/>
      <c r="AI299" s="85"/>
      <c r="AJ299" s="85"/>
      <c r="AK299" s="85"/>
      <c r="AL299" s="85"/>
    </row>
    <row r="300" spans="1:38" s="80" customFormat="1" x14ac:dyDescent="0.25">
      <c r="A300" s="116"/>
      <c r="B300" s="115"/>
      <c r="C300" s="115"/>
      <c r="D300" s="115"/>
      <c r="E300" s="115"/>
      <c r="F300" s="115"/>
      <c r="H300" s="95">
        <v>295</v>
      </c>
      <c r="I300" s="96" t="str">
        <f t="shared" si="25"/>
        <v/>
      </c>
      <c r="J300" s="95" t="e">
        <f t="shared" si="26"/>
        <v>#NUM!</v>
      </c>
      <c r="K300" s="95" t="e">
        <f t="shared" si="27"/>
        <v>#NUM!</v>
      </c>
      <c r="L300" s="95"/>
      <c r="M300" s="97">
        <f t="shared" si="28"/>
        <v>0</v>
      </c>
      <c r="S300" s="85"/>
      <c r="T300" s="85"/>
      <c r="U300" s="85"/>
      <c r="V300" s="85"/>
      <c r="W300" s="85"/>
      <c r="X300" s="85"/>
      <c r="Y300" s="85"/>
      <c r="Z300" s="85"/>
      <c r="AA300" s="85"/>
      <c r="AB300" s="85"/>
      <c r="AC300" s="85"/>
      <c r="AD300" s="85"/>
      <c r="AE300" s="85"/>
      <c r="AF300" s="85"/>
      <c r="AG300" s="85"/>
      <c r="AH300" s="85"/>
      <c r="AI300" s="85"/>
      <c r="AJ300" s="85"/>
      <c r="AK300" s="85"/>
      <c r="AL300" s="85"/>
    </row>
    <row r="301" spans="1:38" s="80" customFormat="1" x14ac:dyDescent="0.25">
      <c r="A301" s="116"/>
      <c r="B301" s="115"/>
      <c r="C301" s="115"/>
      <c r="D301" s="115"/>
      <c r="E301" s="115"/>
      <c r="F301" s="115"/>
      <c r="H301" s="95">
        <v>296</v>
      </c>
      <c r="I301" s="96" t="str">
        <f t="shared" si="25"/>
        <v/>
      </c>
      <c r="J301" s="95" t="e">
        <f t="shared" si="26"/>
        <v>#NUM!</v>
      </c>
      <c r="K301" s="95" t="e">
        <f t="shared" si="27"/>
        <v>#NUM!</v>
      </c>
      <c r="L301" s="95"/>
      <c r="M301" s="97">
        <f t="shared" si="28"/>
        <v>0</v>
      </c>
      <c r="S301" s="85"/>
      <c r="T301" s="85"/>
      <c r="U301" s="85"/>
      <c r="V301" s="85"/>
      <c r="W301" s="85"/>
      <c r="X301" s="85"/>
      <c r="Y301" s="85"/>
      <c r="Z301" s="85"/>
      <c r="AA301" s="85"/>
      <c r="AB301" s="85"/>
      <c r="AC301" s="85"/>
      <c r="AD301" s="85"/>
      <c r="AE301" s="85"/>
      <c r="AF301" s="85"/>
      <c r="AG301" s="85"/>
      <c r="AH301" s="85"/>
      <c r="AI301" s="85"/>
      <c r="AJ301" s="85"/>
      <c r="AK301" s="85"/>
      <c r="AL301" s="85"/>
    </row>
    <row r="302" spans="1:38" s="80" customFormat="1" x14ac:dyDescent="0.25">
      <c r="A302" s="116"/>
      <c r="B302" s="115"/>
      <c r="C302" s="115"/>
      <c r="D302" s="115"/>
      <c r="E302" s="115"/>
      <c r="F302" s="115"/>
      <c r="H302" s="95">
        <v>297</v>
      </c>
      <c r="I302" s="96" t="str">
        <f t="shared" si="25"/>
        <v/>
      </c>
      <c r="J302" s="95" t="e">
        <f t="shared" si="26"/>
        <v>#NUM!</v>
      </c>
      <c r="K302" s="95" t="e">
        <f t="shared" si="27"/>
        <v>#NUM!</v>
      </c>
      <c r="L302" s="95"/>
      <c r="M302" s="97">
        <f t="shared" si="28"/>
        <v>0</v>
      </c>
      <c r="S302" s="85"/>
      <c r="T302" s="85"/>
      <c r="U302" s="85"/>
      <c r="V302" s="85"/>
      <c r="W302" s="85"/>
      <c r="X302" s="85"/>
      <c r="Y302" s="85"/>
      <c r="Z302" s="85"/>
      <c r="AA302" s="85"/>
      <c r="AB302" s="85"/>
      <c r="AC302" s="85"/>
      <c r="AD302" s="85"/>
      <c r="AE302" s="85"/>
      <c r="AF302" s="85"/>
      <c r="AG302" s="85"/>
      <c r="AH302" s="85"/>
      <c r="AI302" s="85"/>
      <c r="AJ302" s="85"/>
      <c r="AK302" s="85"/>
      <c r="AL302" s="85"/>
    </row>
    <row r="303" spans="1:38" s="80" customFormat="1" x14ac:dyDescent="0.25">
      <c r="A303" s="116"/>
      <c r="B303" s="115"/>
      <c r="C303" s="115"/>
      <c r="D303" s="115"/>
      <c r="E303" s="115"/>
      <c r="F303" s="115"/>
      <c r="H303" s="95">
        <v>298</v>
      </c>
      <c r="I303" s="96" t="str">
        <f t="shared" si="25"/>
        <v/>
      </c>
      <c r="J303" s="95" t="e">
        <f t="shared" si="26"/>
        <v>#NUM!</v>
      </c>
      <c r="K303" s="95" t="e">
        <f t="shared" si="27"/>
        <v>#NUM!</v>
      </c>
      <c r="L303" s="95"/>
      <c r="M303" s="97">
        <f t="shared" si="28"/>
        <v>0</v>
      </c>
      <c r="S303" s="85"/>
      <c r="T303" s="85"/>
      <c r="U303" s="85"/>
      <c r="V303" s="85"/>
      <c r="W303" s="85"/>
      <c r="X303" s="85"/>
      <c r="Y303" s="85"/>
      <c r="Z303" s="85"/>
      <c r="AA303" s="85"/>
      <c r="AB303" s="85"/>
      <c r="AC303" s="85"/>
      <c r="AD303" s="85"/>
      <c r="AE303" s="85"/>
      <c r="AF303" s="85"/>
      <c r="AG303" s="85"/>
      <c r="AH303" s="85"/>
      <c r="AI303" s="85"/>
      <c r="AJ303" s="85"/>
      <c r="AK303" s="85"/>
      <c r="AL303" s="85"/>
    </row>
    <row r="304" spans="1:38" s="80" customFormat="1" x14ac:dyDescent="0.25">
      <c r="A304" s="116"/>
      <c r="B304" s="115"/>
      <c r="C304" s="115"/>
      <c r="D304" s="115"/>
      <c r="E304" s="115"/>
      <c r="F304" s="115"/>
      <c r="H304" s="95">
        <v>299</v>
      </c>
      <c r="I304" s="96" t="str">
        <f t="shared" si="25"/>
        <v/>
      </c>
      <c r="J304" s="95" t="e">
        <f t="shared" si="26"/>
        <v>#NUM!</v>
      </c>
      <c r="K304" s="95" t="e">
        <f t="shared" si="27"/>
        <v>#NUM!</v>
      </c>
      <c r="L304" s="95"/>
      <c r="M304" s="97">
        <f t="shared" si="28"/>
        <v>0</v>
      </c>
      <c r="S304" s="85"/>
      <c r="T304" s="85"/>
      <c r="U304" s="85"/>
      <c r="V304" s="85"/>
      <c r="W304" s="85"/>
      <c r="X304" s="85"/>
      <c r="Y304" s="85"/>
      <c r="Z304" s="85"/>
      <c r="AA304" s="85"/>
      <c r="AB304" s="85"/>
      <c r="AC304" s="85"/>
      <c r="AD304" s="85"/>
      <c r="AE304" s="85"/>
      <c r="AF304" s="85"/>
      <c r="AG304" s="85"/>
      <c r="AH304" s="85"/>
      <c r="AI304" s="85"/>
      <c r="AJ304" s="85"/>
      <c r="AK304" s="85"/>
      <c r="AL304" s="85"/>
    </row>
    <row r="305" spans="1:38" s="80" customFormat="1" x14ac:dyDescent="0.25">
      <c r="A305" s="116"/>
      <c r="B305" s="115"/>
      <c r="C305" s="115"/>
      <c r="D305" s="115"/>
      <c r="E305" s="115"/>
      <c r="F305" s="115"/>
      <c r="H305" s="95">
        <v>300</v>
      </c>
      <c r="I305" s="96" t="str">
        <f t="shared" si="25"/>
        <v/>
      </c>
      <c r="J305" s="95" t="e">
        <f t="shared" si="26"/>
        <v>#NUM!</v>
      </c>
      <c r="K305" s="95" t="e">
        <f t="shared" si="27"/>
        <v>#NUM!</v>
      </c>
      <c r="L305" s="95"/>
      <c r="M305" s="97">
        <f t="shared" si="28"/>
        <v>0</v>
      </c>
      <c r="S305" s="85"/>
      <c r="T305" s="85"/>
      <c r="U305" s="85"/>
      <c r="V305" s="85"/>
      <c r="W305" s="85"/>
      <c r="X305" s="85"/>
      <c r="Y305" s="85"/>
      <c r="Z305" s="85"/>
      <c r="AA305" s="85"/>
      <c r="AB305" s="85"/>
      <c r="AC305" s="85"/>
      <c r="AD305" s="85"/>
      <c r="AE305" s="85"/>
      <c r="AF305" s="85"/>
      <c r="AG305" s="85"/>
      <c r="AH305" s="85"/>
      <c r="AI305" s="85"/>
      <c r="AJ305" s="85"/>
      <c r="AK305" s="85"/>
      <c r="AL305" s="85"/>
    </row>
    <row r="306" spans="1:38" s="80" customFormat="1" x14ac:dyDescent="0.25">
      <c r="A306" s="117"/>
      <c r="B306" s="115"/>
      <c r="C306" s="115"/>
      <c r="D306" s="115"/>
      <c r="E306" s="115"/>
      <c r="F306" s="115"/>
      <c r="G306" s="115"/>
      <c r="H306" s="118"/>
      <c r="I306" s="118"/>
      <c r="J306" s="118"/>
      <c r="K306" s="118"/>
      <c r="L306" s="118"/>
      <c r="M306" s="119"/>
      <c r="S306" s="85"/>
      <c r="T306" s="85"/>
      <c r="U306" s="85"/>
      <c r="V306" s="85"/>
      <c r="W306" s="85"/>
      <c r="X306" s="85"/>
      <c r="Y306" s="85"/>
      <c r="Z306" s="85"/>
      <c r="AA306" s="85"/>
      <c r="AB306" s="85"/>
      <c r="AC306" s="85"/>
      <c r="AD306" s="85"/>
      <c r="AE306" s="85"/>
      <c r="AF306" s="85"/>
      <c r="AG306" s="85"/>
      <c r="AH306" s="85"/>
      <c r="AI306" s="85"/>
      <c r="AJ306" s="85"/>
      <c r="AK306" s="85"/>
      <c r="AL306" s="85"/>
    </row>
    <row r="314" spans="1:38" s="80" customFormat="1" x14ac:dyDescent="0.25">
      <c r="A314" s="115"/>
      <c r="B314" s="115"/>
      <c r="C314" s="115"/>
      <c r="D314" s="115"/>
      <c r="E314" s="115"/>
      <c r="F314" s="115"/>
      <c r="G314" s="115"/>
      <c r="H314" s="118"/>
      <c r="I314" s="118"/>
      <c r="J314" s="118"/>
      <c r="K314" s="118"/>
      <c r="L314" s="120"/>
      <c r="M314" s="119"/>
      <c r="P314" s="107"/>
      <c r="S314" s="85"/>
      <c r="T314" s="85"/>
      <c r="U314" s="85"/>
      <c r="V314" s="85"/>
      <c r="W314" s="85"/>
      <c r="X314" s="85"/>
      <c r="Y314" s="85"/>
      <c r="Z314" s="85"/>
      <c r="AA314" s="85"/>
      <c r="AB314" s="85"/>
      <c r="AC314" s="85"/>
      <c r="AD314" s="85"/>
      <c r="AE314" s="85"/>
      <c r="AF314" s="85"/>
      <c r="AG314" s="85"/>
      <c r="AH314" s="85"/>
      <c r="AI314" s="85"/>
      <c r="AJ314" s="85"/>
      <c r="AK314" s="85"/>
      <c r="AL314" s="85"/>
    </row>
    <row r="315" spans="1:38" s="80" customFormat="1" x14ac:dyDescent="0.25">
      <c r="A315" s="115"/>
      <c r="B315" s="115"/>
      <c r="C315" s="115"/>
      <c r="D315" s="115"/>
      <c r="E315" s="115"/>
      <c r="F315" s="115"/>
      <c r="G315" s="115"/>
      <c r="H315" s="118"/>
      <c r="I315" s="118"/>
      <c r="J315" s="118"/>
      <c r="K315" s="118"/>
      <c r="L315" s="120"/>
      <c r="M315" s="119"/>
      <c r="P315" s="107"/>
      <c r="S315" s="85"/>
      <c r="T315" s="85"/>
      <c r="U315" s="85"/>
      <c r="V315" s="85"/>
      <c r="W315" s="85"/>
      <c r="X315" s="85"/>
      <c r="Y315" s="85"/>
      <c r="Z315" s="85"/>
      <c r="AA315" s="85"/>
      <c r="AB315" s="85"/>
      <c r="AC315" s="85"/>
      <c r="AD315" s="85"/>
      <c r="AE315" s="85"/>
      <c r="AF315" s="85"/>
      <c r="AG315" s="85"/>
      <c r="AH315" s="85"/>
      <c r="AI315" s="85"/>
      <c r="AJ315" s="85"/>
      <c r="AK315" s="85"/>
      <c r="AL315" s="85"/>
    </row>
    <row r="316" spans="1:38" s="80" customFormat="1" x14ac:dyDescent="0.25">
      <c r="A316" s="115"/>
      <c r="B316" s="115"/>
      <c r="C316" s="115"/>
      <c r="D316" s="115"/>
      <c r="E316" s="115"/>
      <c r="F316" s="115"/>
      <c r="G316" s="115"/>
      <c r="H316" s="118"/>
      <c r="I316" s="118"/>
      <c r="J316" s="118"/>
      <c r="K316" s="118"/>
      <c r="L316" s="120"/>
      <c r="M316" s="119"/>
      <c r="P316" s="107"/>
      <c r="S316" s="85"/>
      <c r="T316" s="85"/>
      <c r="U316" s="85"/>
      <c r="V316" s="85"/>
      <c r="W316" s="85"/>
      <c r="X316" s="85"/>
      <c r="Y316" s="85"/>
      <c r="Z316" s="85"/>
      <c r="AA316" s="85"/>
      <c r="AB316" s="85"/>
      <c r="AC316" s="85"/>
      <c r="AD316" s="85"/>
      <c r="AE316" s="85"/>
      <c r="AF316" s="85"/>
      <c r="AG316" s="85"/>
      <c r="AH316" s="85"/>
      <c r="AI316" s="85"/>
      <c r="AJ316" s="85"/>
      <c r="AK316" s="85"/>
      <c r="AL316" s="85"/>
    </row>
    <row r="317" spans="1:38" s="80" customFormat="1" x14ac:dyDescent="0.25">
      <c r="A317" s="115"/>
      <c r="B317" s="115"/>
      <c r="C317" s="115"/>
      <c r="D317" s="115"/>
      <c r="E317" s="115"/>
      <c r="F317" s="115"/>
      <c r="G317" s="115"/>
      <c r="H317" s="118"/>
      <c r="I317" s="118"/>
      <c r="J317" s="118"/>
      <c r="K317" s="118"/>
      <c r="L317" s="120"/>
      <c r="M317" s="119"/>
      <c r="P317" s="107"/>
      <c r="S317" s="85"/>
      <c r="T317" s="85"/>
      <c r="U317" s="85"/>
      <c r="V317" s="85"/>
      <c r="W317" s="85"/>
      <c r="X317" s="85"/>
      <c r="Y317" s="85"/>
      <c r="Z317" s="85"/>
      <c r="AA317" s="85"/>
      <c r="AB317" s="85"/>
      <c r="AC317" s="85"/>
      <c r="AD317" s="85"/>
      <c r="AE317" s="85"/>
      <c r="AF317" s="85"/>
      <c r="AG317" s="85"/>
      <c r="AH317" s="85"/>
      <c r="AI317" s="85"/>
      <c r="AJ317" s="85"/>
      <c r="AK317" s="85"/>
      <c r="AL317" s="85"/>
    </row>
  </sheetData>
  <conditionalFormatting sqref="J6:K305">
    <cfRule type="cellIs" dxfId="15" priority="1" operator="lessThanOr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18B600-8502-427E-A7D1-A2DF6E3762E7}">
  <sheetPr>
    <tabColor rgb="FF92D050"/>
  </sheetPr>
  <dimension ref="A1:AL317"/>
  <sheetViews>
    <sheetView workbookViewId="0">
      <selection activeCell="C2" sqref="C2:C3"/>
    </sheetView>
  </sheetViews>
  <sheetFormatPr defaultColWidth="8.875" defaultRowHeight="14.3" x14ac:dyDescent="0.25"/>
  <cols>
    <col min="1" max="1" width="8" style="115" customWidth="1"/>
    <col min="2" max="2" width="8.25" style="115" customWidth="1"/>
    <col min="3" max="3" width="34.75" style="115" customWidth="1"/>
    <col min="4" max="4" width="11.25" style="115" customWidth="1"/>
    <col min="5" max="6" width="8.875" style="115"/>
    <col min="7" max="7" width="0.875" style="115" customWidth="1"/>
    <col min="8" max="8" width="8.875" style="118"/>
    <col min="9" max="9" width="11" style="118" customWidth="1"/>
    <col min="10" max="10" width="15.25" style="118" customWidth="1"/>
    <col min="11" max="11" width="8.75" style="118" customWidth="1"/>
    <col min="12" max="12" width="11" style="118" customWidth="1"/>
    <col min="13" max="13" width="12.25" style="119" customWidth="1"/>
    <col min="14" max="15" width="13.875" style="80" customWidth="1"/>
    <col min="16" max="18" width="8.875" style="80"/>
    <col min="19" max="20" width="8.875" style="85"/>
    <col min="21" max="21" width="12.125" style="85" customWidth="1"/>
    <col min="22" max="22" width="27.375" style="85" customWidth="1"/>
    <col min="23" max="38" width="8.875" style="85"/>
    <col min="39" max="16384" width="8.875" style="115"/>
  </cols>
  <sheetData>
    <row r="1" spans="1:36" s="85" customFormat="1" x14ac:dyDescent="0.25">
      <c r="A1" s="80"/>
      <c r="B1" s="80"/>
      <c r="C1" s="80"/>
      <c r="D1" s="80"/>
      <c r="E1" s="80"/>
      <c r="F1" s="80"/>
      <c r="G1" s="80"/>
      <c r="H1" s="81" t="s">
        <v>20</v>
      </c>
      <c r="I1" s="82" t="s">
        <v>21</v>
      </c>
      <c r="J1" s="82" t="s">
        <v>22</v>
      </c>
      <c r="K1" s="83" t="s">
        <v>84</v>
      </c>
      <c r="L1" s="84"/>
      <c r="M1" s="84"/>
      <c r="N1" s="80"/>
      <c r="O1" s="80"/>
      <c r="P1" s="80"/>
      <c r="Q1" s="80"/>
      <c r="R1" s="80"/>
    </row>
    <row r="2" spans="1:36" s="85" customFormat="1" ht="14.45" customHeight="1" x14ac:dyDescent="0.25">
      <c r="A2" s="80"/>
      <c r="B2" s="19" t="s">
        <v>24</v>
      </c>
      <c r="C2" s="178" t="s">
        <v>95</v>
      </c>
      <c r="D2" s="67"/>
      <c r="E2" s="20"/>
      <c r="F2" s="20"/>
      <c r="G2" s="20"/>
      <c r="H2" s="86">
        <v>0</v>
      </c>
      <c r="I2" s="87">
        <v>50</v>
      </c>
      <c r="J2" s="87">
        <v>10</v>
      </c>
      <c r="K2" s="121">
        <f>3*H2^(1/3)</f>
        <v>0</v>
      </c>
      <c r="L2" s="84"/>
      <c r="M2" s="84"/>
      <c r="N2" s="80"/>
      <c r="O2" s="80"/>
      <c r="P2" s="80"/>
      <c r="Q2" s="80"/>
      <c r="R2" s="80"/>
    </row>
    <row r="3" spans="1:36" s="85" customFormat="1" ht="14.45" customHeight="1" x14ac:dyDescent="0.25">
      <c r="A3" s="80"/>
      <c r="B3" s="89" t="s">
        <v>26</v>
      </c>
      <c r="C3" s="141" t="s">
        <v>96</v>
      </c>
      <c r="D3" s="68"/>
      <c r="E3" s="25"/>
      <c r="F3" s="25"/>
      <c r="G3" s="25"/>
      <c r="H3" s="84"/>
      <c r="I3" s="84"/>
      <c r="J3" s="90"/>
      <c r="K3" s="84"/>
      <c r="L3" s="84"/>
      <c r="M3" s="84"/>
      <c r="N3" s="80"/>
      <c r="O3" s="80"/>
      <c r="P3" s="80"/>
      <c r="Q3" s="80"/>
      <c r="R3" s="80"/>
    </row>
    <row r="4" spans="1:36" s="85" customFormat="1" ht="10.199999999999999" customHeight="1" x14ac:dyDescent="0.25">
      <c r="A4" s="27"/>
      <c r="B4" s="25"/>
      <c r="C4" s="27"/>
      <c r="D4" s="27"/>
      <c r="E4" s="27"/>
      <c r="F4" s="27"/>
      <c r="G4" s="27"/>
      <c r="H4" s="84"/>
      <c r="I4" s="84"/>
      <c r="J4" s="90"/>
      <c r="K4" s="84"/>
      <c r="L4" s="84"/>
      <c r="M4" s="84"/>
      <c r="N4" s="80"/>
      <c r="O4" s="80"/>
      <c r="P4" s="80"/>
      <c r="Q4" s="80"/>
      <c r="R4" s="80"/>
    </row>
    <row r="5" spans="1:36" s="85" customFormat="1" ht="34.65" x14ac:dyDescent="0.25">
      <c r="A5" s="1" t="s">
        <v>28</v>
      </c>
      <c r="B5" s="28" t="s">
        <v>29</v>
      </c>
      <c r="C5" s="1" t="s">
        <v>30</v>
      </c>
      <c r="D5" s="1" t="s">
        <v>31</v>
      </c>
      <c r="E5" s="1" t="s">
        <v>32</v>
      </c>
      <c r="F5" s="1" t="s">
        <v>33</v>
      </c>
      <c r="G5" s="27"/>
      <c r="H5" s="91" t="s">
        <v>34</v>
      </c>
      <c r="I5" s="92" t="s">
        <v>35</v>
      </c>
      <c r="J5" s="93" t="s">
        <v>36</v>
      </c>
      <c r="K5" s="92" t="s">
        <v>37</v>
      </c>
      <c r="L5" s="92" t="s">
        <v>38</v>
      </c>
      <c r="M5" s="91" t="s">
        <v>39</v>
      </c>
      <c r="N5" s="80"/>
      <c r="O5" s="80"/>
      <c r="P5" s="80"/>
      <c r="Q5" s="80"/>
      <c r="R5" s="80"/>
    </row>
    <row r="6" spans="1:36" s="85" customFormat="1" ht="14.45" customHeight="1" x14ac:dyDescent="0.25">
      <c r="A6" s="94">
        <f t="shared" ref="A6:A37" si="0">M6</f>
        <v>0</v>
      </c>
      <c r="B6" s="33" t="str">
        <f>IF(H6&gt;$H$2,"",(ROW()-5))</f>
        <v/>
      </c>
      <c r="C6" s="34"/>
      <c r="D6" s="34"/>
      <c r="E6" s="34"/>
      <c r="F6" s="34"/>
      <c r="G6" s="27"/>
      <c r="H6" s="95">
        <v>1</v>
      </c>
      <c r="I6" s="96" t="str">
        <f t="shared" ref="I6:I69" si="1">IF(H6&lt;$H$2+1,($I$2-($I$2-1)*(LOG(H6)/LOG($H$2))),"")</f>
        <v/>
      </c>
      <c r="J6" s="95" t="e">
        <f t="shared" ref="J6:J69" si="2">INT(LOG($H$2,2))-ROUNDUP(LOG(H6,2),0)+IF(OR($H$2=1,$H$2=2,$H$2=4,$H$2=8,$H$2=16,$H$2=32,$H$2=64,$H$2=128,$H$2=256),0,1)</f>
        <v>#NUM!</v>
      </c>
      <c r="K6" s="95" t="e">
        <f t="shared" ref="K6:K69" si="3">J6*$J$2</f>
        <v>#NUM!</v>
      </c>
      <c r="L6" s="97">
        <f>3*K2</f>
        <v>0</v>
      </c>
      <c r="M6" s="97">
        <f t="shared" ref="M6:M69" si="4">IF(I6&lt;&gt;"",K6+I6+L6,0)</f>
        <v>0</v>
      </c>
      <c r="N6" s="80"/>
      <c r="O6" s="80"/>
      <c r="P6" s="80"/>
      <c r="Q6" s="80"/>
      <c r="R6" s="80"/>
    </row>
    <row r="7" spans="1:36" s="85" customFormat="1" ht="14.45" customHeight="1" x14ac:dyDescent="0.25">
      <c r="A7" s="98">
        <f t="shared" si="0"/>
        <v>0</v>
      </c>
      <c r="B7" s="39" t="str">
        <f>IF(H7&gt;$H$2,"",(ROW()-5))</f>
        <v/>
      </c>
      <c r="C7" s="40"/>
      <c r="D7" s="40"/>
      <c r="E7" s="40"/>
      <c r="F7" s="40"/>
      <c r="G7" s="27"/>
      <c r="H7" s="99">
        <v>2</v>
      </c>
      <c r="I7" s="100" t="str">
        <f t="shared" si="1"/>
        <v/>
      </c>
      <c r="J7" s="99" t="e">
        <f t="shared" si="2"/>
        <v>#NUM!</v>
      </c>
      <c r="K7" s="99" t="e">
        <f t="shared" si="3"/>
        <v>#NUM!</v>
      </c>
      <c r="L7" s="101">
        <f>2*K2</f>
        <v>0</v>
      </c>
      <c r="M7" s="101">
        <f t="shared" si="4"/>
        <v>0</v>
      </c>
      <c r="N7" s="80"/>
      <c r="O7" s="80"/>
      <c r="P7" s="80"/>
      <c r="Q7" s="80"/>
      <c r="R7" s="80"/>
    </row>
    <row r="8" spans="1:36" s="85" customFormat="1" ht="14.45" customHeight="1" x14ac:dyDescent="0.25">
      <c r="A8" s="94">
        <f t="shared" si="0"/>
        <v>0</v>
      </c>
      <c r="B8" s="33" t="str">
        <f>IF(H8&gt;$H$2,"",(ROW()-5))</f>
        <v/>
      </c>
      <c r="C8" s="34"/>
      <c r="D8" s="34"/>
      <c r="E8" s="34"/>
      <c r="F8" s="34"/>
      <c r="G8" s="27"/>
      <c r="H8" s="95">
        <v>3</v>
      </c>
      <c r="I8" s="96" t="str">
        <f t="shared" si="1"/>
        <v/>
      </c>
      <c r="J8" s="95" t="e">
        <f t="shared" si="2"/>
        <v>#NUM!</v>
      </c>
      <c r="K8" s="95" t="e">
        <f t="shared" si="3"/>
        <v>#NUM!</v>
      </c>
      <c r="L8" s="97">
        <f>K2</f>
        <v>0</v>
      </c>
      <c r="M8" s="97">
        <f t="shared" si="4"/>
        <v>0</v>
      </c>
      <c r="N8" s="80"/>
      <c r="O8" s="80"/>
      <c r="P8" s="80"/>
      <c r="Q8" s="80"/>
      <c r="R8" s="80"/>
    </row>
    <row r="9" spans="1:36" s="85" customFormat="1" ht="14.45" customHeight="1" x14ac:dyDescent="0.25">
      <c r="A9" s="98">
        <f t="shared" si="0"/>
        <v>0</v>
      </c>
      <c r="B9" s="39" t="str">
        <f>IF(H9&gt;$H$2,"",3)</f>
        <v/>
      </c>
      <c r="C9" s="40"/>
      <c r="D9" s="40"/>
      <c r="E9" s="40"/>
      <c r="F9" s="40"/>
      <c r="G9" s="27"/>
      <c r="H9" s="99">
        <v>3</v>
      </c>
      <c r="I9" s="100" t="str">
        <f t="shared" si="1"/>
        <v/>
      </c>
      <c r="J9" s="99" t="e">
        <f t="shared" si="2"/>
        <v>#NUM!</v>
      </c>
      <c r="K9" s="99" t="e">
        <f t="shared" si="3"/>
        <v>#NUM!</v>
      </c>
      <c r="L9" s="101">
        <f>K2</f>
        <v>0</v>
      </c>
      <c r="M9" s="101">
        <f t="shared" si="4"/>
        <v>0</v>
      </c>
      <c r="N9" s="80"/>
      <c r="O9" s="80"/>
      <c r="P9" s="80"/>
      <c r="Q9" s="80"/>
      <c r="R9" s="80"/>
      <c r="V9" s="102"/>
      <c r="Z9" s="103"/>
      <c r="AA9" s="103"/>
      <c r="AG9" s="104"/>
      <c r="AH9" s="85" t="s">
        <v>40</v>
      </c>
      <c r="AI9" s="85">
        <v>23</v>
      </c>
    </row>
    <row r="10" spans="1:36" s="85" customFormat="1" ht="14.45" customHeight="1" x14ac:dyDescent="0.25">
      <c r="A10" s="94">
        <f t="shared" si="0"/>
        <v>0</v>
      </c>
      <c r="B10" s="33" t="str">
        <f t="shared" ref="B10:B41" si="5">IF(H10&gt;$H$2,"",(ROW()-5))</f>
        <v/>
      </c>
      <c r="C10" s="34"/>
      <c r="D10" s="34"/>
      <c r="E10" s="34"/>
      <c r="F10" s="34"/>
      <c r="G10" s="27"/>
      <c r="H10" s="95">
        <v>5</v>
      </c>
      <c r="I10" s="96" t="str">
        <f t="shared" si="1"/>
        <v/>
      </c>
      <c r="J10" s="95" t="e">
        <f t="shared" si="2"/>
        <v>#NUM!</v>
      </c>
      <c r="K10" s="95" t="e">
        <f t="shared" si="3"/>
        <v>#NUM!</v>
      </c>
      <c r="L10" s="95"/>
      <c r="M10" s="97">
        <f t="shared" si="4"/>
        <v>0</v>
      </c>
      <c r="N10" s="80"/>
      <c r="O10" s="80"/>
      <c r="P10" s="80"/>
      <c r="Q10" s="80"/>
      <c r="R10" s="80"/>
      <c r="V10" s="102"/>
      <c r="Z10" s="103"/>
      <c r="AA10" s="103"/>
      <c r="AG10" s="104"/>
      <c r="AH10" s="85" t="s">
        <v>41</v>
      </c>
      <c r="AI10" s="85">
        <v>45</v>
      </c>
    </row>
    <row r="11" spans="1:36" s="85" customFormat="1" ht="14.45" customHeight="1" x14ac:dyDescent="0.25">
      <c r="A11" s="98">
        <f t="shared" si="0"/>
        <v>0</v>
      </c>
      <c r="B11" s="39" t="str">
        <f t="shared" si="5"/>
        <v/>
      </c>
      <c r="C11" s="40"/>
      <c r="D11" s="40"/>
      <c r="E11" s="40"/>
      <c r="F11" s="40"/>
      <c r="G11" s="27"/>
      <c r="H11" s="99">
        <v>6</v>
      </c>
      <c r="I11" s="100" t="str">
        <f t="shared" si="1"/>
        <v/>
      </c>
      <c r="J11" s="99" t="e">
        <f t="shared" si="2"/>
        <v>#NUM!</v>
      </c>
      <c r="K11" s="99" t="e">
        <f t="shared" si="3"/>
        <v>#NUM!</v>
      </c>
      <c r="L11" s="99"/>
      <c r="M11" s="101">
        <f t="shared" si="4"/>
        <v>0</v>
      </c>
      <c r="N11" s="80"/>
      <c r="O11" s="80"/>
      <c r="P11" s="80"/>
      <c r="Q11" s="80"/>
      <c r="R11" s="80"/>
      <c r="V11" s="105"/>
      <c r="Z11" s="103"/>
      <c r="AA11" s="103"/>
      <c r="AG11" s="104"/>
      <c r="AH11" s="85" t="s">
        <v>42</v>
      </c>
      <c r="AI11" s="85">
        <v>50</v>
      </c>
    </row>
    <row r="12" spans="1:36" s="85" customFormat="1" ht="14.45" customHeight="1" x14ac:dyDescent="0.25">
      <c r="A12" s="94">
        <f t="shared" si="0"/>
        <v>0</v>
      </c>
      <c r="B12" s="33" t="str">
        <f t="shared" si="5"/>
        <v/>
      </c>
      <c r="C12" s="34"/>
      <c r="D12" s="34"/>
      <c r="E12" s="34"/>
      <c r="F12" s="34"/>
      <c r="G12" s="27"/>
      <c r="H12" s="95">
        <v>7</v>
      </c>
      <c r="I12" s="96" t="str">
        <f t="shared" si="1"/>
        <v/>
      </c>
      <c r="J12" s="95" t="e">
        <f t="shared" si="2"/>
        <v>#NUM!</v>
      </c>
      <c r="K12" s="95" t="e">
        <f t="shared" si="3"/>
        <v>#NUM!</v>
      </c>
      <c r="L12" s="95"/>
      <c r="M12" s="97">
        <f t="shared" si="4"/>
        <v>0</v>
      </c>
      <c r="N12" s="80"/>
      <c r="O12" s="80"/>
      <c r="P12" s="80"/>
      <c r="Q12" s="80"/>
      <c r="R12" s="80"/>
      <c r="Z12" s="103"/>
      <c r="AA12" s="103"/>
      <c r="AG12" s="104"/>
      <c r="AH12" s="85" t="s">
        <v>43</v>
      </c>
      <c r="AI12" s="85">
        <f>AI11-1</f>
        <v>49</v>
      </c>
    </row>
    <row r="13" spans="1:36" s="85" customFormat="1" ht="14.45" customHeight="1" x14ac:dyDescent="0.25">
      <c r="A13" s="98">
        <f t="shared" si="0"/>
        <v>0</v>
      </c>
      <c r="B13" s="39" t="str">
        <f t="shared" si="5"/>
        <v/>
      </c>
      <c r="C13" s="40"/>
      <c r="D13" s="40"/>
      <c r="E13" s="40"/>
      <c r="F13" s="40"/>
      <c r="G13" s="27"/>
      <c r="H13" s="99">
        <v>8</v>
      </c>
      <c r="I13" s="100" t="str">
        <f t="shared" si="1"/>
        <v/>
      </c>
      <c r="J13" s="99" t="e">
        <f t="shared" si="2"/>
        <v>#NUM!</v>
      </c>
      <c r="K13" s="99" t="e">
        <f t="shared" si="3"/>
        <v>#NUM!</v>
      </c>
      <c r="L13" s="99"/>
      <c r="M13" s="101">
        <f t="shared" si="4"/>
        <v>0</v>
      </c>
      <c r="N13" s="80"/>
      <c r="O13" s="80"/>
      <c r="P13" s="80"/>
      <c r="Q13" s="80"/>
      <c r="R13" s="80"/>
      <c r="X13" s="102"/>
      <c r="AG13" s="104"/>
      <c r="AH13" s="85" t="s">
        <v>44</v>
      </c>
      <c r="AI13" s="85">
        <f>LOG(AI9)</f>
        <v>1.3617278360175928</v>
      </c>
    </row>
    <row r="14" spans="1:36" s="85" customFormat="1" x14ac:dyDescent="0.25">
      <c r="A14" s="94">
        <f t="shared" si="0"/>
        <v>0</v>
      </c>
      <c r="B14" s="33" t="str">
        <f t="shared" si="5"/>
        <v/>
      </c>
      <c r="C14" s="34"/>
      <c r="D14" s="34"/>
      <c r="E14" s="34"/>
      <c r="F14" s="34"/>
      <c r="G14" s="27"/>
      <c r="H14" s="95">
        <v>9</v>
      </c>
      <c r="I14" s="96" t="str">
        <f t="shared" si="1"/>
        <v/>
      </c>
      <c r="J14" s="95" t="e">
        <f t="shared" si="2"/>
        <v>#NUM!</v>
      </c>
      <c r="K14" s="95" t="e">
        <f t="shared" si="3"/>
        <v>#NUM!</v>
      </c>
      <c r="L14" s="95"/>
      <c r="M14" s="97">
        <f t="shared" si="4"/>
        <v>0</v>
      </c>
      <c r="N14" s="80"/>
      <c r="O14" s="80"/>
      <c r="P14" s="80"/>
      <c r="Q14" s="80"/>
      <c r="R14" s="80"/>
      <c r="X14" s="106"/>
      <c r="Z14" s="103"/>
      <c r="AA14" s="103"/>
      <c r="AG14" s="104"/>
      <c r="AH14" s="85" t="s">
        <v>45</v>
      </c>
      <c r="AI14" s="85">
        <f>LOG(AI10)</f>
        <v>1.6532125137753437</v>
      </c>
    </row>
    <row r="15" spans="1:36" s="85" customFormat="1" x14ac:dyDescent="0.25">
      <c r="A15" s="98">
        <f t="shared" si="0"/>
        <v>0</v>
      </c>
      <c r="B15" s="39" t="str">
        <f t="shared" si="5"/>
        <v/>
      </c>
      <c r="C15" s="40"/>
      <c r="D15" s="40"/>
      <c r="E15" s="40"/>
      <c r="F15" s="40"/>
      <c r="G15" s="27"/>
      <c r="H15" s="99">
        <v>10</v>
      </c>
      <c r="I15" s="100" t="str">
        <f t="shared" si="1"/>
        <v/>
      </c>
      <c r="J15" s="99" t="e">
        <f t="shared" si="2"/>
        <v>#NUM!</v>
      </c>
      <c r="K15" s="99" t="e">
        <f t="shared" si="3"/>
        <v>#NUM!</v>
      </c>
      <c r="L15" s="99"/>
      <c r="M15" s="101">
        <f t="shared" si="4"/>
        <v>0</v>
      </c>
      <c r="N15" s="80"/>
      <c r="O15" s="80"/>
      <c r="P15" s="80"/>
      <c r="Q15" s="80"/>
      <c r="R15" s="80"/>
      <c r="X15" s="102"/>
      <c r="Z15" s="103"/>
      <c r="AA15" s="103"/>
    </row>
    <row r="16" spans="1:36" s="85" customFormat="1" x14ac:dyDescent="0.25">
      <c r="A16" s="94">
        <f t="shared" si="0"/>
        <v>0</v>
      </c>
      <c r="B16" s="33" t="str">
        <f t="shared" si="5"/>
        <v/>
      </c>
      <c r="C16" s="34"/>
      <c r="D16" s="34"/>
      <c r="E16" s="34"/>
      <c r="F16" s="34"/>
      <c r="G16" s="27"/>
      <c r="H16" s="95">
        <v>11</v>
      </c>
      <c r="I16" s="96" t="str">
        <f t="shared" si="1"/>
        <v/>
      </c>
      <c r="J16" s="95" t="e">
        <f t="shared" si="2"/>
        <v>#NUM!</v>
      </c>
      <c r="K16" s="95" t="e">
        <f t="shared" si="3"/>
        <v>#NUM!</v>
      </c>
      <c r="L16" s="95"/>
      <c r="M16" s="97">
        <f t="shared" si="4"/>
        <v>0</v>
      </c>
      <c r="N16" s="80"/>
      <c r="O16" s="80"/>
      <c r="P16" s="80"/>
      <c r="Q16" s="80"/>
      <c r="R16" s="107"/>
      <c r="Z16" s="103"/>
      <c r="AA16" s="103"/>
      <c r="AH16" s="108" t="s">
        <v>46</v>
      </c>
      <c r="AI16" s="85">
        <f>AI11-AI12*AI13/AI14</f>
        <v>9.6393909380186855</v>
      </c>
      <c r="AJ16" s="85" t="s">
        <v>47</v>
      </c>
    </row>
    <row r="17" spans="1:19" s="85" customFormat="1" x14ac:dyDescent="0.25">
      <c r="A17" s="98">
        <f t="shared" si="0"/>
        <v>0</v>
      </c>
      <c r="B17" s="39" t="str">
        <f t="shared" si="5"/>
        <v/>
      </c>
      <c r="C17" s="40"/>
      <c r="D17" s="40"/>
      <c r="E17" s="40"/>
      <c r="F17" s="40"/>
      <c r="G17" s="27"/>
      <c r="H17" s="99">
        <v>12</v>
      </c>
      <c r="I17" s="100" t="str">
        <f t="shared" si="1"/>
        <v/>
      </c>
      <c r="J17" s="99" t="e">
        <f t="shared" si="2"/>
        <v>#NUM!</v>
      </c>
      <c r="K17" s="99" t="e">
        <f t="shared" si="3"/>
        <v>#NUM!</v>
      </c>
      <c r="L17" s="99"/>
      <c r="M17" s="101">
        <f t="shared" si="4"/>
        <v>0</v>
      </c>
      <c r="N17" s="80"/>
      <c r="O17" s="80"/>
      <c r="P17" s="80"/>
      <c r="Q17" s="80"/>
      <c r="R17" s="80"/>
    </row>
    <row r="18" spans="1:19" s="85" customFormat="1" x14ac:dyDescent="0.25">
      <c r="A18" s="94">
        <f t="shared" si="0"/>
        <v>0</v>
      </c>
      <c r="B18" s="33" t="str">
        <f t="shared" si="5"/>
        <v/>
      </c>
      <c r="C18" s="34"/>
      <c r="D18" s="34"/>
      <c r="E18" s="34"/>
      <c r="F18" s="34"/>
      <c r="G18" s="27"/>
      <c r="H18" s="95">
        <v>13</v>
      </c>
      <c r="I18" s="96" t="str">
        <f t="shared" si="1"/>
        <v/>
      </c>
      <c r="J18" s="95" t="e">
        <f t="shared" si="2"/>
        <v>#NUM!</v>
      </c>
      <c r="K18" s="95" t="e">
        <f t="shared" si="3"/>
        <v>#NUM!</v>
      </c>
      <c r="L18" s="95"/>
      <c r="M18" s="97">
        <f t="shared" si="4"/>
        <v>0</v>
      </c>
      <c r="N18" s="80"/>
      <c r="O18" s="80"/>
      <c r="P18" s="80"/>
      <c r="Q18" s="80"/>
      <c r="R18" s="80"/>
    </row>
    <row r="19" spans="1:19" s="85" customFormat="1" x14ac:dyDescent="0.25">
      <c r="A19" s="98">
        <f t="shared" si="0"/>
        <v>0</v>
      </c>
      <c r="B19" s="39" t="str">
        <f t="shared" si="5"/>
        <v/>
      </c>
      <c r="C19" s="40"/>
      <c r="D19" s="40"/>
      <c r="E19" s="40"/>
      <c r="F19" s="40"/>
      <c r="G19" s="27"/>
      <c r="H19" s="99">
        <v>14</v>
      </c>
      <c r="I19" s="100" t="str">
        <f t="shared" si="1"/>
        <v/>
      </c>
      <c r="J19" s="99" t="e">
        <f t="shared" si="2"/>
        <v>#NUM!</v>
      </c>
      <c r="K19" s="99" t="e">
        <f t="shared" si="3"/>
        <v>#NUM!</v>
      </c>
      <c r="L19" s="99"/>
      <c r="M19" s="101">
        <f t="shared" si="4"/>
        <v>0</v>
      </c>
      <c r="N19" s="80"/>
      <c r="O19" s="80"/>
      <c r="P19" s="80"/>
      <c r="Q19" s="80"/>
      <c r="R19" s="80"/>
    </row>
    <row r="20" spans="1:19" s="85" customFormat="1" x14ac:dyDescent="0.25">
      <c r="A20" s="94">
        <f t="shared" si="0"/>
        <v>0</v>
      </c>
      <c r="B20" s="33" t="str">
        <f t="shared" si="5"/>
        <v/>
      </c>
      <c r="C20" s="34"/>
      <c r="D20" s="34"/>
      <c r="E20" s="34"/>
      <c r="F20" s="34"/>
      <c r="G20" s="27"/>
      <c r="H20" s="95">
        <v>15</v>
      </c>
      <c r="I20" s="96" t="str">
        <f t="shared" si="1"/>
        <v/>
      </c>
      <c r="J20" s="95" t="e">
        <f t="shared" si="2"/>
        <v>#NUM!</v>
      </c>
      <c r="K20" s="95" t="e">
        <f t="shared" si="3"/>
        <v>#NUM!</v>
      </c>
      <c r="L20" s="95"/>
      <c r="M20" s="97">
        <f t="shared" si="4"/>
        <v>0</v>
      </c>
      <c r="N20" s="80"/>
      <c r="O20" s="80"/>
      <c r="P20" s="80"/>
      <c r="Q20" s="80"/>
      <c r="R20" s="109"/>
      <c r="S20" s="110"/>
    </row>
    <row r="21" spans="1:19" s="85" customFormat="1" x14ac:dyDescent="0.25">
      <c r="A21" s="98">
        <f t="shared" si="0"/>
        <v>0</v>
      </c>
      <c r="B21" s="39" t="str">
        <f t="shared" si="5"/>
        <v/>
      </c>
      <c r="C21" s="40"/>
      <c r="D21" s="40"/>
      <c r="E21" s="40"/>
      <c r="F21" s="40"/>
      <c r="G21" s="27"/>
      <c r="H21" s="99">
        <v>16</v>
      </c>
      <c r="I21" s="100" t="str">
        <f t="shared" si="1"/>
        <v/>
      </c>
      <c r="J21" s="99" t="e">
        <f t="shared" si="2"/>
        <v>#NUM!</v>
      </c>
      <c r="K21" s="99" t="e">
        <f t="shared" si="3"/>
        <v>#NUM!</v>
      </c>
      <c r="L21" s="99"/>
      <c r="M21" s="101">
        <f t="shared" si="4"/>
        <v>0</v>
      </c>
      <c r="N21" s="80"/>
      <c r="O21" s="80"/>
      <c r="P21" s="80"/>
      <c r="Q21" s="80"/>
      <c r="R21" s="80"/>
    </row>
    <row r="22" spans="1:19" s="85" customFormat="1" x14ac:dyDescent="0.25">
      <c r="A22" s="94">
        <f t="shared" si="0"/>
        <v>0</v>
      </c>
      <c r="B22" s="33" t="str">
        <f t="shared" si="5"/>
        <v/>
      </c>
      <c r="C22" s="34"/>
      <c r="D22" s="34"/>
      <c r="E22" s="34"/>
      <c r="F22" s="34"/>
      <c r="G22" s="27"/>
      <c r="H22" s="95">
        <v>17</v>
      </c>
      <c r="I22" s="96" t="str">
        <f t="shared" si="1"/>
        <v/>
      </c>
      <c r="J22" s="95" t="e">
        <f t="shared" si="2"/>
        <v>#NUM!</v>
      </c>
      <c r="K22" s="95" t="e">
        <f t="shared" si="3"/>
        <v>#NUM!</v>
      </c>
      <c r="L22" s="95"/>
      <c r="M22" s="97">
        <f t="shared" si="4"/>
        <v>0</v>
      </c>
      <c r="N22" s="80"/>
      <c r="O22" s="80"/>
      <c r="P22" s="80"/>
      <c r="Q22" s="80"/>
      <c r="R22" s="80"/>
    </row>
    <row r="23" spans="1:19" s="85" customFormat="1" x14ac:dyDescent="0.25">
      <c r="A23" s="98">
        <f t="shared" si="0"/>
        <v>0</v>
      </c>
      <c r="B23" s="39" t="str">
        <f t="shared" si="5"/>
        <v/>
      </c>
      <c r="C23" s="40"/>
      <c r="D23" s="40"/>
      <c r="E23" s="40"/>
      <c r="F23" s="40"/>
      <c r="G23" s="27"/>
      <c r="H23" s="99">
        <v>18</v>
      </c>
      <c r="I23" s="100" t="str">
        <f t="shared" si="1"/>
        <v/>
      </c>
      <c r="J23" s="99" t="e">
        <f t="shared" si="2"/>
        <v>#NUM!</v>
      </c>
      <c r="K23" s="99" t="e">
        <f t="shared" si="3"/>
        <v>#NUM!</v>
      </c>
      <c r="L23" s="99"/>
      <c r="M23" s="101">
        <f t="shared" si="4"/>
        <v>0</v>
      </c>
      <c r="N23" s="80"/>
      <c r="O23" s="80"/>
      <c r="P23" s="80"/>
      <c r="Q23" s="80"/>
      <c r="R23" s="80"/>
    </row>
    <row r="24" spans="1:19" s="85" customFormat="1" x14ac:dyDescent="0.25">
      <c r="A24" s="94">
        <f t="shared" si="0"/>
        <v>0</v>
      </c>
      <c r="B24" s="33" t="str">
        <f t="shared" si="5"/>
        <v/>
      </c>
      <c r="C24" s="34"/>
      <c r="D24" s="34"/>
      <c r="E24" s="34"/>
      <c r="F24" s="34"/>
      <c r="G24" s="27"/>
      <c r="H24" s="95">
        <v>19</v>
      </c>
      <c r="I24" s="96" t="str">
        <f t="shared" si="1"/>
        <v/>
      </c>
      <c r="J24" s="95" t="e">
        <f t="shared" si="2"/>
        <v>#NUM!</v>
      </c>
      <c r="K24" s="95" t="e">
        <f t="shared" si="3"/>
        <v>#NUM!</v>
      </c>
      <c r="L24" s="95"/>
      <c r="M24" s="97">
        <f t="shared" si="4"/>
        <v>0</v>
      </c>
      <c r="N24" s="80"/>
      <c r="O24" s="80"/>
      <c r="P24" s="80"/>
      <c r="Q24" s="80"/>
      <c r="R24" s="109"/>
      <c r="S24" s="110"/>
    </row>
    <row r="25" spans="1:19" s="85" customFormat="1" x14ac:dyDescent="0.25">
      <c r="A25" s="98">
        <f t="shared" si="0"/>
        <v>0</v>
      </c>
      <c r="B25" s="39" t="str">
        <f t="shared" si="5"/>
        <v/>
      </c>
      <c r="C25" s="40"/>
      <c r="D25" s="40"/>
      <c r="E25" s="40"/>
      <c r="F25" s="40"/>
      <c r="G25" s="27"/>
      <c r="H25" s="99">
        <v>20</v>
      </c>
      <c r="I25" s="100" t="str">
        <f t="shared" si="1"/>
        <v/>
      </c>
      <c r="J25" s="99" t="e">
        <f t="shared" si="2"/>
        <v>#NUM!</v>
      </c>
      <c r="K25" s="99" t="e">
        <f t="shared" si="3"/>
        <v>#NUM!</v>
      </c>
      <c r="L25" s="99"/>
      <c r="M25" s="101">
        <f t="shared" si="4"/>
        <v>0</v>
      </c>
      <c r="N25" s="80"/>
      <c r="O25" s="80"/>
      <c r="P25" s="80"/>
      <c r="Q25" s="80"/>
      <c r="R25" s="80"/>
    </row>
    <row r="26" spans="1:19" s="85" customFormat="1" x14ac:dyDescent="0.25">
      <c r="A26" s="94">
        <f t="shared" si="0"/>
        <v>0</v>
      </c>
      <c r="B26" s="33" t="str">
        <f t="shared" si="5"/>
        <v/>
      </c>
      <c r="C26" s="34"/>
      <c r="D26" s="34"/>
      <c r="E26" s="34"/>
      <c r="F26" s="34"/>
      <c r="G26" s="27"/>
      <c r="H26" s="95">
        <v>21</v>
      </c>
      <c r="I26" s="96" t="str">
        <f t="shared" si="1"/>
        <v/>
      </c>
      <c r="J26" s="95" t="e">
        <f t="shared" si="2"/>
        <v>#NUM!</v>
      </c>
      <c r="K26" s="95" t="e">
        <f t="shared" si="3"/>
        <v>#NUM!</v>
      </c>
      <c r="L26" s="95"/>
      <c r="M26" s="97">
        <f t="shared" si="4"/>
        <v>0</v>
      </c>
      <c r="N26" s="80"/>
      <c r="O26" s="80"/>
      <c r="P26" s="80"/>
      <c r="Q26" s="80"/>
      <c r="R26" s="80"/>
    </row>
    <row r="27" spans="1:19" s="85" customFormat="1" x14ac:dyDescent="0.25">
      <c r="A27" s="98">
        <f t="shared" si="0"/>
        <v>0</v>
      </c>
      <c r="B27" s="39" t="str">
        <f t="shared" si="5"/>
        <v/>
      </c>
      <c r="C27" s="40"/>
      <c r="D27" s="40"/>
      <c r="E27" s="40"/>
      <c r="F27" s="40"/>
      <c r="G27" s="27"/>
      <c r="H27" s="99">
        <v>22</v>
      </c>
      <c r="I27" s="100" t="str">
        <f t="shared" si="1"/>
        <v/>
      </c>
      <c r="J27" s="99" t="e">
        <f t="shared" si="2"/>
        <v>#NUM!</v>
      </c>
      <c r="K27" s="99" t="e">
        <f t="shared" si="3"/>
        <v>#NUM!</v>
      </c>
      <c r="L27" s="99"/>
      <c r="M27" s="101">
        <f t="shared" si="4"/>
        <v>0</v>
      </c>
      <c r="N27" s="80"/>
      <c r="O27" s="80"/>
      <c r="P27" s="80"/>
      <c r="Q27" s="80"/>
      <c r="R27" s="80"/>
    </row>
    <row r="28" spans="1:19" s="85" customFormat="1" x14ac:dyDescent="0.25">
      <c r="A28" s="94">
        <f t="shared" si="0"/>
        <v>0</v>
      </c>
      <c r="B28" s="33" t="str">
        <f t="shared" si="5"/>
        <v/>
      </c>
      <c r="C28" s="34"/>
      <c r="D28" s="34"/>
      <c r="E28" s="34"/>
      <c r="F28" s="34"/>
      <c r="G28" s="27"/>
      <c r="H28" s="95">
        <v>23</v>
      </c>
      <c r="I28" s="96" t="str">
        <f t="shared" si="1"/>
        <v/>
      </c>
      <c r="J28" s="95" t="e">
        <f t="shared" si="2"/>
        <v>#NUM!</v>
      </c>
      <c r="K28" s="95" t="e">
        <f t="shared" si="3"/>
        <v>#NUM!</v>
      </c>
      <c r="L28" s="95"/>
      <c r="M28" s="97">
        <f t="shared" si="4"/>
        <v>0</v>
      </c>
      <c r="N28" s="80"/>
      <c r="O28" s="80"/>
      <c r="P28" s="80"/>
      <c r="Q28" s="80"/>
      <c r="R28" s="109"/>
      <c r="S28" s="110"/>
    </row>
    <row r="29" spans="1:19" s="85" customFormat="1" x14ac:dyDescent="0.25">
      <c r="A29" s="98">
        <f t="shared" si="0"/>
        <v>0</v>
      </c>
      <c r="B29" s="39" t="str">
        <f t="shared" si="5"/>
        <v/>
      </c>
      <c r="C29" s="40"/>
      <c r="D29" s="40"/>
      <c r="E29" s="40"/>
      <c r="F29" s="40"/>
      <c r="G29" s="80"/>
      <c r="H29" s="99">
        <v>24</v>
      </c>
      <c r="I29" s="100" t="str">
        <f t="shared" si="1"/>
        <v/>
      </c>
      <c r="J29" s="99" t="e">
        <f t="shared" si="2"/>
        <v>#NUM!</v>
      </c>
      <c r="K29" s="99" t="e">
        <f t="shared" si="3"/>
        <v>#NUM!</v>
      </c>
      <c r="L29" s="99"/>
      <c r="M29" s="101">
        <f t="shared" si="4"/>
        <v>0</v>
      </c>
      <c r="N29" s="80"/>
      <c r="O29" s="80"/>
      <c r="P29" s="80"/>
      <c r="Q29" s="80"/>
      <c r="R29" s="80"/>
    </row>
    <row r="30" spans="1:19" s="85" customFormat="1" x14ac:dyDescent="0.25">
      <c r="A30" s="94">
        <f t="shared" si="0"/>
        <v>0</v>
      </c>
      <c r="B30" s="33" t="str">
        <f t="shared" si="5"/>
        <v/>
      </c>
      <c r="C30" s="34"/>
      <c r="D30" s="34"/>
      <c r="E30" s="34"/>
      <c r="F30" s="34"/>
      <c r="G30" s="80"/>
      <c r="H30" s="95">
        <v>25</v>
      </c>
      <c r="I30" s="96" t="str">
        <f t="shared" si="1"/>
        <v/>
      </c>
      <c r="J30" s="95" t="e">
        <f t="shared" si="2"/>
        <v>#NUM!</v>
      </c>
      <c r="K30" s="95" t="e">
        <f t="shared" si="3"/>
        <v>#NUM!</v>
      </c>
      <c r="L30" s="95"/>
      <c r="M30" s="97">
        <f t="shared" si="4"/>
        <v>0</v>
      </c>
      <c r="N30" s="80"/>
      <c r="O30" s="80"/>
      <c r="P30" s="80"/>
      <c r="Q30" s="80"/>
      <c r="R30" s="80"/>
    </row>
    <row r="31" spans="1:19" s="85" customFormat="1" x14ac:dyDescent="0.25">
      <c r="A31" s="98">
        <f t="shared" si="0"/>
        <v>0</v>
      </c>
      <c r="B31" s="39" t="str">
        <f t="shared" si="5"/>
        <v/>
      </c>
      <c r="C31" s="40"/>
      <c r="D31" s="40"/>
      <c r="E31" s="40"/>
      <c r="F31" s="40"/>
      <c r="G31" s="80"/>
      <c r="H31" s="99">
        <v>26</v>
      </c>
      <c r="I31" s="100" t="str">
        <f t="shared" si="1"/>
        <v/>
      </c>
      <c r="J31" s="99" t="e">
        <f t="shared" si="2"/>
        <v>#NUM!</v>
      </c>
      <c r="K31" s="99" t="e">
        <f t="shared" si="3"/>
        <v>#NUM!</v>
      </c>
      <c r="L31" s="99"/>
      <c r="M31" s="101">
        <f t="shared" si="4"/>
        <v>0</v>
      </c>
      <c r="N31" s="80"/>
      <c r="O31" s="80"/>
      <c r="P31" s="80"/>
      <c r="Q31" s="80"/>
      <c r="R31" s="80"/>
    </row>
    <row r="32" spans="1:19" s="85" customFormat="1" x14ac:dyDescent="0.25">
      <c r="A32" s="94">
        <f t="shared" si="0"/>
        <v>0</v>
      </c>
      <c r="B32" s="33" t="str">
        <f t="shared" si="5"/>
        <v/>
      </c>
      <c r="C32" s="34"/>
      <c r="D32" s="34"/>
      <c r="E32" s="34"/>
      <c r="F32" s="34"/>
      <c r="G32" s="80"/>
      <c r="H32" s="95">
        <v>27</v>
      </c>
      <c r="I32" s="96" t="str">
        <f t="shared" si="1"/>
        <v/>
      </c>
      <c r="J32" s="95" t="e">
        <f t="shared" si="2"/>
        <v>#NUM!</v>
      </c>
      <c r="K32" s="95" t="e">
        <f t="shared" si="3"/>
        <v>#NUM!</v>
      </c>
      <c r="L32" s="95"/>
      <c r="M32" s="97">
        <f t="shared" si="4"/>
        <v>0</v>
      </c>
      <c r="N32" s="80"/>
      <c r="O32" s="80"/>
      <c r="P32" s="80"/>
      <c r="Q32" s="80"/>
      <c r="R32" s="109"/>
      <c r="S32" s="110"/>
    </row>
    <row r="33" spans="1:21" s="85" customFormat="1" x14ac:dyDescent="0.25">
      <c r="A33" s="98">
        <f t="shared" si="0"/>
        <v>0</v>
      </c>
      <c r="B33" s="39" t="str">
        <f t="shared" si="5"/>
        <v/>
      </c>
      <c r="C33" s="40"/>
      <c r="D33" s="40"/>
      <c r="E33" s="40"/>
      <c r="F33" s="40"/>
      <c r="G33" s="80"/>
      <c r="H33" s="99">
        <v>28</v>
      </c>
      <c r="I33" s="100" t="str">
        <f t="shared" si="1"/>
        <v/>
      </c>
      <c r="J33" s="99" t="e">
        <f t="shared" si="2"/>
        <v>#NUM!</v>
      </c>
      <c r="K33" s="99" t="e">
        <f t="shared" si="3"/>
        <v>#NUM!</v>
      </c>
      <c r="L33" s="99"/>
      <c r="M33" s="101">
        <f t="shared" si="4"/>
        <v>0</v>
      </c>
      <c r="N33" s="80"/>
      <c r="O33" s="80"/>
      <c r="P33" s="80"/>
      <c r="Q33" s="80"/>
      <c r="R33" s="80"/>
    </row>
    <row r="34" spans="1:21" s="85" customFormat="1" x14ac:dyDescent="0.25">
      <c r="A34" s="94">
        <f t="shared" si="0"/>
        <v>0</v>
      </c>
      <c r="B34" s="33" t="str">
        <f t="shared" si="5"/>
        <v/>
      </c>
      <c r="C34" s="34"/>
      <c r="D34" s="34"/>
      <c r="E34" s="34"/>
      <c r="F34" s="34"/>
      <c r="G34" s="80"/>
      <c r="H34" s="95">
        <v>29</v>
      </c>
      <c r="I34" s="96" t="str">
        <f t="shared" si="1"/>
        <v/>
      </c>
      <c r="J34" s="95" t="e">
        <f t="shared" si="2"/>
        <v>#NUM!</v>
      </c>
      <c r="K34" s="95" t="e">
        <f t="shared" si="3"/>
        <v>#NUM!</v>
      </c>
      <c r="L34" s="95"/>
      <c r="M34" s="97">
        <f t="shared" si="4"/>
        <v>0</v>
      </c>
      <c r="N34" s="80"/>
      <c r="O34" s="80"/>
      <c r="P34" s="80"/>
      <c r="Q34" s="80"/>
      <c r="R34" s="80"/>
    </row>
    <row r="35" spans="1:21" s="85" customFormat="1" x14ac:dyDescent="0.25">
      <c r="A35" s="98">
        <f t="shared" si="0"/>
        <v>0</v>
      </c>
      <c r="B35" s="39" t="str">
        <f t="shared" si="5"/>
        <v/>
      </c>
      <c r="C35" s="40"/>
      <c r="D35" s="40"/>
      <c r="E35" s="40"/>
      <c r="F35" s="40"/>
      <c r="G35" s="80"/>
      <c r="H35" s="99">
        <v>30</v>
      </c>
      <c r="I35" s="100" t="str">
        <f t="shared" si="1"/>
        <v/>
      </c>
      <c r="J35" s="99" t="e">
        <f t="shared" si="2"/>
        <v>#NUM!</v>
      </c>
      <c r="K35" s="99" t="e">
        <f t="shared" si="3"/>
        <v>#NUM!</v>
      </c>
      <c r="L35" s="99"/>
      <c r="M35" s="101">
        <f t="shared" si="4"/>
        <v>0</v>
      </c>
      <c r="N35" s="80"/>
      <c r="O35" s="80"/>
      <c r="P35" s="80"/>
      <c r="Q35" s="80"/>
      <c r="R35" s="80"/>
    </row>
    <row r="36" spans="1:21" s="85" customFormat="1" x14ac:dyDescent="0.25">
      <c r="A36" s="94">
        <f t="shared" si="0"/>
        <v>0</v>
      </c>
      <c r="B36" s="33" t="str">
        <f t="shared" si="5"/>
        <v/>
      </c>
      <c r="C36" s="34"/>
      <c r="D36" s="34"/>
      <c r="E36" s="34"/>
      <c r="F36" s="34"/>
      <c r="G36" s="80"/>
      <c r="H36" s="95">
        <v>31</v>
      </c>
      <c r="I36" s="96" t="str">
        <f t="shared" si="1"/>
        <v/>
      </c>
      <c r="J36" s="95" t="e">
        <f t="shared" si="2"/>
        <v>#NUM!</v>
      </c>
      <c r="K36" s="95" t="e">
        <f t="shared" si="3"/>
        <v>#NUM!</v>
      </c>
      <c r="L36" s="95"/>
      <c r="M36" s="97">
        <f t="shared" si="4"/>
        <v>0</v>
      </c>
      <c r="N36" s="80"/>
      <c r="O36" s="80"/>
      <c r="P36" s="80"/>
      <c r="Q36" s="80"/>
      <c r="R36" s="109"/>
      <c r="S36" s="110"/>
    </row>
    <row r="37" spans="1:21" s="85" customFormat="1" x14ac:dyDescent="0.25">
      <c r="A37" s="98">
        <f t="shared" si="0"/>
        <v>0</v>
      </c>
      <c r="B37" s="39" t="str">
        <f t="shared" si="5"/>
        <v/>
      </c>
      <c r="C37" s="40"/>
      <c r="D37" s="40"/>
      <c r="E37" s="40"/>
      <c r="F37" s="40"/>
      <c r="G37" s="80"/>
      <c r="H37" s="99">
        <v>32</v>
      </c>
      <c r="I37" s="100" t="str">
        <f t="shared" si="1"/>
        <v/>
      </c>
      <c r="J37" s="99" t="e">
        <f t="shared" si="2"/>
        <v>#NUM!</v>
      </c>
      <c r="K37" s="99" t="e">
        <f t="shared" si="3"/>
        <v>#NUM!</v>
      </c>
      <c r="L37" s="99"/>
      <c r="M37" s="101">
        <f t="shared" si="4"/>
        <v>0</v>
      </c>
      <c r="N37" s="80"/>
      <c r="O37" s="80"/>
      <c r="P37" s="80"/>
      <c r="Q37" s="80"/>
      <c r="R37" s="80"/>
    </row>
    <row r="38" spans="1:21" s="85" customFormat="1" x14ac:dyDescent="0.25">
      <c r="A38" s="98">
        <f t="shared" ref="A38:A60" si="6">M38</f>
        <v>0</v>
      </c>
      <c r="B38" s="33" t="str">
        <f t="shared" si="5"/>
        <v/>
      </c>
      <c r="C38" s="34"/>
      <c r="D38" s="34"/>
      <c r="E38" s="34"/>
      <c r="F38" s="34"/>
      <c r="G38" s="80"/>
      <c r="H38" s="95">
        <v>33</v>
      </c>
      <c r="I38" s="96" t="str">
        <f t="shared" si="1"/>
        <v/>
      </c>
      <c r="J38" s="95" t="e">
        <f t="shared" si="2"/>
        <v>#NUM!</v>
      </c>
      <c r="K38" s="95" t="e">
        <f t="shared" si="3"/>
        <v>#NUM!</v>
      </c>
      <c r="L38" s="95"/>
      <c r="M38" s="97">
        <f t="shared" si="4"/>
        <v>0</v>
      </c>
      <c r="N38" s="80"/>
      <c r="O38" s="80"/>
      <c r="P38" s="80"/>
      <c r="Q38" s="80"/>
      <c r="R38" s="80"/>
    </row>
    <row r="39" spans="1:21" s="85" customFormat="1" x14ac:dyDescent="0.25">
      <c r="A39" s="98">
        <f t="shared" si="6"/>
        <v>0</v>
      </c>
      <c r="B39" s="39" t="str">
        <f t="shared" si="5"/>
        <v/>
      </c>
      <c r="C39" s="40"/>
      <c r="D39" s="40"/>
      <c r="E39" s="40"/>
      <c r="F39" s="40"/>
      <c r="G39" s="80"/>
      <c r="H39" s="99">
        <v>34</v>
      </c>
      <c r="I39" s="100" t="str">
        <f t="shared" si="1"/>
        <v/>
      </c>
      <c r="J39" s="99" t="e">
        <f t="shared" si="2"/>
        <v>#NUM!</v>
      </c>
      <c r="K39" s="99" t="e">
        <f t="shared" si="3"/>
        <v>#NUM!</v>
      </c>
      <c r="L39" s="99"/>
      <c r="M39" s="101">
        <f t="shared" si="4"/>
        <v>0</v>
      </c>
      <c r="N39" s="80"/>
      <c r="O39" s="80"/>
      <c r="P39" s="80"/>
      <c r="Q39" s="80"/>
      <c r="R39" s="80"/>
    </row>
    <row r="40" spans="1:21" s="85" customFormat="1" x14ac:dyDescent="0.25">
      <c r="A40" s="98">
        <f t="shared" si="6"/>
        <v>0</v>
      </c>
      <c r="B40" s="33" t="str">
        <f t="shared" si="5"/>
        <v/>
      </c>
      <c r="C40" s="34"/>
      <c r="D40" s="34"/>
      <c r="E40" s="34"/>
      <c r="F40" s="34"/>
      <c r="G40" s="80"/>
      <c r="H40" s="95">
        <v>35</v>
      </c>
      <c r="I40" s="96" t="str">
        <f t="shared" si="1"/>
        <v/>
      </c>
      <c r="J40" s="95" t="e">
        <f t="shared" si="2"/>
        <v>#NUM!</v>
      </c>
      <c r="K40" s="95" t="e">
        <f t="shared" si="3"/>
        <v>#NUM!</v>
      </c>
      <c r="L40" s="95"/>
      <c r="M40" s="97">
        <f t="shared" si="4"/>
        <v>0</v>
      </c>
      <c r="N40" s="80"/>
      <c r="O40" s="80"/>
      <c r="P40" s="80"/>
      <c r="Q40" s="80"/>
      <c r="R40" s="80"/>
    </row>
    <row r="41" spans="1:21" s="85" customFormat="1" x14ac:dyDescent="0.25">
      <c r="A41" s="98">
        <f t="shared" si="6"/>
        <v>0</v>
      </c>
      <c r="B41" s="39" t="str">
        <f t="shared" si="5"/>
        <v/>
      </c>
      <c r="C41" s="40"/>
      <c r="D41" s="40"/>
      <c r="E41" s="40"/>
      <c r="F41" s="40"/>
      <c r="G41" s="80"/>
      <c r="H41" s="99">
        <v>36</v>
      </c>
      <c r="I41" s="100" t="str">
        <f t="shared" si="1"/>
        <v/>
      </c>
      <c r="J41" s="99" t="e">
        <f t="shared" si="2"/>
        <v>#NUM!</v>
      </c>
      <c r="K41" s="99" t="e">
        <f t="shared" si="3"/>
        <v>#NUM!</v>
      </c>
      <c r="L41" s="99"/>
      <c r="M41" s="101">
        <f t="shared" si="4"/>
        <v>0</v>
      </c>
      <c r="N41" s="80"/>
      <c r="O41" s="80"/>
      <c r="P41" s="80"/>
      <c r="Q41" s="80"/>
      <c r="R41" s="80"/>
      <c r="S41" s="111"/>
    </row>
    <row r="42" spans="1:21" s="85" customFormat="1" x14ac:dyDescent="0.25">
      <c r="A42" s="98">
        <f t="shared" si="6"/>
        <v>0</v>
      </c>
      <c r="B42" s="33" t="str">
        <f t="shared" ref="B42:B65" si="7">IF(H42&gt;$H$2,"",(ROW()-5))</f>
        <v/>
      </c>
      <c r="C42" s="34"/>
      <c r="D42" s="34"/>
      <c r="E42" s="34"/>
      <c r="F42" s="34"/>
      <c r="G42" s="80"/>
      <c r="H42" s="95">
        <v>37</v>
      </c>
      <c r="I42" s="96" t="str">
        <f t="shared" si="1"/>
        <v/>
      </c>
      <c r="J42" s="95" t="e">
        <f t="shared" si="2"/>
        <v>#NUM!</v>
      </c>
      <c r="K42" s="95" t="e">
        <f t="shared" si="3"/>
        <v>#NUM!</v>
      </c>
      <c r="L42" s="95"/>
      <c r="M42" s="97">
        <f t="shared" si="4"/>
        <v>0</v>
      </c>
      <c r="N42" s="80"/>
      <c r="O42" s="80"/>
      <c r="P42" s="80"/>
      <c r="Q42" s="80"/>
      <c r="R42" s="80"/>
    </row>
    <row r="43" spans="1:21" s="85" customFormat="1" x14ac:dyDescent="0.25">
      <c r="A43" s="98">
        <f t="shared" si="6"/>
        <v>0</v>
      </c>
      <c r="B43" s="39" t="str">
        <f t="shared" si="7"/>
        <v/>
      </c>
      <c r="C43" s="40"/>
      <c r="D43" s="40"/>
      <c r="E43" s="40"/>
      <c r="F43" s="40"/>
      <c r="G43" s="80"/>
      <c r="H43" s="99">
        <v>38</v>
      </c>
      <c r="I43" s="100" t="str">
        <f t="shared" si="1"/>
        <v/>
      </c>
      <c r="J43" s="99" t="e">
        <f t="shared" si="2"/>
        <v>#NUM!</v>
      </c>
      <c r="K43" s="99" t="e">
        <f t="shared" si="3"/>
        <v>#NUM!</v>
      </c>
      <c r="L43" s="99"/>
      <c r="M43" s="101">
        <f t="shared" si="4"/>
        <v>0</v>
      </c>
      <c r="N43" s="80"/>
      <c r="O43" s="80"/>
      <c r="P43" s="80"/>
      <c r="Q43" s="80"/>
      <c r="R43" s="80"/>
    </row>
    <row r="44" spans="1:21" s="85" customFormat="1" x14ac:dyDescent="0.25">
      <c r="A44" s="98">
        <f t="shared" si="6"/>
        <v>0</v>
      </c>
      <c r="B44" s="33" t="str">
        <f t="shared" si="7"/>
        <v/>
      </c>
      <c r="C44" s="34"/>
      <c r="D44" s="34"/>
      <c r="E44" s="34"/>
      <c r="F44" s="34"/>
      <c r="G44" s="80"/>
      <c r="H44" s="95">
        <v>39</v>
      </c>
      <c r="I44" s="96" t="str">
        <f t="shared" si="1"/>
        <v/>
      </c>
      <c r="J44" s="95" t="e">
        <f t="shared" si="2"/>
        <v>#NUM!</v>
      </c>
      <c r="K44" s="95" t="e">
        <f t="shared" si="3"/>
        <v>#NUM!</v>
      </c>
      <c r="L44" s="95"/>
      <c r="M44" s="97">
        <f t="shared" si="4"/>
        <v>0</v>
      </c>
      <c r="N44" s="80"/>
      <c r="O44" s="80"/>
      <c r="P44" s="80"/>
      <c r="Q44" s="80"/>
      <c r="R44" s="80"/>
    </row>
    <row r="45" spans="1:21" s="85" customFormat="1" x14ac:dyDescent="0.25">
      <c r="A45" s="98">
        <f t="shared" si="6"/>
        <v>0</v>
      </c>
      <c r="B45" s="39" t="str">
        <f t="shared" si="7"/>
        <v/>
      </c>
      <c r="C45" s="40"/>
      <c r="D45" s="40"/>
      <c r="E45" s="40"/>
      <c r="F45" s="40"/>
      <c r="G45" s="80"/>
      <c r="H45" s="99">
        <v>40</v>
      </c>
      <c r="I45" s="100" t="str">
        <f t="shared" si="1"/>
        <v/>
      </c>
      <c r="J45" s="99" t="e">
        <f t="shared" si="2"/>
        <v>#NUM!</v>
      </c>
      <c r="K45" s="99" t="e">
        <f t="shared" si="3"/>
        <v>#NUM!</v>
      </c>
      <c r="L45" s="99"/>
      <c r="M45" s="101">
        <f t="shared" si="4"/>
        <v>0</v>
      </c>
      <c r="N45" s="80"/>
      <c r="O45" s="80"/>
      <c r="P45" s="80"/>
      <c r="Q45" s="80"/>
      <c r="R45" s="80"/>
    </row>
    <row r="46" spans="1:21" s="85" customFormat="1" x14ac:dyDescent="0.25">
      <c r="A46" s="98">
        <f t="shared" si="6"/>
        <v>0</v>
      </c>
      <c r="B46" s="33" t="str">
        <f t="shared" si="7"/>
        <v/>
      </c>
      <c r="C46" s="34"/>
      <c r="D46" s="34"/>
      <c r="E46" s="34"/>
      <c r="F46" s="34"/>
      <c r="G46" s="80"/>
      <c r="H46" s="95">
        <v>41</v>
      </c>
      <c r="I46" s="96" t="str">
        <f t="shared" si="1"/>
        <v/>
      </c>
      <c r="J46" s="95" t="e">
        <f t="shared" si="2"/>
        <v>#NUM!</v>
      </c>
      <c r="K46" s="95" t="e">
        <f t="shared" si="3"/>
        <v>#NUM!</v>
      </c>
      <c r="L46" s="95"/>
      <c r="M46" s="97">
        <f t="shared" si="4"/>
        <v>0</v>
      </c>
      <c r="N46" s="80"/>
      <c r="O46" s="80"/>
      <c r="P46" s="80"/>
      <c r="Q46" s="80"/>
      <c r="R46" s="80" t="e">
        <f>LOG($H$2,2)</f>
        <v>#NUM!</v>
      </c>
      <c r="T46" s="85">
        <f>LOG(H38,2)</f>
        <v>5.0443941193584534</v>
      </c>
      <c r="U46" s="85" t="e">
        <f>R46-T46</f>
        <v>#NUM!</v>
      </c>
    </row>
    <row r="47" spans="1:21" s="85" customFormat="1" x14ac:dyDescent="0.25">
      <c r="A47" s="98">
        <f t="shared" si="6"/>
        <v>0</v>
      </c>
      <c r="B47" s="39" t="str">
        <f t="shared" si="7"/>
        <v/>
      </c>
      <c r="C47" s="40"/>
      <c r="D47" s="40"/>
      <c r="E47" s="40"/>
      <c r="F47" s="40"/>
      <c r="G47" s="80"/>
      <c r="H47" s="99">
        <v>42</v>
      </c>
      <c r="I47" s="100" t="str">
        <f t="shared" si="1"/>
        <v/>
      </c>
      <c r="J47" s="99" t="e">
        <f t="shared" si="2"/>
        <v>#NUM!</v>
      </c>
      <c r="K47" s="99" t="e">
        <f t="shared" si="3"/>
        <v>#NUM!</v>
      </c>
      <c r="L47" s="99"/>
      <c r="M47" s="101">
        <f t="shared" si="4"/>
        <v>0</v>
      </c>
      <c r="N47" s="80"/>
      <c r="O47" s="80"/>
      <c r="P47" s="80"/>
      <c r="Q47" s="80"/>
      <c r="R47" s="80"/>
    </row>
    <row r="48" spans="1:21" s="85" customFormat="1" x14ac:dyDescent="0.25">
      <c r="A48" s="98">
        <f t="shared" si="6"/>
        <v>0</v>
      </c>
      <c r="B48" s="33" t="str">
        <f t="shared" si="7"/>
        <v/>
      </c>
      <c r="C48" s="34"/>
      <c r="D48" s="34"/>
      <c r="E48" s="34"/>
      <c r="F48" s="34"/>
      <c r="G48" s="80"/>
      <c r="H48" s="95">
        <v>43</v>
      </c>
      <c r="I48" s="96" t="str">
        <f t="shared" si="1"/>
        <v/>
      </c>
      <c r="J48" s="95" t="e">
        <f t="shared" si="2"/>
        <v>#NUM!</v>
      </c>
      <c r="K48" s="95" t="e">
        <f t="shared" si="3"/>
        <v>#NUM!</v>
      </c>
      <c r="L48" s="95"/>
      <c r="M48" s="97">
        <f t="shared" si="4"/>
        <v>0</v>
      </c>
      <c r="N48" s="80"/>
      <c r="O48" s="80"/>
      <c r="P48" s="80"/>
      <c r="Q48" s="80"/>
      <c r="R48" s="80"/>
    </row>
    <row r="49" spans="1:38" s="80" customFormat="1" x14ac:dyDescent="0.25">
      <c r="A49" s="98">
        <f t="shared" si="6"/>
        <v>0</v>
      </c>
      <c r="B49" s="39" t="str">
        <f t="shared" si="7"/>
        <v/>
      </c>
      <c r="C49" s="40"/>
      <c r="D49" s="40"/>
      <c r="E49" s="40"/>
      <c r="F49" s="40"/>
      <c r="H49" s="99">
        <v>44</v>
      </c>
      <c r="I49" s="100" t="str">
        <f t="shared" si="1"/>
        <v/>
      </c>
      <c r="J49" s="99" t="e">
        <f t="shared" si="2"/>
        <v>#NUM!</v>
      </c>
      <c r="K49" s="99" t="e">
        <f t="shared" si="3"/>
        <v>#NUM!</v>
      </c>
      <c r="L49" s="99"/>
      <c r="M49" s="101">
        <f t="shared" si="4"/>
        <v>0</v>
      </c>
      <c r="S49" s="85"/>
      <c r="T49" s="85"/>
      <c r="U49" s="85"/>
      <c r="V49" s="85"/>
      <c r="W49" s="85"/>
      <c r="X49" s="85"/>
      <c r="Y49" s="85"/>
      <c r="Z49" s="85"/>
      <c r="AA49" s="85"/>
      <c r="AB49" s="85"/>
      <c r="AC49" s="85"/>
      <c r="AD49" s="85"/>
      <c r="AE49" s="85"/>
      <c r="AF49" s="85"/>
      <c r="AG49" s="85"/>
      <c r="AH49" s="85"/>
      <c r="AI49" s="85"/>
      <c r="AJ49" s="85"/>
      <c r="AK49" s="85"/>
      <c r="AL49" s="85"/>
    </row>
    <row r="50" spans="1:38" s="80" customFormat="1" x14ac:dyDescent="0.25">
      <c r="A50" s="98">
        <f t="shared" si="6"/>
        <v>0</v>
      </c>
      <c r="B50" s="33" t="str">
        <f t="shared" si="7"/>
        <v/>
      </c>
      <c r="C50" s="34"/>
      <c r="D50" s="34"/>
      <c r="E50" s="34"/>
      <c r="F50" s="34"/>
      <c r="H50" s="95">
        <v>45</v>
      </c>
      <c r="I50" s="96" t="str">
        <f t="shared" si="1"/>
        <v/>
      </c>
      <c r="J50" s="95" t="e">
        <f t="shared" si="2"/>
        <v>#NUM!</v>
      </c>
      <c r="K50" s="95" t="e">
        <f t="shared" si="3"/>
        <v>#NUM!</v>
      </c>
      <c r="L50" s="95"/>
      <c r="M50" s="97">
        <f t="shared" si="4"/>
        <v>0</v>
      </c>
      <c r="S50" s="85"/>
      <c r="T50" s="85"/>
      <c r="U50" s="85"/>
      <c r="V50" s="85"/>
      <c r="W50" s="85"/>
      <c r="X50" s="85"/>
      <c r="Y50" s="85"/>
      <c r="Z50" s="85"/>
      <c r="AA50" s="85"/>
      <c r="AB50" s="85"/>
      <c r="AC50" s="85"/>
      <c r="AD50" s="85"/>
      <c r="AE50" s="85"/>
      <c r="AF50" s="85"/>
      <c r="AG50" s="85"/>
      <c r="AH50" s="85"/>
      <c r="AI50" s="85"/>
      <c r="AJ50" s="85"/>
      <c r="AK50" s="85"/>
      <c r="AL50" s="85"/>
    </row>
    <row r="51" spans="1:38" s="80" customFormat="1" x14ac:dyDescent="0.25">
      <c r="A51" s="98">
        <f t="shared" si="6"/>
        <v>0</v>
      </c>
      <c r="B51" s="39" t="str">
        <f t="shared" si="7"/>
        <v/>
      </c>
      <c r="C51" s="40"/>
      <c r="D51" s="40"/>
      <c r="E51" s="40"/>
      <c r="F51" s="40"/>
      <c r="H51" s="99">
        <v>46</v>
      </c>
      <c r="I51" s="100" t="str">
        <f t="shared" si="1"/>
        <v/>
      </c>
      <c r="J51" s="99" t="e">
        <f t="shared" si="2"/>
        <v>#NUM!</v>
      </c>
      <c r="K51" s="99" t="e">
        <f t="shared" si="3"/>
        <v>#NUM!</v>
      </c>
      <c r="L51" s="99"/>
      <c r="M51" s="101">
        <f t="shared" si="4"/>
        <v>0</v>
      </c>
      <c r="S51" s="85"/>
      <c r="T51" s="85"/>
      <c r="U51" s="85"/>
      <c r="V51" s="85"/>
      <c r="W51" s="85"/>
      <c r="X51" s="85"/>
      <c r="Y51" s="85"/>
      <c r="Z51" s="85"/>
      <c r="AA51" s="85"/>
      <c r="AB51" s="85"/>
      <c r="AC51" s="85"/>
      <c r="AD51" s="85"/>
      <c r="AE51" s="85"/>
      <c r="AF51" s="85"/>
      <c r="AG51" s="85"/>
      <c r="AH51" s="85"/>
      <c r="AI51" s="85"/>
      <c r="AJ51" s="85"/>
      <c r="AK51" s="85"/>
      <c r="AL51" s="85"/>
    </row>
    <row r="52" spans="1:38" s="80" customFormat="1" x14ac:dyDescent="0.25">
      <c r="A52" s="98">
        <f t="shared" si="6"/>
        <v>0</v>
      </c>
      <c r="B52" s="33" t="str">
        <f t="shared" si="7"/>
        <v/>
      </c>
      <c r="C52" s="34"/>
      <c r="D52" s="34"/>
      <c r="E52" s="34"/>
      <c r="F52" s="34"/>
      <c r="H52" s="95">
        <v>47</v>
      </c>
      <c r="I52" s="96" t="str">
        <f t="shared" si="1"/>
        <v/>
      </c>
      <c r="J52" s="95" t="e">
        <f t="shared" si="2"/>
        <v>#NUM!</v>
      </c>
      <c r="K52" s="95" t="e">
        <f t="shared" si="3"/>
        <v>#NUM!</v>
      </c>
      <c r="L52" s="95"/>
      <c r="M52" s="97">
        <f t="shared" si="4"/>
        <v>0</v>
      </c>
      <c r="S52" s="85"/>
      <c r="T52" s="85"/>
      <c r="U52" s="85"/>
      <c r="V52" s="85"/>
      <c r="W52" s="85"/>
      <c r="X52" s="85"/>
      <c r="Y52" s="85"/>
      <c r="Z52" s="85"/>
      <c r="AA52" s="85"/>
      <c r="AB52" s="85"/>
      <c r="AC52" s="85"/>
      <c r="AD52" s="85"/>
      <c r="AE52" s="85"/>
      <c r="AF52" s="85"/>
      <c r="AG52" s="85"/>
      <c r="AH52" s="85"/>
      <c r="AI52" s="85"/>
      <c r="AJ52" s="85"/>
      <c r="AK52" s="85"/>
      <c r="AL52" s="85"/>
    </row>
    <row r="53" spans="1:38" s="80" customFormat="1" x14ac:dyDescent="0.25">
      <c r="A53" s="98">
        <f t="shared" si="6"/>
        <v>0</v>
      </c>
      <c r="B53" s="39" t="str">
        <f t="shared" si="7"/>
        <v/>
      </c>
      <c r="C53" s="40"/>
      <c r="D53" s="40"/>
      <c r="E53" s="40"/>
      <c r="F53" s="40"/>
      <c r="H53" s="99">
        <v>48</v>
      </c>
      <c r="I53" s="100" t="str">
        <f t="shared" si="1"/>
        <v/>
      </c>
      <c r="J53" s="99" t="e">
        <f t="shared" si="2"/>
        <v>#NUM!</v>
      </c>
      <c r="K53" s="99" t="e">
        <f t="shared" si="3"/>
        <v>#NUM!</v>
      </c>
      <c r="L53" s="99"/>
      <c r="M53" s="101">
        <f t="shared" si="4"/>
        <v>0</v>
      </c>
      <c r="S53" s="85"/>
      <c r="T53" s="85"/>
      <c r="U53" s="85"/>
      <c r="V53" s="85"/>
      <c r="W53" s="85"/>
      <c r="X53" s="85"/>
      <c r="Y53" s="85"/>
      <c r="Z53" s="85"/>
      <c r="AA53" s="85"/>
      <c r="AB53" s="85"/>
      <c r="AC53" s="85"/>
      <c r="AD53" s="85"/>
      <c r="AE53" s="85"/>
      <c r="AF53" s="85"/>
      <c r="AG53" s="85"/>
      <c r="AH53" s="85"/>
      <c r="AI53" s="85"/>
      <c r="AJ53" s="85"/>
      <c r="AK53" s="85"/>
      <c r="AL53" s="85"/>
    </row>
    <row r="54" spans="1:38" s="80" customFormat="1" x14ac:dyDescent="0.25">
      <c r="A54" s="98">
        <f t="shared" si="6"/>
        <v>0</v>
      </c>
      <c r="B54" s="33" t="str">
        <f t="shared" si="7"/>
        <v/>
      </c>
      <c r="C54" s="34"/>
      <c r="D54" s="34"/>
      <c r="E54" s="34"/>
      <c r="F54" s="34"/>
      <c r="H54" s="95">
        <v>49</v>
      </c>
      <c r="I54" s="96" t="str">
        <f t="shared" si="1"/>
        <v/>
      </c>
      <c r="J54" s="95" t="e">
        <f t="shared" si="2"/>
        <v>#NUM!</v>
      </c>
      <c r="K54" s="95" t="e">
        <f t="shared" si="3"/>
        <v>#NUM!</v>
      </c>
      <c r="L54" s="95"/>
      <c r="M54" s="97">
        <f t="shared" si="4"/>
        <v>0</v>
      </c>
      <c r="S54" s="85"/>
      <c r="T54" s="85"/>
      <c r="U54" s="85"/>
      <c r="V54" s="85"/>
      <c r="W54" s="85"/>
      <c r="X54" s="85"/>
      <c r="Y54" s="85"/>
      <c r="Z54" s="85"/>
      <c r="AA54" s="85"/>
      <c r="AB54" s="85"/>
      <c r="AC54" s="85"/>
      <c r="AD54" s="85"/>
      <c r="AE54" s="85"/>
      <c r="AF54" s="85"/>
      <c r="AG54" s="85"/>
      <c r="AH54" s="85"/>
      <c r="AI54" s="85"/>
      <c r="AJ54" s="85"/>
      <c r="AK54" s="85"/>
      <c r="AL54" s="85"/>
    </row>
    <row r="55" spans="1:38" s="80" customFormat="1" x14ac:dyDescent="0.25">
      <c r="A55" s="98">
        <f t="shared" si="6"/>
        <v>0</v>
      </c>
      <c r="B55" s="39" t="str">
        <f t="shared" si="7"/>
        <v/>
      </c>
      <c r="C55" s="40"/>
      <c r="D55" s="40"/>
      <c r="E55" s="40"/>
      <c r="F55" s="40"/>
      <c r="H55" s="99">
        <v>50</v>
      </c>
      <c r="I55" s="100" t="str">
        <f t="shared" si="1"/>
        <v/>
      </c>
      <c r="J55" s="99" t="e">
        <f t="shared" si="2"/>
        <v>#NUM!</v>
      </c>
      <c r="K55" s="99" t="e">
        <f t="shared" si="3"/>
        <v>#NUM!</v>
      </c>
      <c r="L55" s="99"/>
      <c r="M55" s="101">
        <f t="shared" si="4"/>
        <v>0</v>
      </c>
      <c r="S55" s="85"/>
      <c r="T55" s="85"/>
      <c r="U55" s="85"/>
      <c r="V55" s="85"/>
      <c r="W55" s="85"/>
      <c r="X55" s="85"/>
      <c r="Y55" s="85"/>
      <c r="Z55" s="85"/>
      <c r="AA55" s="85"/>
      <c r="AB55" s="85"/>
      <c r="AC55" s="85"/>
      <c r="AD55" s="85"/>
      <c r="AE55" s="85"/>
      <c r="AF55" s="85"/>
      <c r="AG55" s="85"/>
      <c r="AH55" s="85"/>
      <c r="AI55" s="85"/>
      <c r="AJ55" s="85"/>
      <c r="AK55" s="85"/>
      <c r="AL55" s="85"/>
    </row>
    <row r="56" spans="1:38" s="80" customFormat="1" x14ac:dyDescent="0.25">
      <c r="A56" s="98">
        <f t="shared" si="6"/>
        <v>0</v>
      </c>
      <c r="B56" s="33" t="str">
        <f t="shared" si="7"/>
        <v/>
      </c>
      <c r="C56" s="34"/>
      <c r="D56" s="34"/>
      <c r="E56" s="34"/>
      <c r="F56" s="34"/>
      <c r="H56" s="95">
        <v>51</v>
      </c>
      <c r="I56" s="96" t="str">
        <f t="shared" si="1"/>
        <v/>
      </c>
      <c r="J56" s="95" t="e">
        <f t="shared" si="2"/>
        <v>#NUM!</v>
      </c>
      <c r="K56" s="95" t="e">
        <f t="shared" si="3"/>
        <v>#NUM!</v>
      </c>
      <c r="L56" s="95"/>
      <c r="M56" s="97">
        <f t="shared" si="4"/>
        <v>0</v>
      </c>
      <c r="S56" s="85"/>
      <c r="T56" s="85"/>
      <c r="U56" s="85"/>
      <c r="V56" s="85"/>
      <c r="W56" s="85"/>
      <c r="X56" s="85"/>
      <c r="Y56" s="85"/>
      <c r="Z56" s="85"/>
      <c r="AA56" s="85"/>
      <c r="AB56" s="85"/>
      <c r="AC56" s="85"/>
      <c r="AD56" s="85"/>
      <c r="AE56" s="85"/>
      <c r="AF56" s="85"/>
      <c r="AG56" s="85"/>
      <c r="AH56" s="85"/>
      <c r="AI56" s="85"/>
      <c r="AJ56" s="85"/>
      <c r="AK56" s="85"/>
      <c r="AL56" s="85"/>
    </row>
    <row r="57" spans="1:38" s="80" customFormat="1" x14ac:dyDescent="0.25">
      <c r="A57" s="98">
        <f t="shared" si="6"/>
        <v>0</v>
      </c>
      <c r="B57" s="39" t="str">
        <f t="shared" si="7"/>
        <v/>
      </c>
      <c r="C57" s="40"/>
      <c r="D57" s="40"/>
      <c r="E57" s="40"/>
      <c r="F57" s="40"/>
      <c r="H57" s="99">
        <v>52</v>
      </c>
      <c r="I57" s="100" t="str">
        <f t="shared" si="1"/>
        <v/>
      </c>
      <c r="J57" s="99" t="e">
        <f t="shared" si="2"/>
        <v>#NUM!</v>
      </c>
      <c r="K57" s="99" t="e">
        <f t="shared" si="3"/>
        <v>#NUM!</v>
      </c>
      <c r="L57" s="99"/>
      <c r="M57" s="101">
        <f t="shared" si="4"/>
        <v>0</v>
      </c>
      <c r="S57" s="85"/>
      <c r="T57" s="85"/>
      <c r="U57" s="85"/>
      <c r="V57" s="85"/>
      <c r="W57" s="85"/>
      <c r="X57" s="85"/>
      <c r="Y57" s="85"/>
      <c r="Z57" s="85"/>
      <c r="AA57" s="85"/>
      <c r="AB57" s="85"/>
      <c r="AC57" s="85"/>
      <c r="AD57" s="85"/>
      <c r="AE57" s="85"/>
      <c r="AF57" s="85"/>
      <c r="AG57" s="85"/>
      <c r="AH57" s="85"/>
      <c r="AI57" s="85"/>
      <c r="AJ57" s="85"/>
      <c r="AK57" s="85"/>
      <c r="AL57" s="85"/>
    </row>
    <row r="58" spans="1:38" s="80" customFormat="1" x14ac:dyDescent="0.25">
      <c r="A58" s="98">
        <f t="shared" si="6"/>
        <v>0</v>
      </c>
      <c r="B58" s="33" t="str">
        <f t="shared" si="7"/>
        <v/>
      </c>
      <c r="C58" s="34"/>
      <c r="D58" s="34"/>
      <c r="E58" s="34"/>
      <c r="F58" s="34"/>
      <c r="H58" s="95">
        <v>53</v>
      </c>
      <c r="I58" s="96" t="str">
        <f t="shared" si="1"/>
        <v/>
      </c>
      <c r="J58" s="95" t="e">
        <f t="shared" si="2"/>
        <v>#NUM!</v>
      </c>
      <c r="K58" s="95" t="e">
        <f t="shared" si="3"/>
        <v>#NUM!</v>
      </c>
      <c r="L58" s="95"/>
      <c r="M58" s="97">
        <f t="shared" si="4"/>
        <v>0</v>
      </c>
      <c r="S58" s="85"/>
      <c r="T58" s="85"/>
      <c r="U58" s="85"/>
      <c r="V58" s="85"/>
      <c r="W58" s="85"/>
      <c r="X58" s="85"/>
      <c r="Y58" s="85"/>
      <c r="Z58" s="85"/>
      <c r="AA58" s="85"/>
      <c r="AB58" s="85"/>
      <c r="AC58" s="85"/>
      <c r="AD58" s="85"/>
      <c r="AE58" s="85"/>
      <c r="AF58" s="85"/>
      <c r="AG58" s="85"/>
      <c r="AH58" s="85"/>
      <c r="AI58" s="85"/>
      <c r="AJ58" s="85"/>
      <c r="AK58" s="85"/>
      <c r="AL58" s="85"/>
    </row>
    <row r="59" spans="1:38" s="80" customFormat="1" x14ac:dyDescent="0.25">
      <c r="A59" s="98">
        <f t="shared" si="6"/>
        <v>0</v>
      </c>
      <c r="B59" s="39" t="str">
        <f t="shared" si="7"/>
        <v/>
      </c>
      <c r="C59" s="40"/>
      <c r="D59" s="40"/>
      <c r="E59" s="40"/>
      <c r="F59" s="40"/>
      <c r="H59" s="99">
        <v>54</v>
      </c>
      <c r="I59" s="100" t="str">
        <f t="shared" si="1"/>
        <v/>
      </c>
      <c r="J59" s="99" t="e">
        <f t="shared" si="2"/>
        <v>#NUM!</v>
      </c>
      <c r="K59" s="99" t="e">
        <f t="shared" si="3"/>
        <v>#NUM!</v>
      </c>
      <c r="L59" s="99"/>
      <c r="M59" s="101">
        <f t="shared" si="4"/>
        <v>0</v>
      </c>
      <c r="S59" s="85"/>
      <c r="T59" s="85"/>
      <c r="U59" s="85"/>
      <c r="V59" s="85"/>
      <c r="W59" s="85"/>
      <c r="X59" s="85"/>
      <c r="Y59" s="85"/>
      <c r="Z59" s="85"/>
      <c r="AA59" s="85"/>
      <c r="AB59" s="85"/>
      <c r="AC59" s="85"/>
      <c r="AD59" s="85"/>
      <c r="AE59" s="85"/>
      <c r="AF59" s="85"/>
      <c r="AG59" s="85"/>
      <c r="AH59" s="85"/>
      <c r="AI59" s="85"/>
      <c r="AJ59" s="85"/>
      <c r="AK59" s="85"/>
      <c r="AL59" s="85"/>
    </row>
    <row r="60" spans="1:38" s="80" customFormat="1" x14ac:dyDescent="0.25">
      <c r="A60" s="98">
        <f t="shared" si="6"/>
        <v>0</v>
      </c>
      <c r="B60" s="33" t="str">
        <f t="shared" si="7"/>
        <v/>
      </c>
      <c r="C60" s="34"/>
      <c r="D60" s="34"/>
      <c r="E60" s="34"/>
      <c r="F60" s="34"/>
      <c r="H60" s="95">
        <v>55</v>
      </c>
      <c r="I60" s="96" t="str">
        <f t="shared" si="1"/>
        <v/>
      </c>
      <c r="J60" s="95" t="e">
        <f t="shared" si="2"/>
        <v>#NUM!</v>
      </c>
      <c r="K60" s="95" t="e">
        <f t="shared" si="3"/>
        <v>#NUM!</v>
      </c>
      <c r="L60" s="95"/>
      <c r="M60" s="97">
        <f t="shared" si="4"/>
        <v>0</v>
      </c>
      <c r="S60" s="85"/>
      <c r="T60" s="85"/>
      <c r="U60" s="85"/>
      <c r="V60" s="85"/>
      <c r="W60" s="85"/>
      <c r="X60" s="85"/>
      <c r="Y60" s="85"/>
      <c r="Z60" s="85"/>
      <c r="AA60" s="85"/>
      <c r="AB60" s="85"/>
      <c r="AC60" s="85"/>
      <c r="AD60" s="85"/>
      <c r="AE60" s="85"/>
      <c r="AF60" s="85"/>
      <c r="AG60" s="85"/>
      <c r="AH60" s="85"/>
      <c r="AI60" s="85"/>
      <c r="AJ60" s="85"/>
      <c r="AK60" s="85"/>
      <c r="AL60" s="85"/>
    </row>
    <row r="61" spans="1:38" s="80" customFormat="1" x14ac:dyDescent="0.25">
      <c r="A61" s="98"/>
      <c r="B61" s="39" t="str">
        <f t="shared" si="7"/>
        <v/>
      </c>
      <c r="C61" s="40"/>
      <c r="D61" s="40"/>
      <c r="E61" s="40"/>
      <c r="F61" s="40"/>
      <c r="H61" s="99">
        <v>56</v>
      </c>
      <c r="I61" s="100" t="str">
        <f t="shared" si="1"/>
        <v/>
      </c>
      <c r="J61" s="99" t="e">
        <f t="shared" si="2"/>
        <v>#NUM!</v>
      </c>
      <c r="K61" s="99" t="e">
        <f t="shared" si="3"/>
        <v>#NUM!</v>
      </c>
      <c r="L61" s="99"/>
      <c r="M61" s="101">
        <f t="shared" si="4"/>
        <v>0</v>
      </c>
      <c r="S61" s="85"/>
      <c r="T61" s="85"/>
      <c r="U61" s="85"/>
      <c r="V61" s="85"/>
      <c r="W61" s="85"/>
      <c r="X61" s="85"/>
      <c r="Y61" s="85"/>
      <c r="Z61" s="85"/>
      <c r="AA61" s="85"/>
      <c r="AB61" s="85"/>
      <c r="AC61" s="85"/>
      <c r="AD61" s="85"/>
      <c r="AE61" s="85"/>
      <c r="AF61" s="85"/>
      <c r="AG61" s="85"/>
      <c r="AH61" s="85"/>
      <c r="AI61" s="85"/>
      <c r="AJ61" s="85"/>
      <c r="AK61" s="85"/>
      <c r="AL61" s="85"/>
    </row>
    <row r="62" spans="1:38" s="80" customFormat="1" x14ac:dyDescent="0.25">
      <c r="A62" s="94"/>
      <c r="B62" s="33" t="str">
        <f t="shared" si="7"/>
        <v/>
      </c>
      <c r="C62" s="34"/>
      <c r="D62" s="34"/>
      <c r="E62" s="34"/>
      <c r="F62" s="34"/>
      <c r="H62" s="95">
        <v>57</v>
      </c>
      <c r="I62" s="96" t="str">
        <f t="shared" si="1"/>
        <v/>
      </c>
      <c r="J62" s="95" t="e">
        <f t="shared" si="2"/>
        <v>#NUM!</v>
      </c>
      <c r="K62" s="95" t="e">
        <f t="shared" si="3"/>
        <v>#NUM!</v>
      </c>
      <c r="L62" s="95"/>
      <c r="M62" s="97">
        <f t="shared" si="4"/>
        <v>0</v>
      </c>
      <c r="S62" s="85"/>
      <c r="T62" s="85"/>
      <c r="U62" s="85"/>
      <c r="V62" s="85"/>
      <c r="W62" s="85"/>
      <c r="X62" s="85"/>
      <c r="Y62" s="85"/>
      <c r="Z62" s="85"/>
      <c r="AA62" s="85"/>
      <c r="AB62" s="85"/>
      <c r="AC62" s="85"/>
      <c r="AD62" s="85"/>
      <c r="AE62" s="85"/>
      <c r="AF62" s="85"/>
      <c r="AG62" s="85"/>
      <c r="AH62" s="85"/>
      <c r="AI62" s="85"/>
      <c r="AJ62" s="85"/>
      <c r="AK62" s="85"/>
      <c r="AL62" s="85"/>
    </row>
    <row r="63" spans="1:38" s="80" customFormat="1" x14ac:dyDescent="0.25">
      <c r="A63" s="98"/>
      <c r="B63" s="39" t="str">
        <f t="shared" si="7"/>
        <v/>
      </c>
      <c r="C63" s="40"/>
      <c r="D63" s="40"/>
      <c r="E63" s="40"/>
      <c r="F63" s="40"/>
      <c r="H63" s="99">
        <v>58</v>
      </c>
      <c r="I63" s="100" t="str">
        <f t="shared" si="1"/>
        <v/>
      </c>
      <c r="J63" s="99" t="e">
        <f t="shared" si="2"/>
        <v>#NUM!</v>
      </c>
      <c r="K63" s="99" t="e">
        <f t="shared" si="3"/>
        <v>#NUM!</v>
      </c>
      <c r="L63" s="99"/>
      <c r="M63" s="101">
        <f t="shared" si="4"/>
        <v>0</v>
      </c>
      <c r="S63" s="85"/>
      <c r="T63" s="85"/>
      <c r="U63" s="85"/>
      <c r="V63" s="85"/>
      <c r="W63" s="85"/>
      <c r="X63" s="85"/>
      <c r="Y63" s="85"/>
      <c r="Z63" s="85"/>
      <c r="AA63" s="85"/>
      <c r="AB63" s="85"/>
      <c r="AC63" s="85"/>
      <c r="AD63" s="85"/>
      <c r="AE63" s="85"/>
      <c r="AF63" s="85"/>
      <c r="AG63" s="85"/>
      <c r="AH63" s="85"/>
      <c r="AI63" s="85"/>
      <c r="AJ63" s="85"/>
      <c r="AK63" s="85"/>
      <c r="AL63" s="85"/>
    </row>
    <row r="64" spans="1:38" s="80" customFormat="1" x14ac:dyDescent="0.25">
      <c r="A64" s="94"/>
      <c r="B64" s="33" t="str">
        <f t="shared" si="7"/>
        <v/>
      </c>
      <c r="C64" s="34"/>
      <c r="D64" s="34"/>
      <c r="E64" s="34"/>
      <c r="F64" s="34"/>
      <c r="H64" s="95">
        <v>59</v>
      </c>
      <c r="I64" s="96" t="str">
        <f t="shared" si="1"/>
        <v/>
      </c>
      <c r="J64" s="95" t="e">
        <f t="shared" si="2"/>
        <v>#NUM!</v>
      </c>
      <c r="K64" s="95" t="e">
        <f t="shared" si="3"/>
        <v>#NUM!</v>
      </c>
      <c r="L64" s="95"/>
      <c r="M64" s="97">
        <f t="shared" si="4"/>
        <v>0</v>
      </c>
      <c r="S64" s="85"/>
      <c r="T64" s="85"/>
      <c r="U64" s="85"/>
      <c r="V64" s="85"/>
      <c r="W64" s="85"/>
      <c r="X64" s="85"/>
      <c r="Y64" s="85"/>
      <c r="Z64" s="85"/>
      <c r="AA64" s="85"/>
      <c r="AB64" s="85"/>
      <c r="AC64" s="85"/>
      <c r="AD64" s="85"/>
      <c r="AE64" s="85"/>
      <c r="AF64" s="85"/>
      <c r="AG64" s="85"/>
      <c r="AH64" s="85"/>
      <c r="AI64" s="85"/>
      <c r="AJ64" s="85"/>
      <c r="AK64" s="85"/>
      <c r="AL64" s="85"/>
    </row>
    <row r="65" spans="1:38" s="80" customFormat="1" x14ac:dyDescent="0.25">
      <c r="A65" s="98"/>
      <c r="B65" s="39" t="str">
        <f t="shared" si="7"/>
        <v/>
      </c>
      <c r="C65" s="40"/>
      <c r="D65" s="40"/>
      <c r="E65" s="40"/>
      <c r="F65" s="40"/>
      <c r="H65" s="99">
        <v>60</v>
      </c>
      <c r="I65" s="100" t="str">
        <f t="shared" si="1"/>
        <v/>
      </c>
      <c r="J65" s="99" t="e">
        <f t="shared" si="2"/>
        <v>#NUM!</v>
      </c>
      <c r="K65" s="99" t="e">
        <f t="shared" si="3"/>
        <v>#NUM!</v>
      </c>
      <c r="L65" s="99"/>
      <c r="M65" s="101">
        <f t="shared" si="4"/>
        <v>0</v>
      </c>
      <c r="S65" s="85"/>
      <c r="T65" s="85"/>
      <c r="U65" s="85"/>
      <c r="V65" s="85"/>
      <c r="W65" s="85"/>
      <c r="X65" s="85"/>
      <c r="Y65" s="85"/>
      <c r="Z65" s="85"/>
      <c r="AA65" s="85"/>
      <c r="AB65" s="85"/>
      <c r="AC65" s="85"/>
      <c r="AD65" s="85"/>
      <c r="AE65" s="85"/>
      <c r="AF65" s="85"/>
      <c r="AG65" s="85"/>
      <c r="AH65" s="85"/>
      <c r="AI65" s="85"/>
      <c r="AJ65" s="85"/>
      <c r="AK65" s="85"/>
      <c r="AL65" s="85"/>
    </row>
    <row r="66" spans="1:38" s="80" customFormat="1" x14ac:dyDescent="0.25">
      <c r="A66" s="94"/>
      <c r="B66" s="33"/>
      <c r="C66" s="115"/>
      <c r="D66" s="115"/>
      <c r="E66" s="115"/>
      <c r="F66" s="115"/>
      <c r="H66" s="95">
        <v>61</v>
      </c>
      <c r="I66" s="96" t="str">
        <f t="shared" si="1"/>
        <v/>
      </c>
      <c r="J66" s="95" t="e">
        <f t="shared" si="2"/>
        <v>#NUM!</v>
      </c>
      <c r="K66" s="95" t="e">
        <f t="shared" si="3"/>
        <v>#NUM!</v>
      </c>
      <c r="L66" s="95"/>
      <c r="M66" s="97">
        <f t="shared" si="4"/>
        <v>0</v>
      </c>
      <c r="S66" s="85"/>
      <c r="T66" s="85"/>
      <c r="U66" s="85"/>
      <c r="V66" s="85"/>
      <c r="W66" s="85"/>
      <c r="X66" s="85"/>
      <c r="Y66" s="85"/>
      <c r="Z66" s="85"/>
      <c r="AA66" s="85"/>
      <c r="AB66" s="85"/>
      <c r="AC66" s="85"/>
      <c r="AD66" s="85"/>
      <c r="AE66" s="85"/>
      <c r="AF66" s="85"/>
      <c r="AG66" s="85"/>
      <c r="AH66" s="85"/>
      <c r="AI66" s="85"/>
      <c r="AJ66" s="85"/>
      <c r="AK66" s="85"/>
      <c r="AL66" s="85"/>
    </row>
    <row r="67" spans="1:38" s="80" customFormat="1" x14ac:dyDescent="0.25">
      <c r="A67" s="98"/>
      <c r="B67" s="39"/>
      <c r="C67" s="115"/>
      <c r="D67" s="115"/>
      <c r="E67" s="115"/>
      <c r="F67" s="115"/>
      <c r="H67" s="95">
        <v>62</v>
      </c>
      <c r="I67" s="96" t="str">
        <f t="shared" si="1"/>
        <v/>
      </c>
      <c r="J67" s="95" t="e">
        <f t="shared" si="2"/>
        <v>#NUM!</v>
      </c>
      <c r="K67" s="95" t="e">
        <f t="shared" si="3"/>
        <v>#NUM!</v>
      </c>
      <c r="L67" s="95"/>
      <c r="M67" s="97">
        <f t="shared" si="4"/>
        <v>0</v>
      </c>
      <c r="S67" s="85"/>
      <c r="T67" s="85"/>
      <c r="U67" s="85"/>
      <c r="V67" s="85"/>
      <c r="W67" s="85"/>
      <c r="X67" s="85"/>
      <c r="Y67" s="85"/>
      <c r="Z67" s="85"/>
      <c r="AA67" s="85"/>
      <c r="AB67" s="85"/>
      <c r="AC67" s="85"/>
      <c r="AD67" s="85"/>
      <c r="AE67" s="85"/>
      <c r="AF67" s="85"/>
      <c r="AG67" s="85"/>
      <c r="AH67" s="85"/>
      <c r="AI67" s="85"/>
      <c r="AJ67" s="85"/>
      <c r="AK67" s="85"/>
      <c r="AL67" s="85"/>
    </row>
    <row r="68" spans="1:38" s="80" customFormat="1" x14ac:dyDescent="0.25">
      <c r="A68" s="94"/>
      <c r="B68" s="33"/>
      <c r="C68" s="115"/>
      <c r="D68" s="115"/>
      <c r="E68" s="115"/>
      <c r="F68" s="115"/>
      <c r="H68" s="95">
        <v>63</v>
      </c>
      <c r="I68" s="96" t="str">
        <f t="shared" si="1"/>
        <v/>
      </c>
      <c r="J68" s="95" t="e">
        <f t="shared" si="2"/>
        <v>#NUM!</v>
      </c>
      <c r="K68" s="95" t="e">
        <f t="shared" si="3"/>
        <v>#NUM!</v>
      </c>
      <c r="L68" s="95"/>
      <c r="M68" s="97">
        <f t="shared" si="4"/>
        <v>0</v>
      </c>
      <c r="S68" s="85"/>
      <c r="T68" s="85"/>
      <c r="U68" s="85"/>
      <c r="V68" s="85"/>
      <c r="W68" s="85"/>
      <c r="X68" s="85"/>
      <c r="Y68" s="85"/>
      <c r="Z68" s="85"/>
      <c r="AA68" s="85"/>
      <c r="AB68" s="85"/>
      <c r="AC68" s="85"/>
      <c r="AD68" s="85"/>
      <c r="AE68" s="85"/>
      <c r="AF68" s="85"/>
      <c r="AG68" s="85"/>
      <c r="AH68" s="85"/>
      <c r="AI68" s="85"/>
      <c r="AJ68" s="85"/>
      <c r="AK68" s="85"/>
      <c r="AL68" s="85"/>
    </row>
    <row r="69" spans="1:38" s="80" customFormat="1" x14ac:dyDescent="0.25">
      <c r="A69" s="98"/>
      <c r="B69" s="39"/>
      <c r="C69" s="115"/>
      <c r="D69" s="115"/>
      <c r="E69" s="115"/>
      <c r="F69" s="115"/>
      <c r="H69" s="95">
        <v>64</v>
      </c>
      <c r="I69" s="96" t="str">
        <f t="shared" si="1"/>
        <v/>
      </c>
      <c r="J69" s="95" t="e">
        <f t="shared" si="2"/>
        <v>#NUM!</v>
      </c>
      <c r="K69" s="95" t="e">
        <f t="shared" si="3"/>
        <v>#NUM!</v>
      </c>
      <c r="L69" s="95"/>
      <c r="M69" s="97">
        <f t="shared" si="4"/>
        <v>0</v>
      </c>
      <c r="S69" s="85"/>
      <c r="T69" s="85"/>
      <c r="U69" s="85"/>
      <c r="V69" s="85"/>
      <c r="W69" s="85"/>
      <c r="X69" s="85"/>
      <c r="Y69" s="85"/>
      <c r="Z69" s="85"/>
      <c r="AA69" s="85"/>
      <c r="AB69" s="85"/>
      <c r="AC69" s="85"/>
      <c r="AD69" s="85"/>
      <c r="AE69" s="85"/>
      <c r="AF69" s="85"/>
      <c r="AG69" s="85"/>
      <c r="AH69" s="85"/>
      <c r="AI69" s="85"/>
      <c r="AJ69" s="85"/>
      <c r="AK69" s="85"/>
      <c r="AL69" s="85"/>
    </row>
    <row r="70" spans="1:38" s="80" customFormat="1" x14ac:dyDescent="0.25">
      <c r="A70" s="116"/>
      <c r="B70" s="115"/>
      <c r="C70" s="115"/>
      <c r="D70" s="115"/>
      <c r="E70" s="115"/>
      <c r="F70" s="115"/>
      <c r="H70" s="95">
        <v>65</v>
      </c>
      <c r="I70" s="96" t="str">
        <f t="shared" ref="I70:I133" si="8">IF(H70&lt;$H$2+1,($I$2-($I$2-1)*(LOG(H70)/LOG($H$2))),"")</f>
        <v/>
      </c>
      <c r="J70" s="95" t="e">
        <f t="shared" ref="J70:J133" si="9">INT(LOG($H$2,2))-ROUNDUP(LOG(H70,2),0)+IF(OR($H$2=1,$H$2=2,$H$2=4,$H$2=8,$H$2=16,$H$2=32,$H$2=64,$H$2=128,$H$2=256),0,1)</f>
        <v>#NUM!</v>
      </c>
      <c r="K70" s="95" t="e">
        <f t="shared" ref="K70:K133" si="10">J70*$J$2</f>
        <v>#NUM!</v>
      </c>
      <c r="L70" s="95"/>
      <c r="M70" s="97">
        <f t="shared" ref="M70:M133" si="11">IF(I70&lt;&gt;"",K70+I70+L70,0)</f>
        <v>0</v>
      </c>
      <c r="S70" s="85"/>
      <c r="T70" s="85"/>
      <c r="U70" s="85"/>
      <c r="V70" s="85"/>
      <c r="W70" s="85"/>
      <c r="X70" s="85"/>
      <c r="Y70" s="85"/>
      <c r="Z70" s="85"/>
      <c r="AA70" s="85"/>
      <c r="AB70" s="85"/>
      <c r="AC70" s="85"/>
      <c r="AD70" s="85"/>
      <c r="AE70" s="85"/>
      <c r="AF70" s="85"/>
      <c r="AG70" s="85"/>
      <c r="AH70" s="85"/>
      <c r="AI70" s="85"/>
      <c r="AJ70" s="85"/>
      <c r="AK70" s="85"/>
      <c r="AL70" s="85"/>
    </row>
    <row r="71" spans="1:38" s="80" customFormat="1" x14ac:dyDescent="0.25">
      <c r="A71" s="116"/>
      <c r="B71" s="115"/>
      <c r="C71" s="115"/>
      <c r="D71" s="115"/>
      <c r="E71" s="115"/>
      <c r="F71" s="115"/>
      <c r="H71" s="95">
        <v>66</v>
      </c>
      <c r="I71" s="96" t="str">
        <f t="shared" si="8"/>
        <v/>
      </c>
      <c r="J71" s="95" t="e">
        <f t="shared" si="9"/>
        <v>#NUM!</v>
      </c>
      <c r="K71" s="95" t="e">
        <f t="shared" si="10"/>
        <v>#NUM!</v>
      </c>
      <c r="L71" s="95"/>
      <c r="M71" s="97">
        <f t="shared" si="11"/>
        <v>0</v>
      </c>
      <c r="S71" s="85"/>
      <c r="T71" s="85"/>
      <c r="U71" s="85"/>
      <c r="V71" s="85"/>
      <c r="W71" s="85"/>
      <c r="X71" s="85"/>
      <c r="Y71" s="85"/>
      <c r="Z71" s="85"/>
      <c r="AA71" s="85"/>
      <c r="AB71" s="85"/>
      <c r="AC71" s="85"/>
      <c r="AD71" s="85"/>
      <c r="AE71" s="85"/>
      <c r="AF71" s="85"/>
      <c r="AG71" s="85"/>
      <c r="AH71" s="85"/>
      <c r="AI71" s="85"/>
      <c r="AJ71" s="85"/>
      <c r="AK71" s="85"/>
      <c r="AL71" s="85"/>
    </row>
    <row r="72" spans="1:38" s="80" customFormat="1" x14ac:dyDescent="0.25">
      <c r="A72" s="116"/>
      <c r="B72" s="115"/>
      <c r="C72" s="115"/>
      <c r="D72" s="115"/>
      <c r="E72" s="115"/>
      <c r="F72" s="115"/>
      <c r="H72" s="95">
        <v>67</v>
      </c>
      <c r="I72" s="96" t="str">
        <f t="shared" si="8"/>
        <v/>
      </c>
      <c r="J72" s="95" t="e">
        <f t="shared" si="9"/>
        <v>#NUM!</v>
      </c>
      <c r="K72" s="95" t="e">
        <f t="shared" si="10"/>
        <v>#NUM!</v>
      </c>
      <c r="L72" s="95"/>
      <c r="M72" s="97">
        <f t="shared" si="11"/>
        <v>0</v>
      </c>
      <c r="S72" s="85"/>
      <c r="T72" s="85"/>
      <c r="U72" s="85"/>
      <c r="V72" s="85"/>
      <c r="W72" s="85"/>
      <c r="X72" s="85"/>
      <c r="Y72" s="85"/>
      <c r="Z72" s="85"/>
      <c r="AA72" s="85"/>
      <c r="AB72" s="85"/>
      <c r="AC72" s="85"/>
      <c r="AD72" s="85"/>
      <c r="AE72" s="85"/>
      <c r="AF72" s="85"/>
      <c r="AG72" s="85"/>
      <c r="AH72" s="85"/>
      <c r="AI72" s="85"/>
      <c r="AJ72" s="85"/>
      <c r="AK72" s="85"/>
      <c r="AL72" s="85"/>
    </row>
    <row r="73" spans="1:38" s="80" customFormat="1" x14ac:dyDescent="0.25">
      <c r="A73" s="116"/>
      <c r="B73" s="115"/>
      <c r="C73" s="115"/>
      <c r="D73" s="115"/>
      <c r="E73" s="115"/>
      <c r="F73" s="115"/>
      <c r="H73" s="95">
        <v>68</v>
      </c>
      <c r="I73" s="96" t="str">
        <f t="shared" si="8"/>
        <v/>
      </c>
      <c r="J73" s="95" t="e">
        <f t="shared" si="9"/>
        <v>#NUM!</v>
      </c>
      <c r="K73" s="95" t="e">
        <f t="shared" si="10"/>
        <v>#NUM!</v>
      </c>
      <c r="L73" s="95"/>
      <c r="M73" s="97">
        <f t="shared" si="11"/>
        <v>0</v>
      </c>
      <c r="S73" s="85"/>
      <c r="T73" s="85"/>
      <c r="U73" s="85"/>
      <c r="V73" s="85"/>
      <c r="W73" s="85"/>
      <c r="X73" s="85"/>
      <c r="Y73" s="85"/>
      <c r="Z73" s="85"/>
      <c r="AA73" s="85"/>
      <c r="AB73" s="85"/>
      <c r="AC73" s="85"/>
      <c r="AD73" s="85"/>
      <c r="AE73" s="85"/>
      <c r="AF73" s="85"/>
      <c r="AG73" s="85"/>
      <c r="AH73" s="85"/>
      <c r="AI73" s="85"/>
      <c r="AJ73" s="85"/>
      <c r="AK73" s="85"/>
      <c r="AL73" s="85"/>
    </row>
    <row r="74" spans="1:38" s="80" customFormat="1" x14ac:dyDescent="0.25">
      <c r="A74" s="116"/>
      <c r="B74" s="115"/>
      <c r="C74" s="115"/>
      <c r="D74" s="115"/>
      <c r="E74" s="115"/>
      <c r="F74" s="115"/>
      <c r="H74" s="95">
        <v>69</v>
      </c>
      <c r="I74" s="96" t="str">
        <f t="shared" si="8"/>
        <v/>
      </c>
      <c r="J74" s="95" t="e">
        <f t="shared" si="9"/>
        <v>#NUM!</v>
      </c>
      <c r="K74" s="95" t="e">
        <f t="shared" si="10"/>
        <v>#NUM!</v>
      </c>
      <c r="L74" s="95"/>
      <c r="M74" s="97">
        <f t="shared" si="11"/>
        <v>0</v>
      </c>
      <c r="S74" s="85"/>
      <c r="T74" s="85"/>
      <c r="U74" s="85"/>
      <c r="V74" s="85"/>
      <c r="W74" s="85"/>
      <c r="X74" s="85"/>
      <c r="Y74" s="85"/>
      <c r="Z74" s="85"/>
      <c r="AA74" s="85"/>
      <c r="AB74" s="85"/>
      <c r="AC74" s="85"/>
      <c r="AD74" s="85"/>
      <c r="AE74" s="85"/>
      <c r="AF74" s="85"/>
      <c r="AG74" s="85"/>
      <c r="AH74" s="85"/>
      <c r="AI74" s="85"/>
      <c r="AJ74" s="85"/>
      <c r="AK74" s="85"/>
      <c r="AL74" s="85"/>
    </row>
    <row r="75" spans="1:38" s="80" customFormat="1" x14ac:dyDescent="0.25">
      <c r="A75" s="116"/>
      <c r="B75" s="115"/>
      <c r="C75" s="115"/>
      <c r="D75" s="115"/>
      <c r="E75" s="115"/>
      <c r="F75" s="115"/>
      <c r="H75" s="95">
        <v>70</v>
      </c>
      <c r="I75" s="96" t="str">
        <f t="shared" si="8"/>
        <v/>
      </c>
      <c r="J75" s="95" t="e">
        <f t="shared" si="9"/>
        <v>#NUM!</v>
      </c>
      <c r="K75" s="95" t="e">
        <f t="shared" si="10"/>
        <v>#NUM!</v>
      </c>
      <c r="L75" s="95"/>
      <c r="M75" s="97">
        <f t="shared" si="11"/>
        <v>0</v>
      </c>
      <c r="S75" s="85"/>
      <c r="T75" s="85"/>
      <c r="U75" s="85"/>
      <c r="V75" s="85"/>
      <c r="W75" s="85"/>
      <c r="X75" s="85"/>
      <c r="Y75" s="85"/>
      <c r="Z75" s="85"/>
      <c r="AA75" s="85"/>
      <c r="AB75" s="85"/>
      <c r="AC75" s="85"/>
      <c r="AD75" s="85"/>
      <c r="AE75" s="85"/>
      <c r="AF75" s="85"/>
      <c r="AG75" s="85"/>
      <c r="AH75" s="85"/>
      <c r="AI75" s="85"/>
      <c r="AJ75" s="85"/>
      <c r="AK75" s="85"/>
      <c r="AL75" s="85"/>
    </row>
    <row r="76" spans="1:38" s="80" customFormat="1" x14ac:dyDescent="0.25">
      <c r="A76" s="116"/>
      <c r="B76" s="115"/>
      <c r="C76" s="115"/>
      <c r="D76" s="115"/>
      <c r="E76" s="115"/>
      <c r="F76" s="115"/>
      <c r="H76" s="95">
        <v>71</v>
      </c>
      <c r="I76" s="96" t="str">
        <f t="shared" si="8"/>
        <v/>
      </c>
      <c r="J76" s="95" t="e">
        <f t="shared" si="9"/>
        <v>#NUM!</v>
      </c>
      <c r="K76" s="95" t="e">
        <f t="shared" si="10"/>
        <v>#NUM!</v>
      </c>
      <c r="L76" s="95"/>
      <c r="M76" s="97">
        <f t="shared" si="11"/>
        <v>0</v>
      </c>
      <c r="S76" s="85"/>
      <c r="T76" s="85"/>
      <c r="U76" s="85"/>
      <c r="V76" s="85"/>
      <c r="W76" s="85"/>
      <c r="X76" s="85"/>
      <c r="Y76" s="85"/>
      <c r="Z76" s="85"/>
      <c r="AA76" s="85"/>
      <c r="AB76" s="85"/>
      <c r="AC76" s="85"/>
      <c r="AD76" s="85"/>
      <c r="AE76" s="85"/>
      <c r="AF76" s="85"/>
      <c r="AG76" s="85"/>
      <c r="AH76" s="85"/>
      <c r="AI76" s="85"/>
      <c r="AJ76" s="85"/>
      <c r="AK76" s="85"/>
      <c r="AL76" s="85"/>
    </row>
    <row r="77" spans="1:38" s="80" customFormat="1" x14ac:dyDescent="0.25">
      <c r="A77" s="116"/>
      <c r="B77" s="115"/>
      <c r="C77" s="115"/>
      <c r="D77" s="115"/>
      <c r="E77" s="115"/>
      <c r="F77" s="115"/>
      <c r="H77" s="95">
        <v>72</v>
      </c>
      <c r="I77" s="96" t="str">
        <f t="shared" si="8"/>
        <v/>
      </c>
      <c r="J77" s="95" t="e">
        <f t="shared" si="9"/>
        <v>#NUM!</v>
      </c>
      <c r="K77" s="95" t="e">
        <f t="shared" si="10"/>
        <v>#NUM!</v>
      </c>
      <c r="L77" s="95"/>
      <c r="M77" s="97">
        <f t="shared" si="11"/>
        <v>0</v>
      </c>
      <c r="S77" s="85"/>
      <c r="T77" s="85"/>
      <c r="U77" s="85"/>
      <c r="V77" s="85"/>
      <c r="W77" s="85"/>
      <c r="X77" s="85"/>
      <c r="Y77" s="85"/>
      <c r="Z77" s="85"/>
      <c r="AA77" s="85"/>
      <c r="AB77" s="85"/>
      <c r="AC77" s="85"/>
      <c r="AD77" s="85"/>
      <c r="AE77" s="85"/>
      <c r="AF77" s="85"/>
      <c r="AG77" s="85"/>
      <c r="AH77" s="85"/>
      <c r="AI77" s="85"/>
      <c r="AJ77" s="85"/>
      <c r="AK77" s="85"/>
      <c r="AL77" s="85"/>
    </row>
    <row r="78" spans="1:38" s="80" customFormat="1" x14ac:dyDescent="0.25">
      <c r="A78" s="116"/>
      <c r="B78" s="115"/>
      <c r="C78" s="115"/>
      <c r="D78" s="115"/>
      <c r="E78" s="115"/>
      <c r="F78" s="115"/>
      <c r="H78" s="95">
        <v>73</v>
      </c>
      <c r="I78" s="96" t="str">
        <f t="shared" si="8"/>
        <v/>
      </c>
      <c r="J78" s="95" t="e">
        <f t="shared" si="9"/>
        <v>#NUM!</v>
      </c>
      <c r="K78" s="95" t="e">
        <f t="shared" si="10"/>
        <v>#NUM!</v>
      </c>
      <c r="L78" s="95"/>
      <c r="M78" s="97">
        <f t="shared" si="11"/>
        <v>0</v>
      </c>
      <c r="S78" s="85"/>
      <c r="T78" s="85"/>
      <c r="U78" s="85"/>
      <c r="V78" s="85"/>
      <c r="W78" s="85"/>
      <c r="X78" s="85"/>
      <c r="Y78" s="85"/>
      <c r="Z78" s="85"/>
      <c r="AA78" s="85"/>
      <c r="AB78" s="85"/>
      <c r="AC78" s="85"/>
      <c r="AD78" s="85"/>
      <c r="AE78" s="85"/>
      <c r="AF78" s="85"/>
      <c r="AG78" s="85"/>
      <c r="AH78" s="85"/>
      <c r="AI78" s="85"/>
      <c r="AJ78" s="85"/>
      <c r="AK78" s="85"/>
      <c r="AL78" s="85"/>
    </row>
    <row r="79" spans="1:38" s="80" customFormat="1" x14ac:dyDescent="0.25">
      <c r="A79" s="116"/>
      <c r="B79" s="115"/>
      <c r="C79" s="115"/>
      <c r="D79" s="115"/>
      <c r="E79" s="115"/>
      <c r="F79" s="115"/>
      <c r="H79" s="95">
        <v>74</v>
      </c>
      <c r="I79" s="96" t="str">
        <f t="shared" si="8"/>
        <v/>
      </c>
      <c r="J79" s="95" t="e">
        <f t="shared" si="9"/>
        <v>#NUM!</v>
      </c>
      <c r="K79" s="95" t="e">
        <f t="shared" si="10"/>
        <v>#NUM!</v>
      </c>
      <c r="L79" s="95"/>
      <c r="M79" s="97">
        <f t="shared" si="11"/>
        <v>0</v>
      </c>
      <c r="S79" s="85"/>
      <c r="T79" s="85"/>
      <c r="U79" s="85"/>
      <c r="V79" s="85"/>
      <c r="W79" s="85"/>
      <c r="X79" s="85"/>
      <c r="Y79" s="85"/>
      <c r="Z79" s="85"/>
      <c r="AA79" s="85"/>
      <c r="AB79" s="85"/>
      <c r="AC79" s="85"/>
      <c r="AD79" s="85"/>
      <c r="AE79" s="85"/>
      <c r="AF79" s="85"/>
      <c r="AG79" s="85"/>
      <c r="AH79" s="85"/>
      <c r="AI79" s="85"/>
      <c r="AJ79" s="85"/>
      <c r="AK79" s="85"/>
      <c r="AL79" s="85"/>
    </row>
    <row r="80" spans="1:38" s="80" customFormat="1" x14ac:dyDescent="0.25">
      <c r="A80" s="116"/>
      <c r="B80" s="115"/>
      <c r="C80" s="115"/>
      <c r="D80" s="115"/>
      <c r="E80" s="115"/>
      <c r="F80" s="115"/>
      <c r="H80" s="95">
        <v>75</v>
      </c>
      <c r="I80" s="96" t="str">
        <f t="shared" si="8"/>
        <v/>
      </c>
      <c r="J80" s="95" t="e">
        <f t="shared" si="9"/>
        <v>#NUM!</v>
      </c>
      <c r="K80" s="95" t="e">
        <f t="shared" si="10"/>
        <v>#NUM!</v>
      </c>
      <c r="L80" s="95"/>
      <c r="M80" s="97">
        <f t="shared" si="11"/>
        <v>0</v>
      </c>
      <c r="S80" s="85"/>
      <c r="T80" s="85"/>
      <c r="U80" s="85"/>
      <c r="V80" s="85"/>
      <c r="W80" s="85"/>
      <c r="X80" s="85"/>
      <c r="Y80" s="85"/>
      <c r="Z80" s="85"/>
      <c r="AA80" s="85"/>
      <c r="AB80" s="85"/>
      <c r="AC80" s="85"/>
      <c r="AD80" s="85"/>
      <c r="AE80" s="85"/>
      <c r="AF80" s="85"/>
      <c r="AG80" s="85"/>
      <c r="AH80" s="85"/>
      <c r="AI80" s="85"/>
      <c r="AJ80" s="85"/>
      <c r="AK80" s="85"/>
      <c r="AL80" s="85"/>
    </row>
    <row r="81" spans="1:38" s="80" customFormat="1" x14ac:dyDescent="0.25">
      <c r="A81" s="116"/>
      <c r="B81" s="115"/>
      <c r="C81" s="115"/>
      <c r="D81" s="115"/>
      <c r="E81" s="115"/>
      <c r="F81" s="115"/>
      <c r="H81" s="95">
        <v>76</v>
      </c>
      <c r="I81" s="96" t="str">
        <f t="shared" si="8"/>
        <v/>
      </c>
      <c r="J81" s="95" t="e">
        <f t="shared" si="9"/>
        <v>#NUM!</v>
      </c>
      <c r="K81" s="95" t="e">
        <f t="shared" si="10"/>
        <v>#NUM!</v>
      </c>
      <c r="L81" s="95"/>
      <c r="M81" s="97">
        <f t="shared" si="11"/>
        <v>0</v>
      </c>
      <c r="S81" s="85"/>
      <c r="T81" s="85"/>
      <c r="U81" s="85"/>
      <c r="V81" s="85"/>
      <c r="W81" s="85"/>
      <c r="X81" s="85"/>
      <c r="Y81" s="85"/>
      <c r="Z81" s="85"/>
      <c r="AA81" s="85"/>
      <c r="AB81" s="85"/>
      <c r="AC81" s="85"/>
      <c r="AD81" s="85"/>
      <c r="AE81" s="85"/>
      <c r="AF81" s="85"/>
      <c r="AG81" s="85"/>
      <c r="AH81" s="85"/>
      <c r="AI81" s="85"/>
      <c r="AJ81" s="85"/>
      <c r="AK81" s="85"/>
      <c r="AL81" s="85"/>
    </row>
    <row r="82" spans="1:38" s="80" customFormat="1" x14ac:dyDescent="0.25">
      <c r="A82" s="116"/>
      <c r="B82" s="115"/>
      <c r="C82" s="115"/>
      <c r="D82" s="115"/>
      <c r="E82" s="115"/>
      <c r="F82" s="115"/>
      <c r="H82" s="95">
        <v>77</v>
      </c>
      <c r="I82" s="96" t="str">
        <f t="shared" si="8"/>
        <v/>
      </c>
      <c r="J82" s="95" t="e">
        <f t="shared" si="9"/>
        <v>#NUM!</v>
      </c>
      <c r="K82" s="95" t="e">
        <f t="shared" si="10"/>
        <v>#NUM!</v>
      </c>
      <c r="L82" s="95"/>
      <c r="M82" s="97">
        <f t="shared" si="11"/>
        <v>0</v>
      </c>
      <c r="S82" s="85"/>
      <c r="T82" s="85"/>
      <c r="U82" s="85"/>
      <c r="V82" s="85"/>
      <c r="W82" s="85"/>
      <c r="X82" s="85"/>
      <c r="Y82" s="85"/>
      <c r="Z82" s="85"/>
      <c r="AA82" s="85"/>
      <c r="AB82" s="85"/>
      <c r="AC82" s="85"/>
      <c r="AD82" s="85"/>
      <c r="AE82" s="85"/>
      <c r="AF82" s="85"/>
      <c r="AG82" s="85"/>
      <c r="AH82" s="85"/>
      <c r="AI82" s="85"/>
      <c r="AJ82" s="85"/>
      <c r="AK82" s="85"/>
      <c r="AL82" s="85"/>
    </row>
    <row r="83" spans="1:38" s="80" customFormat="1" x14ac:dyDescent="0.25">
      <c r="A83" s="116"/>
      <c r="B83" s="115"/>
      <c r="C83" s="115"/>
      <c r="D83" s="115"/>
      <c r="E83" s="115"/>
      <c r="F83" s="115"/>
      <c r="H83" s="95">
        <v>78</v>
      </c>
      <c r="I83" s="96" t="str">
        <f t="shared" si="8"/>
        <v/>
      </c>
      <c r="J83" s="95" t="e">
        <f t="shared" si="9"/>
        <v>#NUM!</v>
      </c>
      <c r="K83" s="95" t="e">
        <f t="shared" si="10"/>
        <v>#NUM!</v>
      </c>
      <c r="L83" s="95"/>
      <c r="M83" s="97">
        <f t="shared" si="11"/>
        <v>0</v>
      </c>
      <c r="S83" s="85"/>
      <c r="T83" s="85"/>
      <c r="U83" s="85"/>
      <c r="V83" s="85"/>
      <c r="W83" s="85"/>
      <c r="X83" s="85"/>
      <c r="Y83" s="85"/>
      <c r="Z83" s="85"/>
      <c r="AA83" s="85"/>
      <c r="AB83" s="85"/>
      <c r="AC83" s="85"/>
      <c r="AD83" s="85"/>
      <c r="AE83" s="85"/>
      <c r="AF83" s="85"/>
      <c r="AG83" s="85"/>
      <c r="AH83" s="85"/>
      <c r="AI83" s="85"/>
      <c r="AJ83" s="85"/>
      <c r="AK83" s="85"/>
      <c r="AL83" s="85"/>
    </row>
    <row r="84" spans="1:38" s="80" customFormat="1" x14ac:dyDescent="0.25">
      <c r="A84" s="116"/>
      <c r="B84" s="115"/>
      <c r="C84" s="115"/>
      <c r="D84" s="115"/>
      <c r="E84" s="115"/>
      <c r="F84" s="115"/>
      <c r="H84" s="95">
        <v>79</v>
      </c>
      <c r="I84" s="96" t="str">
        <f t="shared" si="8"/>
        <v/>
      </c>
      <c r="J84" s="95" t="e">
        <f t="shared" si="9"/>
        <v>#NUM!</v>
      </c>
      <c r="K84" s="95" t="e">
        <f t="shared" si="10"/>
        <v>#NUM!</v>
      </c>
      <c r="L84" s="95"/>
      <c r="M84" s="97">
        <f t="shared" si="11"/>
        <v>0</v>
      </c>
      <c r="S84" s="85"/>
      <c r="T84" s="85"/>
      <c r="U84" s="85"/>
      <c r="V84" s="85"/>
      <c r="W84" s="85"/>
      <c r="X84" s="85"/>
      <c r="Y84" s="85"/>
      <c r="Z84" s="85"/>
      <c r="AA84" s="85"/>
      <c r="AB84" s="85"/>
      <c r="AC84" s="85"/>
      <c r="AD84" s="85"/>
      <c r="AE84" s="85"/>
      <c r="AF84" s="85"/>
      <c r="AG84" s="85"/>
      <c r="AH84" s="85"/>
      <c r="AI84" s="85"/>
      <c r="AJ84" s="85"/>
      <c r="AK84" s="85"/>
      <c r="AL84" s="85"/>
    </row>
    <row r="85" spans="1:38" s="80" customFormat="1" x14ac:dyDescent="0.25">
      <c r="A85" s="116"/>
      <c r="B85" s="115"/>
      <c r="C85" s="115"/>
      <c r="D85" s="115"/>
      <c r="E85" s="115"/>
      <c r="F85" s="115"/>
      <c r="H85" s="95">
        <v>80</v>
      </c>
      <c r="I85" s="96" t="str">
        <f t="shared" si="8"/>
        <v/>
      </c>
      <c r="J85" s="95" t="e">
        <f t="shared" si="9"/>
        <v>#NUM!</v>
      </c>
      <c r="K85" s="95" t="e">
        <f t="shared" si="10"/>
        <v>#NUM!</v>
      </c>
      <c r="L85" s="95"/>
      <c r="M85" s="97">
        <f t="shared" si="11"/>
        <v>0</v>
      </c>
      <c r="S85" s="85"/>
      <c r="T85" s="85"/>
      <c r="U85" s="85"/>
      <c r="V85" s="85"/>
      <c r="W85" s="85"/>
      <c r="X85" s="85"/>
      <c r="Y85" s="85"/>
      <c r="Z85" s="85"/>
      <c r="AA85" s="85"/>
      <c r="AB85" s="85"/>
      <c r="AC85" s="85"/>
      <c r="AD85" s="85"/>
      <c r="AE85" s="85"/>
      <c r="AF85" s="85"/>
      <c r="AG85" s="85"/>
      <c r="AH85" s="85"/>
      <c r="AI85" s="85"/>
      <c r="AJ85" s="85"/>
      <c r="AK85" s="85"/>
      <c r="AL85" s="85"/>
    </row>
    <row r="86" spans="1:38" s="80" customFormat="1" x14ac:dyDescent="0.25">
      <c r="A86" s="116"/>
      <c r="B86" s="115"/>
      <c r="C86" s="115"/>
      <c r="D86" s="115"/>
      <c r="E86" s="115"/>
      <c r="F86" s="115"/>
      <c r="H86" s="95">
        <v>81</v>
      </c>
      <c r="I86" s="96" t="str">
        <f t="shared" si="8"/>
        <v/>
      </c>
      <c r="J86" s="95" t="e">
        <f t="shared" si="9"/>
        <v>#NUM!</v>
      </c>
      <c r="K86" s="95" t="e">
        <f t="shared" si="10"/>
        <v>#NUM!</v>
      </c>
      <c r="L86" s="95"/>
      <c r="M86" s="97">
        <f t="shared" si="11"/>
        <v>0</v>
      </c>
      <c r="S86" s="85"/>
      <c r="T86" s="85"/>
      <c r="U86" s="85"/>
      <c r="V86" s="85"/>
      <c r="W86" s="85"/>
      <c r="X86" s="85"/>
      <c r="Y86" s="85"/>
      <c r="Z86" s="85"/>
      <c r="AA86" s="85"/>
      <c r="AB86" s="85"/>
      <c r="AC86" s="85"/>
      <c r="AD86" s="85"/>
      <c r="AE86" s="85"/>
      <c r="AF86" s="85"/>
      <c r="AG86" s="85"/>
      <c r="AH86" s="85"/>
      <c r="AI86" s="85"/>
      <c r="AJ86" s="85"/>
      <c r="AK86" s="85"/>
      <c r="AL86" s="85"/>
    </row>
    <row r="87" spans="1:38" s="80" customFormat="1" x14ac:dyDescent="0.25">
      <c r="A87" s="116"/>
      <c r="B87" s="115"/>
      <c r="C87" s="115"/>
      <c r="D87" s="115"/>
      <c r="E87" s="115"/>
      <c r="F87" s="115"/>
      <c r="H87" s="95">
        <v>82</v>
      </c>
      <c r="I87" s="96" t="str">
        <f t="shared" si="8"/>
        <v/>
      </c>
      <c r="J87" s="95" t="e">
        <f t="shared" si="9"/>
        <v>#NUM!</v>
      </c>
      <c r="K87" s="95" t="e">
        <f t="shared" si="10"/>
        <v>#NUM!</v>
      </c>
      <c r="L87" s="95"/>
      <c r="M87" s="97">
        <f t="shared" si="11"/>
        <v>0</v>
      </c>
      <c r="S87" s="85"/>
      <c r="T87" s="85"/>
      <c r="U87" s="85"/>
      <c r="V87" s="85"/>
      <c r="W87" s="85"/>
      <c r="X87" s="85"/>
      <c r="Y87" s="85"/>
      <c r="Z87" s="85"/>
      <c r="AA87" s="85"/>
      <c r="AB87" s="85"/>
      <c r="AC87" s="85"/>
      <c r="AD87" s="85"/>
      <c r="AE87" s="85"/>
      <c r="AF87" s="85"/>
      <c r="AG87" s="85"/>
      <c r="AH87" s="85"/>
      <c r="AI87" s="85"/>
      <c r="AJ87" s="85"/>
      <c r="AK87" s="85"/>
      <c r="AL87" s="85"/>
    </row>
    <row r="88" spans="1:38" s="80" customFormat="1" x14ac:dyDescent="0.25">
      <c r="A88" s="116"/>
      <c r="B88" s="115"/>
      <c r="C88" s="115"/>
      <c r="D88" s="115"/>
      <c r="E88" s="115"/>
      <c r="F88" s="115"/>
      <c r="H88" s="95">
        <v>83</v>
      </c>
      <c r="I88" s="96" t="str">
        <f t="shared" si="8"/>
        <v/>
      </c>
      <c r="J88" s="95" t="e">
        <f t="shared" si="9"/>
        <v>#NUM!</v>
      </c>
      <c r="K88" s="95" t="e">
        <f t="shared" si="10"/>
        <v>#NUM!</v>
      </c>
      <c r="L88" s="95"/>
      <c r="M88" s="97">
        <f t="shared" si="11"/>
        <v>0</v>
      </c>
      <c r="S88" s="85"/>
      <c r="T88" s="85"/>
      <c r="U88" s="85"/>
      <c r="V88" s="85"/>
      <c r="W88" s="85"/>
      <c r="X88" s="85"/>
      <c r="Y88" s="85"/>
      <c r="Z88" s="85"/>
      <c r="AA88" s="85"/>
      <c r="AB88" s="85"/>
      <c r="AC88" s="85"/>
      <c r="AD88" s="85"/>
      <c r="AE88" s="85"/>
      <c r="AF88" s="85"/>
      <c r="AG88" s="85"/>
      <c r="AH88" s="85"/>
      <c r="AI88" s="85"/>
      <c r="AJ88" s="85"/>
      <c r="AK88" s="85"/>
      <c r="AL88" s="85"/>
    </row>
    <row r="89" spans="1:38" s="80" customFormat="1" x14ac:dyDescent="0.25">
      <c r="A89" s="116"/>
      <c r="B89" s="115"/>
      <c r="C89" s="115"/>
      <c r="D89" s="115"/>
      <c r="E89" s="115"/>
      <c r="F89" s="115"/>
      <c r="H89" s="95">
        <v>84</v>
      </c>
      <c r="I89" s="96" t="str">
        <f t="shared" si="8"/>
        <v/>
      </c>
      <c r="J89" s="95" t="e">
        <f t="shared" si="9"/>
        <v>#NUM!</v>
      </c>
      <c r="K89" s="95" t="e">
        <f t="shared" si="10"/>
        <v>#NUM!</v>
      </c>
      <c r="L89" s="95"/>
      <c r="M89" s="97">
        <f t="shared" si="11"/>
        <v>0</v>
      </c>
      <c r="S89" s="85"/>
      <c r="T89" s="85"/>
      <c r="U89" s="85"/>
      <c r="V89" s="85"/>
      <c r="W89" s="85"/>
      <c r="X89" s="85"/>
      <c r="Y89" s="85"/>
      <c r="Z89" s="85"/>
      <c r="AA89" s="85"/>
      <c r="AB89" s="85"/>
      <c r="AC89" s="85"/>
      <c r="AD89" s="85"/>
      <c r="AE89" s="85"/>
      <c r="AF89" s="85"/>
      <c r="AG89" s="85"/>
      <c r="AH89" s="85"/>
      <c r="AI89" s="85"/>
      <c r="AJ89" s="85"/>
      <c r="AK89" s="85"/>
      <c r="AL89" s="85"/>
    </row>
    <row r="90" spans="1:38" s="80" customFormat="1" x14ac:dyDescent="0.25">
      <c r="A90" s="116"/>
      <c r="B90" s="115"/>
      <c r="C90" s="115"/>
      <c r="D90" s="115"/>
      <c r="E90" s="115"/>
      <c r="F90" s="115"/>
      <c r="H90" s="95">
        <v>85</v>
      </c>
      <c r="I90" s="96" t="str">
        <f t="shared" si="8"/>
        <v/>
      </c>
      <c r="J90" s="95" t="e">
        <f t="shared" si="9"/>
        <v>#NUM!</v>
      </c>
      <c r="K90" s="95" t="e">
        <f t="shared" si="10"/>
        <v>#NUM!</v>
      </c>
      <c r="L90" s="95"/>
      <c r="M90" s="97">
        <f t="shared" si="11"/>
        <v>0</v>
      </c>
      <c r="S90" s="85"/>
      <c r="T90" s="85"/>
      <c r="U90" s="85"/>
      <c r="V90" s="85"/>
      <c r="W90" s="85"/>
      <c r="X90" s="85"/>
      <c r="Y90" s="85"/>
      <c r="Z90" s="85"/>
      <c r="AA90" s="85"/>
      <c r="AB90" s="85"/>
      <c r="AC90" s="85"/>
      <c r="AD90" s="85"/>
      <c r="AE90" s="85"/>
      <c r="AF90" s="85"/>
      <c r="AG90" s="85"/>
      <c r="AH90" s="85"/>
      <c r="AI90" s="85"/>
      <c r="AJ90" s="85"/>
      <c r="AK90" s="85"/>
      <c r="AL90" s="85"/>
    </row>
    <row r="91" spans="1:38" s="80" customFormat="1" x14ac:dyDescent="0.25">
      <c r="A91" s="116"/>
      <c r="B91" s="115"/>
      <c r="C91" s="115"/>
      <c r="D91" s="115"/>
      <c r="E91" s="115"/>
      <c r="F91" s="115"/>
      <c r="H91" s="95">
        <v>86</v>
      </c>
      <c r="I91" s="96" t="str">
        <f t="shared" si="8"/>
        <v/>
      </c>
      <c r="J91" s="95" t="e">
        <f t="shared" si="9"/>
        <v>#NUM!</v>
      </c>
      <c r="K91" s="95" t="e">
        <f t="shared" si="10"/>
        <v>#NUM!</v>
      </c>
      <c r="L91" s="95"/>
      <c r="M91" s="97">
        <f t="shared" si="11"/>
        <v>0</v>
      </c>
      <c r="S91" s="85"/>
      <c r="T91" s="85"/>
      <c r="U91" s="85"/>
      <c r="V91" s="85"/>
      <c r="W91" s="85"/>
      <c r="X91" s="85"/>
      <c r="Y91" s="85"/>
      <c r="Z91" s="85"/>
      <c r="AA91" s="85"/>
      <c r="AB91" s="85"/>
      <c r="AC91" s="85"/>
      <c r="AD91" s="85"/>
      <c r="AE91" s="85"/>
      <c r="AF91" s="85"/>
      <c r="AG91" s="85"/>
      <c r="AH91" s="85"/>
      <c r="AI91" s="85"/>
      <c r="AJ91" s="85"/>
      <c r="AK91" s="85"/>
      <c r="AL91" s="85"/>
    </row>
    <row r="92" spans="1:38" s="80" customFormat="1" x14ac:dyDescent="0.25">
      <c r="A92" s="116"/>
      <c r="B92" s="115"/>
      <c r="C92" s="115"/>
      <c r="D92" s="115"/>
      <c r="E92" s="115"/>
      <c r="F92" s="115"/>
      <c r="H92" s="95">
        <v>87</v>
      </c>
      <c r="I92" s="96" t="str">
        <f t="shared" si="8"/>
        <v/>
      </c>
      <c r="J92" s="95" t="e">
        <f t="shared" si="9"/>
        <v>#NUM!</v>
      </c>
      <c r="K92" s="95" t="e">
        <f t="shared" si="10"/>
        <v>#NUM!</v>
      </c>
      <c r="L92" s="95"/>
      <c r="M92" s="97">
        <f t="shared" si="11"/>
        <v>0</v>
      </c>
      <c r="S92" s="85"/>
      <c r="T92" s="85"/>
      <c r="U92" s="85"/>
      <c r="V92" s="85"/>
      <c r="W92" s="85"/>
      <c r="X92" s="85"/>
      <c r="Y92" s="85"/>
      <c r="Z92" s="85"/>
      <c r="AA92" s="85"/>
      <c r="AB92" s="85"/>
      <c r="AC92" s="85"/>
      <c r="AD92" s="85"/>
      <c r="AE92" s="85"/>
      <c r="AF92" s="85"/>
      <c r="AG92" s="85"/>
      <c r="AH92" s="85"/>
      <c r="AI92" s="85"/>
      <c r="AJ92" s="85"/>
      <c r="AK92" s="85"/>
      <c r="AL92" s="85"/>
    </row>
    <row r="93" spans="1:38" s="80" customFormat="1" x14ac:dyDescent="0.25">
      <c r="A93" s="116"/>
      <c r="B93" s="115"/>
      <c r="C93" s="115"/>
      <c r="D93" s="115"/>
      <c r="E93" s="115"/>
      <c r="F93" s="115"/>
      <c r="H93" s="95">
        <v>88</v>
      </c>
      <c r="I93" s="96" t="str">
        <f t="shared" si="8"/>
        <v/>
      </c>
      <c r="J93" s="95" t="e">
        <f t="shared" si="9"/>
        <v>#NUM!</v>
      </c>
      <c r="K93" s="95" t="e">
        <f t="shared" si="10"/>
        <v>#NUM!</v>
      </c>
      <c r="L93" s="95"/>
      <c r="M93" s="97">
        <f t="shared" si="11"/>
        <v>0</v>
      </c>
      <c r="S93" s="85"/>
      <c r="T93" s="85"/>
      <c r="U93" s="85"/>
      <c r="V93" s="85"/>
      <c r="W93" s="85"/>
      <c r="X93" s="85"/>
      <c r="Y93" s="85"/>
      <c r="Z93" s="85"/>
      <c r="AA93" s="85"/>
      <c r="AB93" s="85"/>
      <c r="AC93" s="85"/>
      <c r="AD93" s="85"/>
      <c r="AE93" s="85"/>
      <c r="AF93" s="85"/>
      <c r="AG93" s="85"/>
      <c r="AH93" s="85"/>
      <c r="AI93" s="85"/>
      <c r="AJ93" s="85"/>
      <c r="AK93" s="85"/>
      <c r="AL93" s="85"/>
    </row>
    <row r="94" spans="1:38" s="80" customFormat="1" x14ac:dyDescent="0.25">
      <c r="A94" s="116"/>
      <c r="B94" s="115"/>
      <c r="C94" s="115"/>
      <c r="D94" s="115"/>
      <c r="E94" s="115"/>
      <c r="F94" s="115"/>
      <c r="H94" s="95">
        <v>89</v>
      </c>
      <c r="I94" s="96" t="str">
        <f t="shared" si="8"/>
        <v/>
      </c>
      <c r="J94" s="95" t="e">
        <f t="shared" si="9"/>
        <v>#NUM!</v>
      </c>
      <c r="K94" s="95" t="e">
        <f t="shared" si="10"/>
        <v>#NUM!</v>
      </c>
      <c r="L94" s="95"/>
      <c r="M94" s="97">
        <f t="shared" si="11"/>
        <v>0</v>
      </c>
      <c r="S94" s="85"/>
      <c r="T94" s="85"/>
      <c r="U94" s="85"/>
      <c r="V94" s="85"/>
      <c r="W94" s="85"/>
      <c r="X94" s="85"/>
      <c r="Y94" s="85"/>
      <c r="Z94" s="85"/>
      <c r="AA94" s="85"/>
      <c r="AB94" s="85"/>
      <c r="AC94" s="85"/>
      <c r="AD94" s="85"/>
      <c r="AE94" s="85"/>
      <c r="AF94" s="85"/>
      <c r="AG94" s="85"/>
      <c r="AH94" s="85"/>
      <c r="AI94" s="85"/>
      <c r="AJ94" s="85"/>
      <c r="AK94" s="85"/>
      <c r="AL94" s="85"/>
    </row>
    <row r="95" spans="1:38" s="80" customFormat="1" x14ac:dyDescent="0.25">
      <c r="A95" s="116"/>
      <c r="B95" s="115"/>
      <c r="C95" s="115"/>
      <c r="D95" s="115"/>
      <c r="E95" s="115"/>
      <c r="F95" s="115"/>
      <c r="H95" s="95">
        <v>90</v>
      </c>
      <c r="I95" s="96" t="str">
        <f t="shared" si="8"/>
        <v/>
      </c>
      <c r="J95" s="95" t="e">
        <f t="shared" si="9"/>
        <v>#NUM!</v>
      </c>
      <c r="K95" s="95" t="e">
        <f t="shared" si="10"/>
        <v>#NUM!</v>
      </c>
      <c r="L95" s="95"/>
      <c r="M95" s="97">
        <f t="shared" si="11"/>
        <v>0</v>
      </c>
      <c r="S95" s="85"/>
      <c r="T95" s="85"/>
      <c r="U95" s="85"/>
      <c r="V95" s="85"/>
      <c r="W95" s="85"/>
      <c r="X95" s="85"/>
      <c r="Y95" s="85"/>
      <c r="Z95" s="85"/>
      <c r="AA95" s="85"/>
      <c r="AB95" s="85"/>
      <c r="AC95" s="85"/>
      <c r="AD95" s="85"/>
      <c r="AE95" s="85"/>
      <c r="AF95" s="85"/>
      <c r="AG95" s="85"/>
      <c r="AH95" s="85"/>
      <c r="AI95" s="85"/>
      <c r="AJ95" s="85"/>
      <c r="AK95" s="85"/>
      <c r="AL95" s="85"/>
    </row>
    <row r="96" spans="1:38" s="80" customFormat="1" x14ac:dyDescent="0.25">
      <c r="A96" s="116"/>
      <c r="B96" s="115"/>
      <c r="C96" s="115"/>
      <c r="D96" s="115"/>
      <c r="E96" s="115"/>
      <c r="F96" s="115"/>
      <c r="H96" s="95">
        <v>91</v>
      </c>
      <c r="I96" s="96" t="str">
        <f t="shared" si="8"/>
        <v/>
      </c>
      <c r="J96" s="95" t="e">
        <f t="shared" si="9"/>
        <v>#NUM!</v>
      </c>
      <c r="K96" s="95" t="e">
        <f t="shared" si="10"/>
        <v>#NUM!</v>
      </c>
      <c r="L96" s="95"/>
      <c r="M96" s="97">
        <f t="shared" si="11"/>
        <v>0</v>
      </c>
      <c r="S96" s="85"/>
      <c r="T96" s="85"/>
      <c r="U96" s="85"/>
      <c r="V96" s="85"/>
      <c r="W96" s="85"/>
      <c r="X96" s="85"/>
      <c r="Y96" s="85"/>
      <c r="Z96" s="85"/>
      <c r="AA96" s="85"/>
      <c r="AB96" s="85"/>
      <c r="AC96" s="85"/>
      <c r="AD96" s="85"/>
      <c r="AE96" s="85"/>
      <c r="AF96" s="85"/>
      <c r="AG96" s="85"/>
      <c r="AH96" s="85"/>
      <c r="AI96" s="85"/>
      <c r="AJ96" s="85"/>
      <c r="AK96" s="85"/>
      <c r="AL96" s="85"/>
    </row>
    <row r="97" spans="1:38" s="80" customFormat="1" x14ac:dyDescent="0.25">
      <c r="A97" s="116"/>
      <c r="B97" s="115"/>
      <c r="C97" s="115"/>
      <c r="D97" s="115"/>
      <c r="E97" s="115"/>
      <c r="F97" s="115"/>
      <c r="H97" s="95">
        <v>92</v>
      </c>
      <c r="I97" s="96" t="str">
        <f t="shared" si="8"/>
        <v/>
      </c>
      <c r="J97" s="95" t="e">
        <f t="shared" si="9"/>
        <v>#NUM!</v>
      </c>
      <c r="K97" s="95" t="e">
        <f t="shared" si="10"/>
        <v>#NUM!</v>
      </c>
      <c r="L97" s="95"/>
      <c r="M97" s="97">
        <f t="shared" si="11"/>
        <v>0</v>
      </c>
      <c r="S97" s="85"/>
      <c r="T97" s="85"/>
      <c r="U97" s="85"/>
      <c r="V97" s="85"/>
      <c r="W97" s="85"/>
      <c r="X97" s="85"/>
      <c r="Y97" s="85"/>
      <c r="Z97" s="85"/>
      <c r="AA97" s="85"/>
      <c r="AB97" s="85"/>
      <c r="AC97" s="85"/>
      <c r="AD97" s="85"/>
      <c r="AE97" s="85"/>
      <c r="AF97" s="85"/>
      <c r="AG97" s="85"/>
      <c r="AH97" s="85"/>
      <c r="AI97" s="85"/>
      <c r="AJ97" s="85"/>
      <c r="AK97" s="85"/>
      <c r="AL97" s="85"/>
    </row>
    <row r="98" spans="1:38" s="80" customFormat="1" x14ac:dyDescent="0.25">
      <c r="A98" s="116"/>
      <c r="B98" s="115"/>
      <c r="C98" s="115"/>
      <c r="D98" s="115"/>
      <c r="E98" s="115"/>
      <c r="F98" s="115"/>
      <c r="H98" s="95">
        <v>93</v>
      </c>
      <c r="I98" s="96" t="str">
        <f t="shared" si="8"/>
        <v/>
      </c>
      <c r="J98" s="95" t="e">
        <f t="shared" si="9"/>
        <v>#NUM!</v>
      </c>
      <c r="K98" s="95" t="e">
        <f t="shared" si="10"/>
        <v>#NUM!</v>
      </c>
      <c r="L98" s="95"/>
      <c r="M98" s="97">
        <f t="shared" si="11"/>
        <v>0</v>
      </c>
      <c r="S98" s="85"/>
      <c r="T98" s="85"/>
      <c r="U98" s="85"/>
      <c r="V98" s="85"/>
      <c r="W98" s="85"/>
      <c r="X98" s="85"/>
      <c r="Y98" s="85"/>
      <c r="Z98" s="85"/>
      <c r="AA98" s="85"/>
      <c r="AB98" s="85"/>
      <c r="AC98" s="85"/>
      <c r="AD98" s="85"/>
      <c r="AE98" s="85"/>
      <c r="AF98" s="85"/>
      <c r="AG98" s="85"/>
      <c r="AH98" s="85"/>
      <c r="AI98" s="85"/>
      <c r="AJ98" s="85"/>
      <c r="AK98" s="85"/>
      <c r="AL98" s="85"/>
    </row>
    <row r="99" spans="1:38" s="80" customFormat="1" x14ac:dyDescent="0.25">
      <c r="A99" s="116"/>
      <c r="B99" s="115"/>
      <c r="C99" s="115"/>
      <c r="D99" s="115"/>
      <c r="E99" s="115"/>
      <c r="F99" s="115"/>
      <c r="H99" s="95">
        <v>94</v>
      </c>
      <c r="I99" s="96" t="str">
        <f t="shared" si="8"/>
        <v/>
      </c>
      <c r="J99" s="95" t="e">
        <f t="shared" si="9"/>
        <v>#NUM!</v>
      </c>
      <c r="K99" s="95" t="e">
        <f t="shared" si="10"/>
        <v>#NUM!</v>
      </c>
      <c r="L99" s="95"/>
      <c r="M99" s="97">
        <f t="shared" si="11"/>
        <v>0</v>
      </c>
      <c r="S99" s="85"/>
      <c r="T99" s="85"/>
      <c r="U99" s="85"/>
      <c r="V99" s="85"/>
      <c r="W99" s="85"/>
      <c r="X99" s="85"/>
      <c r="Y99" s="85"/>
      <c r="Z99" s="85"/>
      <c r="AA99" s="85"/>
      <c r="AB99" s="85"/>
      <c r="AC99" s="85"/>
      <c r="AD99" s="85"/>
      <c r="AE99" s="85"/>
      <c r="AF99" s="85"/>
      <c r="AG99" s="85"/>
      <c r="AH99" s="85"/>
      <c r="AI99" s="85"/>
      <c r="AJ99" s="85"/>
      <c r="AK99" s="85"/>
      <c r="AL99" s="85"/>
    </row>
    <row r="100" spans="1:38" s="80" customFormat="1" x14ac:dyDescent="0.25">
      <c r="A100" s="116"/>
      <c r="B100" s="115"/>
      <c r="C100" s="115"/>
      <c r="D100" s="115"/>
      <c r="E100" s="115"/>
      <c r="F100" s="115"/>
      <c r="H100" s="95">
        <v>95</v>
      </c>
      <c r="I100" s="96" t="str">
        <f t="shared" si="8"/>
        <v/>
      </c>
      <c r="J100" s="95" t="e">
        <f t="shared" si="9"/>
        <v>#NUM!</v>
      </c>
      <c r="K100" s="95" t="e">
        <f t="shared" si="10"/>
        <v>#NUM!</v>
      </c>
      <c r="L100" s="95"/>
      <c r="M100" s="97">
        <f t="shared" si="11"/>
        <v>0</v>
      </c>
      <c r="S100" s="85"/>
      <c r="T100" s="85"/>
      <c r="U100" s="85"/>
      <c r="V100" s="85"/>
      <c r="W100" s="85"/>
      <c r="X100" s="85"/>
      <c r="Y100" s="85"/>
      <c r="Z100" s="85"/>
      <c r="AA100" s="85"/>
      <c r="AB100" s="85"/>
      <c r="AC100" s="85"/>
      <c r="AD100" s="85"/>
      <c r="AE100" s="85"/>
      <c r="AF100" s="85"/>
      <c r="AG100" s="85"/>
      <c r="AH100" s="85"/>
      <c r="AI100" s="85"/>
      <c r="AJ100" s="85"/>
      <c r="AK100" s="85"/>
      <c r="AL100" s="85"/>
    </row>
    <row r="101" spans="1:38" s="80" customFormat="1" x14ac:dyDescent="0.25">
      <c r="A101" s="116"/>
      <c r="B101" s="115"/>
      <c r="C101" s="115"/>
      <c r="D101" s="115"/>
      <c r="E101" s="115"/>
      <c r="F101" s="115"/>
      <c r="H101" s="95">
        <v>96</v>
      </c>
      <c r="I101" s="96" t="str">
        <f t="shared" si="8"/>
        <v/>
      </c>
      <c r="J101" s="95" t="e">
        <f t="shared" si="9"/>
        <v>#NUM!</v>
      </c>
      <c r="K101" s="95" t="e">
        <f t="shared" si="10"/>
        <v>#NUM!</v>
      </c>
      <c r="L101" s="95"/>
      <c r="M101" s="97">
        <f t="shared" si="11"/>
        <v>0</v>
      </c>
      <c r="S101" s="85"/>
      <c r="T101" s="85"/>
      <c r="U101" s="85"/>
      <c r="V101" s="85"/>
      <c r="W101" s="85"/>
      <c r="X101" s="85"/>
      <c r="Y101" s="85"/>
      <c r="Z101" s="85"/>
      <c r="AA101" s="85"/>
      <c r="AB101" s="85"/>
      <c r="AC101" s="85"/>
      <c r="AD101" s="85"/>
      <c r="AE101" s="85"/>
      <c r="AF101" s="85"/>
      <c r="AG101" s="85"/>
      <c r="AH101" s="85"/>
      <c r="AI101" s="85"/>
      <c r="AJ101" s="85"/>
      <c r="AK101" s="85"/>
      <c r="AL101" s="85"/>
    </row>
    <row r="102" spans="1:38" s="80" customFormat="1" x14ac:dyDescent="0.25">
      <c r="A102" s="116"/>
      <c r="B102" s="115"/>
      <c r="C102" s="115"/>
      <c r="D102" s="115"/>
      <c r="E102" s="115"/>
      <c r="F102" s="115"/>
      <c r="H102" s="95">
        <v>97</v>
      </c>
      <c r="I102" s="96" t="str">
        <f t="shared" si="8"/>
        <v/>
      </c>
      <c r="J102" s="95" t="e">
        <f t="shared" si="9"/>
        <v>#NUM!</v>
      </c>
      <c r="K102" s="95" t="e">
        <f t="shared" si="10"/>
        <v>#NUM!</v>
      </c>
      <c r="L102" s="95"/>
      <c r="M102" s="97">
        <f t="shared" si="11"/>
        <v>0</v>
      </c>
      <c r="S102" s="85"/>
      <c r="T102" s="85"/>
      <c r="U102" s="85"/>
      <c r="V102" s="85"/>
      <c r="W102" s="85"/>
      <c r="X102" s="85"/>
      <c r="Y102" s="85"/>
      <c r="Z102" s="85"/>
      <c r="AA102" s="85"/>
      <c r="AB102" s="85"/>
      <c r="AC102" s="85"/>
      <c r="AD102" s="85"/>
      <c r="AE102" s="85"/>
      <c r="AF102" s="85"/>
      <c r="AG102" s="85"/>
      <c r="AH102" s="85"/>
      <c r="AI102" s="85"/>
      <c r="AJ102" s="85"/>
      <c r="AK102" s="85"/>
      <c r="AL102" s="85"/>
    </row>
    <row r="103" spans="1:38" s="80" customFormat="1" x14ac:dyDescent="0.25">
      <c r="A103" s="116"/>
      <c r="B103" s="115"/>
      <c r="C103" s="115"/>
      <c r="D103" s="115"/>
      <c r="E103" s="115"/>
      <c r="F103" s="115"/>
      <c r="H103" s="95">
        <v>98</v>
      </c>
      <c r="I103" s="96" t="str">
        <f t="shared" si="8"/>
        <v/>
      </c>
      <c r="J103" s="95" t="e">
        <f t="shared" si="9"/>
        <v>#NUM!</v>
      </c>
      <c r="K103" s="95" t="e">
        <f t="shared" si="10"/>
        <v>#NUM!</v>
      </c>
      <c r="L103" s="95"/>
      <c r="M103" s="97">
        <f t="shared" si="11"/>
        <v>0</v>
      </c>
      <c r="S103" s="85"/>
      <c r="T103" s="85"/>
      <c r="U103" s="85"/>
      <c r="V103" s="85"/>
      <c r="W103" s="85"/>
      <c r="X103" s="85"/>
      <c r="Y103" s="85"/>
      <c r="Z103" s="85"/>
      <c r="AA103" s="85"/>
      <c r="AB103" s="85"/>
      <c r="AC103" s="85"/>
      <c r="AD103" s="85"/>
      <c r="AE103" s="85"/>
      <c r="AF103" s="85"/>
      <c r="AG103" s="85"/>
      <c r="AH103" s="85"/>
      <c r="AI103" s="85"/>
      <c r="AJ103" s="85"/>
      <c r="AK103" s="85"/>
      <c r="AL103" s="85"/>
    </row>
    <row r="104" spans="1:38" s="80" customFormat="1" x14ac:dyDescent="0.25">
      <c r="A104" s="116"/>
      <c r="B104" s="115"/>
      <c r="C104" s="115"/>
      <c r="D104" s="115"/>
      <c r="E104" s="115"/>
      <c r="F104" s="115"/>
      <c r="H104" s="95">
        <v>99</v>
      </c>
      <c r="I104" s="96" t="str">
        <f t="shared" si="8"/>
        <v/>
      </c>
      <c r="J104" s="95" t="e">
        <f t="shared" si="9"/>
        <v>#NUM!</v>
      </c>
      <c r="K104" s="95" t="e">
        <f t="shared" si="10"/>
        <v>#NUM!</v>
      </c>
      <c r="L104" s="95"/>
      <c r="M104" s="97">
        <f t="shared" si="11"/>
        <v>0</v>
      </c>
      <c r="S104" s="85"/>
      <c r="T104" s="85"/>
      <c r="U104" s="85"/>
      <c r="V104" s="85"/>
      <c r="W104" s="85"/>
      <c r="X104" s="85"/>
      <c r="Y104" s="85"/>
      <c r="Z104" s="85"/>
      <c r="AA104" s="85"/>
      <c r="AB104" s="85"/>
      <c r="AC104" s="85"/>
      <c r="AD104" s="85"/>
      <c r="AE104" s="85"/>
      <c r="AF104" s="85"/>
      <c r="AG104" s="85"/>
      <c r="AH104" s="85"/>
      <c r="AI104" s="85"/>
      <c r="AJ104" s="85"/>
      <c r="AK104" s="85"/>
      <c r="AL104" s="85"/>
    </row>
    <row r="105" spans="1:38" s="80" customFormat="1" x14ac:dyDescent="0.25">
      <c r="A105" s="116"/>
      <c r="B105" s="115"/>
      <c r="C105" s="115"/>
      <c r="D105" s="115"/>
      <c r="E105" s="115"/>
      <c r="F105" s="115"/>
      <c r="H105" s="95">
        <v>100</v>
      </c>
      <c r="I105" s="96" t="str">
        <f t="shared" si="8"/>
        <v/>
      </c>
      <c r="J105" s="95" t="e">
        <f t="shared" si="9"/>
        <v>#NUM!</v>
      </c>
      <c r="K105" s="95" t="e">
        <f t="shared" si="10"/>
        <v>#NUM!</v>
      </c>
      <c r="L105" s="95"/>
      <c r="M105" s="97">
        <f t="shared" si="11"/>
        <v>0</v>
      </c>
      <c r="S105" s="85"/>
      <c r="T105" s="85"/>
      <c r="U105" s="85"/>
      <c r="V105" s="85"/>
      <c r="W105" s="85"/>
      <c r="X105" s="85"/>
      <c r="Y105" s="85"/>
      <c r="Z105" s="85"/>
      <c r="AA105" s="85"/>
      <c r="AB105" s="85"/>
      <c r="AC105" s="85"/>
      <c r="AD105" s="85"/>
      <c r="AE105" s="85"/>
      <c r="AF105" s="85"/>
      <c r="AG105" s="85"/>
      <c r="AH105" s="85"/>
      <c r="AI105" s="85"/>
      <c r="AJ105" s="85"/>
      <c r="AK105" s="85"/>
      <c r="AL105" s="85"/>
    </row>
    <row r="106" spans="1:38" s="80" customFormat="1" x14ac:dyDescent="0.25">
      <c r="A106" s="116"/>
      <c r="B106" s="115"/>
      <c r="C106" s="115"/>
      <c r="D106" s="115"/>
      <c r="E106" s="115"/>
      <c r="F106" s="115"/>
      <c r="H106" s="95">
        <v>101</v>
      </c>
      <c r="I106" s="96" t="str">
        <f t="shared" si="8"/>
        <v/>
      </c>
      <c r="J106" s="95" t="e">
        <f t="shared" si="9"/>
        <v>#NUM!</v>
      </c>
      <c r="K106" s="95" t="e">
        <f t="shared" si="10"/>
        <v>#NUM!</v>
      </c>
      <c r="L106" s="95"/>
      <c r="M106" s="97">
        <f t="shared" si="11"/>
        <v>0</v>
      </c>
      <c r="S106" s="85"/>
      <c r="T106" s="85"/>
      <c r="U106" s="85"/>
      <c r="V106" s="85"/>
      <c r="W106" s="85"/>
      <c r="X106" s="85"/>
      <c r="Y106" s="85"/>
      <c r="Z106" s="85"/>
      <c r="AA106" s="85"/>
      <c r="AB106" s="85"/>
      <c r="AC106" s="85"/>
      <c r="AD106" s="85"/>
      <c r="AE106" s="85"/>
      <c r="AF106" s="85"/>
      <c r="AG106" s="85"/>
      <c r="AH106" s="85"/>
      <c r="AI106" s="85"/>
      <c r="AJ106" s="85"/>
      <c r="AK106" s="85"/>
      <c r="AL106" s="85"/>
    </row>
    <row r="107" spans="1:38" s="80" customFormat="1" x14ac:dyDescent="0.25">
      <c r="A107" s="116"/>
      <c r="B107" s="115"/>
      <c r="C107" s="115"/>
      <c r="D107" s="115"/>
      <c r="E107" s="115"/>
      <c r="F107" s="115"/>
      <c r="H107" s="95">
        <v>102</v>
      </c>
      <c r="I107" s="96" t="str">
        <f t="shared" si="8"/>
        <v/>
      </c>
      <c r="J107" s="95" t="e">
        <f t="shared" si="9"/>
        <v>#NUM!</v>
      </c>
      <c r="K107" s="95" t="e">
        <f t="shared" si="10"/>
        <v>#NUM!</v>
      </c>
      <c r="L107" s="95"/>
      <c r="M107" s="97">
        <f t="shared" si="11"/>
        <v>0</v>
      </c>
      <c r="S107" s="85"/>
      <c r="T107" s="85"/>
      <c r="U107" s="85"/>
      <c r="V107" s="85"/>
      <c r="W107" s="85"/>
      <c r="X107" s="85"/>
      <c r="Y107" s="85"/>
      <c r="Z107" s="85"/>
      <c r="AA107" s="85"/>
      <c r="AB107" s="85"/>
      <c r="AC107" s="85"/>
      <c r="AD107" s="85"/>
      <c r="AE107" s="85"/>
      <c r="AF107" s="85"/>
      <c r="AG107" s="85"/>
      <c r="AH107" s="85"/>
      <c r="AI107" s="85"/>
      <c r="AJ107" s="85"/>
      <c r="AK107" s="85"/>
      <c r="AL107" s="85"/>
    </row>
    <row r="108" spans="1:38" s="80" customFormat="1" x14ac:dyDescent="0.25">
      <c r="A108" s="116"/>
      <c r="B108" s="115"/>
      <c r="C108" s="115"/>
      <c r="D108" s="115"/>
      <c r="E108" s="115"/>
      <c r="F108" s="115"/>
      <c r="H108" s="95">
        <v>103</v>
      </c>
      <c r="I108" s="96" t="str">
        <f t="shared" si="8"/>
        <v/>
      </c>
      <c r="J108" s="95" t="e">
        <f t="shared" si="9"/>
        <v>#NUM!</v>
      </c>
      <c r="K108" s="95" t="e">
        <f t="shared" si="10"/>
        <v>#NUM!</v>
      </c>
      <c r="L108" s="95"/>
      <c r="M108" s="97">
        <f t="shared" si="11"/>
        <v>0</v>
      </c>
      <c r="S108" s="85"/>
      <c r="T108" s="85"/>
      <c r="U108" s="85"/>
      <c r="V108" s="85"/>
      <c r="W108" s="85"/>
      <c r="X108" s="85"/>
      <c r="Y108" s="85"/>
      <c r="Z108" s="85"/>
      <c r="AA108" s="85"/>
      <c r="AB108" s="85"/>
      <c r="AC108" s="85"/>
      <c r="AD108" s="85"/>
      <c r="AE108" s="85"/>
      <c r="AF108" s="85"/>
      <c r="AG108" s="85"/>
      <c r="AH108" s="85"/>
      <c r="AI108" s="85"/>
      <c r="AJ108" s="85"/>
      <c r="AK108" s="85"/>
      <c r="AL108" s="85"/>
    </row>
    <row r="109" spans="1:38" s="80" customFormat="1" x14ac:dyDescent="0.25">
      <c r="A109" s="116"/>
      <c r="B109" s="115"/>
      <c r="C109" s="115"/>
      <c r="D109" s="115"/>
      <c r="E109" s="115"/>
      <c r="F109" s="115"/>
      <c r="H109" s="95">
        <v>104</v>
      </c>
      <c r="I109" s="96" t="str">
        <f t="shared" si="8"/>
        <v/>
      </c>
      <c r="J109" s="95" t="e">
        <f t="shared" si="9"/>
        <v>#NUM!</v>
      </c>
      <c r="K109" s="95" t="e">
        <f t="shared" si="10"/>
        <v>#NUM!</v>
      </c>
      <c r="L109" s="95"/>
      <c r="M109" s="97">
        <f t="shared" si="11"/>
        <v>0</v>
      </c>
      <c r="S109" s="85"/>
      <c r="T109" s="85"/>
      <c r="U109" s="85"/>
      <c r="V109" s="85"/>
      <c r="W109" s="85"/>
      <c r="X109" s="85"/>
      <c r="Y109" s="85"/>
      <c r="Z109" s="85"/>
      <c r="AA109" s="85"/>
      <c r="AB109" s="85"/>
      <c r="AC109" s="85"/>
      <c r="AD109" s="85"/>
      <c r="AE109" s="85"/>
      <c r="AF109" s="85"/>
      <c r="AG109" s="85"/>
      <c r="AH109" s="85"/>
      <c r="AI109" s="85"/>
      <c r="AJ109" s="85"/>
      <c r="AK109" s="85"/>
      <c r="AL109" s="85"/>
    </row>
    <row r="110" spans="1:38" s="80" customFormat="1" x14ac:dyDescent="0.25">
      <c r="A110" s="116"/>
      <c r="B110" s="115"/>
      <c r="C110" s="115"/>
      <c r="D110" s="115"/>
      <c r="E110" s="115"/>
      <c r="F110" s="115"/>
      <c r="H110" s="95">
        <v>105</v>
      </c>
      <c r="I110" s="96" t="str">
        <f t="shared" si="8"/>
        <v/>
      </c>
      <c r="J110" s="95" t="e">
        <f t="shared" si="9"/>
        <v>#NUM!</v>
      </c>
      <c r="K110" s="95" t="e">
        <f t="shared" si="10"/>
        <v>#NUM!</v>
      </c>
      <c r="L110" s="95"/>
      <c r="M110" s="97">
        <f t="shared" si="11"/>
        <v>0</v>
      </c>
      <c r="S110" s="85"/>
      <c r="T110" s="85"/>
      <c r="U110" s="85"/>
      <c r="V110" s="85"/>
      <c r="W110" s="85"/>
      <c r="X110" s="85"/>
      <c r="Y110" s="85"/>
      <c r="Z110" s="85"/>
      <c r="AA110" s="85"/>
      <c r="AB110" s="85"/>
      <c r="AC110" s="85"/>
      <c r="AD110" s="85"/>
      <c r="AE110" s="85"/>
      <c r="AF110" s="85"/>
      <c r="AG110" s="85"/>
      <c r="AH110" s="85"/>
      <c r="AI110" s="85"/>
      <c r="AJ110" s="85"/>
      <c r="AK110" s="85"/>
      <c r="AL110" s="85"/>
    </row>
    <row r="111" spans="1:38" s="80" customFormat="1" x14ac:dyDescent="0.25">
      <c r="A111" s="116"/>
      <c r="B111" s="115"/>
      <c r="C111" s="115"/>
      <c r="D111" s="115"/>
      <c r="E111" s="115"/>
      <c r="F111" s="115"/>
      <c r="H111" s="95">
        <v>106</v>
      </c>
      <c r="I111" s="96" t="str">
        <f t="shared" si="8"/>
        <v/>
      </c>
      <c r="J111" s="95" t="e">
        <f t="shared" si="9"/>
        <v>#NUM!</v>
      </c>
      <c r="K111" s="95" t="e">
        <f t="shared" si="10"/>
        <v>#NUM!</v>
      </c>
      <c r="L111" s="95"/>
      <c r="M111" s="97">
        <f t="shared" si="11"/>
        <v>0</v>
      </c>
      <c r="S111" s="85"/>
      <c r="T111" s="85"/>
      <c r="U111" s="85"/>
      <c r="V111" s="85"/>
      <c r="W111" s="85"/>
      <c r="X111" s="85"/>
      <c r="Y111" s="85"/>
      <c r="Z111" s="85"/>
      <c r="AA111" s="85"/>
      <c r="AB111" s="85"/>
      <c r="AC111" s="85"/>
      <c r="AD111" s="85"/>
      <c r="AE111" s="85"/>
      <c r="AF111" s="85"/>
      <c r="AG111" s="85"/>
      <c r="AH111" s="85"/>
      <c r="AI111" s="85"/>
      <c r="AJ111" s="85"/>
      <c r="AK111" s="85"/>
      <c r="AL111" s="85"/>
    </row>
    <row r="112" spans="1:38" s="80" customFormat="1" x14ac:dyDescent="0.25">
      <c r="A112" s="116"/>
      <c r="B112" s="115"/>
      <c r="C112" s="115"/>
      <c r="D112" s="115"/>
      <c r="E112" s="115"/>
      <c r="F112" s="115"/>
      <c r="H112" s="95">
        <v>107</v>
      </c>
      <c r="I112" s="96" t="str">
        <f t="shared" si="8"/>
        <v/>
      </c>
      <c r="J112" s="95" t="e">
        <f t="shared" si="9"/>
        <v>#NUM!</v>
      </c>
      <c r="K112" s="95" t="e">
        <f t="shared" si="10"/>
        <v>#NUM!</v>
      </c>
      <c r="L112" s="95"/>
      <c r="M112" s="97">
        <f t="shared" si="11"/>
        <v>0</v>
      </c>
      <c r="S112" s="85"/>
      <c r="T112" s="85"/>
      <c r="U112" s="85"/>
      <c r="V112" s="85"/>
      <c r="W112" s="85"/>
      <c r="X112" s="85"/>
      <c r="Y112" s="85"/>
      <c r="Z112" s="85"/>
      <c r="AA112" s="85"/>
      <c r="AB112" s="85"/>
      <c r="AC112" s="85"/>
      <c r="AD112" s="85"/>
      <c r="AE112" s="85"/>
      <c r="AF112" s="85"/>
      <c r="AG112" s="85"/>
      <c r="AH112" s="85"/>
      <c r="AI112" s="85"/>
      <c r="AJ112" s="85"/>
      <c r="AK112" s="85"/>
      <c r="AL112" s="85"/>
    </row>
    <row r="113" spans="1:38" s="80" customFormat="1" x14ac:dyDescent="0.25">
      <c r="A113" s="116"/>
      <c r="B113" s="115"/>
      <c r="C113" s="115"/>
      <c r="D113" s="115"/>
      <c r="E113" s="115"/>
      <c r="F113" s="115"/>
      <c r="H113" s="95">
        <v>108</v>
      </c>
      <c r="I113" s="96" t="str">
        <f t="shared" si="8"/>
        <v/>
      </c>
      <c r="J113" s="95" t="e">
        <f t="shared" si="9"/>
        <v>#NUM!</v>
      </c>
      <c r="K113" s="95" t="e">
        <f t="shared" si="10"/>
        <v>#NUM!</v>
      </c>
      <c r="L113" s="95"/>
      <c r="M113" s="97">
        <f t="shared" si="11"/>
        <v>0</v>
      </c>
      <c r="S113" s="85"/>
      <c r="T113" s="85"/>
      <c r="U113" s="85"/>
      <c r="V113" s="85"/>
      <c r="W113" s="85"/>
      <c r="X113" s="85"/>
      <c r="Y113" s="85"/>
      <c r="Z113" s="85"/>
      <c r="AA113" s="85"/>
      <c r="AB113" s="85"/>
      <c r="AC113" s="85"/>
      <c r="AD113" s="85"/>
      <c r="AE113" s="85"/>
      <c r="AF113" s="85"/>
      <c r="AG113" s="85"/>
      <c r="AH113" s="85"/>
      <c r="AI113" s="85"/>
      <c r="AJ113" s="85"/>
      <c r="AK113" s="85"/>
      <c r="AL113" s="85"/>
    </row>
    <row r="114" spans="1:38" s="80" customFormat="1" x14ac:dyDescent="0.25">
      <c r="A114" s="116"/>
      <c r="B114" s="115"/>
      <c r="C114" s="115"/>
      <c r="D114" s="115"/>
      <c r="E114" s="115"/>
      <c r="F114" s="115"/>
      <c r="H114" s="95">
        <v>109</v>
      </c>
      <c r="I114" s="96" t="str">
        <f t="shared" si="8"/>
        <v/>
      </c>
      <c r="J114" s="95" t="e">
        <f t="shared" si="9"/>
        <v>#NUM!</v>
      </c>
      <c r="K114" s="95" t="e">
        <f t="shared" si="10"/>
        <v>#NUM!</v>
      </c>
      <c r="L114" s="95"/>
      <c r="M114" s="97">
        <f t="shared" si="11"/>
        <v>0</v>
      </c>
      <c r="S114" s="85"/>
      <c r="T114" s="85"/>
      <c r="U114" s="85"/>
      <c r="V114" s="85"/>
      <c r="W114" s="85"/>
      <c r="X114" s="85"/>
      <c r="Y114" s="85"/>
      <c r="Z114" s="85"/>
      <c r="AA114" s="85"/>
      <c r="AB114" s="85"/>
      <c r="AC114" s="85"/>
      <c r="AD114" s="85"/>
      <c r="AE114" s="85"/>
      <c r="AF114" s="85"/>
      <c r="AG114" s="85"/>
      <c r="AH114" s="85"/>
      <c r="AI114" s="85"/>
      <c r="AJ114" s="85"/>
      <c r="AK114" s="85"/>
      <c r="AL114" s="85"/>
    </row>
    <row r="115" spans="1:38" s="80" customFormat="1" x14ac:dyDescent="0.25">
      <c r="A115" s="116"/>
      <c r="B115" s="115"/>
      <c r="C115" s="115"/>
      <c r="D115" s="115"/>
      <c r="E115" s="115"/>
      <c r="F115" s="115"/>
      <c r="H115" s="95">
        <v>110</v>
      </c>
      <c r="I115" s="96" t="str">
        <f t="shared" si="8"/>
        <v/>
      </c>
      <c r="J115" s="95" t="e">
        <f t="shared" si="9"/>
        <v>#NUM!</v>
      </c>
      <c r="K115" s="95" t="e">
        <f t="shared" si="10"/>
        <v>#NUM!</v>
      </c>
      <c r="L115" s="95"/>
      <c r="M115" s="97">
        <f t="shared" si="11"/>
        <v>0</v>
      </c>
      <c r="S115" s="85"/>
      <c r="T115" s="85"/>
      <c r="U115" s="85"/>
      <c r="V115" s="85"/>
      <c r="W115" s="85"/>
      <c r="X115" s="85"/>
      <c r="Y115" s="85"/>
      <c r="Z115" s="85"/>
      <c r="AA115" s="85"/>
      <c r="AB115" s="85"/>
      <c r="AC115" s="85"/>
      <c r="AD115" s="85"/>
      <c r="AE115" s="85"/>
      <c r="AF115" s="85"/>
      <c r="AG115" s="85"/>
      <c r="AH115" s="85"/>
      <c r="AI115" s="85"/>
      <c r="AJ115" s="85"/>
      <c r="AK115" s="85"/>
      <c r="AL115" s="85"/>
    </row>
    <row r="116" spans="1:38" s="80" customFormat="1" x14ac:dyDescent="0.25">
      <c r="A116" s="116"/>
      <c r="B116" s="115"/>
      <c r="C116" s="115"/>
      <c r="D116" s="115"/>
      <c r="E116" s="115"/>
      <c r="F116" s="115"/>
      <c r="H116" s="95">
        <v>111</v>
      </c>
      <c r="I116" s="96" t="str">
        <f t="shared" si="8"/>
        <v/>
      </c>
      <c r="J116" s="95" t="e">
        <f t="shared" si="9"/>
        <v>#NUM!</v>
      </c>
      <c r="K116" s="95" t="e">
        <f t="shared" si="10"/>
        <v>#NUM!</v>
      </c>
      <c r="L116" s="95"/>
      <c r="M116" s="97">
        <f t="shared" si="11"/>
        <v>0</v>
      </c>
      <c r="S116" s="85"/>
      <c r="T116" s="85"/>
      <c r="U116" s="85"/>
      <c r="V116" s="85"/>
      <c r="W116" s="85"/>
      <c r="X116" s="85"/>
      <c r="Y116" s="85"/>
      <c r="Z116" s="85"/>
      <c r="AA116" s="85"/>
      <c r="AB116" s="85"/>
      <c r="AC116" s="85"/>
      <c r="AD116" s="85"/>
      <c r="AE116" s="85"/>
      <c r="AF116" s="85"/>
      <c r="AG116" s="85"/>
      <c r="AH116" s="85"/>
      <c r="AI116" s="85"/>
      <c r="AJ116" s="85"/>
      <c r="AK116" s="85"/>
      <c r="AL116" s="85"/>
    </row>
    <row r="117" spans="1:38" s="80" customFormat="1" x14ac:dyDescent="0.25">
      <c r="A117" s="116"/>
      <c r="B117" s="115"/>
      <c r="C117" s="115"/>
      <c r="D117" s="115"/>
      <c r="E117" s="115"/>
      <c r="F117" s="115"/>
      <c r="H117" s="95">
        <v>112</v>
      </c>
      <c r="I117" s="96" t="str">
        <f t="shared" si="8"/>
        <v/>
      </c>
      <c r="J117" s="95" t="e">
        <f t="shared" si="9"/>
        <v>#NUM!</v>
      </c>
      <c r="K117" s="95" t="e">
        <f t="shared" si="10"/>
        <v>#NUM!</v>
      </c>
      <c r="L117" s="95"/>
      <c r="M117" s="97">
        <f t="shared" si="11"/>
        <v>0</v>
      </c>
      <c r="S117" s="85"/>
      <c r="T117" s="85"/>
      <c r="U117" s="85"/>
      <c r="V117" s="85"/>
      <c r="W117" s="85"/>
      <c r="X117" s="85"/>
      <c r="Y117" s="85"/>
      <c r="Z117" s="85"/>
      <c r="AA117" s="85"/>
      <c r="AB117" s="85"/>
      <c r="AC117" s="85"/>
      <c r="AD117" s="85"/>
      <c r="AE117" s="85"/>
      <c r="AF117" s="85"/>
      <c r="AG117" s="85"/>
      <c r="AH117" s="85"/>
      <c r="AI117" s="85"/>
      <c r="AJ117" s="85"/>
      <c r="AK117" s="85"/>
      <c r="AL117" s="85"/>
    </row>
    <row r="118" spans="1:38" s="80" customFormat="1" x14ac:dyDescent="0.25">
      <c r="A118" s="116"/>
      <c r="B118" s="115"/>
      <c r="C118" s="115"/>
      <c r="D118" s="115"/>
      <c r="E118" s="115"/>
      <c r="F118" s="115"/>
      <c r="H118" s="95">
        <v>113</v>
      </c>
      <c r="I118" s="96" t="str">
        <f t="shared" si="8"/>
        <v/>
      </c>
      <c r="J118" s="95" t="e">
        <f t="shared" si="9"/>
        <v>#NUM!</v>
      </c>
      <c r="K118" s="95" t="e">
        <f t="shared" si="10"/>
        <v>#NUM!</v>
      </c>
      <c r="L118" s="95"/>
      <c r="M118" s="97">
        <f t="shared" si="11"/>
        <v>0</v>
      </c>
      <c r="S118" s="85"/>
      <c r="T118" s="85"/>
      <c r="U118" s="85"/>
      <c r="V118" s="85"/>
      <c r="W118" s="85"/>
      <c r="X118" s="85"/>
      <c r="Y118" s="85"/>
      <c r="Z118" s="85"/>
      <c r="AA118" s="85"/>
      <c r="AB118" s="85"/>
      <c r="AC118" s="85"/>
      <c r="AD118" s="85"/>
      <c r="AE118" s="85"/>
      <c r="AF118" s="85"/>
      <c r="AG118" s="85"/>
      <c r="AH118" s="85"/>
      <c r="AI118" s="85"/>
      <c r="AJ118" s="85"/>
      <c r="AK118" s="85"/>
      <c r="AL118" s="85"/>
    </row>
    <row r="119" spans="1:38" s="80" customFormat="1" x14ac:dyDescent="0.25">
      <c r="A119" s="116"/>
      <c r="B119" s="115"/>
      <c r="C119" s="115"/>
      <c r="D119" s="115"/>
      <c r="E119" s="115"/>
      <c r="F119" s="115"/>
      <c r="H119" s="95">
        <v>114</v>
      </c>
      <c r="I119" s="96" t="str">
        <f t="shared" si="8"/>
        <v/>
      </c>
      <c r="J119" s="95" t="e">
        <f t="shared" si="9"/>
        <v>#NUM!</v>
      </c>
      <c r="K119" s="95" t="e">
        <f t="shared" si="10"/>
        <v>#NUM!</v>
      </c>
      <c r="L119" s="95"/>
      <c r="M119" s="97">
        <f t="shared" si="11"/>
        <v>0</v>
      </c>
      <c r="S119" s="85"/>
      <c r="T119" s="85"/>
      <c r="U119" s="85"/>
      <c r="V119" s="85"/>
      <c r="W119" s="85"/>
      <c r="X119" s="85"/>
      <c r="Y119" s="85"/>
      <c r="Z119" s="85"/>
      <c r="AA119" s="85"/>
      <c r="AB119" s="85"/>
      <c r="AC119" s="85"/>
      <c r="AD119" s="85"/>
      <c r="AE119" s="85"/>
      <c r="AF119" s="85"/>
      <c r="AG119" s="85"/>
      <c r="AH119" s="85"/>
      <c r="AI119" s="85"/>
      <c r="AJ119" s="85"/>
      <c r="AK119" s="85"/>
      <c r="AL119" s="85"/>
    </row>
    <row r="120" spans="1:38" s="80" customFormat="1" x14ac:dyDescent="0.25">
      <c r="A120" s="116"/>
      <c r="B120" s="115"/>
      <c r="C120" s="115"/>
      <c r="D120" s="115"/>
      <c r="E120" s="115"/>
      <c r="F120" s="115"/>
      <c r="H120" s="95">
        <v>115</v>
      </c>
      <c r="I120" s="96" t="str">
        <f t="shared" si="8"/>
        <v/>
      </c>
      <c r="J120" s="95" t="e">
        <f t="shared" si="9"/>
        <v>#NUM!</v>
      </c>
      <c r="K120" s="95" t="e">
        <f t="shared" si="10"/>
        <v>#NUM!</v>
      </c>
      <c r="L120" s="95"/>
      <c r="M120" s="97">
        <f t="shared" si="11"/>
        <v>0</v>
      </c>
      <c r="S120" s="85"/>
      <c r="T120" s="85"/>
      <c r="U120" s="85"/>
      <c r="V120" s="85"/>
      <c r="W120" s="85"/>
      <c r="X120" s="85"/>
      <c r="Y120" s="85"/>
      <c r="Z120" s="85"/>
      <c r="AA120" s="85"/>
      <c r="AB120" s="85"/>
      <c r="AC120" s="85"/>
      <c r="AD120" s="85"/>
      <c r="AE120" s="85"/>
      <c r="AF120" s="85"/>
      <c r="AG120" s="85"/>
      <c r="AH120" s="85"/>
      <c r="AI120" s="85"/>
      <c r="AJ120" s="85"/>
      <c r="AK120" s="85"/>
      <c r="AL120" s="85"/>
    </row>
    <row r="121" spans="1:38" s="80" customFormat="1" x14ac:dyDescent="0.25">
      <c r="A121" s="116"/>
      <c r="B121" s="115"/>
      <c r="C121" s="115"/>
      <c r="D121" s="115"/>
      <c r="E121" s="115"/>
      <c r="F121" s="115"/>
      <c r="H121" s="95">
        <v>116</v>
      </c>
      <c r="I121" s="96" t="str">
        <f t="shared" si="8"/>
        <v/>
      </c>
      <c r="J121" s="95" t="e">
        <f t="shared" si="9"/>
        <v>#NUM!</v>
      </c>
      <c r="K121" s="95" t="e">
        <f t="shared" si="10"/>
        <v>#NUM!</v>
      </c>
      <c r="L121" s="95"/>
      <c r="M121" s="97">
        <f t="shared" si="11"/>
        <v>0</v>
      </c>
      <c r="S121" s="85"/>
      <c r="T121" s="85"/>
      <c r="U121" s="85"/>
      <c r="V121" s="85"/>
      <c r="W121" s="85"/>
      <c r="X121" s="85"/>
      <c r="Y121" s="85"/>
      <c r="Z121" s="85"/>
      <c r="AA121" s="85"/>
      <c r="AB121" s="85"/>
      <c r="AC121" s="85"/>
      <c r="AD121" s="85"/>
      <c r="AE121" s="85"/>
      <c r="AF121" s="85"/>
      <c r="AG121" s="85"/>
      <c r="AH121" s="85"/>
      <c r="AI121" s="85"/>
      <c r="AJ121" s="85"/>
      <c r="AK121" s="85"/>
      <c r="AL121" s="85"/>
    </row>
    <row r="122" spans="1:38" s="80" customFormat="1" x14ac:dyDescent="0.25">
      <c r="A122" s="116"/>
      <c r="B122" s="115"/>
      <c r="C122" s="115"/>
      <c r="D122" s="115"/>
      <c r="E122" s="115"/>
      <c r="F122" s="115"/>
      <c r="H122" s="95">
        <v>117</v>
      </c>
      <c r="I122" s="96" t="str">
        <f t="shared" si="8"/>
        <v/>
      </c>
      <c r="J122" s="95" t="e">
        <f t="shared" si="9"/>
        <v>#NUM!</v>
      </c>
      <c r="K122" s="95" t="e">
        <f t="shared" si="10"/>
        <v>#NUM!</v>
      </c>
      <c r="L122" s="95"/>
      <c r="M122" s="97">
        <f t="shared" si="11"/>
        <v>0</v>
      </c>
      <c r="S122" s="85"/>
      <c r="T122" s="85"/>
      <c r="U122" s="85"/>
      <c r="V122" s="85"/>
      <c r="W122" s="85"/>
      <c r="X122" s="85"/>
      <c r="Y122" s="85"/>
      <c r="Z122" s="85"/>
      <c r="AA122" s="85"/>
      <c r="AB122" s="85"/>
      <c r="AC122" s="85"/>
      <c r="AD122" s="85"/>
      <c r="AE122" s="85"/>
      <c r="AF122" s="85"/>
      <c r="AG122" s="85"/>
      <c r="AH122" s="85"/>
      <c r="AI122" s="85"/>
      <c r="AJ122" s="85"/>
      <c r="AK122" s="85"/>
      <c r="AL122" s="85"/>
    </row>
    <row r="123" spans="1:38" s="80" customFormat="1" x14ac:dyDescent="0.25">
      <c r="A123" s="116"/>
      <c r="B123" s="115"/>
      <c r="C123" s="115"/>
      <c r="D123" s="115"/>
      <c r="E123" s="115"/>
      <c r="F123" s="115"/>
      <c r="H123" s="95">
        <v>118</v>
      </c>
      <c r="I123" s="96" t="str">
        <f t="shared" si="8"/>
        <v/>
      </c>
      <c r="J123" s="95" t="e">
        <f t="shared" si="9"/>
        <v>#NUM!</v>
      </c>
      <c r="K123" s="95" t="e">
        <f t="shared" si="10"/>
        <v>#NUM!</v>
      </c>
      <c r="L123" s="95"/>
      <c r="M123" s="97">
        <f t="shared" si="11"/>
        <v>0</v>
      </c>
      <c r="S123" s="85"/>
      <c r="T123" s="85"/>
      <c r="U123" s="85"/>
      <c r="V123" s="85"/>
      <c r="W123" s="85"/>
      <c r="X123" s="85"/>
      <c r="Y123" s="85"/>
      <c r="Z123" s="85"/>
      <c r="AA123" s="85"/>
      <c r="AB123" s="85"/>
      <c r="AC123" s="85"/>
      <c r="AD123" s="85"/>
      <c r="AE123" s="85"/>
      <c r="AF123" s="85"/>
      <c r="AG123" s="85"/>
      <c r="AH123" s="85"/>
      <c r="AI123" s="85"/>
      <c r="AJ123" s="85"/>
      <c r="AK123" s="85"/>
      <c r="AL123" s="85"/>
    </row>
    <row r="124" spans="1:38" s="80" customFormat="1" x14ac:dyDescent="0.25">
      <c r="A124" s="116"/>
      <c r="B124" s="115"/>
      <c r="C124" s="115"/>
      <c r="D124" s="115"/>
      <c r="E124" s="115"/>
      <c r="F124" s="115"/>
      <c r="H124" s="95">
        <v>119</v>
      </c>
      <c r="I124" s="96" t="str">
        <f t="shared" si="8"/>
        <v/>
      </c>
      <c r="J124" s="95" t="e">
        <f t="shared" si="9"/>
        <v>#NUM!</v>
      </c>
      <c r="K124" s="95" t="e">
        <f t="shared" si="10"/>
        <v>#NUM!</v>
      </c>
      <c r="L124" s="95"/>
      <c r="M124" s="97">
        <f t="shared" si="11"/>
        <v>0</v>
      </c>
      <c r="S124" s="85"/>
      <c r="T124" s="85"/>
      <c r="U124" s="85"/>
      <c r="V124" s="85"/>
      <c r="W124" s="85"/>
      <c r="X124" s="85"/>
      <c r="Y124" s="85"/>
      <c r="Z124" s="85"/>
      <c r="AA124" s="85"/>
      <c r="AB124" s="85"/>
      <c r="AC124" s="85"/>
      <c r="AD124" s="85"/>
      <c r="AE124" s="85"/>
      <c r="AF124" s="85"/>
      <c r="AG124" s="85"/>
      <c r="AH124" s="85"/>
      <c r="AI124" s="85"/>
      <c r="AJ124" s="85"/>
      <c r="AK124" s="85"/>
      <c r="AL124" s="85"/>
    </row>
    <row r="125" spans="1:38" s="80" customFormat="1" x14ac:dyDescent="0.25">
      <c r="A125" s="116"/>
      <c r="B125" s="115"/>
      <c r="C125" s="115"/>
      <c r="D125" s="115"/>
      <c r="E125" s="115"/>
      <c r="F125" s="115"/>
      <c r="H125" s="95">
        <v>120</v>
      </c>
      <c r="I125" s="96" t="str">
        <f t="shared" si="8"/>
        <v/>
      </c>
      <c r="J125" s="95" t="e">
        <f t="shared" si="9"/>
        <v>#NUM!</v>
      </c>
      <c r="K125" s="95" t="e">
        <f t="shared" si="10"/>
        <v>#NUM!</v>
      </c>
      <c r="L125" s="95"/>
      <c r="M125" s="97">
        <f t="shared" si="11"/>
        <v>0</v>
      </c>
      <c r="S125" s="85"/>
      <c r="T125" s="85"/>
      <c r="U125" s="85"/>
      <c r="V125" s="85"/>
      <c r="W125" s="85"/>
      <c r="X125" s="85"/>
      <c r="Y125" s="85"/>
      <c r="Z125" s="85"/>
      <c r="AA125" s="85"/>
      <c r="AB125" s="85"/>
      <c r="AC125" s="85"/>
      <c r="AD125" s="85"/>
      <c r="AE125" s="85"/>
      <c r="AF125" s="85"/>
      <c r="AG125" s="85"/>
      <c r="AH125" s="85"/>
      <c r="AI125" s="85"/>
      <c r="AJ125" s="85"/>
      <c r="AK125" s="85"/>
      <c r="AL125" s="85"/>
    </row>
    <row r="126" spans="1:38" s="80" customFormat="1" x14ac:dyDescent="0.25">
      <c r="A126" s="116"/>
      <c r="B126" s="115"/>
      <c r="C126" s="115"/>
      <c r="D126" s="115"/>
      <c r="E126" s="115"/>
      <c r="F126" s="115"/>
      <c r="H126" s="95">
        <v>121</v>
      </c>
      <c r="I126" s="96" t="str">
        <f t="shared" si="8"/>
        <v/>
      </c>
      <c r="J126" s="95" t="e">
        <f t="shared" si="9"/>
        <v>#NUM!</v>
      </c>
      <c r="K126" s="95" t="e">
        <f t="shared" si="10"/>
        <v>#NUM!</v>
      </c>
      <c r="L126" s="95"/>
      <c r="M126" s="97">
        <f t="shared" si="11"/>
        <v>0</v>
      </c>
      <c r="S126" s="85"/>
      <c r="T126" s="85"/>
      <c r="U126" s="85"/>
      <c r="V126" s="85"/>
      <c r="W126" s="85"/>
      <c r="X126" s="85"/>
      <c r="Y126" s="85"/>
      <c r="Z126" s="85"/>
      <c r="AA126" s="85"/>
      <c r="AB126" s="85"/>
      <c r="AC126" s="85"/>
      <c r="AD126" s="85"/>
      <c r="AE126" s="85"/>
      <c r="AF126" s="85"/>
      <c r="AG126" s="85"/>
      <c r="AH126" s="85"/>
      <c r="AI126" s="85"/>
      <c r="AJ126" s="85"/>
      <c r="AK126" s="85"/>
      <c r="AL126" s="85"/>
    </row>
    <row r="127" spans="1:38" s="80" customFormat="1" x14ac:dyDescent="0.25">
      <c r="A127" s="116"/>
      <c r="B127" s="115"/>
      <c r="C127" s="115"/>
      <c r="D127" s="115"/>
      <c r="E127" s="115"/>
      <c r="F127" s="115"/>
      <c r="H127" s="95">
        <v>122</v>
      </c>
      <c r="I127" s="96" t="str">
        <f t="shared" si="8"/>
        <v/>
      </c>
      <c r="J127" s="95" t="e">
        <f t="shared" si="9"/>
        <v>#NUM!</v>
      </c>
      <c r="K127" s="95" t="e">
        <f t="shared" si="10"/>
        <v>#NUM!</v>
      </c>
      <c r="L127" s="95"/>
      <c r="M127" s="97">
        <f t="shared" si="11"/>
        <v>0</v>
      </c>
      <c r="S127" s="85"/>
      <c r="T127" s="85"/>
      <c r="U127" s="85"/>
      <c r="V127" s="85"/>
      <c r="W127" s="85"/>
      <c r="X127" s="85"/>
      <c r="Y127" s="85"/>
      <c r="Z127" s="85"/>
      <c r="AA127" s="85"/>
      <c r="AB127" s="85"/>
      <c r="AC127" s="85"/>
      <c r="AD127" s="85"/>
      <c r="AE127" s="85"/>
      <c r="AF127" s="85"/>
      <c r="AG127" s="85"/>
      <c r="AH127" s="85"/>
      <c r="AI127" s="85"/>
      <c r="AJ127" s="85"/>
      <c r="AK127" s="85"/>
      <c r="AL127" s="85"/>
    </row>
    <row r="128" spans="1:38" s="80" customFormat="1" x14ac:dyDescent="0.25">
      <c r="A128" s="116"/>
      <c r="B128" s="115"/>
      <c r="C128" s="115"/>
      <c r="D128" s="115"/>
      <c r="E128" s="115"/>
      <c r="F128" s="115"/>
      <c r="H128" s="95">
        <v>123</v>
      </c>
      <c r="I128" s="96" t="str">
        <f t="shared" si="8"/>
        <v/>
      </c>
      <c r="J128" s="95" t="e">
        <f t="shared" si="9"/>
        <v>#NUM!</v>
      </c>
      <c r="K128" s="95" t="e">
        <f t="shared" si="10"/>
        <v>#NUM!</v>
      </c>
      <c r="L128" s="95"/>
      <c r="M128" s="97">
        <f t="shared" si="11"/>
        <v>0</v>
      </c>
      <c r="S128" s="85"/>
      <c r="T128" s="85"/>
      <c r="U128" s="85"/>
      <c r="V128" s="85"/>
      <c r="W128" s="85"/>
      <c r="X128" s="85"/>
      <c r="Y128" s="85"/>
      <c r="Z128" s="85"/>
      <c r="AA128" s="85"/>
      <c r="AB128" s="85"/>
      <c r="AC128" s="85"/>
      <c r="AD128" s="85"/>
      <c r="AE128" s="85"/>
      <c r="AF128" s="85"/>
      <c r="AG128" s="85"/>
      <c r="AH128" s="85"/>
      <c r="AI128" s="85"/>
      <c r="AJ128" s="85"/>
      <c r="AK128" s="85"/>
      <c r="AL128" s="85"/>
    </row>
    <row r="129" spans="1:38" s="80" customFormat="1" x14ac:dyDescent="0.25">
      <c r="A129" s="116"/>
      <c r="B129" s="115"/>
      <c r="C129" s="115"/>
      <c r="D129" s="115"/>
      <c r="E129" s="115"/>
      <c r="F129" s="115"/>
      <c r="H129" s="95">
        <v>124</v>
      </c>
      <c r="I129" s="96" t="str">
        <f t="shared" si="8"/>
        <v/>
      </c>
      <c r="J129" s="95" t="e">
        <f t="shared" si="9"/>
        <v>#NUM!</v>
      </c>
      <c r="K129" s="95" t="e">
        <f t="shared" si="10"/>
        <v>#NUM!</v>
      </c>
      <c r="L129" s="95"/>
      <c r="M129" s="97">
        <f t="shared" si="11"/>
        <v>0</v>
      </c>
      <c r="S129" s="85"/>
      <c r="T129" s="85"/>
      <c r="U129" s="85"/>
      <c r="V129" s="85"/>
      <c r="W129" s="85"/>
      <c r="X129" s="85"/>
      <c r="Y129" s="85"/>
      <c r="Z129" s="85"/>
      <c r="AA129" s="85"/>
      <c r="AB129" s="85"/>
      <c r="AC129" s="85"/>
      <c r="AD129" s="85"/>
      <c r="AE129" s="85"/>
      <c r="AF129" s="85"/>
      <c r="AG129" s="85"/>
      <c r="AH129" s="85"/>
      <c r="AI129" s="85"/>
      <c r="AJ129" s="85"/>
      <c r="AK129" s="85"/>
      <c r="AL129" s="85"/>
    </row>
    <row r="130" spans="1:38" s="80" customFormat="1" x14ac:dyDescent="0.25">
      <c r="A130" s="116"/>
      <c r="B130" s="115"/>
      <c r="C130" s="115"/>
      <c r="D130" s="115"/>
      <c r="E130" s="115"/>
      <c r="F130" s="115"/>
      <c r="H130" s="95">
        <v>125</v>
      </c>
      <c r="I130" s="96" t="str">
        <f t="shared" si="8"/>
        <v/>
      </c>
      <c r="J130" s="95" t="e">
        <f t="shared" si="9"/>
        <v>#NUM!</v>
      </c>
      <c r="K130" s="95" t="e">
        <f t="shared" si="10"/>
        <v>#NUM!</v>
      </c>
      <c r="L130" s="95"/>
      <c r="M130" s="97">
        <f t="shared" si="11"/>
        <v>0</v>
      </c>
      <c r="S130" s="85"/>
      <c r="T130" s="85"/>
      <c r="U130" s="85"/>
      <c r="V130" s="85"/>
      <c r="W130" s="85"/>
      <c r="X130" s="85"/>
      <c r="Y130" s="85"/>
      <c r="Z130" s="85"/>
      <c r="AA130" s="85"/>
      <c r="AB130" s="85"/>
      <c r="AC130" s="85"/>
      <c r="AD130" s="85"/>
      <c r="AE130" s="85"/>
      <c r="AF130" s="85"/>
      <c r="AG130" s="85"/>
      <c r="AH130" s="85"/>
      <c r="AI130" s="85"/>
      <c r="AJ130" s="85"/>
      <c r="AK130" s="85"/>
      <c r="AL130" s="85"/>
    </row>
    <row r="131" spans="1:38" s="80" customFormat="1" x14ac:dyDescent="0.25">
      <c r="A131" s="116"/>
      <c r="B131" s="115"/>
      <c r="C131" s="115"/>
      <c r="D131" s="115"/>
      <c r="E131" s="115"/>
      <c r="F131" s="115"/>
      <c r="H131" s="95">
        <v>126</v>
      </c>
      <c r="I131" s="96" t="str">
        <f t="shared" si="8"/>
        <v/>
      </c>
      <c r="J131" s="95" t="e">
        <f t="shared" si="9"/>
        <v>#NUM!</v>
      </c>
      <c r="K131" s="95" t="e">
        <f t="shared" si="10"/>
        <v>#NUM!</v>
      </c>
      <c r="L131" s="95"/>
      <c r="M131" s="97">
        <f t="shared" si="11"/>
        <v>0</v>
      </c>
      <c r="S131" s="85"/>
      <c r="T131" s="85"/>
      <c r="U131" s="85"/>
      <c r="V131" s="85"/>
      <c r="W131" s="85"/>
      <c r="X131" s="85"/>
      <c r="Y131" s="85"/>
      <c r="Z131" s="85"/>
      <c r="AA131" s="85"/>
      <c r="AB131" s="85"/>
      <c r="AC131" s="85"/>
      <c r="AD131" s="85"/>
      <c r="AE131" s="85"/>
      <c r="AF131" s="85"/>
      <c r="AG131" s="85"/>
      <c r="AH131" s="85"/>
      <c r="AI131" s="85"/>
      <c r="AJ131" s="85"/>
      <c r="AK131" s="85"/>
      <c r="AL131" s="85"/>
    </row>
    <row r="132" spans="1:38" s="80" customFormat="1" x14ac:dyDescent="0.25">
      <c r="A132" s="116"/>
      <c r="B132" s="115"/>
      <c r="C132" s="115"/>
      <c r="D132" s="115"/>
      <c r="E132" s="115"/>
      <c r="F132" s="115"/>
      <c r="H132" s="95">
        <v>127</v>
      </c>
      <c r="I132" s="96" t="str">
        <f t="shared" si="8"/>
        <v/>
      </c>
      <c r="J132" s="95" t="e">
        <f t="shared" si="9"/>
        <v>#NUM!</v>
      </c>
      <c r="K132" s="95" t="e">
        <f t="shared" si="10"/>
        <v>#NUM!</v>
      </c>
      <c r="L132" s="95"/>
      <c r="M132" s="97">
        <f t="shared" si="11"/>
        <v>0</v>
      </c>
      <c r="S132" s="85"/>
      <c r="T132" s="85"/>
      <c r="U132" s="85"/>
      <c r="V132" s="85"/>
      <c r="W132" s="85"/>
      <c r="X132" s="85"/>
      <c r="Y132" s="85"/>
      <c r="Z132" s="85"/>
      <c r="AA132" s="85"/>
      <c r="AB132" s="85"/>
      <c r="AC132" s="85"/>
      <c r="AD132" s="85"/>
      <c r="AE132" s="85"/>
      <c r="AF132" s="85"/>
      <c r="AG132" s="85"/>
      <c r="AH132" s="85"/>
      <c r="AI132" s="85"/>
      <c r="AJ132" s="85"/>
      <c r="AK132" s="85"/>
      <c r="AL132" s="85"/>
    </row>
    <row r="133" spans="1:38" s="80" customFormat="1" x14ac:dyDescent="0.25">
      <c r="A133" s="116"/>
      <c r="B133" s="115"/>
      <c r="C133" s="115"/>
      <c r="D133" s="115"/>
      <c r="E133" s="115"/>
      <c r="F133" s="115"/>
      <c r="H133" s="95">
        <v>128</v>
      </c>
      <c r="I133" s="96" t="str">
        <f t="shared" si="8"/>
        <v/>
      </c>
      <c r="J133" s="95" t="e">
        <f t="shared" si="9"/>
        <v>#NUM!</v>
      </c>
      <c r="K133" s="95" t="e">
        <f t="shared" si="10"/>
        <v>#NUM!</v>
      </c>
      <c r="L133" s="95"/>
      <c r="M133" s="97">
        <f t="shared" si="11"/>
        <v>0</v>
      </c>
      <c r="S133" s="85"/>
      <c r="T133" s="85"/>
      <c r="U133" s="85"/>
      <c r="V133" s="85"/>
      <c r="W133" s="85"/>
      <c r="X133" s="85"/>
      <c r="Y133" s="85"/>
      <c r="Z133" s="85"/>
      <c r="AA133" s="85"/>
      <c r="AB133" s="85"/>
      <c r="AC133" s="85"/>
      <c r="AD133" s="85"/>
      <c r="AE133" s="85"/>
      <c r="AF133" s="85"/>
      <c r="AG133" s="85"/>
      <c r="AH133" s="85"/>
      <c r="AI133" s="85"/>
      <c r="AJ133" s="85"/>
      <c r="AK133" s="85"/>
      <c r="AL133" s="85"/>
    </row>
    <row r="134" spans="1:38" s="80" customFormat="1" x14ac:dyDescent="0.25">
      <c r="A134" s="116"/>
      <c r="B134" s="115"/>
      <c r="C134" s="115"/>
      <c r="D134" s="115"/>
      <c r="E134" s="115"/>
      <c r="F134" s="115"/>
      <c r="H134" s="95">
        <v>129</v>
      </c>
      <c r="I134" s="96" t="str">
        <f t="shared" ref="I134:I197" si="12">IF(H134&lt;$H$2+1,($I$2-($I$2-1)*(LOG(H134)/LOG($H$2))),"")</f>
        <v/>
      </c>
      <c r="J134" s="95" t="e">
        <f t="shared" ref="J134:J197" si="13">INT(LOG($H$2,2))-ROUNDUP(LOG(H134,2),0)+IF(OR($H$2=1,$H$2=2,$H$2=4,$H$2=8,$H$2=16,$H$2=32,$H$2=64,$H$2=128,$H$2=256),0,1)</f>
        <v>#NUM!</v>
      </c>
      <c r="K134" s="95" t="e">
        <f t="shared" ref="K134:K197" si="14">J134*$J$2</f>
        <v>#NUM!</v>
      </c>
      <c r="L134" s="95"/>
      <c r="M134" s="97">
        <f t="shared" ref="M134:M197" si="15">IF(I134&lt;&gt;"",K134+I134+L134,0)</f>
        <v>0</v>
      </c>
      <c r="S134" s="85"/>
      <c r="T134" s="85"/>
      <c r="U134" s="85"/>
      <c r="V134" s="85"/>
      <c r="W134" s="85"/>
      <c r="X134" s="85"/>
      <c r="Y134" s="85"/>
      <c r="Z134" s="85"/>
      <c r="AA134" s="85"/>
      <c r="AB134" s="85"/>
      <c r="AC134" s="85"/>
      <c r="AD134" s="85"/>
      <c r="AE134" s="85"/>
      <c r="AF134" s="85"/>
      <c r="AG134" s="85"/>
      <c r="AH134" s="85"/>
      <c r="AI134" s="85"/>
      <c r="AJ134" s="85"/>
      <c r="AK134" s="85"/>
      <c r="AL134" s="85"/>
    </row>
    <row r="135" spans="1:38" s="80" customFormat="1" x14ac:dyDescent="0.25">
      <c r="A135" s="116"/>
      <c r="B135" s="115"/>
      <c r="C135" s="115"/>
      <c r="D135" s="115"/>
      <c r="E135" s="115"/>
      <c r="F135" s="115"/>
      <c r="H135" s="95">
        <v>130</v>
      </c>
      <c r="I135" s="96" t="str">
        <f t="shared" si="12"/>
        <v/>
      </c>
      <c r="J135" s="95" t="e">
        <f t="shared" si="13"/>
        <v>#NUM!</v>
      </c>
      <c r="K135" s="95" t="e">
        <f t="shared" si="14"/>
        <v>#NUM!</v>
      </c>
      <c r="L135" s="95"/>
      <c r="M135" s="97">
        <f t="shared" si="15"/>
        <v>0</v>
      </c>
      <c r="S135" s="85"/>
      <c r="T135" s="85"/>
      <c r="U135" s="85"/>
      <c r="V135" s="85"/>
      <c r="W135" s="85"/>
      <c r="X135" s="85"/>
      <c r="Y135" s="85"/>
      <c r="Z135" s="85"/>
      <c r="AA135" s="85"/>
      <c r="AB135" s="85"/>
      <c r="AC135" s="85"/>
      <c r="AD135" s="85"/>
      <c r="AE135" s="85"/>
      <c r="AF135" s="85"/>
      <c r="AG135" s="85"/>
      <c r="AH135" s="85"/>
      <c r="AI135" s="85"/>
      <c r="AJ135" s="85"/>
      <c r="AK135" s="85"/>
      <c r="AL135" s="85"/>
    </row>
    <row r="136" spans="1:38" s="80" customFormat="1" x14ac:dyDescent="0.25">
      <c r="A136" s="116"/>
      <c r="B136" s="115"/>
      <c r="C136" s="115"/>
      <c r="D136" s="115"/>
      <c r="E136" s="115"/>
      <c r="F136" s="115"/>
      <c r="H136" s="95">
        <v>131</v>
      </c>
      <c r="I136" s="96" t="str">
        <f t="shared" si="12"/>
        <v/>
      </c>
      <c r="J136" s="95" t="e">
        <f t="shared" si="13"/>
        <v>#NUM!</v>
      </c>
      <c r="K136" s="95" t="e">
        <f t="shared" si="14"/>
        <v>#NUM!</v>
      </c>
      <c r="L136" s="95"/>
      <c r="M136" s="97">
        <f t="shared" si="15"/>
        <v>0</v>
      </c>
      <c r="S136" s="85"/>
      <c r="T136" s="85"/>
      <c r="U136" s="85"/>
      <c r="V136" s="85"/>
      <c r="W136" s="85"/>
      <c r="X136" s="85"/>
      <c r="Y136" s="85"/>
      <c r="Z136" s="85"/>
      <c r="AA136" s="85"/>
      <c r="AB136" s="85"/>
      <c r="AC136" s="85"/>
      <c r="AD136" s="85"/>
      <c r="AE136" s="85"/>
      <c r="AF136" s="85"/>
      <c r="AG136" s="85"/>
      <c r="AH136" s="85"/>
      <c r="AI136" s="85"/>
      <c r="AJ136" s="85"/>
      <c r="AK136" s="85"/>
      <c r="AL136" s="85"/>
    </row>
    <row r="137" spans="1:38" s="80" customFormat="1" x14ac:dyDescent="0.25">
      <c r="A137" s="116"/>
      <c r="B137" s="115"/>
      <c r="C137" s="115"/>
      <c r="D137" s="115"/>
      <c r="E137" s="115"/>
      <c r="F137" s="115"/>
      <c r="H137" s="95">
        <v>132</v>
      </c>
      <c r="I137" s="96" t="str">
        <f t="shared" si="12"/>
        <v/>
      </c>
      <c r="J137" s="95" t="e">
        <f t="shared" si="13"/>
        <v>#NUM!</v>
      </c>
      <c r="K137" s="95" t="e">
        <f t="shared" si="14"/>
        <v>#NUM!</v>
      </c>
      <c r="L137" s="95"/>
      <c r="M137" s="97">
        <f t="shared" si="15"/>
        <v>0</v>
      </c>
      <c r="S137" s="85"/>
      <c r="T137" s="85"/>
      <c r="U137" s="85"/>
      <c r="V137" s="85"/>
      <c r="W137" s="85"/>
      <c r="X137" s="85"/>
      <c r="Y137" s="85"/>
      <c r="Z137" s="85"/>
      <c r="AA137" s="85"/>
      <c r="AB137" s="85"/>
      <c r="AC137" s="85"/>
      <c r="AD137" s="85"/>
      <c r="AE137" s="85"/>
      <c r="AF137" s="85"/>
      <c r="AG137" s="85"/>
      <c r="AH137" s="85"/>
      <c r="AI137" s="85"/>
      <c r="AJ137" s="85"/>
      <c r="AK137" s="85"/>
      <c r="AL137" s="85"/>
    </row>
    <row r="138" spans="1:38" s="80" customFormat="1" x14ac:dyDescent="0.25">
      <c r="A138" s="116"/>
      <c r="B138" s="115"/>
      <c r="C138" s="115"/>
      <c r="D138" s="115"/>
      <c r="E138" s="115"/>
      <c r="F138" s="115"/>
      <c r="H138" s="95">
        <v>133</v>
      </c>
      <c r="I138" s="96" t="str">
        <f t="shared" si="12"/>
        <v/>
      </c>
      <c r="J138" s="95" t="e">
        <f t="shared" si="13"/>
        <v>#NUM!</v>
      </c>
      <c r="K138" s="95" t="e">
        <f t="shared" si="14"/>
        <v>#NUM!</v>
      </c>
      <c r="L138" s="95"/>
      <c r="M138" s="97">
        <f t="shared" si="15"/>
        <v>0</v>
      </c>
      <c r="S138" s="85"/>
      <c r="T138" s="85"/>
      <c r="U138" s="85"/>
      <c r="V138" s="85"/>
      <c r="W138" s="85"/>
      <c r="X138" s="85"/>
      <c r="Y138" s="85"/>
      <c r="Z138" s="85"/>
      <c r="AA138" s="85"/>
      <c r="AB138" s="85"/>
      <c r="AC138" s="85"/>
      <c r="AD138" s="85"/>
      <c r="AE138" s="85"/>
      <c r="AF138" s="85"/>
      <c r="AG138" s="85"/>
      <c r="AH138" s="85"/>
      <c r="AI138" s="85"/>
      <c r="AJ138" s="85"/>
      <c r="AK138" s="85"/>
      <c r="AL138" s="85"/>
    </row>
    <row r="139" spans="1:38" s="80" customFormat="1" x14ac:dyDescent="0.25">
      <c r="A139" s="116"/>
      <c r="B139" s="115"/>
      <c r="C139" s="115"/>
      <c r="D139" s="115"/>
      <c r="E139" s="115"/>
      <c r="F139" s="115"/>
      <c r="H139" s="95">
        <v>134</v>
      </c>
      <c r="I139" s="96" t="str">
        <f t="shared" si="12"/>
        <v/>
      </c>
      <c r="J139" s="95" t="e">
        <f t="shared" si="13"/>
        <v>#NUM!</v>
      </c>
      <c r="K139" s="95" t="e">
        <f t="shared" si="14"/>
        <v>#NUM!</v>
      </c>
      <c r="L139" s="95"/>
      <c r="M139" s="97">
        <f t="shared" si="15"/>
        <v>0</v>
      </c>
      <c r="S139" s="85"/>
      <c r="T139" s="85"/>
      <c r="U139" s="85"/>
      <c r="V139" s="85"/>
      <c r="W139" s="85"/>
      <c r="X139" s="85"/>
      <c r="Y139" s="85"/>
      <c r="Z139" s="85"/>
      <c r="AA139" s="85"/>
      <c r="AB139" s="85"/>
      <c r="AC139" s="85"/>
      <c r="AD139" s="85"/>
      <c r="AE139" s="85"/>
      <c r="AF139" s="85"/>
      <c r="AG139" s="85"/>
      <c r="AH139" s="85"/>
      <c r="AI139" s="85"/>
      <c r="AJ139" s="85"/>
      <c r="AK139" s="85"/>
      <c r="AL139" s="85"/>
    </row>
    <row r="140" spans="1:38" s="80" customFormat="1" x14ac:dyDescent="0.25">
      <c r="A140" s="116"/>
      <c r="B140" s="115"/>
      <c r="C140" s="115"/>
      <c r="D140" s="115"/>
      <c r="E140" s="115"/>
      <c r="F140" s="115"/>
      <c r="H140" s="95">
        <v>135</v>
      </c>
      <c r="I140" s="96" t="str">
        <f t="shared" si="12"/>
        <v/>
      </c>
      <c r="J140" s="95" t="e">
        <f t="shared" si="13"/>
        <v>#NUM!</v>
      </c>
      <c r="K140" s="95" t="e">
        <f t="shared" si="14"/>
        <v>#NUM!</v>
      </c>
      <c r="L140" s="95"/>
      <c r="M140" s="97">
        <f t="shared" si="15"/>
        <v>0</v>
      </c>
      <c r="S140" s="85"/>
      <c r="T140" s="85"/>
      <c r="U140" s="85"/>
      <c r="V140" s="85"/>
      <c r="W140" s="85"/>
      <c r="X140" s="85"/>
      <c r="Y140" s="85"/>
      <c r="Z140" s="85"/>
      <c r="AA140" s="85"/>
      <c r="AB140" s="85"/>
      <c r="AC140" s="85"/>
      <c r="AD140" s="85"/>
      <c r="AE140" s="85"/>
      <c r="AF140" s="85"/>
      <c r="AG140" s="85"/>
      <c r="AH140" s="85"/>
      <c r="AI140" s="85"/>
      <c r="AJ140" s="85"/>
      <c r="AK140" s="85"/>
      <c r="AL140" s="85"/>
    </row>
    <row r="141" spans="1:38" s="80" customFormat="1" x14ac:dyDescent="0.25">
      <c r="A141" s="116"/>
      <c r="B141" s="115"/>
      <c r="C141" s="115"/>
      <c r="D141" s="115"/>
      <c r="E141" s="115"/>
      <c r="F141" s="115"/>
      <c r="H141" s="95">
        <v>136</v>
      </c>
      <c r="I141" s="96" t="str">
        <f t="shared" si="12"/>
        <v/>
      </c>
      <c r="J141" s="95" t="e">
        <f t="shared" si="13"/>
        <v>#NUM!</v>
      </c>
      <c r="K141" s="95" t="e">
        <f t="shared" si="14"/>
        <v>#NUM!</v>
      </c>
      <c r="L141" s="95"/>
      <c r="M141" s="97">
        <f t="shared" si="15"/>
        <v>0</v>
      </c>
      <c r="S141" s="85"/>
      <c r="T141" s="85"/>
      <c r="U141" s="85"/>
      <c r="V141" s="85"/>
      <c r="W141" s="85"/>
      <c r="X141" s="85"/>
      <c r="Y141" s="85"/>
      <c r="Z141" s="85"/>
      <c r="AA141" s="85"/>
      <c r="AB141" s="85"/>
      <c r="AC141" s="85"/>
      <c r="AD141" s="85"/>
      <c r="AE141" s="85"/>
      <c r="AF141" s="85"/>
      <c r="AG141" s="85"/>
      <c r="AH141" s="85"/>
      <c r="AI141" s="85"/>
      <c r="AJ141" s="85"/>
      <c r="AK141" s="85"/>
      <c r="AL141" s="85"/>
    </row>
    <row r="142" spans="1:38" s="80" customFormat="1" x14ac:dyDescent="0.25">
      <c r="A142" s="116"/>
      <c r="B142" s="115"/>
      <c r="C142" s="115"/>
      <c r="D142" s="115"/>
      <c r="E142" s="115"/>
      <c r="F142" s="115"/>
      <c r="H142" s="95">
        <v>137</v>
      </c>
      <c r="I142" s="96" t="str">
        <f t="shared" si="12"/>
        <v/>
      </c>
      <c r="J142" s="95" t="e">
        <f t="shared" si="13"/>
        <v>#NUM!</v>
      </c>
      <c r="K142" s="95" t="e">
        <f t="shared" si="14"/>
        <v>#NUM!</v>
      </c>
      <c r="L142" s="95"/>
      <c r="M142" s="97">
        <f t="shared" si="15"/>
        <v>0</v>
      </c>
      <c r="S142" s="85"/>
      <c r="T142" s="85"/>
      <c r="U142" s="85"/>
      <c r="V142" s="85"/>
      <c r="W142" s="85"/>
      <c r="X142" s="85"/>
      <c r="Y142" s="85"/>
      <c r="Z142" s="85"/>
      <c r="AA142" s="85"/>
      <c r="AB142" s="85"/>
      <c r="AC142" s="85"/>
      <c r="AD142" s="85"/>
      <c r="AE142" s="85"/>
      <c r="AF142" s="85"/>
      <c r="AG142" s="85"/>
      <c r="AH142" s="85"/>
      <c r="AI142" s="85"/>
      <c r="AJ142" s="85"/>
      <c r="AK142" s="85"/>
      <c r="AL142" s="85"/>
    </row>
    <row r="143" spans="1:38" s="80" customFormat="1" x14ac:dyDescent="0.25">
      <c r="A143" s="116"/>
      <c r="B143" s="115"/>
      <c r="C143" s="115"/>
      <c r="D143" s="115"/>
      <c r="E143" s="115"/>
      <c r="F143" s="115"/>
      <c r="H143" s="95">
        <v>138</v>
      </c>
      <c r="I143" s="96" t="str">
        <f t="shared" si="12"/>
        <v/>
      </c>
      <c r="J143" s="95" t="e">
        <f t="shared" si="13"/>
        <v>#NUM!</v>
      </c>
      <c r="K143" s="95" t="e">
        <f t="shared" si="14"/>
        <v>#NUM!</v>
      </c>
      <c r="L143" s="95"/>
      <c r="M143" s="97">
        <f t="shared" si="15"/>
        <v>0</v>
      </c>
      <c r="S143" s="85"/>
      <c r="T143" s="85"/>
      <c r="U143" s="85"/>
      <c r="V143" s="85"/>
      <c r="W143" s="85"/>
      <c r="X143" s="85"/>
      <c r="Y143" s="85"/>
      <c r="Z143" s="85"/>
      <c r="AA143" s="85"/>
      <c r="AB143" s="85"/>
      <c r="AC143" s="85"/>
      <c r="AD143" s="85"/>
      <c r="AE143" s="85"/>
      <c r="AF143" s="85"/>
      <c r="AG143" s="85"/>
      <c r="AH143" s="85"/>
      <c r="AI143" s="85"/>
      <c r="AJ143" s="85"/>
      <c r="AK143" s="85"/>
      <c r="AL143" s="85"/>
    </row>
    <row r="144" spans="1:38" s="80" customFormat="1" x14ac:dyDescent="0.25">
      <c r="A144" s="116"/>
      <c r="B144" s="115"/>
      <c r="C144" s="115"/>
      <c r="D144" s="115"/>
      <c r="E144" s="115"/>
      <c r="F144" s="115"/>
      <c r="H144" s="95">
        <v>139</v>
      </c>
      <c r="I144" s="96" t="str">
        <f t="shared" si="12"/>
        <v/>
      </c>
      <c r="J144" s="95" t="e">
        <f t="shared" si="13"/>
        <v>#NUM!</v>
      </c>
      <c r="K144" s="95" t="e">
        <f t="shared" si="14"/>
        <v>#NUM!</v>
      </c>
      <c r="L144" s="95"/>
      <c r="M144" s="97">
        <f t="shared" si="15"/>
        <v>0</v>
      </c>
      <c r="S144" s="85"/>
      <c r="T144" s="85"/>
      <c r="U144" s="85"/>
      <c r="V144" s="85"/>
      <c r="W144" s="85"/>
      <c r="X144" s="85"/>
      <c r="Y144" s="85"/>
      <c r="Z144" s="85"/>
      <c r="AA144" s="85"/>
      <c r="AB144" s="85"/>
      <c r="AC144" s="85"/>
      <c r="AD144" s="85"/>
      <c r="AE144" s="85"/>
      <c r="AF144" s="85"/>
      <c r="AG144" s="85"/>
      <c r="AH144" s="85"/>
      <c r="AI144" s="85"/>
      <c r="AJ144" s="85"/>
      <c r="AK144" s="85"/>
      <c r="AL144" s="85"/>
    </row>
    <row r="145" spans="1:38" s="80" customFormat="1" x14ac:dyDescent="0.25">
      <c r="A145" s="116"/>
      <c r="B145" s="115"/>
      <c r="C145" s="115"/>
      <c r="D145" s="115"/>
      <c r="E145" s="115"/>
      <c r="F145" s="115"/>
      <c r="H145" s="95">
        <v>140</v>
      </c>
      <c r="I145" s="96" t="str">
        <f t="shared" si="12"/>
        <v/>
      </c>
      <c r="J145" s="95" t="e">
        <f t="shared" si="13"/>
        <v>#NUM!</v>
      </c>
      <c r="K145" s="95" t="e">
        <f t="shared" si="14"/>
        <v>#NUM!</v>
      </c>
      <c r="L145" s="95"/>
      <c r="M145" s="97">
        <f t="shared" si="15"/>
        <v>0</v>
      </c>
      <c r="S145" s="85"/>
      <c r="T145" s="85"/>
      <c r="U145" s="85"/>
      <c r="V145" s="85"/>
      <c r="W145" s="85"/>
      <c r="X145" s="85"/>
      <c r="Y145" s="85"/>
      <c r="Z145" s="85"/>
      <c r="AA145" s="85"/>
      <c r="AB145" s="85"/>
      <c r="AC145" s="85"/>
      <c r="AD145" s="85"/>
      <c r="AE145" s="85"/>
      <c r="AF145" s="85"/>
      <c r="AG145" s="85"/>
      <c r="AH145" s="85"/>
      <c r="AI145" s="85"/>
      <c r="AJ145" s="85"/>
      <c r="AK145" s="85"/>
      <c r="AL145" s="85"/>
    </row>
    <row r="146" spans="1:38" s="80" customFormat="1" x14ac:dyDescent="0.25">
      <c r="A146" s="116"/>
      <c r="B146" s="115"/>
      <c r="C146" s="115"/>
      <c r="D146" s="115"/>
      <c r="E146" s="115"/>
      <c r="F146" s="115"/>
      <c r="H146" s="95">
        <v>141</v>
      </c>
      <c r="I146" s="96" t="str">
        <f t="shared" si="12"/>
        <v/>
      </c>
      <c r="J146" s="95" t="e">
        <f t="shared" si="13"/>
        <v>#NUM!</v>
      </c>
      <c r="K146" s="95" t="e">
        <f t="shared" si="14"/>
        <v>#NUM!</v>
      </c>
      <c r="L146" s="95"/>
      <c r="M146" s="97">
        <f t="shared" si="15"/>
        <v>0</v>
      </c>
      <c r="S146" s="85"/>
      <c r="T146" s="85"/>
      <c r="U146" s="85"/>
      <c r="V146" s="85"/>
      <c r="W146" s="85"/>
      <c r="X146" s="85"/>
      <c r="Y146" s="85"/>
      <c r="Z146" s="85"/>
      <c r="AA146" s="85"/>
      <c r="AB146" s="85"/>
      <c r="AC146" s="85"/>
      <c r="AD146" s="85"/>
      <c r="AE146" s="85"/>
      <c r="AF146" s="85"/>
      <c r="AG146" s="85"/>
      <c r="AH146" s="85"/>
      <c r="AI146" s="85"/>
      <c r="AJ146" s="85"/>
      <c r="AK146" s="85"/>
      <c r="AL146" s="85"/>
    </row>
    <row r="147" spans="1:38" s="80" customFormat="1" x14ac:dyDescent="0.25">
      <c r="A147" s="116"/>
      <c r="B147" s="115"/>
      <c r="C147" s="115"/>
      <c r="D147" s="115"/>
      <c r="E147" s="115"/>
      <c r="F147" s="115"/>
      <c r="H147" s="95">
        <v>142</v>
      </c>
      <c r="I147" s="96" t="str">
        <f t="shared" si="12"/>
        <v/>
      </c>
      <c r="J147" s="95" t="e">
        <f t="shared" si="13"/>
        <v>#NUM!</v>
      </c>
      <c r="K147" s="95" t="e">
        <f t="shared" si="14"/>
        <v>#NUM!</v>
      </c>
      <c r="L147" s="95"/>
      <c r="M147" s="97">
        <f t="shared" si="15"/>
        <v>0</v>
      </c>
      <c r="S147" s="85"/>
      <c r="T147" s="85"/>
      <c r="U147" s="85"/>
      <c r="V147" s="85"/>
      <c r="W147" s="85"/>
      <c r="X147" s="85"/>
      <c r="Y147" s="85"/>
      <c r="Z147" s="85"/>
      <c r="AA147" s="85"/>
      <c r="AB147" s="85"/>
      <c r="AC147" s="85"/>
      <c r="AD147" s="85"/>
      <c r="AE147" s="85"/>
      <c r="AF147" s="85"/>
      <c r="AG147" s="85"/>
      <c r="AH147" s="85"/>
      <c r="AI147" s="85"/>
      <c r="AJ147" s="85"/>
      <c r="AK147" s="85"/>
      <c r="AL147" s="85"/>
    </row>
    <row r="148" spans="1:38" s="80" customFormat="1" x14ac:dyDescent="0.25">
      <c r="A148" s="116"/>
      <c r="B148" s="115"/>
      <c r="C148" s="115"/>
      <c r="D148" s="115"/>
      <c r="E148" s="115"/>
      <c r="F148" s="115"/>
      <c r="H148" s="95">
        <v>143</v>
      </c>
      <c r="I148" s="96" t="str">
        <f t="shared" si="12"/>
        <v/>
      </c>
      <c r="J148" s="95" t="e">
        <f t="shared" si="13"/>
        <v>#NUM!</v>
      </c>
      <c r="K148" s="95" t="e">
        <f t="shared" si="14"/>
        <v>#NUM!</v>
      </c>
      <c r="L148" s="95"/>
      <c r="M148" s="97">
        <f t="shared" si="15"/>
        <v>0</v>
      </c>
      <c r="S148" s="85"/>
      <c r="T148" s="85"/>
      <c r="U148" s="85"/>
      <c r="V148" s="85"/>
      <c r="W148" s="85"/>
      <c r="X148" s="85"/>
      <c r="Y148" s="85"/>
      <c r="Z148" s="85"/>
      <c r="AA148" s="85"/>
      <c r="AB148" s="85"/>
      <c r="AC148" s="85"/>
      <c r="AD148" s="85"/>
      <c r="AE148" s="85"/>
      <c r="AF148" s="85"/>
      <c r="AG148" s="85"/>
      <c r="AH148" s="85"/>
      <c r="AI148" s="85"/>
      <c r="AJ148" s="85"/>
      <c r="AK148" s="85"/>
      <c r="AL148" s="85"/>
    </row>
    <row r="149" spans="1:38" s="80" customFormat="1" x14ac:dyDescent="0.25">
      <c r="A149" s="116"/>
      <c r="B149" s="115"/>
      <c r="C149" s="115"/>
      <c r="D149" s="115"/>
      <c r="E149" s="115"/>
      <c r="F149" s="115"/>
      <c r="H149" s="95">
        <v>144</v>
      </c>
      <c r="I149" s="96" t="str">
        <f t="shared" si="12"/>
        <v/>
      </c>
      <c r="J149" s="95" t="e">
        <f t="shared" si="13"/>
        <v>#NUM!</v>
      </c>
      <c r="K149" s="95" t="e">
        <f t="shared" si="14"/>
        <v>#NUM!</v>
      </c>
      <c r="L149" s="95"/>
      <c r="M149" s="97">
        <f t="shared" si="15"/>
        <v>0</v>
      </c>
      <c r="S149" s="85"/>
      <c r="T149" s="85"/>
      <c r="U149" s="85"/>
      <c r="V149" s="85"/>
      <c r="W149" s="85"/>
      <c r="X149" s="85"/>
      <c r="Y149" s="85"/>
      <c r="Z149" s="85"/>
      <c r="AA149" s="85"/>
      <c r="AB149" s="85"/>
      <c r="AC149" s="85"/>
      <c r="AD149" s="85"/>
      <c r="AE149" s="85"/>
      <c r="AF149" s="85"/>
      <c r="AG149" s="85"/>
      <c r="AH149" s="85"/>
      <c r="AI149" s="85"/>
      <c r="AJ149" s="85"/>
      <c r="AK149" s="85"/>
      <c r="AL149" s="85"/>
    </row>
    <row r="150" spans="1:38" s="80" customFormat="1" x14ac:dyDescent="0.25">
      <c r="A150" s="116"/>
      <c r="B150" s="115"/>
      <c r="C150" s="115"/>
      <c r="D150" s="115"/>
      <c r="E150" s="115"/>
      <c r="F150" s="115"/>
      <c r="H150" s="95">
        <v>145</v>
      </c>
      <c r="I150" s="96" t="str">
        <f t="shared" si="12"/>
        <v/>
      </c>
      <c r="J150" s="95" t="e">
        <f t="shared" si="13"/>
        <v>#NUM!</v>
      </c>
      <c r="K150" s="95" t="e">
        <f t="shared" si="14"/>
        <v>#NUM!</v>
      </c>
      <c r="L150" s="95"/>
      <c r="M150" s="97">
        <f t="shared" si="15"/>
        <v>0</v>
      </c>
      <c r="S150" s="85"/>
      <c r="T150" s="85"/>
      <c r="U150" s="85"/>
      <c r="V150" s="85"/>
      <c r="W150" s="85"/>
      <c r="X150" s="85"/>
      <c r="Y150" s="85"/>
      <c r="Z150" s="85"/>
      <c r="AA150" s="85"/>
      <c r="AB150" s="85"/>
      <c r="AC150" s="85"/>
      <c r="AD150" s="85"/>
      <c r="AE150" s="85"/>
      <c r="AF150" s="85"/>
      <c r="AG150" s="85"/>
      <c r="AH150" s="85"/>
      <c r="AI150" s="85"/>
      <c r="AJ150" s="85"/>
      <c r="AK150" s="85"/>
      <c r="AL150" s="85"/>
    </row>
    <row r="151" spans="1:38" s="80" customFormat="1" x14ac:dyDescent="0.25">
      <c r="A151" s="116"/>
      <c r="B151" s="115"/>
      <c r="C151" s="115"/>
      <c r="D151" s="115"/>
      <c r="E151" s="115"/>
      <c r="F151" s="115"/>
      <c r="H151" s="95">
        <v>146</v>
      </c>
      <c r="I151" s="96" t="str">
        <f t="shared" si="12"/>
        <v/>
      </c>
      <c r="J151" s="95" t="e">
        <f t="shared" si="13"/>
        <v>#NUM!</v>
      </c>
      <c r="K151" s="95" t="e">
        <f t="shared" si="14"/>
        <v>#NUM!</v>
      </c>
      <c r="L151" s="95"/>
      <c r="M151" s="97">
        <f t="shared" si="15"/>
        <v>0</v>
      </c>
      <c r="S151" s="85"/>
      <c r="T151" s="85"/>
      <c r="U151" s="85"/>
      <c r="V151" s="85"/>
      <c r="W151" s="85"/>
      <c r="X151" s="85"/>
      <c r="Y151" s="85"/>
      <c r="Z151" s="85"/>
      <c r="AA151" s="85"/>
      <c r="AB151" s="85"/>
      <c r="AC151" s="85"/>
      <c r="AD151" s="85"/>
      <c r="AE151" s="85"/>
      <c r="AF151" s="85"/>
      <c r="AG151" s="85"/>
      <c r="AH151" s="85"/>
      <c r="AI151" s="85"/>
      <c r="AJ151" s="85"/>
      <c r="AK151" s="85"/>
      <c r="AL151" s="85"/>
    </row>
    <row r="152" spans="1:38" s="80" customFormat="1" x14ac:dyDescent="0.25">
      <c r="A152" s="116"/>
      <c r="B152" s="115"/>
      <c r="C152" s="115"/>
      <c r="D152" s="115"/>
      <c r="E152" s="115"/>
      <c r="F152" s="115"/>
      <c r="H152" s="95">
        <v>147</v>
      </c>
      <c r="I152" s="96" t="str">
        <f t="shared" si="12"/>
        <v/>
      </c>
      <c r="J152" s="95" t="e">
        <f t="shared" si="13"/>
        <v>#NUM!</v>
      </c>
      <c r="K152" s="95" t="e">
        <f t="shared" si="14"/>
        <v>#NUM!</v>
      </c>
      <c r="L152" s="95"/>
      <c r="M152" s="97">
        <f t="shared" si="15"/>
        <v>0</v>
      </c>
      <c r="S152" s="85"/>
      <c r="T152" s="85"/>
      <c r="U152" s="85"/>
      <c r="V152" s="85"/>
      <c r="W152" s="85"/>
      <c r="X152" s="85"/>
      <c r="Y152" s="85"/>
      <c r="Z152" s="85"/>
      <c r="AA152" s="85"/>
      <c r="AB152" s="85"/>
      <c r="AC152" s="85"/>
      <c r="AD152" s="85"/>
      <c r="AE152" s="85"/>
      <c r="AF152" s="85"/>
      <c r="AG152" s="85"/>
      <c r="AH152" s="85"/>
      <c r="AI152" s="85"/>
      <c r="AJ152" s="85"/>
      <c r="AK152" s="85"/>
      <c r="AL152" s="85"/>
    </row>
    <row r="153" spans="1:38" s="80" customFormat="1" x14ac:dyDescent="0.25">
      <c r="A153" s="116"/>
      <c r="B153" s="115"/>
      <c r="C153" s="115"/>
      <c r="D153" s="115"/>
      <c r="E153" s="115"/>
      <c r="F153" s="115"/>
      <c r="H153" s="95">
        <v>148</v>
      </c>
      <c r="I153" s="96" t="str">
        <f t="shared" si="12"/>
        <v/>
      </c>
      <c r="J153" s="95" t="e">
        <f t="shared" si="13"/>
        <v>#NUM!</v>
      </c>
      <c r="K153" s="95" t="e">
        <f t="shared" si="14"/>
        <v>#NUM!</v>
      </c>
      <c r="L153" s="95"/>
      <c r="M153" s="97">
        <f t="shared" si="15"/>
        <v>0</v>
      </c>
      <c r="S153" s="85"/>
      <c r="T153" s="85"/>
      <c r="U153" s="85"/>
      <c r="V153" s="85"/>
      <c r="W153" s="85"/>
      <c r="X153" s="85"/>
      <c r="Y153" s="85"/>
      <c r="Z153" s="85"/>
      <c r="AA153" s="85"/>
      <c r="AB153" s="85"/>
      <c r="AC153" s="85"/>
      <c r="AD153" s="85"/>
      <c r="AE153" s="85"/>
      <c r="AF153" s="85"/>
      <c r="AG153" s="85"/>
      <c r="AH153" s="85"/>
      <c r="AI153" s="85"/>
      <c r="AJ153" s="85"/>
      <c r="AK153" s="85"/>
      <c r="AL153" s="85"/>
    </row>
    <row r="154" spans="1:38" s="80" customFormat="1" x14ac:dyDescent="0.25">
      <c r="A154" s="116"/>
      <c r="B154" s="115"/>
      <c r="C154" s="115"/>
      <c r="D154" s="115"/>
      <c r="E154" s="115"/>
      <c r="F154" s="115"/>
      <c r="H154" s="95">
        <v>149</v>
      </c>
      <c r="I154" s="96" t="str">
        <f t="shared" si="12"/>
        <v/>
      </c>
      <c r="J154" s="95" t="e">
        <f t="shared" si="13"/>
        <v>#NUM!</v>
      </c>
      <c r="K154" s="95" t="e">
        <f t="shared" si="14"/>
        <v>#NUM!</v>
      </c>
      <c r="L154" s="95"/>
      <c r="M154" s="97">
        <f t="shared" si="15"/>
        <v>0</v>
      </c>
      <c r="S154" s="85"/>
      <c r="T154" s="85"/>
      <c r="U154" s="85"/>
      <c r="V154" s="85"/>
      <c r="W154" s="85"/>
      <c r="X154" s="85"/>
      <c r="Y154" s="85"/>
      <c r="Z154" s="85"/>
      <c r="AA154" s="85"/>
      <c r="AB154" s="85"/>
      <c r="AC154" s="85"/>
      <c r="AD154" s="85"/>
      <c r="AE154" s="85"/>
      <c r="AF154" s="85"/>
      <c r="AG154" s="85"/>
      <c r="AH154" s="85"/>
      <c r="AI154" s="85"/>
      <c r="AJ154" s="85"/>
      <c r="AK154" s="85"/>
      <c r="AL154" s="85"/>
    </row>
    <row r="155" spans="1:38" s="80" customFormat="1" x14ac:dyDescent="0.25">
      <c r="A155" s="116"/>
      <c r="B155" s="115"/>
      <c r="C155" s="115"/>
      <c r="D155" s="115"/>
      <c r="E155" s="115"/>
      <c r="F155" s="115"/>
      <c r="H155" s="95">
        <v>150</v>
      </c>
      <c r="I155" s="96" t="str">
        <f t="shared" si="12"/>
        <v/>
      </c>
      <c r="J155" s="95" t="e">
        <f t="shared" si="13"/>
        <v>#NUM!</v>
      </c>
      <c r="K155" s="95" t="e">
        <f t="shared" si="14"/>
        <v>#NUM!</v>
      </c>
      <c r="L155" s="95"/>
      <c r="M155" s="97">
        <f t="shared" si="15"/>
        <v>0</v>
      </c>
      <c r="S155" s="85"/>
      <c r="T155" s="85"/>
      <c r="U155" s="85"/>
      <c r="V155" s="85"/>
      <c r="W155" s="85"/>
      <c r="X155" s="85"/>
      <c r="Y155" s="85"/>
      <c r="Z155" s="85"/>
      <c r="AA155" s="85"/>
      <c r="AB155" s="85"/>
      <c r="AC155" s="85"/>
      <c r="AD155" s="85"/>
      <c r="AE155" s="85"/>
      <c r="AF155" s="85"/>
      <c r="AG155" s="85"/>
      <c r="AH155" s="85"/>
      <c r="AI155" s="85"/>
      <c r="AJ155" s="85"/>
      <c r="AK155" s="85"/>
      <c r="AL155" s="85"/>
    </row>
    <row r="156" spans="1:38" s="80" customFormat="1" x14ac:dyDescent="0.25">
      <c r="A156" s="116"/>
      <c r="B156" s="115"/>
      <c r="C156" s="115"/>
      <c r="D156" s="115"/>
      <c r="E156" s="115"/>
      <c r="F156" s="115"/>
      <c r="H156" s="95">
        <v>151</v>
      </c>
      <c r="I156" s="96" t="str">
        <f t="shared" si="12"/>
        <v/>
      </c>
      <c r="J156" s="95" t="e">
        <f t="shared" si="13"/>
        <v>#NUM!</v>
      </c>
      <c r="K156" s="95" t="e">
        <f t="shared" si="14"/>
        <v>#NUM!</v>
      </c>
      <c r="L156" s="95"/>
      <c r="M156" s="97">
        <f t="shared" si="15"/>
        <v>0</v>
      </c>
      <c r="S156" s="85"/>
      <c r="T156" s="85"/>
      <c r="U156" s="85"/>
      <c r="V156" s="85"/>
      <c r="W156" s="85"/>
      <c r="X156" s="85"/>
      <c r="Y156" s="85"/>
      <c r="Z156" s="85"/>
      <c r="AA156" s="85"/>
      <c r="AB156" s="85"/>
      <c r="AC156" s="85"/>
      <c r="AD156" s="85"/>
      <c r="AE156" s="85"/>
      <c r="AF156" s="85"/>
      <c r="AG156" s="85"/>
      <c r="AH156" s="85"/>
      <c r="AI156" s="85"/>
      <c r="AJ156" s="85"/>
      <c r="AK156" s="85"/>
      <c r="AL156" s="85"/>
    </row>
    <row r="157" spans="1:38" s="80" customFormat="1" x14ac:dyDescent="0.25">
      <c r="A157" s="116"/>
      <c r="B157" s="115"/>
      <c r="C157" s="115"/>
      <c r="D157" s="115"/>
      <c r="E157" s="115"/>
      <c r="F157" s="115"/>
      <c r="H157" s="95">
        <v>152</v>
      </c>
      <c r="I157" s="96" t="str">
        <f t="shared" si="12"/>
        <v/>
      </c>
      <c r="J157" s="95" t="e">
        <f t="shared" si="13"/>
        <v>#NUM!</v>
      </c>
      <c r="K157" s="95" t="e">
        <f t="shared" si="14"/>
        <v>#NUM!</v>
      </c>
      <c r="L157" s="95"/>
      <c r="M157" s="97">
        <f t="shared" si="15"/>
        <v>0</v>
      </c>
      <c r="S157" s="85"/>
      <c r="T157" s="85"/>
      <c r="U157" s="85"/>
      <c r="V157" s="85"/>
      <c r="W157" s="85"/>
      <c r="X157" s="85"/>
      <c r="Y157" s="85"/>
      <c r="Z157" s="85"/>
      <c r="AA157" s="85"/>
      <c r="AB157" s="85"/>
      <c r="AC157" s="85"/>
      <c r="AD157" s="85"/>
      <c r="AE157" s="85"/>
      <c r="AF157" s="85"/>
      <c r="AG157" s="85"/>
      <c r="AH157" s="85"/>
      <c r="AI157" s="85"/>
      <c r="AJ157" s="85"/>
      <c r="AK157" s="85"/>
      <c r="AL157" s="85"/>
    </row>
    <row r="158" spans="1:38" s="80" customFormat="1" x14ac:dyDescent="0.25">
      <c r="A158" s="116"/>
      <c r="B158" s="115"/>
      <c r="C158" s="115"/>
      <c r="D158" s="115"/>
      <c r="E158" s="115"/>
      <c r="F158" s="115"/>
      <c r="H158" s="95">
        <v>153</v>
      </c>
      <c r="I158" s="96" t="str">
        <f t="shared" si="12"/>
        <v/>
      </c>
      <c r="J158" s="95" t="e">
        <f t="shared" si="13"/>
        <v>#NUM!</v>
      </c>
      <c r="K158" s="95" t="e">
        <f t="shared" si="14"/>
        <v>#NUM!</v>
      </c>
      <c r="L158" s="95"/>
      <c r="M158" s="97">
        <f t="shared" si="15"/>
        <v>0</v>
      </c>
      <c r="S158" s="85"/>
      <c r="T158" s="85"/>
      <c r="U158" s="85"/>
      <c r="V158" s="85"/>
      <c r="W158" s="85"/>
      <c r="X158" s="85"/>
      <c r="Y158" s="85"/>
      <c r="Z158" s="85"/>
      <c r="AA158" s="85"/>
      <c r="AB158" s="85"/>
      <c r="AC158" s="85"/>
      <c r="AD158" s="85"/>
      <c r="AE158" s="85"/>
      <c r="AF158" s="85"/>
      <c r="AG158" s="85"/>
      <c r="AH158" s="85"/>
      <c r="AI158" s="85"/>
      <c r="AJ158" s="85"/>
      <c r="AK158" s="85"/>
      <c r="AL158" s="85"/>
    </row>
    <row r="159" spans="1:38" s="80" customFormat="1" x14ac:dyDescent="0.25">
      <c r="A159" s="116"/>
      <c r="B159" s="115"/>
      <c r="C159" s="115"/>
      <c r="D159" s="115"/>
      <c r="E159" s="115"/>
      <c r="F159" s="115"/>
      <c r="H159" s="95">
        <v>154</v>
      </c>
      <c r="I159" s="96" t="str">
        <f t="shared" si="12"/>
        <v/>
      </c>
      <c r="J159" s="95" t="e">
        <f t="shared" si="13"/>
        <v>#NUM!</v>
      </c>
      <c r="K159" s="95" t="e">
        <f t="shared" si="14"/>
        <v>#NUM!</v>
      </c>
      <c r="L159" s="95"/>
      <c r="M159" s="97">
        <f t="shared" si="15"/>
        <v>0</v>
      </c>
      <c r="S159" s="85"/>
      <c r="T159" s="85"/>
      <c r="U159" s="85"/>
      <c r="V159" s="85"/>
      <c r="W159" s="85"/>
      <c r="X159" s="85"/>
      <c r="Y159" s="85"/>
      <c r="Z159" s="85"/>
      <c r="AA159" s="85"/>
      <c r="AB159" s="85"/>
      <c r="AC159" s="85"/>
      <c r="AD159" s="85"/>
      <c r="AE159" s="85"/>
      <c r="AF159" s="85"/>
      <c r="AG159" s="85"/>
      <c r="AH159" s="85"/>
      <c r="AI159" s="85"/>
      <c r="AJ159" s="85"/>
      <c r="AK159" s="85"/>
      <c r="AL159" s="85"/>
    </row>
    <row r="160" spans="1:38" s="80" customFormat="1" x14ac:dyDescent="0.25">
      <c r="A160" s="116"/>
      <c r="B160" s="115"/>
      <c r="C160" s="115"/>
      <c r="D160" s="115"/>
      <c r="E160" s="115"/>
      <c r="F160" s="115"/>
      <c r="H160" s="95">
        <v>155</v>
      </c>
      <c r="I160" s="96" t="str">
        <f t="shared" si="12"/>
        <v/>
      </c>
      <c r="J160" s="95" t="e">
        <f t="shared" si="13"/>
        <v>#NUM!</v>
      </c>
      <c r="K160" s="95" t="e">
        <f t="shared" si="14"/>
        <v>#NUM!</v>
      </c>
      <c r="L160" s="95"/>
      <c r="M160" s="97">
        <f t="shared" si="15"/>
        <v>0</v>
      </c>
      <c r="S160" s="85"/>
      <c r="T160" s="85"/>
      <c r="U160" s="85"/>
      <c r="V160" s="85"/>
      <c r="W160" s="85"/>
      <c r="X160" s="85"/>
      <c r="Y160" s="85"/>
      <c r="Z160" s="85"/>
      <c r="AA160" s="85"/>
      <c r="AB160" s="85"/>
      <c r="AC160" s="85"/>
      <c r="AD160" s="85"/>
      <c r="AE160" s="85"/>
      <c r="AF160" s="85"/>
      <c r="AG160" s="85"/>
      <c r="AH160" s="85"/>
      <c r="AI160" s="85"/>
      <c r="AJ160" s="85"/>
      <c r="AK160" s="85"/>
      <c r="AL160" s="85"/>
    </row>
    <row r="161" spans="1:38" s="80" customFormat="1" x14ac:dyDescent="0.25">
      <c r="A161" s="116"/>
      <c r="B161" s="115"/>
      <c r="C161" s="115"/>
      <c r="D161" s="115"/>
      <c r="E161" s="115"/>
      <c r="F161" s="115"/>
      <c r="H161" s="95">
        <v>156</v>
      </c>
      <c r="I161" s="96" t="str">
        <f t="shared" si="12"/>
        <v/>
      </c>
      <c r="J161" s="95" t="e">
        <f t="shared" si="13"/>
        <v>#NUM!</v>
      </c>
      <c r="K161" s="95" t="e">
        <f t="shared" si="14"/>
        <v>#NUM!</v>
      </c>
      <c r="L161" s="95"/>
      <c r="M161" s="97">
        <f t="shared" si="15"/>
        <v>0</v>
      </c>
      <c r="S161" s="85"/>
      <c r="T161" s="85"/>
      <c r="U161" s="85"/>
      <c r="V161" s="85"/>
      <c r="W161" s="85"/>
      <c r="X161" s="85"/>
      <c r="Y161" s="85"/>
      <c r="Z161" s="85"/>
      <c r="AA161" s="85"/>
      <c r="AB161" s="85"/>
      <c r="AC161" s="85"/>
      <c r="AD161" s="85"/>
      <c r="AE161" s="85"/>
      <c r="AF161" s="85"/>
      <c r="AG161" s="85"/>
      <c r="AH161" s="85"/>
      <c r="AI161" s="85"/>
      <c r="AJ161" s="85"/>
      <c r="AK161" s="85"/>
      <c r="AL161" s="85"/>
    </row>
    <row r="162" spans="1:38" s="80" customFormat="1" x14ac:dyDescent="0.25">
      <c r="A162" s="116"/>
      <c r="B162" s="115"/>
      <c r="C162" s="115"/>
      <c r="D162" s="115"/>
      <c r="E162" s="115"/>
      <c r="F162" s="115"/>
      <c r="H162" s="95">
        <v>157</v>
      </c>
      <c r="I162" s="96" t="str">
        <f t="shared" si="12"/>
        <v/>
      </c>
      <c r="J162" s="95" t="e">
        <f t="shared" si="13"/>
        <v>#NUM!</v>
      </c>
      <c r="K162" s="95" t="e">
        <f t="shared" si="14"/>
        <v>#NUM!</v>
      </c>
      <c r="L162" s="95"/>
      <c r="M162" s="97">
        <f t="shared" si="15"/>
        <v>0</v>
      </c>
      <c r="S162" s="85"/>
      <c r="T162" s="85"/>
      <c r="U162" s="85"/>
      <c r="V162" s="85"/>
      <c r="W162" s="85"/>
      <c r="X162" s="85"/>
      <c r="Y162" s="85"/>
      <c r="Z162" s="85"/>
      <c r="AA162" s="85"/>
      <c r="AB162" s="85"/>
      <c r="AC162" s="85"/>
      <c r="AD162" s="85"/>
      <c r="AE162" s="85"/>
      <c r="AF162" s="85"/>
      <c r="AG162" s="85"/>
      <c r="AH162" s="85"/>
      <c r="AI162" s="85"/>
      <c r="AJ162" s="85"/>
      <c r="AK162" s="85"/>
      <c r="AL162" s="85"/>
    </row>
    <row r="163" spans="1:38" s="80" customFormat="1" x14ac:dyDescent="0.25">
      <c r="A163" s="116"/>
      <c r="B163" s="115"/>
      <c r="C163" s="115"/>
      <c r="D163" s="115"/>
      <c r="E163" s="115"/>
      <c r="F163" s="115"/>
      <c r="H163" s="95">
        <v>158</v>
      </c>
      <c r="I163" s="96" t="str">
        <f t="shared" si="12"/>
        <v/>
      </c>
      <c r="J163" s="95" t="e">
        <f t="shared" si="13"/>
        <v>#NUM!</v>
      </c>
      <c r="K163" s="95" t="e">
        <f t="shared" si="14"/>
        <v>#NUM!</v>
      </c>
      <c r="L163" s="95"/>
      <c r="M163" s="97">
        <f t="shared" si="15"/>
        <v>0</v>
      </c>
      <c r="S163" s="85"/>
      <c r="T163" s="85"/>
      <c r="U163" s="85"/>
      <c r="V163" s="85"/>
      <c r="W163" s="85"/>
      <c r="X163" s="85"/>
      <c r="Y163" s="85"/>
      <c r="Z163" s="85"/>
      <c r="AA163" s="85"/>
      <c r="AB163" s="85"/>
      <c r="AC163" s="85"/>
      <c r="AD163" s="85"/>
      <c r="AE163" s="85"/>
      <c r="AF163" s="85"/>
      <c r="AG163" s="85"/>
      <c r="AH163" s="85"/>
      <c r="AI163" s="85"/>
      <c r="AJ163" s="85"/>
      <c r="AK163" s="85"/>
      <c r="AL163" s="85"/>
    </row>
    <row r="164" spans="1:38" s="80" customFormat="1" x14ac:dyDescent="0.25">
      <c r="A164" s="116"/>
      <c r="B164" s="115"/>
      <c r="C164" s="115"/>
      <c r="D164" s="115"/>
      <c r="E164" s="115"/>
      <c r="F164" s="115"/>
      <c r="H164" s="95">
        <v>159</v>
      </c>
      <c r="I164" s="96" t="str">
        <f t="shared" si="12"/>
        <v/>
      </c>
      <c r="J164" s="95" t="e">
        <f t="shared" si="13"/>
        <v>#NUM!</v>
      </c>
      <c r="K164" s="95" t="e">
        <f t="shared" si="14"/>
        <v>#NUM!</v>
      </c>
      <c r="L164" s="95"/>
      <c r="M164" s="97">
        <f t="shared" si="15"/>
        <v>0</v>
      </c>
      <c r="S164" s="85"/>
      <c r="T164" s="85"/>
      <c r="U164" s="85"/>
      <c r="V164" s="85"/>
      <c r="W164" s="85"/>
      <c r="X164" s="85"/>
      <c r="Y164" s="85"/>
      <c r="Z164" s="85"/>
      <c r="AA164" s="85"/>
      <c r="AB164" s="85"/>
      <c r="AC164" s="85"/>
      <c r="AD164" s="85"/>
      <c r="AE164" s="85"/>
      <c r="AF164" s="85"/>
      <c r="AG164" s="85"/>
      <c r="AH164" s="85"/>
      <c r="AI164" s="85"/>
      <c r="AJ164" s="85"/>
      <c r="AK164" s="85"/>
      <c r="AL164" s="85"/>
    </row>
    <row r="165" spans="1:38" s="80" customFormat="1" x14ac:dyDescent="0.25">
      <c r="A165" s="116"/>
      <c r="B165" s="115"/>
      <c r="C165" s="115"/>
      <c r="D165" s="115"/>
      <c r="E165" s="115"/>
      <c r="F165" s="115"/>
      <c r="H165" s="95">
        <v>160</v>
      </c>
      <c r="I165" s="96" t="str">
        <f t="shared" si="12"/>
        <v/>
      </c>
      <c r="J165" s="95" t="e">
        <f t="shared" si="13"/>
        <v>#NUM!</v>
      </c>
      <c r="K165" s="95" t="e">
        <f t="shared" si="14"/>
        <v>#NUM!</v>
      </c>
      <c r="L165" s="95"/>
      <c r="M165" s="97">
        <f t="shared" si="15"/>
        <v>0</v>
      </c>
      <c r="S165" s="85"/>
      <c r="T165" s="85"/>
      <c r="U165" s="85"/>
      <c r="V165" s="85"/>
      <c r="W165" s="85"/>
      <c r="X165" s="85"/>
      <c r="Y165" s="85"/>
      <c r="Z165" s="85"/>
      <c r="AA165" s="85"/>
      <c r="AB165" s="85"/>
      <c r="AC165" s="85"/>
      <c r="AD165" s="85"/>
      <c r="AE165" s="85"/>
      <c r="AF165" s="85"/>
      <c r="AG165" s="85"/>
      <c r="AH165" s="85"/>
      <c r="AI165" s="85"/>
      <c r="AJ165" s="85"/>
      <c r="AK165" s="85"/>
      <c r="AL165" s="85"/>
    </row>
    <row r="166" spans="1:38" s="80" customFormat="1" x14ac:dyDescent="0.25">
      <c r="A166" s="116"/>
      <c r="B166" s="115"/>
      <c r="C166" s="115"/>
      <c r="D166" s="115"/>
      <c r="E166" s="115"/>
      <c r="F166" s="115"/>
      <c r="H166" s="95">
        <v>161</v>
      </c>
      <c r="I166" s="96" t="str">
        <f t="shared" si="12"/>
        <v/>
      </c>
      <c r="J166" s="95" t="e">
        <f t="shared" si="13"/>
        <v>#NUM!</v>
      </c>
      <c r="K166" s="95" t="e">
        <f t="shared" si="14"/>
        <v>#NUM!</v>
      </c>
      <c r="L166" s="95"/>
      <c r="M166" s="97">
        <f t="shared" si="15"/>
        <v>0</v>
      </c>
      <c r="S166" s="85"/>
      <c r="T166" s="85"/>
      <c r="U166" s="85"/>
      <c r="V166" s="85"/>
      <c r="W166" s="85"/>
      <c r="X166" s="85"/>
      <c r="Y166" s="85"/>
      <c r="Z166" s="85"/>
      <c r="AA166" s="85"/>
      <c r="AB166" s="85"/>
      <c r="AC166" s="85"/>
      <c r="AD166" s="85"/>
      <c r="AE166" s="85"/>
      <c r="AF166" s="85"/>
      <c r="AG166" s="85"/>
      <c r="AH166" s="85"/>
      <c r="AI166" s="85"/>
      <c r="AJ166" s="85"/>
      <c r="AK166" s="85"/>
      <c r="AL166" s="85"/>
    </row>
    <row r="167" spans="1:38" s="80" customFormat="1" x14ac:dyDescent="0.25">
      <c r="A167" s="116"/>
      <c r="B167" s="115"/>
      <c r="C167" s="115"/>
      <c r="D167" s="115"/>
      <c r="E167" s="115"/>
      <c r="F167" s="115"/>
      <c r="H167" s="95">
        <v>162</v>
      </c>
      <c r="I167" s="96" t="str">
        <f t="shared" si="12"/>
        <v/>
      </c>
      <c r="J167" s="95" t="e">
        <f t="shared" si="13"/>
        <v>#NUM!</v>
      </c>
      <c r="K167" s="95" t="e">
        <f t="shared" si="14"/>
        <v>#NUM!</v>
      </c>
      <c r="L167" s="95"/>
      <c r="M167" s="97">
        <f t="shared" si="15"/>
        <v>0</v>
      </c>
      <c r="S167" s="85"/>
      <c r="T167" s="85"/>
      <c r="U167" s="85"/>
      <c r="V167" s="85"/>
      <c r="W167" s="85"/>
      <c r="X167" s="85"/>
      <c r="Y167" s="85"/>
      <c r="Z167" s="85"/>
      <c r="AA167" s="85"/>
      <c r="AB167" s="85"/>
      <c r="AC167" s="85"/>
      <c r="AD167" s="85"/>
      <c r="AE167" s="85"/>
      <c r="AF167" s="85"/>
      <c r="AG167" s="85"/>
      <c r="AH167" s="85"/>
      <c r="AI167" s="85"/>
      <c r="AJ167" s="85"/>
      <c r="AK167" s="85"/>
      <c r="AL167" s="85"/>
    </row>
    <row r="168" spans="1:38" s="80" customFormat="1" x14ac:dyDescent="0.25">
      <c r="A168" s="116"/>
      <c r="B168" s="115"/>
      <c r="C168" s="115"/>
      <c r="D168" s="115"/>
      <c r="E168" s="115"/>
      <c r="F168" s="115"/>
      <c r="H168" s="95">
        <v>163</v>
      </c>
      <c r="I168" s="96" t="str">
        <f t="shared" si="12"/>
        <v/>
      </c>
      <c r="J168" s="95" t="e">
        <f t="shared" si="13"/>
        <v>#NUM!</v>
      </c>
      <c r="K168" s="95" t="e">
        <f t="shared" si="14"/>
        <v>#NUM!</v>
      </c>
      <c r="L168" s="95"/>
      <c r="M168" s="97">
        <f t="shared" si="15"/>
        <v>0</v>
      </c>
      <c r="S168" s="85"/>
      <c r="T168" s="85"/>
      <c r="U168" s="85"/>
      <c r="V168" s="85"/>
      <c r="W168" s="85"/>
      <c r="X168" s="85"/>
      <c r="Y168" s="85"/>
      <c r="Z168" s="85"/>
      <c r="AA168" s="85"/>
      <c r="AB168" s="85"/>
      <c r="AC168" s="85"/>
      <c r="AD168" s="85"/>
      <c r="AE168" s="85"/>
      <c r="AF168" s="85"/>
      <c r="AG168" s="85"/>
      <c r="AH168" s="85"/>
      <c r="AI168" s="85"/>
      <c r="AJ168" s="85"/>
      <c r="AK168" s="85"/>
      <c r="AL168" s="85"/>
    </row>
    <row r="169" spans="1:38" s="80" customFormat="1" x14ac:dyDescent="0.25">
      <c r="A169" s="116"/>
      <c r="B169" s="115"/>
      <c r="C169" s="115" t="s">
        <v>40</v>
      </c>
      <c r="D169" s="115"/>
      <c r="E169" s="115"/>
      <c r="F169" s="115"/>
      <c r="H169" s="95">
        <v>164</v>
      </c>
      <c r="I169" s="96" t="str">
        <f t="shared" si="12"/>
        <v/>
      </c>
      <c r="J169" s="95" t="e">
        <f t="shared" si="13"/>
        <v>#NUM!</v>
      </c>
      <c r="K169" s="95" t="e">
        <f t="shared" si="14"/>
        <v>#NUM!</v>
      </c>
      <c r="L169" s="95"/>
      <c r="M169" s="97">
        <f t="shared" si="15"/>
        <v>0</v>
      </c>
      <c r="S169" s="85"/>
      <c r="T169" s="85"/>
      <c r="U169" s="85"/>
      <c r="V169" s="85"/>
      <c r="W169" s="85"/>
      <c r="X169" s="85"/>
      <c r="Y169" s="85"/>
      <c r="Z169" s="85"/>
      <c r="AA169" s="85"/>
      <c r="AB169" s="85"/>
      <c r="AC169" s="85"/>
      <c r="AD169" s="85"/>
      <c r="AE169" s="85"/>
      <c r="AF169" s="85"/>
      <c r="AG169" s="85"/>
      <c r="AH169" s="85"/>
      <c r="AI169" s="85"/>
      <c r="AJ169" s="85"/>
      <c r="AK169" s="85"/>
      <c r="AL169" s="85"/>
    </row>
    <row r="170" spans="1:38" s="80" customFormat="1" x14ac:dyDescent="0.25">
      <c r="A170" s="116"/>
      <c r="B170" s="115"/>
      <c r="C170" s="115"/>
      <c r="D170" s="115"/>
      <c r="E170" s="115"/>
      <c r="F170" s="115"/>
      <c r="H170" s="95">
        <v>165</v>
      </c>
      <c r="I170" s="96" t="str">
        <f t="shared" si="12"/>
        <v/>
      </c>
      <c r="J170" s="95" t="e">
        <f t="shared" si="13"/>
        <v>#NUM!</v>
      </c>
      <c r="K170" s="95" t="e">
        <f t="shared" si="14"/>
        <v>#NUM!</v>
      </c>
      <c r="L170" s="95"/>
      <c r="M170" s="97">
        <f t="shared" si="15"/>
        <v>0</v>
      </c>
      <c r="S170" s="85"/>
      <c r="T170" s="85"/>
      <c r="U170" s="85"/>
      <c r="V170" s="85"/>
      <c r="W170" s="85"/>
      <c r="X170" s="85"/>
      <c r="Y170" s="85"/>
      <c r="Z170" s="85"/>
      <c r="AA170" s="85"/>
      <c r="AB170" s="85"/>
      <c r="AC170" s="85"/>
      <c r="AD170" s="85"/>
      <c r="AE170" s="85"/>
      <c r="AF170" s="85"/>
      <c r="AG170" s="85"/>
      <c r="AH170" s="85"/>
      <c r="AI170" s="85"/>
      <c r="AJ170" s="85"/>
      <c r="AK170" s="85"/>
      <c r="AL170" s="85"/>
    </row>
    <row r="171" spans="1:38" s="80" customFormat="1" x14ac:dyDescent="0.25">
      <c r="A171" s="116"/>
      <c r="B171" s="115"/>
      <c r="C171" s="115"/>
      <c r="D171" s="115"/>
      <c r="E171" s="115"/>
      <c r="F171" s="115"/>
      <c r="H171" s="95">
        <v>166</v>
      </c>
      <c r="I171" s="96" t="str">
        <f t="shared" si="12"/>
        <v/>
      </c>
      <c r="J171" s="95" t="e">
        <f t="shared" si="13"/>
        <v>#NUM!</v>
      </c>
      <c r="K171" s="95" t="e">
        <f t="shared" si="14"/>
        <v>#NUM!</v>
      </c>
      <c r="L171" s="95"/>
      <c r="M171" s="97">
        <f t="shared" si="15"/>
        <v>0</v>
      </c>
      <c r="S171" s="85"/>
      <c r="T171" s="85"/>
      <c r="U171" s="85"/>
      <c r="V171" s="85"/>
      <c r="W171" s="85"/>
      <c r="X171" s="85"/>
      <c r="Y171" s="85"/>
      <c r="Z171" s="85"/>
      <c r="AA171" s="85"/>
      <c r="AB171" s="85"/>
      <c r="AC171" s="85"/>
      <c r="AD171" s="85"/>
      <c r="AE171" s="85"/>
      <c r="AF171" s="85"/>
      <c r="AG171" s="85"/>
      <c r="AH171" s="85"/>
      <c r="AI171" s="85"/>
      <c r="AJ171" s="85"/>
      <c r="AK171" s="85"/>
      <c r="AL171" s="85"/>
    </row>
    <row r="172" spans="1:38" s="80" customFormat="1" x14ac:dyDescent="0.25">
      <c r="A172" s="116"/>
      <c r="B172" s="115"/>
      <c r="C172" s="115"/>
      <c r="D172" s="115"/>
      <c r="E172" s="115"/>
      <c r="F172" s="115"/>
      <c r="H172" s="95">
        <v>167</v>
      </c>
      <c r="I172" s="96" t="str">
        <f t="shared" si="12"/>
        <v/>
      </c>
      <c r="J172" s="95" t="e">
        <f t="shared" si="13"/>
        <v>#NUM!</v>
      </c>
      <c r="K172" s="95" t="e">
        <f t="shared" si="14"/>
        <v>#NUM!</v>
      </c>
      <c r="L172" s="95"/>
      <c r="M172" s="97">
        <f t="shared" si="15"/>
        <v>0</v>
      </c>
      <c r="S172" s="85"/>
      <c r="T172" s="85"/>
      <c r="U172" s="85"/>
      <c r="V172" s="85"/>
      <c r="W172" s="85"/>
      <c r="X172" s="85"/>
      <c r="Y172" s="85"/>
      <c r="Z172" s="85"/>
      <c r="AA172" s="85"/>
      <c r="AB172" s="85"/>
      <c r="AC172" s="85"/>
      <c r="AD172" s="85"/>
      <c r="AE172" s="85"/>
      <c r="AF172" s="85"/>
      <c r="AG172" s="85"/>
      <c r="AH172" s="85"/>
      <c r="AI172" s="85"/>
      <c r="AJ172" s="85"/>
      <c r="AK172" s="85"/>
      <c r="AL172" s="85"/>
    </row>
    <row r="173" spans="1:38" s="80" customFormat="1" x14ac:dyDescent="0.25">
      <c r="A173" s="116"/>
      <c r="B173" s="115"/>
      <c r="C173" s="115"/>
      <c r="D173" s="115"/>
      <c r="E173" s="115"/>
      <c r="F173" s="115"/>
      <c r="H173" s="95">
        <v>168</v>
      </c>
      <c r="I173" s="96" t="str">
        <f t="shared" si="12"/>
        <v/>
      </c>
      <c r="J173" s="95" t="e">
        <f t="shared" si="13"/>
        <v>#NUM!</v>
      </c>
      <c r="K173" s="95" t="e">
        <f t="shared" si="14"/>
        <v>#NUM!</v>
      </c>
      <c r="L173" s="95"/>
      <c r="M173" s="97">
        <f t="shared" si="15"/>
        <v>0</v>
      </c>
      <c r="S173" s="85"/>
      <c r="T173" s="85"/>
      <c r="U173" s="85"/>
      <c r="V173" s="85"/>
      <c r="W173" s="85"/>
      <c r="X173" s="85"/>
      <c r="Y173" s="85"/>
      <c r="Z173" s="85"/>
      <c r="AA173" s="85"/>
      <c r="AB173" s="85"/>
      <c r="AC173" s="85"/>
      <c r="AD173" s="85"/>
      <c r="AE173" s="85"/>
      <c r="AF173" s="85"/>
      <c r="AG173" s="85"/>
      <c r="AH173" s="85"/>
      <c r="AI173" s="85"/>
      <c r="AJ173" s="85"/>
      <c r="AK173" s="85"/>
      <c r="AL173" s="85"/>
    </row>
    <row r="174" spans="1:38" s="80" customFormat="1" x14ac:dyDescent="0.25">
      <c r="A174" s="116"/>
      <c r="B174" s="115"/>
      <c r="C174" s="115"/>
      <c r="D174" s="115"/>
      <c r="E174" s="115"/>
      <c r="F174" s="115"/>
      <c r="H174" s="95">
        <v>169</v>
      </c>
      <c r="I174" s="96" t="str">
        <f t="shared" si="12"/>
        <v/>
      </c>
      <c r="J174" s="95" t="e">
        <f t="shared" si="13"/>
        <v>#NUM!</v>
      </c>
      <c r="K174" s="95" t="e">
        <f t="shared" si="14"/>
        <v>#NUM!</v>
      </c>
      <c r="L174" s="95"/>
      <c r="M174" s="97">
        <f t="shared" si="15"/>
        <v>0</v>
      </c>
      <c r="S174" s="85"/>
      <c r="T174" s="85"/>
      <c r="U174" s="85"/>
      <c r="V174" s="85"/>
      <c r="W174" s="85"/>
      <c r="X174" s="85"/>
      <c r="Y174" s="85"/>
      <c r="Z174" s="85"/>
      <c r="AA174" s="85"/>
      <c r="AB174" s="85"/>
      <c r="AC174" s="85"/>
      <c r="AD174" s="85"/>
      <c r="AE174" s="85"/>
      <c r="AF174" s="85"/>
      <c r="AG174" s="85"/>
      <c r="AH174" s="85"/>
      <c r="AI174" s="85"/>
      <c r="AJ174" s="85"/>
      <c r="AK174" s="85"/>
      <c r="AL174" s="85"/>
    </row>
    <row r="175" spans="1:38" s="80" customFormat="1" x14ac:dyDescent="0.25">
      <c r="A175" s="116"/>
      <c r="B175" s="115"/>
      <c r="C175" s="115"/>
      <c r="D175" s="115"/>
      <c r="E175" s="115"/>
      <c r="F175" s="115"/>
      <c r="H175" s="95">
        <v>170</v>
      </c>
      <c r="I175" s="96" t="str">
        <f t="shared" si="12"/>
        <v/>
      </c>
      <c r="J175" s="95" t="e">
        <f t="shared" si="13"/>
        <v>#NUM!</v>
      </c>
      <c r="K175" s="95" t="e">
        <f t="shared" si="14"/>
        <v>#NUM!</v>
      </c>
      <c r="L175" s="95"/>
      <c r="M175" s="97">
        <f t="shared" si="15"/>
        <v>0</v>
      </c>
      <c r="S175" s="85"/>
      <c r="T175" s="85"/>
      <c r="U175" s="85"/>
      <c r="V175" s="85"/>
      <c r="W175" s="85"/>
      <c r="X175" s="85"/>
      <c r="Y175" s="85"/>
      <c r="Z175" s="85"/>
      <c r="AA175" s="85"/>
      <c r="AB175" s="85"/>
      <c r="AC175" s="85"/>
      <c r="AD175" s="85"/>
      <c r="AE175" s="85"/>
      <c r="AF175" s="85"/>
      <c r="AG175" s="85"/>
      <c r="AH175" s="85"/>
      <c r="AI175" s="85"/>
      <c r="AJ175" s="85"/>
      <c r="AK175" s="85"/>
      <c r="AL175" s="85"/>
    </row>
    <row r="176" spans="1:38" s="80" customFormat="1" x14ac:dyDescent="0.25">
      <c r="A176" s="116"/>
      <c r="B176" s="115"/>
      <c r="C176" s="115"/>
      <c r="D176" s="115"/>
      <c r="E176" s="115"/>
      <c r="F176" s="115"/>
      <c r="H176" s="95">
        <v>171</v>
      </c>
      <c r="I176" s="96" t="str">
        <f t="shared" si="12"/>
        <v/>
      </c>
      <c r="J176" s="95" t="e">
        <f t="shared" si="13"/>
        <v>#NUM!</v>
      </c>
      <c r="K176" s="95" t="e">
        <f t="shared" si="14"/>
        <v>#NUM!</v>
      </c>
      <c r="L176" s="95"/>
      <c r="M176" s="97">
        <f t="shared" si="15"/>
        <v>0</v>
      </c>
      <c r="S176" s="85"/>
      <c r="T176" s="85"/>
      <c r="U176" s="85"/>
      <c r="V176" s="85"/>
      <c r="W176" s="85"/>
      <c r="X176" s="85"/>
      <c r="Y176" s="85"/>
      <c r="Z176" s="85"/>
      <c r="AA176" s="85"/>
      <c r="AB176" s="85"/>
      <c r="AC176" s="85"/>
      <c r="AD176" s="85"/>
      <c r="AE176" s="85"/>
      <c r="AF176" s="85"/>
      <c r="AG176" s="85"/>
      <c r="AH176" s="85"/>
      <c r="AI176" s="85"/>
      <c r="AJ176" s="85"/>
      <c r="AK176" s="85"/>
      <c r="AL176" s="85"/>
    </row>
    <row r="177" spans="1:38" s="80" customFormat="1" x14ac:dyDescent="0.25">
      <c r="A177" s="116"/>
      <c r="B177" s="115"/>
      <c r="C177" s="115"/>
      <c r="D177" s="115"/>
      <c r="E177" s="115"/>
      <c r="F177" s="115"/>
      <c r="H177" s="95">
        <v>172</v>
      </c>
      <c r="I177" s="96" t="str">
        <f t="shared" si="12"/>
        <v/>
      </c>
      <c r="J177" s="95" t="e">
        <f t="shared" si="13"/>
        <v>#NUM!</v>
      </c>
      <c r="K177" s="95" t="e">
        <f t="shared" si="14"/>
        <v>#NUM!</v>
      </c>
      <c r="L177" s="95"/>
      <c r="M177" s="97">
        <f t="shared" si="15"/>
        <v>0</v>
      </c>
      <c r="S177" s="85"/>
      <c r="T177" s="85"/>
      <c r="U177" s="85"/>
      <c r="V177" s="85"/>
      <c r="W177" s="85"/>
      <c r="X177" s="85"/>
      <c r="Y177" s="85"/>
      <c r="Z177" s="85"/>
      <c r="AA177" s="85"/>
      <c r="AB177" s="85"/>
      <c r="AC177" s="85"/>
      <c r="AD177" s="85"/>
      <c r="AE177" s="85"/>
      <c r="AF177" s="85"/>
      <c r="AG177" s="85"/>
      <c r="AH177" s="85"/>
      <c r="AI177" s="85"/>
      <c r="AJ177" s="85"/>
      <c r="AK177" s="85"/>
      <c r="AL177" s="85"/>
    </row>
    <row r="178" spans="1:38" s="80" customFormat="1" x14ac:dyDescent="0.25">
      <c r="A178" s="116"/>
      <c r="B178" s="115"/>
      <c r="C178" s="115"/>
      <c r="D178" s="115"/>
      <c r="E178" s="115"/>
      <c r="F178" s="115"/>
      <c r="H178" s="95">
        <v>173</v>
      </c>
      <c r="I178" s="96" t="str">
        <f t="shared" si="12"/>
        <v/>
      </c>
      <c r="J178" s="95" t="e">
        <f t="shared" si="13"/>
        <v>#NUM!</v>
      </c>
      <c r="K178" s="95" t="e">
        <f t="shared" si="14"/>
        <v>#NUM!</v>
      </c>
      <c r="L178" s="95"/>
      <c r="M178" s="97">
        <f t="shared" si="15"/>
        <v>0</v>
      </c>
      <c r="S178" s="85"/>
      <c r="T178" s="85"/>
      <c r="U178" s="85"/>
      <c r="V178" s="85"/>
      <c r="W178" s="85"/>
      <c r="X178" s="85"/>
      <c r="Y178" s="85"/>
      <c r="Z178" s="85"/>
      <c r="AA178" s="85"/>
      <c r="AB178" s="85"/>
      <c r="AC178" s="85"/>
      <c r="AD178" s="85"/>
      <c r="AE178" s="85"/>
      <c r="AF178" s="85"/>
      <c r="AG178" s="85"/>
      <c r="AH178" s="85"/>
      <c r="AI178" s="85"/>
      <c r="AJ178" s="85"/>
      <c r="AK178" s="85"/>
      <c r="AL178" s="85"/>
    </row>
    <row r="179" spans="1:38" s="80" customFormat="1" x14ac:dyDescent="0.25">
      <c r="A179" s="116"/>
      <c r="B179" s="115"/>
      <c r="C179" s="115"/>
      <c r="D179" s="115"/>
      <c r="E179" s="115"/>
      <c r="F179" s="115"/>
      <c r="H179" s="95">
        <v>174</v>
      </c>
      <c r="I179" s="96" t="str">
        <f t="shared" si="12"/>
        <v/>
      </c>
      <c r="J179" s="95" t="e">
        <f t="shared" si="13"/>
        <v>#NUM!</v>
      </c>
      <c r="K179" s="95" t="e">
        <f t="shared" si="14"/>
        <v>#NUM!</v>
      </c>
      <c r="L179" s="95"/>
      <c r="M179" s="97">
        <f t="shared" si="15"/>
        <v>0</v>
      </c>
      <c r="S179" s="85"/>
      <c r="T179" s="85"/>
      <c r="U179" s="85"/>
      <c r="V179" s="85"/>
      <c r="W179" s="85"/>
      <c r="X179" s="85"/>
      <c r="Y179" s="85"/>
      <c r="Z179" s="85"/>
      <c r="AA179" s="85"/>
      <c r="AB179" s="85"/>
      <c r="AC179" s="85"/>
      <c r="AD179" s="85"/>
      <c r="AE179" s="85"/>
      <c r="AF179" s="85"/>
      <c r="AG179" s="85"/>
      <c r="AH179" s="85"/>
      <c r="AI179" s="85"/>
      <c r="AJ179" s="85"/>
      <c r="AK179" s="85"/>
      <c r="AL179" s="85"/>
    </row>
    <row r="180" spans="1:38" s="80" customFormat="1" x14ac:dyDescent="0.25">
      <c r="A180" s="116"/>
      <c r="B180" s="115"/>
      <c r="C180" s="115"/>
      <c r="D180" s="115"/>
      <c r="E180" s="115"/>
      <c r="F180" s="115"/>
      <c r="H180" s="95">
        <v>175</v>
      </c>
      <c r="I180" s="96" t="str">
        <f t="shared" si="12"/>
        <v/>
      </c>
      <c r="J180" s="95" t="e">
        <f t="shared" si="13"/>
        <v>#NUM!</v>
      </c>
      <c r="K180" s="95" t="e">
        <f t="shared" si="14"/>
        <v>#NUM!</v>
      </c>
      <c r="L180" s="95"/>
      <c r="M180" s="97">
        <f t="shared" si="15"/>
        <v>0</v>
      </c>
      <c r="S180" s="85"/>
      <c r="T180" s="85"/>
      <c r="U180" s="85"/>
      <c r="V180" s="85"/>
      <c r="W180" s="85"/>
      <c r="X180" s="85"/>
      <c r="Y180" s="85"/>
      <c r="Z180" s="85"/>
      <c r="AA180" s="85"/>
      <c r="AB180" s="85"/>
      <c r="AC180" s="85"/>
      <c r="AD180" s="85"/>
      <c r="AE180" s="85"/>
      <c r="AF180" s="85"/>
      <c r="AG180" s="85"/>
      <c r="AH180" s="85"/>
      <c r="AI180" s="85"/>
      <c r="AJ180" s="85"/>
      <c r="AK180" s="85"/>
      <c r="AL180" s="85"/>
    </row>
    <row r="181" spans="1:38" s="80" customFormat="1" x14ac:dyDescent="0.25">
      <c r="A181" s="116"/>
      <c r="B181" s="115"/>
      <c r="C181" s="115"/>
      <c r="D181" s="115"/>
      <c r="E181" s="115"/>
      <c r="F181" s="115"/>
      <c r="H181" s="95">
        <v>176</v>
      </c>
      <c r="I181" s="96" t="str">
        <f t="shared" si="12"/>
        <v/>
      </c>
      <c r="J181" s="95" t="e">
        <f t="shared" si="13"/>
        <v>#NUM!</v>
      </c>
      <c r="K181" s="95" t="e">
        <f t="shared" si="14"/>
        <v>#NUM!</v>
      </c>
      <c r="L181" s="95"/>
      <c r="M181" s="97">
        <f t="shared" si="15"/>
        <v>0</v>
      </c>
      <c r="S181" s="85"/>
      <c r="T181" s="85"/>
      <c r="U181" s="85"/>
      <c r="V181" s="85"/>
      <c r="W181" s="85"/>
      <c r="X181" s="85"/>
      <c r="Y181" s="85"/>
      <c r="Z181" s="85"/>
      <c r="AA181" s="85"/>
      <c r="AB181" s="85"/>
      <c r="AC181" s="85"/>
      <c r="AD181" s="85"/>
      <c r="AE181" s="85"/>
      <c r="AF181" s="85"/>
      <c r="AG181" s="85"/>
      <c r="AH181" s="85"/>
      <c r="AI181" s="85"/>
      <c r="AJ181" s="85"/>
      <c r="AK181" s="85"/>
      <c r="AL181" s="85"/>
    </row>
    <row r="182" spans="1:38" s="80" customFormat="1" x14ac:dyDescent="0.25">
      <c r="A182" s="116"/>
      <c r="B182" s="115"/>
      <c r="C182" s="115"/>
      <c r="D182" s="115"/>
      <c r="E182" s="115"/>
      <c r="F182" s="115"/>
      <c r="H182" s="95">
        <v>177</v>
      </c>
      <c r="I182" s="96" t="str">
        <f t="shared" si="12"/>
        <v/>
      </c>
      <c r="J182" s="95" t="e">
        <f t="shared" si="13"/>
        <v>#NUM!</v>
      </c>
      <c r="K182" s="95" t="e">
        <f t="shared" si="14"/>
        <v>#NUM!</v>
      </c>
      <c r="L182" s="95"/>
      <c r="M182" s="97">
        <f t="shared" si="15"/>
        <v>0</v>
      </c>
      <c r="S182" s="85"/>
      <c r="T182" s="85"/>
      <c r="U182" s="85"/>
      <c r="V182" s="85"/>
      <c r="W182" s="85"/>
      <c r="X182" s="85"/>
      <c r="Y182" s="85"/>
      <c r="Z182" s="85"/>
      <c r="AA182" s="85"/>
      <c r="AB182" s="85"/>
      <c r="AC182" s="85"/>
      <c r="AD182" s="85"/>
      <c r="AE182" s="85"/>
      <c r="AF182" s="85"/>
      <c r="AG182" s="85"/>
      <c r="AH182" s="85"/>
      <c r="AI182" s="85"/>
      <c r="AJ182" s="85"/>
      <c r="AK182" s="85"/>
      <c r="AL182" s="85"/>
    </row>
    <row r="183" spans="1:38" s="80" customFormat="1" x14ac:dyDescent="0.25">
      <c r="A183" s="116"/>
      <c r="B183" s="115"/>
      <c r="C183" s="115"/>
      <c r="D183" s="115"/>
      <c r="E183" s="115"/>
      <c r="F183" s="115"/>
      <c r="H183" s="95">
        <v>178</v>
      </c>
      <c r="I183" s="96" t="str">
        <f t="shared" si="12"/>
        <v/>
      </c>
      <c r="J183" s="95" t="e">
        <f t="shared" si="13"/>
        <v>#NUM!</v>
      </c>
      <c r="K183" s="95" t="e">
        <f t="shared" si="14"/>
        <v>#NUM!</v>
      </c>
      <c r="L183" s="95"/>
      <c r="M183" s="97">
        <f t="shared" si="15"/>
        <v>0</v>
      </c>
      <c r="S183" s="85"/>
      <c r="T183" s="85"/>
      <c r="U183" s="85"/>
      <c r="V183" s="85"/>
      <c r="W183" s="85"/>
      <c r="X183" s="85"/>
      <c r="Y183" s="85"/>
      <c r="Z183" s="85"/>
      <c r="AA183" s="85"/>
      <c r="AB183" s="85"/>
      <c r="AC183" s="85"/>
      <c r="AD183" s="85"/>
      <c r="AE183" s="85"/>
      <c r="AF183" s="85"/>
      <c r="AG183" s="85"/>
      <c r="AH183" s="85"/>
      <c r="AI183" s="85"/>
      <c r="AJ183" s="85"/>
      <c r="AK183" s="85"/>
      <c r="AL183" s="85"/>
    </row>
    <row r="184" spans="1:38" s="80" customFormat="1" x14ac:dyDescent="0.25">
      <c r="A184" s="116"/>
      <c r="B184" s="115"/>
      <c r="C184" s="115"/>
      <c r="D184" s="115"/>
      <c r="E184" s="115"/>
      <c r="F184" s="115"/>
      <c r="H184" s="95">
        <v>179</v>
      </c>
      <c r="I184" s="96" t="str">
        <f t="shared" si="12"/>
        <v/>
      </c>
      <c r="J184" s="95" t="e">
        <f t="shared" si="13"/>
        <v>#NUM!</v>
      </c>
      <c r="K184" s="95" t="e">
        <f t="shared" si="14"/>
        <v>#NUM!</v>
      </c>
      <c r="L184" s="95"/>
      <c r="M184" s="97">
        <f t="shared" si="15"/>
        <v>0</v>
      </c>
      <c r="S184" s="85"/>
      <c r="T184" s="85"/>
      <c r="U184" s="85"/>
      <c r="V184" s="85"/>
      <c r="W184" s="85"/>
      <c r="X184" s="85"/>
      <c r="Y184" s="85"/>
      <c r="Z184" s="85"/>
      <c r="AA184" s="85"/>
      <c r="AB184" s="85"/>
      <c r="AC184" s="85"/>
      <c r="AD184" s="85"/>
      <c r="AE184" s="85"/>
      <c r="AF184" s="85"/>
      <c r="AG184" s="85"/>
      <c r="AH184" s="85"/>
      <c r="AI184" s="85"/>
      <c r="AJ184" s="85"/>
      <c r="AK184" s="85"/>
      <c r="AL184" s="85"/>
    </row>
    <row r="185" spans="1:38" s="80" customFormat="1" x14ac:dyDescent="0.25">
      <c r="A185" s="116"/>
      <c r="B185" s="115"/>
      <c r="C185" s="115"/>
      <c r="D185" s="115"/>
      <c r="E185" s="115"/>
      <c r="F185" s="115"/>
      <c r="H185" s="95">
        <v>180</v>
      </c>
      <c r="I185" s="96" t="str">
        <f t="shared" si="12"/>
        <v/>
      </c>
      <c r="J185" s="95" t="e">
        <f t="shared" si="13"/>
        <v>#NUM!</v>
      </c>
      <c r="K185" s="95" t="e">
        <f t="shared" si="14"/>
        <v>#NUM!</v>
      </c>
      <c r="L185" s="95"/>
      <c r="M185" s="97">
        <f t="shared" si="15"/>
        <v>0</v>
      </c>
      <c r="S185" s="85"/>
      <c r="T185" s="85"/>
      <c r="U185" s="85"/>
      <c r="V185" s="85"/>
      <c r="W185" s="85"/>
      <c r="X185" s="85"/>
      <c r="Y185" s="85"/>
      <c r="Z185" s="85"/>
      <c r="AA185" s="85"/>
      <c r="AB185" s="85"/>
      <c r="AC185" s="85"/>
      <c r="AD185" s="85"/>
      <c r="AE185" s="85"/>
      <c r="AF185" s="85"/>
      <c r="AG185" s="85"/>
      <c r="AH185" s="85"/>
      <c r="AI185" s="85"/>
      <c r="AJ185" s="85"/>
      <c r="AK185" s="85"/>
      <c r="AL185" s="85"/>
    </row>
    <row r="186" spans="1:38" s="80" customFormat="1" x14ac:dyDescent="0.25">
      <c r="A186" s="116"/>
      <c r="B186" s="115"/>
      <c r="C186" s="115"/>
      <c r="D186" s="115"/>
      <c r="E186" s="115"/>
      <c r="F186" s="115"/>
      <c r="H186" s="95">
        <v>181</v>
      </c>
      <c r="I186" s="96" t="str">
        <f t="shared" si="12"/>
        <v/>
      </c>
      <c r="J186" s="95" t="e">
        <f t="shared" si="13"/>
        <v>#NUM!</v>
      </c>
      <c r="K186" s="95" t="e">
        <f t="shared" si="14"/>
        <v>#NUM!</v>
      </c>
      <c r="L186" s="95"/>
      <c r="M186" s="97">
        <f t="shared" si="15"/>
        <v>0</v>
      </c>
      <c r="S186" s="85"/>
      <c r="T186" s="85"/>
      <c r="U186" s="85"/>
      <c r="V186" s="85"/>
      <c r="W186" s="85"/>
      <c r="X186" s="85"/>
      <c r="Y186" s="85"/>
      <c r="Z186" s="85"/>
      <c r="AA186" s="85"/>
      <c r="AB186" s="85"/>
      <c r="AC186" s="85"/>
      <c r="AD186" s="85"/>
      <c r="AE186" s="85"/>
      <c r="AF186" s="85"/>
      <c r="AG186" s="85"/>
      <c r="AH186" s="85"/>
      <c r="AI186" s="85"/>
      <c r="AJ186" s="85"/>
      <c r="AK186" s="85"/>
      <c r="AL186" s="85"/>
    </row>
    <row r="187" spans="1:38" s="80" customFormat="1" x14ac:dyDescent="0.25">
      <c r="A187" s="116"/>
      <c r="B187" s="115"/>
      <c r="C187" s="115"/>
      <c r="D187" s="115"/>
      <c r="E187" s="115"/>
      <c r="F187" s="115"/>
      <c r="H187" s="95">
        <v>182</v>
      </c>
      <c r="I187" s="96" t="str">
        <f t="shared" si="12"/>
        <v/>
      </c>
      <c r="J187" s="95" t="e">
        <f t="shared" si="13"/>
        <v>#NUM!</v>
      </c>
      <c r="K187" s="95" t="e">
        <f t="shared" si="14"/>
        <v>#NUM!</v>
      </c>
      <c r="L187" s="95"/>
      <c r="M187" s="97">
        <f t="shared" si="15"/>
        <v>0</v>
      </c>
      <c r="S187" s="85"/>
      <c r="T187" s="85"/>
      <c r="U187" s="85"/>
      <c r="V187" s="85"/>
      <c r="W187" s="85"/>
      <c r="X187" s="85"/>
      <c r="Y187" s="85"/>
      <c r="Z187" s="85"/>
      <c r="AA187" s="85"/>
      <c r="AB187" s="85"/>
      <c r="AC187" s="85"/>
      <c r="AD187" s="85"/>
      <c r="AE187" s="85"/>
      <c r="AF187" s="85"/>
      <c r="AG187" s="85"/>
      <c r="AH187" s="85"/>
      <c r="AI187" s="85"/>
      <c r="AJ187" s="85"/>
      <c r="AK187" s="85"/>
      <c r="AL187" s="85"/>
    </row>
    <row r="188" spans="1:38" s="80" customFormat="1" x14ac:dyDescent="0.25">
      <c r="A188" s="116"/>
      <c r="B188" s="115"/>
      <c r="C188" s="115"/>
      <c r="D188" s="115"/>
      <c r="E188" s="115"/>
      <c r="F188" s="115"/>
      <c r="H188" s="95">
        <v>183</v>
      </c>
      <c r="I188" s="96" t="str">
        <f t="shared" si="12"/>
        <v/>
      </c>
      <c r="J188" s="95" t="e">
        <f t="shared" si="13"/>
        <v>#NUM!</v>
      </c>
      <c r="K188" s="95" t="e">
        <f t="shared" si="14"/>
        <v>#NUM!</v>
      </c>
      <c r="L188" s="95"/>
      <c r="M188" s="97">
        <f t="shared" si="15"/>
        <v>0</v>
      </c>
      <c r="S188" s="85"/>
      <c r="T188" s="85"/>
      <c r="U188" s="85"/>
      <c r="V188" s="85"/>
      <c r="W188" s="85"/>
      <c r="X188" s="85"/>
      <c r="Y188" s="85"/>
      <c r="Z188" s="85"/>
      <c r="AA188" s="85"/>
      <c r="AB188" s="85"/>
      <c r="AC188" s="85"/>
      <c r="AD188" s="85"/>
      <c r="AE188" s="85"/>
      <c r="AF188" s="85"/>
      <c r="AG188" s="85"/>
      <c r="AH188" s="85"/>
      <c r="AI188" s="85"/>
      <c r="AJ188" s="85"/>
      <c r="AK188" s="85"/>
      <c r="AL188" s="85"/>
    </row>
    <row r="189" spans="1:38" s="80" customFormat="1" x14ac:dyDescent="0.25">
      <c r="A189" s="116"/>
      <c r="B189" s="115"/>
      <c r="C189" s="115"/>
      <c r="D189" s="115"/>
      <c r="E189" s="115"/>
      <c r="F189" s="115"/>
      <c r="H189" s="95">
        <v>184</v>
      </c>
      <c r="I189" s="96" t="str">
        <f t="shared" si="12"/>
        <v/>
      </c>
      <c r="J189" s="95" t="e">
        <f t="shared" si="13"/>
        <v>#NUM!</v>
      </c>
      <c r="K189" s="95" t="e">
        <f t="shared" si="14"/>
        <v>#NUM!</v>
      </c>
      <c r="L189" s="95"/>
      <c r="M189" s="97">
        <f t="shared" si="15"/>
        <v>0</v>
      </c>
      <c r="S189" s="85"/>
      <c r="T189" s="85"/>
      <c r="U189" s="85"/>
      <c r="V189" s="85"/>
      <c r="W189" s="85"/>
      <c r="X189" s="85"/>
      <c r="Y189" s="85"/>
      <c r="Z189" s="85"/>
      <c r="AA189" s="85"/>
      <c r="AB189" s="85"/>
      <c r="AC189" s="85"/>
      <c r="AD189" s="85"/>
      <c r="AE189" s="85"/>
      <c r="AF189" s="85"/>
      <c r="AG189" s="85"/>
      <c r="AH189" s="85"/>
      <c r="AI189" s="85"/>
      <c r="AJ189" s="85"/>
      <c r="AK189" s="85"/>
      <c r="AL189" s="85"/>
    </row>
    <row r="190" spans="1:38" s="80" customFormat="1" x14ac:dyDescent="0.25">
      <c r="A190" s="116"/>
      <c r="B190" s="115"/>
      <c r="C190" s="115"/>
      <c r="D190" s="115"/>
      <c r="E190" s="115"/>
      <c r="F190" s="115"/>
      <c r="H190" s="95">
        <v>185</v>
      </c>
      <c r="I190" s="96" t="str">
        <f t="shared" si="12"/>
        <v/>
      </c>
      <c r="J190" s="95" t="e">
        <f t="shared" si="13"/>
        <v>#NUM!</v>
      </c>
      <c r="K190" s="95" t="e">
        <f t="shared" si="14"/>
        <v>#NUM!</v>
      </c>
      <c r="L190" s="95"/>
      <c r="M190" s="97">
        <f t="shared" si="15"/>
        <v>0</v>
      </c>
      <c r="S190" s="85"/>
      <c r="T190" s="85"/>
      <c r="U190" s="85"/>
      <c r="V190" s="85"/>
      <c r="W190" s="85"/>
      <c r="X190" s="85"/>
      <c r="Y190" s="85"/>
      <c r="Z190" s="85"/>
      <c r="AA190" s="85"/>
      <c r="AB190" s="85"/>
      <c r="AC190" s="85"/>
      <c r="AD190" s="85"/>
      <c r="AE190" s="85"/>
      <c r="AF190" s="85"/>
      <c r="AG190" s="85"/>
      <c r="AH190" s="85"/>
      <c r="AI190" s="85"/>
      <c r="AJ190" s="85"/>
      <c r="AK190" s="85"/>
      <c r="AL190" s="85"/>
    </row>
    <row r="191" spans="1:38" s="80" customFormat="1" x14ac:dyDescent="0.25">
      <c r="A191" s="116"/>
      <c r="B191" s="115"/>
      <c r="C191" s="115"/>
      <c r="D191" s="115"/>
      <c r="E191" s="115"/>
      <c r="F191" s="115"/>
      <c r="H191" s="95">
        <v>186</v>
      </c>
      <c r="I191" s="96" t="str">
        <f t="shared" si="12"/>
        <v/>
      </c>
      <c r="J191" s="95" t="e">
        <f t="shared" si="13"/>
        <v>#NUM!</v>
      </c>
      <c r="K191" s="95" t="e">
        <f t="shared" si="14"/>
        <v>#NUM!</v>
      </c>
      <c r="L191" s="95"/>
      <c r="M191" s="97">
        <f t="shared" si="15"/>
        <v>0</v>
      </c>
      <c r="S191" s="85"/>
      <c r="T191" s="85"/>
      <c r="U191" s="85"/>
      <c r="V191" s="85"/>
      <c r="W191" s="85"/>
      <c r="X191" s="85"/>
      <c r="Y191" s="85"/>
      <c r="Z191" s="85"/>
      <c r="AA191" s="85"/>
      <c r="AB191" s="85"/>
      <c r="AC191" s="85"/>
      <c r="AD191" s="85"/>
      <c r="AE191" s="85"/>
      <c r="AF191" s="85"/>
      <c r="AG191" s="85"/>
      <c r="AH191" s="85"/>
      <c r="AI191" s="85"/>
      <c r="AJ191" s="85"/>
      <c r="AK191" s="85"/>
      <c r="AL191" s="85"/>
    </row>
    <row r="192" spans="1:38" s="80" customFormat="1" x14ac:dyDescent="0.25">
      <c r="A192" s="116"/>
      <c r="B192" s="115"/>
      <c r="C192" s="115"/>
      <c r="D192" s="115"/>
      <c r="E192" s="115"/>
      <c r="F192" s="115"/>
      <c r="H192" s="95">
        <v>187</v>
      </c>
      <c r="I192" s="96" t="str">
        <f t="shared" si="12"/>
        <v/>
      </c>
      <c r="J192" s="95" t="e">
        <f t="shared" si="13"/>
        <v>#NUM!</v>
      </c>
      <c r="K192" s="95" t="e">
        <f t="shared" si="14"/>
        <v>#NUM!</v>
      </c>
      <c r="L192" s="95"/>
      <c r="M192" s="97">
        <f t="shared" si="15"/>
        <v>0</v>
      </c>
      <c r="S192" s="85"/>
      <c r="T192" s="85"/>
      <c r="U192" s="85"/>
      <c r="V192" s="85"/>
      <c r="W192" s="85"/>
      <c r="X192" s="85"/>
      <c r="Y192" s="85"/>
      <c r="Z192" s="85"/>
      <c r="AA192" s="85"/>
      <c r="AB192" s="85"/>
      <c r="AC192" s="85"/>
      <c r="AD192" s="85"/>
      <c r="AE192" s="85"/>
      <c r="AF192" s="85"/>
      <c r="AG192" s="85"/>
      <c r="AH192" s="85"/>
      <c r="AI192" s="85"/>
      <c r="AJ192" s="85"/>
      <c r="AK192" s="85"/>
      <c r="AL192" s="85"/>
    </row>
    <row r="193" spans="1:38" s="80" customFormat="1" x14ac:dyDescent="0.25">
      <c r="A193" s="116"/>
      <c r="B193" s="115"/>
      <c r="C193" s="115"/>
      <c r="D193" s="115"/>
      <c r="E193" s="115"/>
      <c r="F193" s="115"/>
      <c r="H193" s="95">
        <v>188</v>
      </c>
      <c r="I193" s="96" t="str">
        <f t="shared" si="12"/>
        <v/>
      </c>
      <c r="J193" s="95" t="e">
        <f t="shared" si="13"/>
        <v>#NUM!</v>
      </c>
      <c r="K193" s="95" t="e">
        <f t="shared" si="14"/>
        <v>#NUM!</v>
      </c>
      <c r="L193" s="95"/>
      <c r="M193" s="97">
        <f t="shared" si="15"/>
        <v>0</v>
      </c>
      <c r="S193" s="85"/>
      <c r="T193" s="85"/>
      <c r="U193" s="85"/>
      <c r="V193" s="85"/>
      <c r="W193" s="85"/>
      <c r="X193" s="85"/>
      <c r="Y193" s="85"/>
      <c r="Z193" s="85"/>
      <c r="AA193" s="85"/>
      <c r="AB193" s="85"/>
      <c r="AC193" s="85"/>
      <c r="AD193" s="85"/>
      <c r="AE193" s="85"/>
      <c r="AF193" s="85"/>
      <c r="AG193" s="85"/>
      <c r="AH193" s="85"/>
      <c r="AI193" s="85"/>
      <c r="AJ193" s="85"/>
      <c r="AK193" s="85"/>
      <c r="AL193" s="85"/>
    </row>
    <row r="194" spans="1:38" s="80" customFormat="1" x14ac:dyDescent="0.25">
      <c r="A194" s="116"/>
      <c r="B194" s="115"/>
      <c r="C194" s="115"/>
      <c r="D194" s="115"/>
      <c r="E194" s="115"/>
      <c r="F194" s="115"/>
      <c r="H194" s="95">
        <v>189</v>
      </c>
      <c r="I194" s="96" t="str">
        <f t="shared" si="12"/>
        <v/>
      </c>
      <c r="J194" s="95" t="e">
        <f t="shared" si="13"/>
        <v>#NUM!</v>
      </c>
      <c r="K194" s="95" t="e">
        <f t="shared" si="14"/>
        <v>#NUM!</v>
      </c>
      <c r="L194" s="95"/>
      <c r="M194" s="97">
        <f t="shared" si="15"/>
        <v>0</v>
      </c>
      <c r="S194" s="85"/>
      <c r="T194" s="85"/>
      <c r="U194" s="85"/>
      <c r="V194" s="85"/>
      <c r="W194" s="85"/>
      <c r="X194" s="85"/>
      <c r="Y194" s="85"/>
      <c r="Z194" s="85"/>
      <c r="AA194" s="85"/>
      <c r="AB194" s="85"/>
      <c r="AC194" s="85"/>
      <c r="AD194" s="85"/>
      <c r="AE194" s="85"/>
      <c r="AF194" s="85"/>
      <c r="AG194" s="85"/>
      <c r="AH194" s="85"/>
      <c r="AI194" s="85"/>
      <c r="AJ194" s="85"/>
      <c r="AK194" s="85"/>
      <c r="AL194" s="85"/>
    </row>
    <row r="195" spans="1:38" s="80" customFormat="1" x14ac:dyDescent="0.25">
      <c r="A195" s="116"/>
      <c r="B195" s="115"/>
      <c r="C195" s="115"/>
      <c r="D195" s="115"/>
      <c r="E195" s="115"/>
      <c r="F195" s="115"/>
      <c r="H195" s="95">
        <v>190</v>
      </c>
      <c r="I195" s="96" t="str">
        <f t="shared" si="12"/>
        <v/>
      </c>
      <c r="J195" s="95" t="e">
        <f t="shared" si="13"/>
        <v>#NUM!</v>
      </c>
      <c r="K195" s="95" t="e">
        <f t="shared" si="14"/>
        <v>#NUM!</v>
      </c>
      <c r="L195" s="95"/>
      <c r="M195" s="97">
        <f t="shared" si="15"/>
        <v>0</v>
      </c>
      <c r="S195" s="85"/>
      <c r="T195" s="85"/>
      <c r="U195" s="85"/>
      <c r="V195" s="85"/>
      <c r="W195" s="85"/>
      <c r="X195" s="85"/>
      <c r="Y195" s="85"/>
      <c r="Z195" s="85"/>
      <c r="AA195" s="85"/>
      <c r="AB195" s="85"/>
      <c r="AC195" s="85"/>
      <c r="AD195" s="85"/>
      <c r="AE195" s="85"/>
      <c r="AF195" s="85"/>
      <c r="AG195" s="85"/>
      <c r="AH195" s="85"/>
      <c r="AI195" s="85"/>
      <c r="AJ195" s="85"/>
      <c r="AK195" s="85"/>
      <c r="AL195" s="85"/>
    </row>
    <row r="196" spans="1:38" s="80" customFormat="1" x14ac:dyDescent="0.25">
      <c r="A196" s="116"/>
      <c r="B196" s="115"/>
      <c r="C196" s="115"/>
      <c r="D196" s="115"/>
      <c r="E196" s="115"/>
      <c r="F196" s="115"/>
      <c r="H196" s="95">
        <v>191</v>
      </c>
      <c r="I196" s="96" t="str">
        <f t="shared" si="12"/>
        <v/>
      </c>
      <c r="J196" s="95" t="e">
        <f t="shared" si="13"/>
        <v>#NUM!</v>
      </c>
      <c r="K196" s="95" t="e">
        <f t="shared" si="14"/>
        <v>#NUM!</v>
      </c>
      <c r="L196" s="95"/>
      <c r="M196" s="97">
        <f t="shared" si="15"/>
        <v>0</v>
      </c>
      <c r="S196" s="85"/>
      <c r="T196" s="85"/>
      <c r="U196" s="85"/>
      <c r="V196" s="85"/>
      <c r="W196" s="85"/>
      <c r="X196" s="85"/>
      <c r="Y196" s="85"/>
      <c r="Z196" s="85"/>
      <c r="AA196" s="85"/>
      <c r="AB196" s="85"/>
      <c r="AC196" s="85"/>
      <c r="AD196" s="85"/>
      <c r="AE196" s="85"/>
      <c r="AF196" s="85"/>
      <c r="AG196" s="85"/>
      <c r="AH196" s="85"/>
      <c r="AI196" s="85"/>
      <c r="AJ196" s="85"/>
      <c r="AK196" s="85"/>
      <c r="AL196" s="85"/>
    </row>
    <row r="197" spans="1:38" s="80" customFormat="1" x14ac:dyDescent="0.25">
      <c r="A197" s="116"/>
      <c r="B197" s="115"/>
      <c r="C197" s="115"/>
      <c r="D197" s="115"/>
      <c r="E197" s="115"/>
      <c r="F197" s="115"/>
      <c r="H197" s="95">
        <v>192</v>
      </c>
      <c r="I197" s="96" t="str">
        <f t="shared" si="12"/>
        <v/>
      </c>
      <c r="J197" s="95" t="e">
        <f t="shared" si="13"/>
        <v>#NUM!</v>
      </c>
      <c r="K197" s="95" t="e">
        <f t="shared" si="14"/>
        <v>#NUM!</v>
      </c>
      <c r="L197" s="95"/>
      <c r="M197" s="97">
        <f t="shared" si="15"/>
        <v>0</v>
      </c>
      <c r="S197" s="85"/>
      <c r="T197" s="85"/>
      <c r="U197" s="85"/>
      <c r="V197" s="85"/>
      <c r="W197" s="85"/>
      <c r="X197" s="85"/>
      <c r="Y197" s="85"/>
      <c r="Z197" s="85"/>
      <c r="AA197" s="85"/>
      <c r="AB197" s="85"/>
      <c r="AC197" s="85"/>
      <c r="AD197" s="85"/>
      <c r="AE197" s="85"/>
      <c r="AF197" s="85"/>
      <c r="AG197" s="85"/>
      <c r="AH197" s="85"/>
      <c r="AI197" s="85"/>
      <c r="AJ197" s="85"/>
      <c r="AK197" s="85"/>
      <c r="AL197" s="85"/>
    </row>
    <row r="198" spans="1:38" s="80" customFormat="1" x14ac:dyDescent="0.25">
      <c r="A198" s="116"/>
      <c r="B198" s="115"/>
      <c r="C198" s="115"/>
      <c r="D198" s="115"/>
      <c r="E198" s="115"/>
      <c r="F198" s="115"/>
      <c r="H198" s="95">
        <v>193</v>
      </c>
      <c r="I198" s="96" t="str">
        <f t="shared" ref="I198:I261" si="16">IF(H198&lt;$H$2+1,($I$2-($I$2-1)*(LOG(H198)/LOG($H$2))),"")</f>
        <v/>
      </c>
      <c r="J198" s="95" t="e">
        <f t="shared" ref="J198:J261" si="17">INT(LOG($H$2,2))-ROUNDUP(LOG(H198,2),0)+IF(OR($H$2=1,$H$2=2,$H$2=4,$H$2=8,$H$2=16,$H$2=32,$H$2=64,$H$2=128,$H$2=256),0,1)</f>
        <v>#NUM!</v>
      </c>
      <c r="K198" s="95" t="e">
        <f t="shared" ref="K198:K261" si="18">J198*$J$2</f>
        <v>#NUM!</v>
      </c>
      <c r="L198" s="95"/>
      <c r="M198" s="97">
        <f t="shared" ref="M198:M261" si="19">IF(I198&lt;&gt;"",K198+I198+L198,0)</f>
        <v>0</v>
      </c>
      <c r="S198" s="85"/>
      <c r="T198" s="85"/>
      <c r="U198" s="85"/>
      <c r="V198" s="85"/>
      <c r="W198" s="85"/>
      <c r="X198" s="85"/>
      <c r="Y198" s="85"/>
      <c r="Z198" s="85"/>
      <c r="AA198" s="85"/>
      <c r="AB198" s="85"/>
      <c r="AC198" s="85"/>
      <c r="AD198" s="85"/>
      <c r="AE198" s="85"/>
      <c r="AF198" s="85"/>
      <c r="AG198" s="85"/>
      <c r="AH198" s="85"/>
      <c r="AI198" s="85"/>
      <c r="AJ198" s="85"/>
      <c r="AK198" s="85"/>
      <c r="AL198" s="85"/>
    </row>
    <row r="199" spans="1:38" s="80" customFormat="1" x14ac:dyDescent="0.25">
      <c r="A199" s="116"/>
      <c r="B199" s="115"/>
      <c r="C199" s="115"/>
      <c r="D199" s="115"/>
      <c r="E199" s="115"/>
      <c r="F199" s="115"/>
      <c r="H199" s="95">
        <v>194</v>
      </c>
      <c r="I199" s="96" t="str">
        <f t="shared" si="16"/>
        <v/>
      </c>
      <c r="J199" s="95" t="e">
        <f t="shared" si="17"/>
        <v>#NUM!</v>
      </c>
      <c r="K199" s="95" t="e">
        <f t="shared" si="18"/>
        <v>#NUM!</v>
      </c>
      <c r="L199" s="95"/>
      <c r="M199" s="97">
        <f t="shared" si="19"/>
        <v>0</v>
      </c>
      <c r="S199" s="85"/>
      <c r="T199" s="85"/>
      <c r="U199" s="85"/>
      <c r="V199" s="85"/>
      <c r="W199" s="85"/>
      <c r="X199" s="85"/>
      <c r="Y199" s="85"/>
      <c r="Z199" s="85"/>
      <c r="AA199" s="85"/>
      <c r="AB199" s="85"/>
      <c r="AC199" s="85"/>
      <c r="AD199" s="85"/>
      <c r="AE199" s="85"/>
      <c r="AF199" s="85"/>
      <c r="AG199" s="85"/>
      <c r="AH199" s="85"/>
      <c r="AI199" s="85"/>
      <c r="AJ199" s="85"/>
      <c r="AK199" s="85"/>
      <c r="AL199" s="85"/>
    </row>
    <row r="200" spans="1:38" s="80" customFormat="1" x14ac:dyDescent="0.25">
      <c r="A200" s="116"/>
      <c r="B200" s="115"/>
      <c r="C200" s="115"/>
      <c r="D200" s="115"/>
      <c r="E200" s="115"/>
      <c r="F200" s="115"/>
      <c r="H200" s="95">
        <v>195</v>
      </c>
      <c r="I200" s="96" t="str">
        <f t="shared" si="16"/>
        <v/>
      </c>
      <c r="J200" s="95" t="e">
        <f t="shared" si="17"/>
        <v>#NUM!</v>
      </c>
      <c r="K200" s="95" t="e">
        <f t="shared" si="18"/>
        <v>#NUM!</v>
      </c>
      <c r="L200" s="95"/>
      <c r="M200" s="97">
        <f t="shared" si="19"/>
        <v>0</v>
      </c>
      <c r="S200" s="85"/>
      <c r="T200" s="85"/>
      <c r="U200" s="85"/>
      <c r="V200" s="85"/>
      <c r="W200" s="85"/>
      <c r="X200" s="85"/>
      <c r="Y200" s="85"/>
      <c r="Z200" s="85"/>
      <c r="AA200" s="85"/>
      <c r="AB200" s="85"/>
      <c r="AC200" s="85"/>
      <c r="AD200" s="85"/>
      <c r="AE200" s="85"/>
      <c r="AF200" s="85"/>
      <c r="AG200" s="85"/>
      <c r="AH200" s="85"/>
      <c r="AI200" s="85"/>
      <c r="AJ200" s="85"/>
      <c r="AK200" s="85"/>
      <c r="AL200" s="85"/>
    </row>
    <row r="201" spans="1:38" s="80" customFormat="1" x14ac:dyDescent="0.25">
      <c r="A201" s="116"/>
      <c r="B201" s="115"/>
      <c r="C201" s="115"/>
      <c r="D201" s="115"/>
      <c r="E201" s="115"/>
      <c r="F201" s="115"/>
      <c r="H201" s="95">
        <v>196</v>
      </c>
      <c r="I201" s="96" t="str">
        <f t="shared" si="16"/>
        <v/>
      </c>
      <c r="J201" s="95" t="e">
        <f t="shared" si="17"/>
        <v>#NUM!</v>
      </c>
      <c r="K201" s="95" t="e">
        <f t="shared" si="18"/>
        <v>#NUM!</v>
      </c>
      <c r="L201" s="95"/>
      <c r="M201" s="97">
        <f t="shared" si="19"/>
        <v>0</v>
      </c>
      <c r="S201" s="85"/>
      <c r="T201" s="85"/>
      <c r="U201" s="85"/>
      <c r="V201" s="85"/>
      <c r="W201" s="85"/>
      <c r="X201" s="85"/>
      <c r="Y201" s="85"/>
      <c r="Z201" s="85"/>
      <c r="AA201" s="85"/>
      <c r="AB201" s="85"/>
      <c r="AC201" s="85"/>
      <c r="AD201" s="85"/>
      <c r="AE201" s="85"/>
      <c r="AF201" s="85"/>
      <c r="AG201" s="85"/>
      <c r="AH201" s="85"/>
      <c r="AI201" s="85"/>
      <c r="AJ201" s="85"/>
      <c r="AK201" s="85"/>
      <c r="AL201" s="85"/>
    </row>
    <row r="202" spans="1:38" s="80" customFormat="1" x14ac:dyDescent="0.25">
      <c r="A202" s="116"/>
      <c r="B202" s="115"/>
      <c r="C202" s="115"/>
      <c r="D202" s="115"/>
      <c r="E202" s="115"/>
      <c r="F202" s="115"/>
      <c r="H202" s="95">
        <v>197</v>
      </c>
      <c r="I202" s="96" t="str">
        <f t="shared" si="16"/>
        <v/>
      </c>
      <c r="J202" s="95" t="e">
        <f t="shared" si="17"/>
        <v>#NUM!</v>
      </c>
      <c r="K202" s="95" t="e">
        <f t="shared" si="18"/>
        <v>#NUM!</v>
      </c>
      <c r="L202" s="95"/>
      <c r="M202" s="97">
        <f t="shared" si="19"/>
        <v>0</v>
      </c>
      <c r="S202" s="85"/>
      <c r="T202" s="85"/>
      <c r="U202" s="85"/>
      <c r="V202" s="85"/>
      <c r="W202" s="85"/>
      <c r="X202" s="85"/>
      <c r="Y202" s="85"/>
      <c r="Z202" s="85"/>
      <c r="AA202" s="85"/>
      <c r="AB202" s="85"/>
      <c r="AC202" s="85"/>
      <c r="AD202" s="85"/>
      <c r="AE202" s="85"/>
      <c r="AF202" s="85"/>
      <c r="AG202" s="85"/>
      <c r="AH202" s="85"/>
      <c r="AI202" s="85"/>
      <c r="AJ202" s="85"/>
      <c r="AK202" s="85"/>
      <c r="AL202" s="85"/>
    </row>
    <row r="203" spans="1:38" s="80" customFormat="1" x14ac:dyDescent="0.25">
      <c r="A203" s="116"/>
      <c r="B203" s="115"/>
      <c r="C203" s="115"/>
      <c r="D203" s="115"/>
      <c r="E203" s="115"/>
      <c r="F203" s="115"/>
      <c r="H203" s="95">
        <v>198</v>
      </c>
      <c r="I203" s="96" t="str">
        <f t="shared" si="16"/>
        <v/>
      </c>
      <c r="J203" s="95" t="e">
        <f t="shared" si="17"/>
        <v>#NUM!</v>
      </c>
      <c r="K203" s="95" t="e">
        <f t="shared" si="18"/>
        <v>#NUM!</v>
      </c>
      <c r="L203" s="95"/>
      <c r="M203" s="97">
        <f t="shared" si="19"/>
        <v>0</v>
      </c>
      <c r="S203" s="85"/>
      <c r="T203" s="85"/>
      <c r="U203" s="85"/>
      <c r="V203" s="85"/>
      <c r="W203" s="85"/>
      <c r="X203" s="85"/>
      <c r="Y203" s="85"/>
      <c r="Z203" s="85"/>
      <c r="AA203" s="85"/>
      <c r="AB203" s="85"/>
      <c r="AC203" s="85"/>
      <c r="AD203" s="85"/>
      <c r="AE203" s="85"/>
      <c r="AF203" s="85"/>
      <c r="AG203" s="85"/>
      <c r="AH203" s="85"/>
      <c r="AI203" s="85"/>
      <c r="AJ203" s="85"/>
      <c r="AK203" s="85"/>
      <c r="AL203" s="85"/>
    </row>
    <row r="204" spans="1:38" s="80" customFormat="1" x14ac:dyDescent="0.25">
      <c r="A204" s="116"/>
      <c r="B204" s="115"/>
      <c r="C204" s="115"/>
      <c r="D204" s="115"/>
      <c r="E204" s="115"/>
      <c r="F204" s="115"/>
      <c r="H204" s="95">
        <v>199</v>
      </c>
      <c r="I204" s="96" t="str">
        <f t="shared" si="16"/>
        <v/>
      </c>
      <c r="J204" s="95" t="e">
        <f t="shared" si="17"/>
        <v>#NUM!</v>
      </c>
      <c r="K204" s="95" t="e">
        <f t="shared" si="18"/>
        <v>#NUM!</v>
      </c>
      <c r="L204" s="95"/>
      <c r="M204" s="97">
        <f t="shared" si="19"/>
        <v>0</v>
      </c>
      <c r="S204" s="85"/>
      <c r="T204" s="85"/>
      <c r="U204" s="85"/>
      <c r="V204" s="85"/>
      <c r="W204" s="85"/>
      <c r="X204" s="85"/>
      <c r="Y204" s="85"/>
      <c r="Z204" s="85"/>
      <c r="AA204" s="85"/>
      <c r="AB204" s="85"/>
      <c r="AC204" s="85"/>
      <c r="AD204" s="85"/>
      <c r="AE204" s="85"/>
      <c r="AF204" s="85"/>
      <c r="AG204" s="85"/>
      <c r="AH204" s="85"/>
      <c r="AI204" s="85"/>
      <c r="AJ204" s="85"/>
      <c r="AK204" s="85"/>
      <c r="AL204" s="85"/>
    </row>
    <row r="205" spans="1:38" s="80" customFormat="1" x14ac:dyDescent="0.25">
      <c r="A205" s="116"/>
      <c r="B205" s="115"/>
      <c r="C205" s="115"/>
      <c r="D205" s="115"/>
      <c r="E205" s="115"/>
      <c r="F205" s="115"/>
      <c r="H205" s="95">
        <v>200</v>
      </c>
      <c r="I205" s="96" t="str">
        <f t="shared" si="16"/>
        <v/>
      </c>
      <c r="J205" s="95" t="e">
        <f t="shared" si="17"/>
        <v>#NUM!</v>
      </c>
      <c r="K205" s="95" t="e">
        <f t="shared" si="18"/>
        <v>#NUM!</v>
      </c>
      <c r="L205" s="95"/>
      <c r="M205" s="97">
        <f t="shared" si="19"/>
        <v>0</v>
      </c>
      <c r="S205" s="85"/>
      <c r="T205" s="85"/>
      <c r="U205" s="85"/>
      <c r="V205" s="85"/>
      <c r="W205" s="85"/>
      <c r="X205" s="85"/>
      <c r="Y205" s="85"/>
      <c r="Z205" s="85"/>
      <c r="AA205" s="85"/>
      <c r="AB205" s="85"/>
      <c r="AC205" s="85"/>
      <c r="AD205" s="85"/>
      <c r="AE205" s="85"/>
      <c r="AF205" s="85"/>
      <c r="AG205" s="85"/>
      <c r="AH205" s="85"/>
      <c r="AI205" s="85"/>
      <c r="AJ205" s="85"/>
      <c r="AK205" s="85"/>
      <c r="AL205" s="85"/>
    </row>
    <row r="206" spans="1:38" s="80" customFormat="1" x14ac:dyDescent="0.25">
      <c r="A206" s="116"/>
      <c r="B206" s="115"/>
      <c r="C206" s="115"/>
      <c r="D206" s="115"/>
      <c r="E206" s="115"/>
      <c r="F206" s="115"/>
      <c r="H206" s="95">
        <v>201</v>
      </c>
      <c r="I206" s="96" t="str">
        <f t="shared" si="16"/>
        <v/>
      </c>
      <c r="J206" s="95" t="e">
        <f t="shared" si="17"/>
        <v>#NUM!</v>
      </c>
      <c r="K206" s="95" t="e">
        <f t="shared" si="18"/>
        <v>#NUM!</v>
      </c>
      <c r="L206" s="95"/>
      <c r="M206" s="97">
        <f t="shared" si="19"/>
        <v>0</v>
      </c>
      <c r="S206" s="85"/>
      <c r="T206" s="85"/>
      <c r="U206" s="85"/>
      <c r="V206" s="85"/>
      <c r="W206" s="85"/>
      <c r="X206" s="85"/>
      <c r="Y206" s="85"/>
      <c r="Z206" s="85"/>
      <c r="AA206" s="85"/>
      <c r="AB206" s="85"/>
      <c r="AC206" s="85"/>
      <c r="AD206" s="85"/>
      <c r="AE206" s="85"/>
      <c r="AF206" s="85"/>
      <c r="AG206" s="85"/>
      <c r="AH206" s="85"/>
      <c r="AI206" s="85"/>
      <c r="AJ206" s="85"/>
      <c r="AK206" s="85"/>
      <c r="AL206" s="85"/>
    </row>
    <row r="207" spans="1:38" s="80" customFormat="1" x14ac:dyDescent="0.25">
      <c r="A207" s="116"/>
      <c r="B207" s="115"/>
      <c r="C207" s="115"/>
      <c r="D207" s="115"/>
      <c r="E207" s="115"/>
      <c r="F207" s="115"/>
      <c r="H207" s="95">
        <v>202</v>
      </c>
      <c r="I207" s="96" t="str">
        <f t="shared" si="16"/>
        <v/>
      </c>
      <c r="J207" s="95" t="e">
        <f t="shared" si="17"/>
        <v>#NUM!</v>
      </c>
      <c r="K207" s="95" t="e">
        <f t="shared" si="18"/>
        <v>#NUM!</v>
      </c>
      <c r="L207" s="95"/>
      <c r="M207" s="97">
        <f t="shared" si="19"/>
        <v>0</v>
      </c>
      <c r="S207" s="85"/>
      <c r="T207" s="85"/>
      <c r="U207" s="85"/>
      <c r="V207" s="85"/>
      <c r="W207" s="85"/>
      <c r="X207" s="85"/>
      <c r="Y207" s="85"/>
      <c r="Z207" s="85"/>
      <c r="AA207" s="85"/>
      <c r="AB207" s="85"/>
      <c r="AC207" s="85"/>
      <c r="AD207" s="85"/>
      <c r="AE207" s="85"/>
      <c r="AF207" s="85"/>
      <c r="AG207" s="85"/>
      <c r="AH207" s="85"/>
      <c r="AI207" s="85"/>
      <c r="AJ207" s="85"/>
      <c r="AK207" s="85"/>
      <c r="AL207" s="85"/>
    </row>
    <row r="208" spans="1:38" s="80" customFormat="1" x14ac:dyDescent="0.25">
      <c r="A208" s="116"/>
      <c r="B208" s="115"/>
      <c r="C208" s="115"/>
      <c r="D208" s="115"/>
      <c r="E208" s="115"/>
      <c r="F208" s="115"/>
      <c r="H208" s="95">
        <v>203</v>
      </c>
      <c r="I208" s="96" t="str">
        <f t="shared" si="16"/>
        <v/>
      </c>
      <c r="J208" s="95" t="e">
        <f t="shared" si="17"/>
        <v>#NUM!</v>
      </c>
      <c r="K208" s="95" t="e">
        <f t="shared" si="18"/>
        <v>#NUM!</v>
      </c>
      <c r="L208" s="95"/>
      <c r="M208" s="97">
        <f t="shared" si="19"/>
        <v>0</v>
      </c>
      <c r="S208" s="85"/>
      <c r="T208" s="85"/>
      <c r="U208" s="85"/>
      <c r="V208" s="85"/>
      <c r="W208" s="85"/>
      <c r="X208" s="85"/>
      <c r="Y208" s="85"/>
      <c r="Z208" s="85"/>
      <c r="AA208" s="85"/>
      <c r="AB208" s="85"/>
      <c r="AC208" s="85"/>
      <c r="AD208" s="85"/>
      <c r="AE208" s="85"/>
      <c r="AF208" s="85"/>
      <c r="AG208" s="85"/>
      <c r="AH208" s="85"/>
      <c r="AI208" s="85"/>
      <c r="AJ208" s="85"/>
      <c r="AK208" s="85"/>
      <c r="AL208" s="85"/>
    </row>
    <row r="209" spans="1:38" s="80" customFormat="1" x14ac:dyDescent="0.25">
      <c r="A209" s="116"/>
      <c r="B209" s="115"/>
      <c r="C209" s="115"/>
      <c r="D209" s="115"/>
      <c r="E209" s="115"/>
      <c r="F209" s="115"/>
      <c r="H209" s="95">
        <v>204</v>
      </c>
      <c r="I209" s="96" t="str">
        <f t="shared" si="16"/>
        <v/>
      </c>
      <c r="J209" s="95" t="e">
        <f t="shared" si="17"/>
        <v>#NUM!</v>
      </c>
      <c r="K209" s="95" t="e">
        <f t="shared" si="18"/>
        <v>#NUM!</v>
      </c>
      <c r="L209" s="95"/>
      <c r="M209" s="97">
        <f t="shared" si="19"/>
        <v>0</v>
      </c>
      <c r="S209" s="85"/>
      <c r="T209" s="85"/>
      <c r="U209" s="85"/>
      <c r="V209" s="85"/>
      <c r="W209" s="85"/>
      <c r="X209" s="85"/>
      <c r="Y209" s="85"/>
      <c r="Z209" s="85"/>
      <c r="AA209" s="85"/>
      <c r="AB209" s="85"/>
      <c r="AC209" s="85"/>
      <c r="AD209" s="85"/>
      <c r="AE209" s="85"/>
      <c r="AF209" s="85"/>
      <c r="AG209" s="85"/>
      <c r="AH209" s="85"/>
      <c r="AI209" s="85"/>
      <c r="AJ209" s="85"/>
      <c r="AK209" s="85"/>
      <c r="AL209" s="85"/>
    </row>
    <row r="210" spans="1:38" s="80" customFormat="1" x14ac:dyDescent="0.25">
      <c r="A210" s="116"/>
      <c r="B210" s="115"/>
      <c r="C210" s="115"/>
      <c r="D210" s="115"/>
      <c r="E210" s="115"/>
      <c r="F210" s="115"/>
      <c r="H210" s="95">
        <v>205</v>
      </c>
      <c r="I210" s="96" t="str">
        <f t="shared" si="16"/>
        <v/>
      </c>
      <c r="J210" s="95" t="e">
        <f t="shared" si="17"/>
        <v>#NUM!</v>
      </c>
      <c r="K210" s="95" t="e">
        <f t="shared" si="18"/>
        <v>#NUM!</v>
      </c>
      <c r="L210" s="95"/>
      <c r="M210" s="97">
        <f t="shared" si="19"/>
        <v>0</v>
      </c>
      <c r="S210" s="85"/>
      <c r="T210" s="85"/>
      <c r="U210" s="85"/>
      <c r="V210" s="85"/>
      <c r="W210" s="85"/>
      <c r="X210" s="85"/>
      <c r="Y210" s="85"/>
      <c r="Z210" s="85"/>
      <c r="AA210" s="85"/>
      <c r="AB210" s="85"/>
      <c r="AC210" s="85"/>
      <c r="AD210" s="85"/>
      <c r="AE210" s="85"/>
      <c r="AF210" s="85"/>
      <c r="AG210" s="85"/>
      <c r="AH210" s="85"/>
      <c r="AI210" s="85"/>
      <c r="AJ210" s="85"/>
      <c r="AK210" s="85"/>
      <c r="AL210" s="85"/>
    </row>
    <row r="211" spans="1:38" s="80" customFormat="1" x14ac:dyDescent="0.25">
      <c r="A211" s="116"/>
      <c r="B211" s="115"/>
      <c r="C211" s="115"/>
      <c r="D211" s="115"/>
      <c r="E211" s="115"/>
      <c r="F211" s="115"/>
      <c r="H211" s="95">
        <v>206</v>
      </c>
      <c r="I211" s="96" t="str">
        <f t="shared" si="16"/>
        <v/>
      </c>
      <c r="J211" s="95" t="e">
        <f t="shared" si="17"/>
        <v>#NUM!</v>
      </c>
      <c r="K211" s="95" t="e">
        <f t="shared" si="18"/>
        <v>#NUM!</v>
      </c>
      <c r="L211" s="95"/>
      <c r="M211" s="97">
        <f t="shared" si="19"/>
        <v>0</v>
      </c>
      <c r="S211" s="85"/>
      <c r="T211" s="85"/>
      <c r="U211" s="85"/>
      <c r="V211" s="85"/>
      <c r="W211" s="85"/>
      <c r="X211" s="85"/>
      <c r="Y211" s="85"/>
      <c r="Z211" s="85"/>
      <c r="AA211" s="85"/>
      <c r="AB211" s="85"/>
      <c r="AC211" s="85"/>
      <c r="AD211" s="85"/>
      <c r="AE211" s="85"/>
      <c r="AF211" s="85"/>
      <c r="AG211" s="85"/>
      <c r="AH211" s="85"/>
      <c r="AI211" s="85"/>
      <c r="AJ211" s="85"/>
      <c r="AK211" s="85"/>
      <c r="AL211" s="85"/>
    </row>
    <row r="212" spans="1:38" s="80" customFormat="1" x14ac:dyDescent="0.25">
      <c r="A212" s="116"/>
      <c r="B212" s="115"/>
      <c r="C212" s="115"/>
      <c r="D212" s="115"/>
      <c r="E212" s="115"/>
      <c r="F212" s="115"/>
      <c r="H212" s="95">
        <v>207</v>
      </c>
      <c r="I212" s="96" t="str">
        <f t="shared" si="16"/>
        <v/>
      </c>
      <c r="J212" s="95" t="e">
        <f t="shared" si="17"/>
        <v>#NUM!</v>
      </c>
      <c r="K212" s="95" t="e">
        <f t="shared" si="18"/>
        <v>#NUM!</v>
      </c>
      <c r="L212" s="95"/>
      <c r="M212" s="97">
        <f t="shared" si="19"/>
        <v>0</v>
      </c>
      <c r="S212" s="85"/>
      <c r="T212" s="85"/>
      <c r="U212" s="85"/>
      <c r="V212" s="85"/>
      <c r="W212" s="85"/>
      <c r="X212" s="85"/>
      <c r="Y212" s="85"/>
      <c r="Z212" s="85"/>
      <c r="AA212" s="85"/>
      <c r="AB212" s="85"/>
      <c r="AC212" s="85"/>
      <c r="AD212" s="85"/>
      <c r="AE212" s="85"/>
      <c r="AF212" s="85"/>
      <c r="AG212" s="85"/>
      <c r="AH212" s="85"/>
      <c r="AI212" s="85"/>
      <c r="AJ212" s="85"/>
      <c r="AK212" s="85"/>
      <c r="AL212" s="85"/>
    </row>
    <row r="213" spans="1:38" s="80" customFormat="1" x14ac:dyDescent="0.25">
      <c r="A213" s="116"/>
      <c r="B213" s="115"/>
      <c r="C213" s="115"/>
      <c r="D213" s="115"/>
      <c r="E213" s="115"/>
      <c r="F213" s="115"/>
      <c r="H213" s="95">
        <v>208</v>
      </c>
      <c r="I213" s="96" t="str">
        <f t="shared" si="16"/>
        <v/>
      </c>
      <c r="J213" s="95" t="e">
        <f t="shared" si="17"/>
        <v>#NUM!</v>
      </c>
      <c r="K213" s="95" t="e">
        <f t="shared" si="18"/>
        <v>#NUM!</v>
      </c>
      <c r="L213" s="95"/>
      <c r="M213" s="97">
        <f t="shared" si="19"/>
        <v>0</v>
      </c>
      <c r="S213" s="85"/>
      <c r="T213" s="85"/>
      <c r="U213" s="85"/>
      <c r="V213" s="85"/>
      <c r="W213" s="85"/>
      <c r="X213" s="85"/>
      <c r="Y213" s="85"/>
      <c r="Z213" s="85"/>
      <c r="AA213" s="85"/>
      <c r="AB213" s="85"/>
      <c r="AC213" s="85"/>
      <c r="AD213" s="85"/>
      <c r="AE213" s="85"/>
      <c r="AF213" s="85"/>
      <c r="AG213" s="85"/>
      <c r="AH213" s="85"/>
      <c r="AI213" s="85"/>
      <c r="AJ213" s="85"/>
      <c r="AK213" s="85"/>
      <c r="AL213" s="85"/>
    </row>
    <row r="214" spans="1:38" s="80" customFormat="1" x14ac:dyDescent="0.25">
      <c r="A214" s="116"/>
      <c r="B214" s="115"/>
      <c r="C214" s="115"/>
      <c r="D214" s="115"/>
      <c r="E214" s="115"/>
      <c r="F214" s="115"/>
      <c r="H214" s="95">
        <v>209</v>
      </c>
      <c r="I214" s="96" t="str">
        <f t="shared" si="16"/>
        <v/>
      </c>
      <c r="J214" s="95" t="e">
        <f t="shared" si="17"/>
        <v>#NUM!</v>
      </c>
      <c r="K214" s="95" t="e">
        <f t="shared" si="18"/>
        <v>#NUM!</v>
      </c>
      <c r="L214" s="95"/>
      <c r="M214" s="97">
        <f t="shared" si="19"/>
        <v>0</v>
      </c>
      <c r="S214" s="85"/>
      <c r="T214" s="85"/>
      <c r="U214" s="85"/>
      <c r="V214" s="85"/>
      <c r="W214" s="85"/>
      <c r="X214" s="85"/>
      <c r="Y214" s="85"/>
      <c r="Z214" s="85"/>
      <c r="AA214" s="85"/>
      <c r="AB214" s="85"/>
      <c r="AC214" s="85"/>
      <c r="AD214" s="85"/>
      <c r="AE214" s="85"/>
      <c r="AF214" s="85"/>
      <c r="AG214" s="85"/>
      <c r="AH214" s="85"/>
      <c r="AI214" s="85"/>
      <c r="AJ214" s="85"/>
      <c r="AK214" s="85"/>
      <c r="AL214" s="85"/>
    </row>
    <row r="215" spans="1:38" s="80" customFormat="1" x14ac:dyDescent="0.25">
      <c r="A215" s="116"/>
      <c r="B215" s="115"/>
      <c r="C215" s="115"/>
      <c r="D215" s="115"/>
      <c r="E215" s="115"/>
      <c r="F215" s="115"/>
      <c r="H215" s="95">
        <v>210</v>
      </c>
      <c r="I215" s="96" t="str">
        <f t="shared" si="16"/>
        <v/>
      </c>
      <c r="J215" s="95" t="e">
        <f t="shared" si="17"/>
        <v>#NUM!</v>
      </c>
      <c r="K215" s="95" t="e">
        <f t="shared" si="18"/>
        <v>#NUM!</v>
      </c>
      <c r="L215" s="95"/>
      <c r="M215" s="97">
        <f t="shared" si="19"/>
        <v>0</v>
      </c>
      <c r="S215" s="85"/>
      <c r="T215" s="85"/>
      <c r="U215" s="85"/>
      <c r="V215" s="85"/>
      <c r="W215" s="85"/>
      <c r="X215" s="85"/>
      <c r="Y215" s="85"/>
      <c r="Z215" s="85"/>
      <c r="AA215" s="85"/>
      <c r="AB215" s="85"/>
      <c r="AC215" s="85"/>
      <c r="AD215" s="85"/>
      <c r="AE215" s="85"/>
      <c r="AF215" s="85"/>
      <c r="AG215" s="85"/>
      <c r="AH215" s="85"/>
      <c r="AI215" s="85"/>
      <c r="AJ215" s="85"/>
      <c r="AK215" s="85"/>
      <c r="AL215" s="85"/>
    </row>
    <row r="216" spans="1:38" s="80" customFormat="1" x14ac:dyDescent="0.25">
      <c r="A216" s="116"/>
      <c r="B216" s="115"/>
      <c r="C216" s="115"/>
      <c r="D216" s="115"/>
      <c r="E216" s="115"/>
      <c r="F216" s="115"/>
      <c r="H216" s="95">
        <v>211</v>
      </c>
      <c r="I216" s="96" t="str">
        <f t="shared" si="16"/>
        <v/>
      </c>
      <c r="J216" s="95" t="e">
        <f t="shared" si="17"/>
        <v>#NUM!</v>
      </c>
      <c r="K216" s="95" t="e">
        <f t="shared" si="18"/>
        <v>#NUM!</v>
      </c>
      <c r="L216" s="95"/>
      <c r="M216" s="97">
        <f t="shared" si="19"/>
        <v>0</v>
      </c>
      <c r="S216" s="85"/>
      <c r="T216" s="85"/>
      <c r="U216" s="85"/>
      <c r="V216" s="85"/>
      <c r="W216" s="85"/>
      <c r="X216" s="85"/>
      <c r="Y216" s="85"/>
      <c r="Z216" s="85"/>
      <c r="AA216" s="85"/>
      <c r="AB216" s="85"/>
      <c r="AC216" s="85"/>
      <c r="AD216" s="85"/>
      <c r="AE216" s="85"/>
      <c r="AF216" s="85"/>
      <c r="AG216" s="85"/>
      <c r="AH216" s="85"/>
      <c r="AI216" s="85"/>
      <c r="AJ216" s="85"/>
      <c r="AK216" s="85"/>
      <c r="AL216" s="85"/>
    </row>
    <row r="217" spans="1:38" s="80" customFormat="1" x14ac:dyDescent="0.25">
      <c r="A217" s="116"/>
      <c r="B217" s="115"/>
      <c r="C217" s="115"/>
      <c r="D217" s="115"/>
      <c r="E217" s="115"/>
      <c r="F217" s="115"/>
      <c r="H217" s="95">
        <v>212</v>
      </c>
      <c r="I217" s="96" t="str">
        <f t="shared" si="16"/>
        <v/>
      </c>
      <c r="J217" s="95" t="e">
        <f t="shared" si="17"/>
        <v>#NUM!</v>
      </c>
      <c r="K217" s="95" t="e">
        <f t="shared" si="18"/>
        <v>#NUM!</v>
      </c>
      <c r="L217" s="95"/>
      <c r="M217" s="97">
        <f t="shared" si="19"/>
        <v>0</v>
      </c>
      <c r="S217" s="85"/>
      <c r="T217" s="85"/>
      <c r="U217" s="85"/>
      <c r="V217" s="85"/>
      <c r="W217" s="85"/>
      <c r="X217" s="85"/>
      <c r="Y217" s="85"/>
      <c r="Z217" s="85"/>
      <c r="AA217" s="85"/>
      <c r="AB217" s="85"/>
      <c r="AC217" s="85"/>
      <c r="AD217" s="85"/>
      <c r="AE217" s="85"/>
      <c r="AF217" s="85"/>
      <c r="AG217" s="85"/>
      <c r="AH217" s="85"/>
      <c r="AI217" s="85"/>
      <c r="AJ217" s="85"/>
      <c r="AK217" s="85"/>
      <c r="AL217" s="85"/>
    </row>
    <row r="218" spans="1:38" s="80" customFormat="1" x14ac:dyDescent="0.25">
      <c r="A218" s="116"/>
      <c r="B218" s="115"/>
      <c r="C218" s="115"/>
      <c r="D218" s="115"/>
      <c r="E218" s="115"/>
      <c r="F218" s="115"/>
      <c r="H218" s="95">
        <v>213</v>
      </c>
      <c r="I218" s="96" t="str">
        <f t="shared" si="16"/>
        <v/>
      </c>
      <c r="J218" s="95" t="e">
        <f t="shared" si="17"/>
        <v>#NUM!</v>
      </c>
      <c r="K218" s="95" t="e">
        <f t="shared" si="18"/>
        <v>#NUM!</v>
      </c>
      <c r="L218" s="95"/>
      <c r="M218" s="97">
        <f t="shared" si="19"/>
        <v>0</v>
      </c>
      <c r="S218" s="85"/>
      <c r="T218" s="85"/>
      <c r="U218" s="85"/>
      <c r="V218" s="85"/>
      <c r="W218" s="85"/>
      <c r="X218" s="85"/>
      <c r="Y218" s="85"/>
      <c r="Z218" s="85"/>
      <c r="AA218" s="85"/>
      <c r="AB218" s="85"/>
      <c r="AC218" s="85"/>
      <c r="AD218" s="85"/>
      <c r="AE218" s="85"/>
      <c r="AF218" s="85"/>
      <c r="AG218" s="85"/>
      <c r="AH218" s="85"/>
      <c r="AI218" s="85"/>
      <c r="AJ218" s="85"/>
      <c r="AK218" s="85"/>
      <c r="AL218" s="85"/>
    </row>
    <row r="219" spans="1:38" s="80" customFormat="1" x14ac:dyDescent="0.25">
      <c r="A219" s="116"/>
      <c r="B219" s="115"/>
      <c r="C219" s="115"/>
      <c r="D219" s="115"/>
      <c r="E219" s="115"/>
      <c r="F219" s="115"/>
      <c r="H219" s="95">
        <v>214</v>
      </c>
      <c r="I219" s="96" t="str">
        <f t="shared" si="16"/>
        <v/>
      </c>
      <c r="J219" s="95" t="e">
        <f t="shared" si="17"/>
        <v>#NUM!</v>
      </c>
      <c r="K219" s="95" t="e">
        <f t="shared" si="18"/>
        <v>#NUM!</v>
      </c>
      <c r="L219" s="95"/>
      <c r="M219" s="97">
        <f t="shared" si="19"/>
        <v>0</v>
      </c>
      <c r="S219" s="85"/>
      <c r="T219" s="85"/>
      <c r="U219" s="85"/>
      <c r="V219" s="85"/>
      <c r="W219" s="85"/>
      <c r="X219" s="85"/>
      <c r="Y219" s="85"/>
      <c r="Z219" s="85"/>
      <c r="AA219" s="85"/>
      <c r="AB219" s="85"/>
      <c r="AC219" s="85"/>
      <c r="AD219" s="85"/>
      <c r="AE219" s="85"/>
      <c r="AF219" s="85"/>
      <c r="AG219" s="85"/>
      <c r="AH219" s="85"/>
      <c r="AI219" s="85"/>
      <c r="AJ219" s="85"/>
      <c r="AK219" s="85"/>
      <c r="AL219" s="85"/>
    </row>
    <row r="220" spans="1:38" s="80" customFormat="1" x14ac:dyDescent="0.25">
      <c r="A220" s="116"/>
      <c r="B220" s="115"/>
      <c r="C220" s="115"/>
      <c r="D220" s="115"/>
      <c r="E220" s="115"/>
      <c r="F220" s="115"/>
      <c r="H220" s="95">
        <v>215</v>
      </c>
      <c r="I220" s="96" t="str">
        <f t="shared" si="16"/>
        <v/>
      </c>
      <c r="J220" s="95" t="e">
        <f t="shared" si="17"/>
        <v>#NUM!</v>
      </c>
      <c r="K220" s="95" t="e">
        <f t="shared" si="18"/>
        <v>#NUM!</v>
      </c>
      <c r="L220" s="95"/>
      <c r="M220" s="97">
        <f t="shared" si="19"/>
        <v>0</v>
      </c>
      <c r="S220" s="85"/>
      <c r="T220" s="85"/>
      <c r="U220" s="85"/>
      <c r="V220" s="85"/>
      <c r="W220" s="85"/>
      <c r="X220" s="85"/>
      <c r="Y220" s="85"/>
      <c r="Z220" s="85"/>
      <c r="AA220" s="85"/>
      <c r="AB220" s="85"/>
      <c r="AC220" s="85"/>
      <c r="AD220" s="85"/>
      <c r="AE220" s="85"/>
      <c r="AF220" s="85"/>
      <c r="AG220" s="85"/>
      <c r="AH220" s="85"/>
      <c r="AI220" s="85"/>
      <c r="AJ220" s="85"/>
      <c r="AK220" s="85"/>
      <c r="AL220" s="85"/>
    </row>
    <row r="221" spans="1:38" s="80" customFormat="1" x14ac:dyDescent="0.25">
      <c r="A221" s="116"/>
      <c r="B221" s="115"/>
      <c r="C221" s="115"/>
      <c r="D221" s="115"/>
      <c r="E221" s="115"/>
      <c r="F221" s="115"/>
      <c r="H221" s="95">
        <v>216</v>
      </c>
      <c r="I221" s="96" t="str">
        <f t="shared" si="16"/>
        <v/>
      </c>
      <c r="J221" s="95" t="e">
        <f t="shared" si="17"/>
        <v>#NUM!</v>
      </c>
      <c r="K221" s="95" t="e">
        <f t="shared" si="18"/>
        <v>#NUM!</v>
      </c>
      <c r="L221" s="95"/>
      <c r="M221" s="97">
        <f t="shared" si="19"/>
        <v>0</v>
      </c>
      <c r="S221" s="85"/>
      <c r="T221" s="85"/>
      <c r="U221" s="85"/>
      <c r="V221" s="85"/>
      <c r="W221" s="85"/>
      <c r="X221" s="85"/>
      <c r="Y221" s="85"/>
      <c r="Z221" s="85"/>
      <c r="AA221" s="85"/>
      <c r="AB221" s="85"/>
      <c r="AC221" s="85"/>
      <c r="AD221" s="85"/>
      <c r="AE221" s="85"/>
      <c r="AF221" s="85"/>
      <c r="AG221" s="85"/>
      <c r="AH221" s="85"/>
      <c r="AI221" s="85"/>
      <c r="AJ221" s="85"/>
      <c r="AK221" s="85"/>
      <c r="AL221" s="85"/>
    </row>
    <row r="222" spans="1:38" s="80" customFormat="1" x14ac:dyDescent="0.25">
      <c r="A222" s="116"/>
      <c r="B222" s="115"/>
      <c r="C222" s="115"/>
      <c r="D222" s="115"/>
      <c r="E222" s="115"/>
      <c r="F222" s="115"/>
      <c r="H222" s="95">
        <v>217</v>
      </c>
      <c r="I222" s="96" t="str">
        <f t="shared" si="16"/>
        <v/>
      </c>
      <c r="J222" s="95" t="e">
        <f t="shared" si="17"/>
        <v>#NUM!</v>
      </c>
      <c r="K222" s="95" t="e">
        <f t="shared" si="18"/>
        <v>#NUM!</v>
      </c>
      <c r="L222" s="95"/>
      <c r="M222" s="97">
        <f t="shared" si="19"/>
        <v>0</v>
      </c>
      <c r="S222" s="85"/>
      <c r="T222" s="85"/>
      <c r="U222" s="85"/>
      <c r="V222" s="85"/>
      <c r="W222" s="85"/>
      <c r="X222" s="85"/>
      <c r="Y222" s="85"/>
      <c r="Z222" s="85"/>
      <c r="AA222" s="85"/>
      <c r="AB222" s="85"/>
      <c r="AC222" s="85"/>
      <c r="AD222" s="85"/>
      <c r="AE222" s="85"/>
      <c r="AF222" s="85"/>
      <c r="AG222" s="85"/>
      <c r="AH222" s="85"/>
      <c r="AI222" s="85"/>
      <c r="AJ222" s="85"/>
      <c r="AK222" s="85"/>
      <c r="AL222" s="85"/>
    </row>
    <row r="223" spans="1:38" s="80" customFormat="1" x14ac:dyDescent="0.25">
      <c r="A223" s="116"/>
      <c r="B223" s="115"/>
      <c r="C223" s="115"/>
      <c r="D223" s="115"/>
      <c r="E223" s="115"/>
      <c r="F223" s="115"/>
      <c r="H223" s="95">
        <v>218</v>
      </c>
      <c r="I223" s="96" t="str">
        <f t="shared" si="16"/>
        <v/>
      </c>
      <c r="J223" s="95" t="e">
        <f t="shared" si="17"/>
        <v>#NUM!</v>
      </c>
      <c r="K223" s="95" t="e">
        <f t="shared" si="18"/>
        <v>#NUM!</v>
      </c>
      <c r="L223" s="95"/>
      <c r="M223" s="97">
        <f t="shared" si="19"/>
        <v>0</v>
      </c>
      <c r="S223" s="85"/>
      <c r="T223" s="85"/>
      <c r="U223" s="85"/>
      <c r="V223" s="85"/>
      <c r="W223" s="85"/>
      <c r="X223" s="85"/>
      <c r="Y223" s="85"/>
      <c r="Z223" s="85"/>
      <c r="AA223" s="85"/>
      <c r="AB223" s="85"/>
      <c r="AC223" s="85"/>
      <c r="AD223" s="85"/>
      <c r="AE223" s="85"/>
      <c r="AF223" s="85"/>
      <c r="AG223" s="85"/>
      <c r="AH223" s="85"/>
      <c r="AI223" s="85"/>
      <c r="AJ223" s="85"/>
      <c r="AK223" s="85"/>
      <c r="AL223" s="85"/>
    </row>
    <row r="224" spans="1:38" s="80" customFormat="1" x14ac:dyDescent="0.25">
      <c r="A224" s="116"/>
      <c r="B224" s="115"/>
      <c r="C224" s="115"/>
      <c r="D224" s="115"/>
      <c r="E224" s="115"/>
      <c r="F224" s="115"/>
      <c r="H224" s="95">
        <v>219</v>
      </c>
      <c r="I224" s="96" t="str">
        <f t="shared" si="16"/>
        <v/>
      </c>
      <c r="J224" s="95" t="e">
        <f t="shared" si="17"/>
        <v>#NUM!</v>
      </c>
      <c r="K224" s="95" t="e">
        <f t="shared" si="18"/>
        <v>#NUM!</v>
      </c>
      <c r="L224" s="95"/>
      <c r="M224" s="97">
        <f t="shared" si="19"/>
        <v>0</v>
      </c>
      <c r="S224" s="85"/>
      <c r="T224" s="85"/>
      <c r="U224" s="85"/>
      <c r="V224" s="85"/>
      <c r="W224" s="85"/>
      <c r="X224" s="85"/>
      <c r="Y224" s="85"/>
      <c r="Z224" s="85"/>
      <c r="AA224" s="85"/>
      <c r="AB224" s="85"/>
      <c r="AC224" s="85"/>
      <c r="AD224" s="85"/>
      <c r="AE224" s="85"/>
      <c r="AF224" s="85"/>
      <c r="AG224" s="85"/>
      <c r="AH224" s="85"/>
      <c r="AI224" s="85"/>
      <c r="AJ224" s="85"/>
      <c r="AK224" s="85"/>
      <c r="AL224" s="85"/>
    </row>
    <row r="225" spans="1:38" s="80" customFormat="1" x14ac:dyDescent="0.25">
      <c r="A225" s="116"/>
      <c r="B225" s="115"/>
      <c r="C225" s="115"/>
      <c r="D225" s="115"/>
      <c r="E225" s="115"/>
      <c r="F225" s="115"/>
      <c r="H225" s="95">
        <v>220</v>
      </c>
      <c r="I225" s="96" t="str">
        <f t="shared" si="16"/>
        <v/>
      </c>
      <c r="J225" s="95" t="e">
        <f t="shared" si="17"/>
        <v>#NUM!</v>
      </c>
      <c r="K225" s="95" t="e">
        <f t="shared" si="18"/>
        <v>#NUM!</v>
      </c>
      <c r="L225" s="95"/>
      <c r="M225" s="97">
        <f t="shared" si="19"/>
        <v>0</v>
      </c>
      <c r="S225" s="85"/>
      <c r="T225" s="85"/>
      <c r="U225" s="85"/>
      <c r="V225" s="85"/>
      <c r="W225" s="85"/>
      <c r="X225" s="85"/>
      <c r="Y225" s="85"/>
      <c r="Z225" s="85"/>
      <c r="AA225" s="85"/>
      <c r="AB225" s="85"/>
      <c r="AC225" s="85"/>
      <c r="AD225" s="85"/>
      <c r="AE225" s="85"/>
      <c r="AF225" s="85"/>
      <c r="AG225" s="85"/>
      <c r="AH225" s="85"/>
      <c r="AI225" s="85"/>
      <c r="AJ225" s="85"/>
      <c r="AK225" s="85"/>
      <c r="AL225" s="85"/>
    </row>
    <row r="226" spans="1:38" s="80" customFormat="1" x14ac:dyDescent="0.25">
      <c r="A226" s="116"/>
      <c r="B226" s="115"/>
      <c r="C226" s="115"/>
      <c r="D226" s="115"/>
      <c r="E226" s="115"/>
      <c r="F226" s="115"/>
      <c r="H226" s="95">
        <v>221</v>
      </c>
      <c r="I226" s="96" t="str">
        <f t="shared" si="16"/>
        <v/>
      </c>
      <c r="J226" s="95" t="e">
        <f t="shared" si="17"/>
        <v>#NUM!</v>
      </c>
      <c r="K226" s="95" t="e">
        <f t="shared" si="18"/>
        <v>#NUM!</v>
      </c>
      <c r="L226" s="95"/>
      <c r="M226" s="97">
        <f t="shared" si="19"/>
        <v>0</v>
      </c>
      <c r="S226" s="85"/>
      <c r="T226" s="85"/>
      <c r="U226" s="85"/>
      <c r="V226" s="85"/>
      <c r="W226" s="85"/>
      <c r="X226" s="85"/>
      <c r="Y226" s="85"/>
      <c r="Z226" s="85"/>
      <c r="AA226" s="85"/>
      <c r="AB226" s="85"/>
      <c r="AC226" s="85"/>
      <c r="AD226" s="85"/>
      <c r="AE226" s="85"/>
      <c r="AF226" s="85"/>
      <c r="AG226" s="85"/>
      <c r="AH226" s="85"/>
      <c r="AI226" s="85"/>
      <c r="AJ226" s="85"/>
      <c r="AK226" s="85"/>
      <c r="AL226" s="85"/>
    </row>
    <row r="227" spans="1:38" s="80" customFormat="1" x14ac:dyDescent="0.25">
      <c r="A227" s="116"/>
      <c r="B227" s="115"/>
      <c r="C227" s="115"/>
      <c r="D227" s="115"/>
      <c r="E227" s="115"/>
      <c r="F227" s="115"/>
      <c r="H227" s="95">
        <v>222</v>
      </c>
      <c r="I227" s="96" t="str">
        <f t="shared" si="16"/>
        <v/>
      </c>
      <c r="J227" s="95" t="e">
        <f t="shared" si="17"/>
        <v>#NUM!</v>
      </c>
      <c r="K227" s="95" t="e">
        <f t="shared" si="18"/>
        <v>#NUM!</v>
      </c>
      <c r="L227" s="95"/>
      <c r="M227" s="97">
        <f t="shared" si="19"/>
        <v>0</v>
      </c>
      <c r="S227" s="85"/>
      <c r="T227" s="85"/>
      <c r="U227" s="85"/>
      <c r="V227" s="85"/>
      <c r="W227" s="85"/>
      <c r="X227" s="85"/>
      <c r="Y227" s="85"/>
      <c r="Z227" s="85"/>
      <c r="AA227" s="85"/>
      <c r="AB227" s="85"/>
      <c r="AC227" s="85"/>
      <c r="AD227" s="85"/>
      <c r="AE227" s="85"/>
      <c r="AF227" s="85"/>
      <c r="AG227" s="85"/>
      <c r="AH227" s="85"/>
      <c r="AI227" s="85"/>
      <c r="AJ227" s="85"/>
      <c r="AK227" s="85"/>
      <c r="AL227" s="85"/>
    </row>
    <row r="228" spans="1:38" s="80" customFormat="1" x14ac:dyDescent="0.25">
      <c r="A228" s="116"/>
      <c r="B228" s="115"/>
      <c r="C228" s="115"/>
      <c r="D228" s="115"/>
      <c r="E228" s="115"/>
      <c r="F228" s="115"/>
      <c r="H228" s="95">
        <v>223</v>
      </c>
      <c r="I228" s="96" t="str">
        <f t="shared" si="16"/>
        <v/>
      </c>
      <c r="J228" s="95" t="e">
        <f t="shared" si="17"/>
        <v>#NUM!</v>
      </c>
      <c r="K228" s="95" t="e">
        <f t="shared" si="18"/>
        <v>#NUM!</v>
      </c>
      <c r="L228" s="95"/>
      <c r="M228" s="97">
        <f t="shared" si="19"/>
        <v>0</v>
      </c>
      <c r="S228" s="85"/>
      <c r="T228" s="85"/>
      <c r="U228" s="85"/>
      <c r="V228" s="85"/>
      <c r="W228" s="85"/>
      <c r="X228" s="85"/>
      <c r="Y228" s="85"/>
      <c r="Z228" s="85"/>
      <c r="AA228" s="85"/>
      <c r="AB228" s="85"/>
      <c r="AC228" s="85"/>
      <c r="AD228" s="85"/>
      <c r="AE228" s="85"/>
      <c r="AF228" s="85"/>
      <c r="AG228" s="85"/>
      <c r="AH228" s="85"/>
      <c r="AI228" s="85"/>
      <c r="AJ228" s="85"/>
      <c r="AK228" s="85"/>
      <c r="AL228" s="85"/>
    </row>
    <row r="229" spans="1:38" s="80" customFormat="1" x14ac:dyDescent="0.25">
      <c r="A229" s="116"/>
      <c r="B229" s="115"/>
      <c r="C229" s="115"/>
      <c r="D229" s="115"/>
      <c r="E229" s="115"/>
      <c r="F229" s="115"/>
      <c r="H229" s="95">
        <v>224</v>
      </c>
      <c r="I229" s="96" t="str">
        <f t="shared" si="16"/>
        <v/>
      </c>
      <c r="J229" s="95" t="e">
        <f t="shared" si="17"/>
        <v>#NUM!</v>
      </c>
      <c r="K229" s="95" t="e">
        <f t="shared" si="18"/>
        <v>#NUM!</v>
      </c>
      <c r="L229" s="95"/>
      <c r="M229" s="97">
        <f t="shared" si="19"/>
        <v>0</v>
      </c>
      <c r="S229" s="85"/>
      <c r="T229" s="85"/>
      <c r="U229" s="85"/>
      <c r="V229" s="85"/>
      <c r="W229" s="85"/>
      <c r="X229" s="85"/>
      <c r="Y229" s="85"/>
      <c r="Z229" s="85"/>
      <c r="AA229" s="85"/>
      <c r="AB229" s="85"/>
      <c r="AC229" s="85"/>
      <c r="AD229" s="85"/>
      <c r="AE229" s="85"/>
      <c r="AF229" s="85"/>
      <c r="AG229" s="85"/>
      <c r="AH229" s="85"/>
      <c r="AI229" s="85"/>
      <c r="AJ229" s="85"/>
      <c r="AK229" s="85"/>
      <c r="AL229" s="85"/>
    </row>
    <row r="230" spans="1:38" s="80" customFormat="1" x14ac:dyDescent="0.25">
      <c r="A230" s="116"/>
      <c r="B230" s="115"/>
      <c r="C230" s="115"/>
      <c r="D230" s="115"/>
      <c r="E230" s="115"/>
      <c r="F230" s="115"/>
      <c r="H230" s="95">
        <v>225</v>
      </c>
      <c r="I230" s="96" t="str">
        <f t="shared" si="16"/>
        <v/>
      </c>
      <c r="J230" s="95" t="e">
        <f t="shared" si="17"/>
        <v>#NUM!</v>
      </c>
      <c r="K230" s="95" t="e">
        <f t="shared" si="18"/>
        <v>#NUM!</v>
      </c>
      <c r="L230" s="95"/>
      <c r="M230" s="97">
        <f t="shared" si="19"/>
        <v>0</v>
      </c>
      <c r="S230" s="85"/>
      <c r="T230" s="85"/>
      <c r="U230" s="85"/>
      <c r="V230" s="85"/>
      <c r="W230" s="85"/>
      <c r="X230" s="85"/>
      <c r="Y230" s="85"/>
      <c r="Z230" s="85"/>
      <c r="AA230" s="85"/>
      <c r="AB230" s="85"/>
      <c r="AC230" s="85"/>
      <c r="AD230" s="85"/>
      <c r="AE230" s="85"/>
      <c r="AF230" s="85"/>
      <c r="AG230" s="85"/>
      <c r="AH230" s="85"/>
      <c r="AI230" s="85"/>
      <c r="AJ230" s="85"/>
      <c r="AK230" s="85"/>
      <c r="AL230" s="85"/>
    </row>
    <row r="231" spans="1:38" s="80" customFormat="1" x14ac:dyDescent="0.25">
      <c r="A231" s="116"/>
      <c r="B231" s="115"/>
      <c r="C231" s="115"/>
      <c r="D231" s="115"/>
      <c r="E231" s="115"/>
      <c r="F231" s="115"/>
      <c r="H231" s="95">
        <v>226</v>
      </c>
      <c r="I231" s="96" t="str">
        <f t="shared" si="16"/>
        <v/>
      </c>
      <c r="J231" s="95" t="e">
        <f t="shared" si="17"/>
        <v>#NUM!</v>
      </c>
      <c r="K231" s="95" t="e">
        <f t="shared" si="18"/>
        <v>#NUM!</v>
      </c>
      <c r="L231" s="95"/>
      <c r="M231" s="97">
        <f t="shared" si="19"/>
        <v>0</v>
      </c>
      <c r="S231" s="85"/>
      <c r="T231" s="85"/>
      <c r="U231" s="85"/>
      <c r="V231" s="85"/>
      <c r="W231" s="85"/>
      <c r="X231" s="85"/>
      <c r="Y231" s="85"/>
      <c r="Z231" s="85"/>
      <c r="AA231" s="85"/>
      <c r="AB231" s="85"/>
      <c r="AC231" s="85"/>
      <c r="AD231" s="85"/>
      <c r="AE231" s="85"/>
      <c r="AF231" s="85"/>
      <c r="AG231" s="85"/>
      <c r="AH231" s="85"/>
      <c r="AI231" s="85"/>
      <c r="AJ231" s="85"/>
      <c r="AK231" s="85"/>
      <c r="AL231" s="85"/>
    </row>
    <row r="232" spans="1:38" s="80" customFormat="1" x14ac:dyDescent="0.25">
      <c r="A232" s="116"/>
      <c r="B232" s="115"/>
      <c r="C232" s="115"/>
      <c r="D232" s="115"/>
      <c r="E232" s="115"/>
      <c r="F232" s="115"/>
      <c r="H232" s="95">
        <v>227</v>
      </c>
      <c r="I232" s="96" t="str">
        <f t="shared" si="16"/>
        <v/>
      </c>
      <c r="J232" s="95" t="e">
        <f t="shared" si="17"/>
        <v>#NUM!</v>
      </c>
      <c r="K232" s="95" t="e">
        <f t="shared" si="18"/>
        <v>#NUM!</v>
      </c>
      <c r="L232" s="95"/>
      <c r="M232" s="97">
        <f t="shared" si="19"/>
        <v>0</v>
      </c>
      <c r="S232" s="85"/>
      <c r="T232" s="85"/>
      <c r="U232" s="85"/>
      <c r="V232" s="85"/>
      <c r="W232" s="85"/>
      <c r="X232" s="85"/>
      <c r="Y232" s="85"/>
      <c r="Z232" s="85"/>
      <c r="AA232" s="85"/>
      <c r="AB232" s="85"/>
      <c r="AC232" s="85"/>
      <c r="AD232" s="85"/>
      <c r="AE232" s="85"/>
      <c r="AF232" s="85"/>
      <c r="AG232" s="85"/>
      <c r="AH232" s="85"/>
      <c r="AI232" s="85"/>
      <c r="AJ232" s="85"/>
      <c r="AK232" s="85"/>
      <c r="AL232" s="85"/>
    </row>
    <row r="233" spans="1:38" s="80" customFormat="1" x14ac:dyDescent="0.25">
      <c r="A233" s="116"/>
      <c r="B233" s="115"/>
      <c r="C233" s="115"/>
      <c r="D233" s="115"/>
      <c r="E233" s="115"/>
      <c r="F233" s="115"/>
      <c r="H233" s="95">
        <v>228</v>
      </c>
      <c r="I233" s="96" t="str">
        <f t="shared" si="16"/>
        <v/>
      </c>
      <c r="J233" s="95" t="e">
        <f t="shared" si="17"/>
        <v>#NUM!</v>
      </c>
      <c r="K233" s="95" t="e">
        <f t="shared" si="18"/>
        <v>#NUM!</v>
      </c>
      <c r="L233" s="95"/>
      <c r="M233" s="97">
        <f t="shared" si="19"/>
        <v>0</v>
      </c>
      <c r="S233" s="85"/>
      <c r="T233" s="85"/>
      <c r="U233" s="85"/>
      <c r="V233" s="85"/>
      <c r="W233" s="85"/>
      <c r="X233" s="85"/>
      <c r="Y233" s="85"/>
      <c r="Z233" s="85"/>
      <c r="AA233" s="85"/>
      <c r="AB233" s="85"/>
      <c r="AC233" s="85"/>
      <c r="AD233" s="85"/>
      <c r="AE233" s="85"/>
      <c r="AF233" s="85"/>
      <c r="AG233" s="85"/>
      <c r="AH233" s="85"/>
      <c r="AI233" s="85"/>
      <c r="AJ233" s="85"/>
      <c r="AK233" s="85"/>
      <c r="AL233" s="85"/>
    </row>
    <row r="234" spans="1:38" s="80" customFormat="1" x14ac:dyDescent="0.25">
      <c r="A234" s="116"/>
      <c r="B234" s="115"/>
      <c r="C234" s="115"/>
      <c r="D234" s="115"/>
      <c r="E234" s="115"/>
      <c r="F234" s="115"/>
      <c r="H234" s="95">
        <v>229</v>
      </c>
      <c r="I234" s="96" t="str">
        <f t="shared" si="16"/>
        <v/>
      </c>
      <c r="J234" s="95" t="e">
        <f t="shared" si="17"/>
        <v>#NUM!</v>
      </c>
      <c r="K234" s="95" t="e">
        <f t="shared" si="18"/>
        <v>#NUM!</v>
      </c>
      <c r="L234" s="95"/>
      <c r="M234" s="97">
        <f t="shared" si="19"/>
        <v>0</v>
      </c>
      <c r="S234" s="85"/>
      <c r="T234" s="85"/>
      <c r="U234" s="85"/>
      <c r="V234" s="85"/>
      <c r="W234" s="85"/>
      <c r="X234" s="85"/>
      <c r="Y234" s="85"/>
      <c r="Z234" s="85"/>
      <c r="AA234" s="85"/>
      <c r="AB234" s="85"/>
      <c r="AC234" s="85"/>
      <c r="AD234" s="85"/>
      <c r="AE234" s="85"/>
      <c r="AF234" s="85"/>
      <c r="AG234" s="85"/>
      <c r="AH234" s="85"/>
      <c r="AI234" s="85"/>
      <c r="AJ234" s="85"/>
      <c r="AK234" s="85"/>
      <c r="AL234" s="85"/>
    </row>
    <row r="235" spans="1:38" s="80" customFormat="1" x14ac:dyDescent="0.25">
      <c r="A235" s="116"/>
      <c r="B235" s="115"/>
      <c r="C235" s="115"/>
      <c r="D235" s="115"/>
      <c r="E235" s="115"/>
      <c r="F235" s="115"/>
      <c r="H235" s="95">
        <v>230</v>
      </c>
      <c r="I235" s="96" t="str">
        <f t="shared" si="16"/>
        <v/>
      </c>
      <c r="J235" s="95" t="e">
        <f t="shared" si="17"/>
        <v>#NUM!</v>
      </c>
      <c r="K235" s="95" t="e">
        <f t="shared" si="18"/>
        <v>#NUM!</v>
      </c>
      <c r="L235" s="95"/>
      <c r="M235" s="97">
        <f t="shared" si="19"/>
        <v>0</v>
      </c>
      <c r="S235" s="85"/>
      <c r="T235" s="85"/>
      <c r="U235" s="85"/>
      <c r="V235" s="85"/>
      <c r="W235" s="85"/>
      <c r="X235" s="85"/>
      <c r="Y235" s="85"/>
      <c r="Z235" s="85"/>
      <c r="AA235" s="85"/>
      <c r="AB235" s="85"/>
      <c r="AC235" s="85"/>
      <c r="AD235" s="85"/>
      <c r="AE235" s="85"/>
      <c r="AF235" s="85"/>
      <c r="AG235" s="85"/>
      <c r="AH235" s="85"/>
      <c r="AI235" s="85"/>
      <c r="AJ235" s="85"/>
      <c r="AK235" s="85"/>
      <c r="AL235" s="85"/>
    </row>
    <row r="236" spans="1:38" s="80" customFormat="1" x14ac:dyDescent="0.25">
      <c r="A236" s="116"/>
      <c r="B236" s="115"/>
      <c r="C236" s="115"/>
      <c r="D236" s="115"/>
      <c r="E236" s="115"/>
      <c r="F236" s="115"/>
      <c r="H236" s="95">
        <v>231</v>
      </c>
      <c r="I236" s="96" t="str">
        <f t="shared" si="16"/>
        <v/>
      </c>
      <c r="J236" s="95" t="e">
        <f t="shared" si="17"/>
        <v>#NUM!</v>
      </c>
      <c r="K236" s="95" t="e">
        <f t="shared" si="18"/>
        <v>#NUM!</v>
      </c>
      <c r="L236" s="95"/>
      <c r="M236" s="97">
        <f t="shared" si="19"/>
        <v>0</v>
      </c>
      <c r="S236" s="85"/>
      <c r="T236" s="85"/>
      <c r="U236" s="85"/>
      <c r="V236" s="85"/>
      <c r="W236" s="85"/>
      <c r="X236" s="85"/>
      <c r="Y236" s="85"/>
      <c r="Z236" s="85"/>
      <c r="AA236" s="85"/>
      <c r="AB236" s="85"/>
      <c r="AC236" s="85"/>
      <c r="AD236" s="85"/>
      <c r="AE236" s="85"/>
      <c r="AF236" s="85"/>
      <c r="AG236" s="85"/>
      <c r="AH236" s="85"/>
      <c r="AI236" s="85"/>
      <c r="AJ236" s="85"/>
      <c r="AK236" s="85"/>
      <c r="AL236" s="85"/>
    </row>
    <row r="237" spans="1:38" s="80" customFormat="1" x14ac:dyDescent="0.25">
      <c r="A237" s="116"/>
      <c r="B237" s="115"/>
      <c r="C237" s="115"/>
      <c r="D237" s="115"/>
      <c r="E237" s="115"/>
      <c r="F237" s="115"/>
      <c r="H237" s="95">
        <v>232</v>
      </c>
      <c r="I237" s="96" t="str">
        <f t="shared" si="16"/>
        <v/>
      </c>
      <c r="J237" s="95" t="e">
        <f t="shared" si="17"/>
        <v>#NUM!</v>
      </c>
      <c r="K237" s="95" t="e">
        <f t="shared" si="18"/>
        <v>#NUM!</v>
      </c>
      <c r="L237" s="95"/>
      <c r="M237" s="97">
        <f t="shared" si="19"/>
        <v>0</v>
      </c>
      <c r="S237" s="85"/>
      <c r="T237" s="85"/>
      <c r="U237" s="85"/>
      <c r="V237" s="85"/>
      <c r="W237" s="85"/>
      <c r="X237" s="85"/>
      <c r="Y237" s="85"/>
      <c r="Z237" s="85"/>
      <c r="AA237" s="85"/>
      <c r="AB237" s="85"/>
      <c r="AC237" s="85"/>
      <c r="AD237" s="85"/>
      <c r="AE237" s="85"/>
      <c r="AF237" s="85"/>
      <c r="AG237" s="85"/>
      <c r="AH237" s="85"/>
      <c r="AI237" s="85"/>
      <c r="AJ237" s="85"/>
      <c r="AK237" s="85"/>
      <c r="AL237" s="85"/>
    </row>
    <row r="238" spans="1:38" s="80" customFormat="1" x14ac:dyDescent="0.25">
      <c r="A238" s="116"/>
      <c r="B238" s="115"/>
      <c r="C238" s="115"/>
      <c r="D238" s="115"/>
      <c r="E238" s="115"/>
      <c r="F238" s="115"/>
      <c r="H238" s="95">
        <v>233</v>
      </c>
      <c r="I238" s="96" t="str">
        <f t="shared" si="16"/>
        <v/>
      </c>
      <c r="J238" s="95" t="e">
        <f t="shared" si="17"/>
        <v>#NUM!</v>
      </c>
      <c r="K238" s="95" t="e">
        <f t="shared" si="18"/>
        <v>#NUM!</v>
      </c>
      <c r="L238" s="95"/>
      <c r="M238" s="97">
        <f t="shared" si="19"/>
        <v>0</v>
      </c>
      <c r="S238" s="85"/>
      <c r="T238" s="85"/>
      <c r="U238" s="85"/>
      <c r="V238" s="85"/>
      <c r="W238" s="85"/>
      <c r="X238" s="85"/>
      <c r="Y238" s="85"/>
      <c r="Z238" s="85"/>
      <c r="AA238" s="85"/>
      <c r="AB238" s="85"/>
      <c r="AC238" s="85"/>
      <c r="AD238" s="85"/>
      <c r="AE238" s="85"/>
      <c r="AF238" s="85"/>
      <c r="AG238" s="85"/>
      <c r="AH238" s="85"/>
      <c r="AI238" s="85"/>
      <c r="AJ238" s="85"/>
      <c r="AK238" s="85"/>
      <c r="AL238" s="85"/>
    </row>
    <row r="239" spans="1:38" s="80" customFormat="1" x14ac:dyDescent="0.25">
      <c r="A239" s="116"/>
      <c r="B239" s="115"/>
      <c r="C239" s="115"/>
      <c r="D239" s="115"/>
      <c r="E239" s="115"/>
      <c r="F239" s="115"/>
      <c r="H239" s="95">
        <v>234</v>
      </c>
      <c r="I239" s="96" t="str">
        <f t="shared" si="16"/>
        <v/>
      </c>
      <c r="J239" s="95" t="e">
        <f t="shared" si="17"/>
        <v>#NUM!</v>
      </c>
      <c r="K239" s="95" t="e">
        <f t="shared" si="18"/>
        <v>#NUM!</v>
      </c>
      <c r="L239" s="95"/>
      <c r="M239" s="97">
        <f t="shared" si="19"/>
        <v>0</v>
      </c>
      <c r="S239" s="85"/>
      <c r="T239" s="85"/>
      <c r="U239" s="85"/>
      <c r="V239" s="85"/>
      <c r="W239" s="85"/>
      <c r="X239" s="85"/>
      <c r="Y239" s="85"/>
      <c r="Z239" s="85"/>
      <c r="AA239" s="85"/>
      <c r="AB239" s="85"/>
      <c r="AC239" s="85"/>
      <c r="AD239" s="85"/>
      <c r="AE239" s="85"/>
      <c r="AF239" s="85"/>
      <c r="AG239" s="85"/>
      <c r="AH239" s="85"/>
      <c r="AI239" s="85"/>
      <c r="AJ239" s="85"/>
      <c r="AK239" s="85"/>
      <c r="AL239" s="85"/>
    </row>
    <row r="240" spans="1:38" s="80" customFormat="1" x14ac:dyDescent="0.25">
      <c r="A240" s="116"/>
      <c r="B240" s="115"/>
      <c r="C240" s="115"/>
      <c r="D240" s="115"/>
      <c r="E240" s="115"/>
      <c r="F240" s="115"/>
      <c r="H240" s="95">
        <v>235</v>
      </c>
      <c r="I240" s="96" t="str">
        <f t="shared" si="16"/>
        <v/>
      </c>
      <c r="J240" s="95" t="e">
        <f t="shared" si="17"/>
        <v>#NUM!</v>
      </c>
      <c r="K240" s="95" t="e">
        <f t="shared" si="18"/>
        <v>#NUM!</v>
      </c>
      <c r="L240" s="95"/>
      <c r="M240" s="97">
        <f t="shared" si="19"/>
        <v>0</v>
      </c>
      <c r="S240" s="85"/>
      <c r="T240" s="85"/>
      <c r="U240" s="85"/>
      <c r="V240" s="85"/>
      <c r="W240" s="85"/>
      <c r="X240" s="85"/>
      <c r="Y240" s="85"/>
      <c r="Z240" s="85"/>
      <c r="AA240" s="85"/>
      <c r="AB240" s="85"/>
      <c r="AC240" s="85"/>
      <c r="AD240" s="85"/>
      <c r="AE240" s="85"/>
      <c r="AF240" s="85"/>
      <c r="AG240" s="85"/>
      <c r="AH240" s="85"/>
      <c r="AI240" s="85"/>
      <c r="AJ240" s="85"/>
      <c r="AK240" s="85"/>
      <c r="AL240" s="85"/>
    </row>
    <row r="241" spans="1:38" s="80" customFormat="1" x14ac:dyDescent="0.25">
      <c r="A241" s="116"/>
      <c r="B241" s="115"/>
      <c r="C241" s="115"/>
      <c r="D241" s="115"/>
      <c r="E241" s="115"/>
      <c r="F241" s="115"/>
      <c r="H241" s="95">
        <v>236</v>
      </c>
      <c r="I241" s="96" t="str">
        <f t="shared" si="16"/>
        <v/>
      </c>
      <c r="J241" s="95" t="e">
        <f t="shared" si="17"/>
        <v>#NUM!</v>
      </c>
      <c r="K241" s="95" t="e">
        <f t="shared" si="18"/>
        <v>#NUM!</v>
      </c>
      <c r="L241" s="95"/>
      <c r="M241" s="97">
        <f t="shared" si="19"/>
        <v>0</v>
      </c>
      <c r="S241" s="85"/>
      <c r="T241" s="85"/>
      <c r="U241" s="85"/>
      <c r="V241" s="85"/>
      <c r="W241" s="85"/>
      <c r="X241" s="85"/>
      <c r="Y241" s="85"/>
      <c r="Z241" s="85"/>
      <c r="AA241" s="85"/>
      <c r="AB241" s="85"/>
      <c r="AC241" s="85"/>
      <c r="AD241" s="85"/>
      <c r="AE241" s="85"/>
      <c r="AF241" s="85"/>
      <c r="AG241" s="85"/>
      <c r="AH241" s="85"/>
      <c r="AI241" s="85"/>
      <c r="AJ241" s="85"/>
      <c r="AK241" s="85"/>
      <c r="AL241" s="85"/>
    </row>
    <row r="242" spans="1:38" s="80" customFormat="1" x14ac:dyDescent="0.25">
      <c r="A242" s="116"/>
      <c r="B242" s="115"/>
      <c r="C242" s="115"/>
      <c r="D242" s="115"/>
      <c r="E242" s="115"/>
      <c r="F242" s="115"/>
      <c r="H242" s="95">
        <v>237</v>
      </c>
      <c r="I242" s="96" t="str">
        <f t="shared" si="16"/>
        <v/>
      </c>
      <c r="J242" s="95" t="e">
        <f t="shared" si="17"/>
        <v>#NUM!</v>
      </c>
      <c r="K242" s="95" t="e">
        <f t="shared" si="18"/>
        <v>#NUM!</v>
      </c>
      <c r="L242" s="95"/>
      <c r="M242" s="97">
        <f t="shared" si="19"/>
        <v>0</v>
      </c>
      <c r="S242" s="85"/>
      <c r="T242" s="85"/>
      <c r="U242" s="85"/>
      <c r="V242" s="85"/>
      <c r="W242" s="85"/>
      <c r="X242" s="85"/>
      <c r="Y242" s="85"/>
      <c r="Z242" s="85"/>
      <c r="AA242" s="85"/>
      <c r="AB242" s="85"/>
      <c r="AC242" s="85"/>
      <c r="AD242" s="85"/>
      <c r="AE242" s="85"/>
      <c r="AF242" s="85"/>
      <c r="AG242" s="85"/>
      <c r="AH242" s="85"/>
      <c r="AI242" s="85"/>
      <c r="AJ242" s="85"/>
      <c r="AK242" s="85"/>
      <c r="AL242" s="85"/>
    </row>
    <row r="243" spans="1:38" s="80" customFormat="1" x14ac:dyDescent="0.25">
      <c r="A243" s="116"/>
      <c r="B243" s="115"/>
      <c r="C243" s="115"/>
      <c r="D243" s="115"/>
      <c r="E243" s="115"/>
      <c r="F243" s="115"/>
      <c r="H243" s="95">
        <v>238</v>
      </c>
      <c r="I243" s="96" t="str">
        <f t="shared" si="16"/>
        <v/>
      </c>
      <c r="J243" s="95" t="e">
        <f t="shared" si="17"/>
        <v>#NUM!</v>
      </c>
      <c r="K243" s="95" t="e">
        <f t="shared" si="18"/>
        <v>#NUM!</v>
      </c>
      <c r="L243" s="95"/>
      <c r="M243" s="97">
        <f t="shared" si="19"/>
        <v>0</v>
      </c>
      <c r="S243" s="85"/>
      <c r="T243" s="85"/>
      <c r="U243" s="85"/>
      <c r="V243" s="85"/>
      <c r="W243" s="85"/>
      <c r="X243" s="85"/>
      <c r="Y243" s="85"/>
      <c r="Z243" s="85"/>
      <c r="AA243" s="85"/>
      <c r="AB243" s="85"/>
      <c r="AC243" s="85"/>
      <c r="AD243" s="85"/>
      <c r="AE243" s="85"/>
      <c r="AF243" s="85"/>
      <c r="AG243" s="85"/>
      <c r="AH243" s="85"/>
      <c r="AI243" s="85"/>
      <c r="AJ243" s="85"/>
      <c r="AK243" s="85"/>
      <c r="AL243" s="85"/>
    </row>
    <row r="244" spans="1:38" s="80" customFormat="1" x14ac:dyDescent="0.25">
      <c r="A244" s="116"/>
      <c r="B244" s="115"/>
      <c r="C244" s="115"/>
      <c r="D244" s="115"/>
      <c r="E244" s="115"/>
      <c r="F244" s="115"/>
      <c r="H244" s="95">
        <v>239</v>
      </c>
      <c r="I244" s="96" t="str">
        <f t="shared" si="16"/>
        <v/>
      </c>
      <c r="J244" s="95" t="e">
        <f t="shared" si="17"/>
        <v>#NUM!</v>
      </c>
      <c r="K244" s="95" t="e">
        <f t="shared" si="18"/>
        <v>#NUM!</v>
      </c>
      <c r="L244" s="95"/>
      <c r="M244" s="97">
        <f t="shared" si="19"/>
        <v>0</v>
      </c>
      <c r="S244" s="85"/>
      <c r="T244" s="85"/>
      <c r="U244" s="85"/>
      <c r="V244" s="85"/>
      <c r="W244" s="85"/>
      <c r="X244" s="85"/>
      <c r="Y244" s="85"/>
      <c r="Z244" s="85"/>
      <c r="AA244" s="85"/>
      <c r="AB244" s="85"/>
      <c r="AC244" s="85"/>
      <c r="AD244" s="85"/>
      <c r="AE244" s="85"/>
      <c r="AF244" s="85"/>
      <c r="AG244" s="85"/>
      <c r="AH244" s="85"/>
      <c r="AI244" s="85"/>
      <c r="AJ244" s="85"/>
      <c r="AK244" s="85"/>
      <c r="AL244" s="85"/>
    </row>
    <row r="245" spans="1:38" s="80" customFormat="1" x14ac:dyDescent="0.25">
      <c r="A245" s="116"/>
      <c r="B245" s="115"/>
      <c r="C245" s="115"/>
      <c r="D245" s="115"/>
      <c r="E245" s="115"/>
      <c r="F245" s="115"/>
      <c r="H245" s="95">
        <v>240</v>
      </c>
      <c r="I245" s="96" t="str">
        <f t="shared" si="16"/>
        <v/>
      </c>
      <c r="J245" s="95" t="e">
        <f t="shared" si="17"/>
        <v>#NUM!</v>
      </c>
      <c r="K245" s="95" t="e">
        <f t="shared" si="18"/>
        <v>#NUM!</v>
      </c>
      <c r="L245" s="95"/>
      <c r="M245" s="97">
        <f t="shared" si="19"/>
        <v>0</v>
      </c>
      <c r="S245" s="85"/>
      <c r="T245" s="85"/>
      <c r="U245" s="85"/>
      <c r="V245" s="85"/>
      <c r="W245" s="85"/>
      <c r="X245" s="85"/>
      <c r="Y245" s="85"/>
      <c r="Z245" s="85"/>
      <c r="AA245" s="85"/>
      <c r="AB245" s="85"/>
      <c r="AC245" s="85"/>
      <c r="AD245" s="85"/>
      <c r="AE245" s="85"/>
      <c r="AF245" s="85"/>
      <c r="AG245" s="85"/>
      <c r="AH245" s="85"/>
      <c r="AI245" s="85"/>
      <c r="AJ245" s="85"/>
      <c r="AK245" s="85"/>
      <c r="AL245" s="85"/>
    </row>
    <row r="246" spans="1:38" s="80" customFormat="1" x14ac:dyDescent="0.25">
      <c r="A246" s="116"/>
      <c r="B246" s="115"/>
      <c r="C246" s="115"/>
      <c r="D246" s="115"/>
      <c r="E246" s="115"/>
      <c r="F246" s="115"/>
      <c r="H246" s="95">
        <v>241</v>
      </c>
      <c r="I246" s="96" t="str">
        <f t="shared" si="16"/>
        <v/>
      </c>
      <c r="J246" s="95" t="e">
        <f t="shared" si="17"/>
        <v>#NUM!</v>
      </c>
      <c r="K246" s="95" t="e">
        <f t="shared" si="18"/>
        <v>#NUM!</v>
      </c>
      <c r="L246" s="95"/>
      <c r="M246" s="97">
        <f t="shared" si="19"/>
        <v>0</v>
      </c>
      <c r="S246" s="85"/>
      <c r="T246" s="85"/>
      <c r="U246" s="85"/>
      <c r="V246" s="85"/>
      <c r="W246" s="85"/>
      <c r="X246" s="85"/>
      <c r="Y246" s="85"/>
      <c r="Z246" s="85"/>
      <c r="AA246" s="85"/>
      <c r="AB246" s="85"/>
      <c r="AC246" s="85"/>
      <c r="AD246" s="85"/>
      <c r="AE246" s="85"/>
      <c r="AF246" s="85"/>
      <c r="AG246" s="85"/>
      <c r="AH246" s="85"/>
      <c r="AI246" s="85"/>
      <c r="AJ246" s="85"/>
      <c r="AK246" s="85"/>
      <c r="AL246" s="85"/>
    </row>
    <row r="247" spans="1:38" s="80" customFormat="1" x14ac:dyDescent="0.25">
      <c r="A247" s="116"/>
      <c r="B247" s="115"/>
      <c r="C247" s="115"/>
      <c r="D247" s="115"/>
      <c r="E247" s="115"/>
      <c r="F247" s="115"/>
      <c r="H247" s="95">
        <v>242</v>
      </c>
      <c r="I247" s="96" t="str">
        <f t="shared" si="16"/>
        <v/>
      </c>
      <c r="J247" s="95" t="e">
        <f t="shared" si="17"/>
        <v>#NUM!</v>
      </c>
      <c r="K247" s="95" t="e">
        <f t="shared" si="18"/>
        <v>#NUM!</v>
      </c>
      <c r="L247" s="95"/>
      <c r="M247" s="97">
        <f t="shared" si="19"/>
        <v>0</v>
      </c>
      <c r="S247" s="85"/>
      <c r="T247" s="85"/>
      <c r="U247" s="85"/>
      <c r="V247" s="85"/>
      <c r="W247" s="85"/>
      <c r="X247" s="85"/>
      <c r="Y247" s="85"/>
      <c r="Z247" s="85"/>
      <c r="AA247" s="85"/>
      <c r="AB247" s="85"/>
      <c r="AC247" s="85"/>
      <c r="AD247" s="85"/>
      <c r="AE247" s="85"/>
      <c r="AF247" s="85"/>
      <c r="AG247" s="85"/>
      <c r="AH247" s="85"/>
      <c r="AI247" s="85"/>
      <c r="AJ247" s="85"/>
      <c r="AK247" s="85"/>
      <c r="AL247" s="85"/>
    </row>
    <row r="248" spans="1:38" s="80" customFormat="1" x14ac:dyDescent="0.25">
      <c r="A248" s="116"/>
      <c r="B248" s="115"/>
      <c r="C248" s="115"/>
      <c r="D248" s="115"/>
      <c r="E248" s="115"/>
      <c r="F248" s="115"/>
      <c r="H248" s="95">
        <v>243</v>
      </c>
      <c r="I248" s="96" t="str">
        <f t="shared" si="16"/>
        <v/>
      </c>
      <c r="J248" s="95" t="e">
        <f t="shared" si="17"/>
        <v>#NUM!</v>
      </c>
      <c r="K248" s="95" t="e">
        <f t="shared" si="18"/>
        <v>#NUM!</v>
      </c>
      <c r="L248" s="95"/>
      <c r="M248" s="97">
        <f t="shared" si="19"/>
        <v>0</v>
      </c>
      <c r="S248" s="85"/>
      <c r="T248" s="85"/>
      <c r="U248" s="85"/>
      <c r="V248" s="85"/>
      <c r="W248" s="85"/>
      <c r="X248" s="85"/>
      <c r="Y248" s="85"/>
      <c r="Z248" s="85"/>
      <c r="AA248" s="85"/>
      <c r="AB248" s="85"/>
      <c r="AC248" s="85"/>
      <c r="AD248" s="85"/>
      <c r="AE248" s="85"/>
      <c r="AF248" s="85"/>
      <c r="AG248" s="85"/>
      <c r="AH248" s="85"/>
      <c r="AI248" s="85"/>
      <c r="AJ248" s="85"/>
      <c r="AK248" s="85"/>
      <c r="AL248" s="85"/>
    </row>
    <row r="249" spans="1:38" s="80" customFormat="1" x14ac:dyDescent="0.25">
      <c r="A249" s="116"/>
      <c r="B249" s="115"/>
      <c r="C249" s="115"/>
      <c r="D249" s="115"/>
      <c r="E249" s="115"/>
      <c r="F249" s="115"/>
      <c r="H249" s="95">
        <v>244</v>
      </c>
      <c r="I249" s="96" t="str">
        <f t="shared" si="16"/>
        <v/>
      </c>
      <c r="J249" s="95" t="e">
        <f t="shared" si="17"/>
        <v>#NUM!</v>
      </c>
      <c r="K249" s="95" t="e">
        <f t="shared" si="18"/>
        <v>#NUM!</v>
      </c>
      <c r="L249" s="95"/>
      <c r="M249" s="97">
        <f t="shared" si="19"/>
        <v>0</v>
      </c>
      <c r="S249" s="85"/>
      <c r="T249" s="85"/>
      <c r="U249" s="85"/>
      <c r="V249" s="85"/>
      <c r="W249" s="85"/>
      <c r="X249" s="85"/>
      <c r="Y249" s="85"/>
      <c r="Z249" s="85"/>
      <c r="AA249" s="85"/>
      <c r="AB249" s="85"/>
      <c r="AC249" s="85"/>
      <c r="AD249" s="85"/>
      <c r="AE249" s="85"/>
      <c r="AF249" s="85"/>
      <c r="AG249" s="85"/>
      <c r="AH249" s="85"/>
      <c r="AI249" s="85"/>
      <c r="AJ249" s="85"/>
      <c r="AK249" s="85"/>
      <c r="AL249" s="85"/>
    </row>
    <row r="250" spans="1:38" s="80" customFormat="1" x14ac:dyDescent="0.25">
      <c r="A250" s="116"/>
      <c r="B250" s="115"/>
      <c r="C250" s="115"/>
      <c r="D250" s="115"/>
      <c r="E250" s="115"/>
      <c r="F250" s="115"/>
      <c r="H250" s="95">
        <v>245</v>
      </c>
      <c r="I250" s="96" t="str">
        <f t="shared" si="16"/>
        <v/>
      </c>
      <c r="J250" s="95" t="e">
        <f t="shared" si="17"/>
        <v>#NUM!</v>
      </c>
      <c r="K250" s="95" t="e">
        <f t="shared" si="18"/>
        <v>#NUM!</v>
      </c>
      <c r="L250" s="95"/>
      <c r="M250" s="97">
        <f t="shared" si="19"/>
        <v>0</v>
      </c>
      <c r="S250" s="85"/>
      <c r="T250" s="85"/>
      <c r="U250" s="85"/>
      <c r="V250" s="85"/>
      <c r="W250" s="85"/>
      <c r="X250" s="85"/>
      <c r="Y250" s="85"/>
      <c r="Z250" s="85"/>
      <c r="AA250" s="85"/>
      <c r="AB250" s="85"/>
      <c r="AC250" s="85"/>
      <c r="AD250" s="85"/>
      <c r="AE250" s="85"/>
      <c r="AF250" s="85"/>
      <c r="AG250" s="85"/>
      <c r="AH250" s="85"/>
      <c r="AI250" s="85"/>
      <c r="AJ250" s="85"/>
      <c r="AK250" s="85"/>
      <c r="AL250" s="85"/>
    </row>
    <row r="251" spans="1:38" s="80" customFormat="1" x14ac:dyDescent="0.25">
      <c r="A251" s="116"/>
      <c r="B251" s="115"/>
      <c r="C251" s="115"/>
      <c r="D251" s="115"/>
      <c r="E251" s="115"/>
      <c r="F251" s="115"/>
      <c r="H251" s="95">
        <v>246</v>
      </c>
      <c r="I251" s="96" t="str">
        <f t="shared" si="16"/>
        <v/>
      </c>
      <c r="J251" s="95" t="e">
        <f t="shared" si="17"/>
        <v>#NUM!</v>
      </c>
      <c r="K251" s="95" t="e">
        <f t="shared" si="18"/>
        <v>#NUM!</v>
      </c>
      <c r="L251" s="95"/>
      <c r="M251" s="97">
        <f t="shared" si="19"/>
        <v>0</v>
      </c>
      <c r="S251" s="85"/>
      <c r="T251" s="85"/>
      <c r="U251" s="85"/>
      <c r="V251" s="85"/>
      <c r="W251" s="85"/>
      <c r="X251" s="85"/>
      <c r="Y251" s="85"/>
      <c r="Z251" s="85"/>
      <c r="AA251" s="85"/>
      <c r="AB251" s="85"/>
      <c r="AC251" s="85"/>
      <c r="AD251" s="85"/>
      <c r="AE251" s="85"/>
      <c r="AF251" s="85"/>
      <c r="AG251" s="85"/>
      <c r="AH251" s="85"/>
      <c r="AI251" s="85"/>
      <c r="AJ251" s="85"/>
      <c r="AK251" s="85"/>
      <c r="AL251" s="85"/>
    </row>
    <row r="252" spans="1:38" s="80" customFormat="1" x14ac:dyDescent="0.25">
      <c r="A252" s="116"/>
      <c r="B252" s="115"/>
      <c r="C252" s="115"/>
      <c r="D252" s="115"/>
      <c r="E252" s="115"/>
      <c r="F252" s="115"/>
      <c r="H252" s="95">
        <v>247</v>
      </c>
      <c r="I252" s="96" t="str">
        <f t="shared" si="16"/>
        <v/>
      </c>
      <c r="J252" s="95" t="e">
        <f t="shared" si="17"/>
        <v>#NUM!</v>
      </c>
      <c r="K252" s="95" t="e">
        <f t="shared" si="18"/>
        <v>#NUM!</v>
      </c>
      <c r="L252" s="95"/>
      <c r="M252" s="97">
        <f t="shared" si="19"/>
        <v>0</v>
      </c>
      <c r="S252" s="85"/>
      <c r="T252" s="85"/>
      <c r="U252" s="85"/>
      <c r="V252" s="85"/>
      <c r="W252" s="85"/>
      <c r="X252" s="85"/>
      <c r="Y252" s="85"/>
      <c r="Z252" s="85"/>
      <c r="AA252" s="85"/>
      <c r="AB252" s="85"/>
      <c r="AC252" s="85"/>
      <c r="AD252" s="85"/>
      <c r="AE252" s="85"/>
      <c r="AF252" s="85"/>
      <c r="AG252" s="85"/>
      <c r="AH252" s="85"/>
      <c r="AI252" s="85"/>
      <c r="AJ252" s="85"/>
      <c r="AK252" s="85"/>
      <c r="AL252" s="85"/>
    </row>
    <row r="253" spans="1:38" s="80" customFormat="1" x14ac:dyDescent="0.25">
      <c r="A253" s="116"/>
      <c r="B253" s="115"/>
      <c r="C253" s="115"/>
      <c r="D253" s="115"/>
      <c r="E253" s="115"/>
      <c r="F253" s="115"/>
      <c r="H253" s="95">
        <v>248</v>
      </c>
      <c r="I253" s="96" t="str">
        <f t="shared" si="16"/>
        <v/>
      </c>
      <c r="J253" s="95" t="e">
        <f t="shared" si="17"/>
        <v>#NUM!</v>
      </c>
      <c r="K253" s="95" t="e">
        <f t="shared" si="18"/>
        <v>#NUM!</v>
      </c>
      <c r="L253" s="95"/>
      <c r="M253" s="97">
        <f t="shared" si="19"/>
        <v>0</v>
      </c>
      <c r="S253" s="85"/>
      <c r="T253" s="85"/>
      <c r="U253" s="85"/>
      <c r="V253" s="85"/>
      <c r="W253" s="85"/>
      <c r="X253" s="85"/>
      <c r="Y253" s="85"/>
      <c r="Z253" s="85"/>
      <c r="AA253" s="85"/>
      <c r="AB253" s="85"/>
      <c r="AC253" s="85"/>
      <c r="AD253" s="85"/>
      <c r="AE253" s="85"/>
      <c r="AF253" s="85"/>
      <c r="AG253" s="85"/>
      <c r="AH253" s="85"/>
      <c r="AI253" s="85"/>
      <c r="AJ253" s="85"/>
      <c r="AK253" s="85"/>
      <c r="AL253" s="85"/>
    </row>
    <row r="254" spans="1:38" s="80" customFormat="1" x14ac:dyDescent="0.25">
      <c r="A254" s="116"/>
      <c r="B254" s="115"/>
      <c r="C254" s="115"/>
      <c r="D254" s="115"/>
      <c r="E254" s="115"/>
      <c r="F254" s="115"/>
      <c r="H254" s="95">
        <v>249</v>
      </c>
      <c r="I254" s="96" t="str">
        <f t="shared" si="16"/>
        <v/>
      </c>
      <c r="J254" s="95" t="e">
        <f t="shared" si="17"/>
        <v>#NUM!</v>
      </c>
      <c r="K254" s="95" t="e">
        <f t="shared" si="18"/>
        <v>#NUM!</v>
      </c>
      <c r="L254" s="95"/>
      <c r="M254" s="97">
        <f t="shared" si="19"/>
        <v>0</v>
      </c>
      <c r="S254" s="85"/>
      <c r="T254" s="85"/>
      <c r="U254" s="85"/>
      <c r="V254" s="85"/>
      <c r="W254" s="85"/>
      <c r="X254" s="85"/>
      <c r="Y254" s="85"/>
      <c r="Z254" s="85"/>
      <c r="AA254" s="85"/>
      <c r="AB254" s="85"/>
      <c r="AC254" s="85"/>
      <c r="AD254" s="85"/>
      <c r="AE254" s="85"/>
      <c r="AF254" s="85"/>
      <c r="AG254" s="85"/>
      <c r="AH254" s="85"/>
      <c r="AI254" s="85"/>
      <c r="AJ254" s="85"/>
      <c r="AK254" s="85"/>
      <c r="AL254" s="85"/>
    </row>
    <row r="255" spans="1:38" s="80" customFormat="1" x14ac:dyDescent="0.25">
      <c r="A255" s="116"/>
      <c r="B255" s="115"/>
      <c r="C255" s="115"/>
      <c r="D255" s="115"/>
      <c r="E255" s="115"/>
      <c r="F255" s="115"/>
      <c r="H255" s="95">
        <v>250</v>
      </c>
      <c r="I255" s="96" t="str">
        <f t="shared" si="16"/>
        <v/>
      </c>
      <c r="J255" s="95" t="e">
        <f t="shared" si="17"/>
        <v>#NUM!</v>
      </c>
      <c r="K255" s="95" t="e">
        <f t="shared" si="18"/>
        <v>#NUM!</v>
      </c>
      <c r="L255" s="95"/>
      <c r="M255" s="97">
        <f t="shared" si="19"/>
        <v>0</v>
      </c>
      <c r="S255" s="85"/>
      <c r="T255" s="85"/>
      <c r="U255" s="85"/>
      <c r="V255" s="85"/>
      <c r="W255" s="85"/>
      <c r="X255" s="85"/>
      <c r="Y255" s="85"/>
      <c r="Z255" s="85"/>
      <c r="AA255" s="85"/>
      <c r="AB255" s="85"/>
      <c r="AC255" s="85"/>
      <c r="AD255" s="85"/>
      <c r="AE255" s="85"/>
      <c r="AF255" s="85"/>
      <c r="AG255" s="85"/>
      <c r="AH255" s="85"/>
      <c r="AI255" s="85"/>
      <c r="AJ255" s="85"/>
      <c r="AK255" s="85"/>
      <c r="AL255" s="85"/>
    </row>
    <row r="256" spans="1:38" s="80" customFormat="1" x14ac:dyDescent="0.25">
      <c r="A256" s="116"/>
      <c r="B256" s="115"/>
      <c r="C256" s="115"/>
      <c r="D256" s="115"/>
      <c r="E256" s="115"/>
      <c r="F256" s="115"/>
      <c r="H256" s="95">
        <v>251</v>
      </c>
      <c r="I256" s="96" t="str">
        <f t="shared" si="16"/>
        <v/>
      </c>
      <c r="J256" s="95" t="e">
        <f t="shared" si="17"/>
        <v>#NUM!</v>
      </c>
      <c r="K256" s="95" t="e">
        <f t="shared" si="18"/>
        <v>#NUM!</v>
      </c>
      <c r="L256" s="95"/>
      <c r="M256" s="97">
        <f t="shared" si="19"/>
        <v>0</v>
      </c>
      <c r="S256" s="85"/>
      <c r="T256" s="85"/>
      <c r="U256" s="85"/>
      <c r="V256" s="85"/>
      <c r="W256" s="85"/>
      <c r="X256" s="85"/>
      <c r="Y256" s="85"/>
      <c r="Z256" s="85"/>
      <c r="AA256" s="85"/>
      <c r="AB256" s="85"/>
      <c r="AC256" s="85"/>
      <c r="AD256" s="85"/>
      <c r="AE256" s="85"/>
      <c r="AF256" s="85"/>
      <c r="AG256" s="85"/>
      <c r="AH256" s="85"/>
      <c r="AI256" s="85"/>
      <c r="AJ256" s="85"/>
      <c r="AK256" s="85"/>
      <c r="AL256" s="85"/>
    </row>
    <row r="257" spans="1:38" s="80" customFormat="1" x14ac:dyDescent="0.25">
      <c r="A257" s="116"/>
      <c r="B257" s="115"/>
      <c r="C257" s="115"/>
      <c r="D257" s="115"/>
      <c r="E257" s="115"/>
      <c r="F257" s="115"/>
      <c r="H257" s="95">
        <v>252</v>
      </c>
      <c r="I257" s="96" t="str">
        <f t="shared" si="16"/>
        <v/>
      </c>
      <c r="J257" s="95" t="e">
        <f t="shared" si="17"/>
        <v>#NUM!</v>
      </c>
      <c r="K257" s="95" t="e">
        <f t="shared" si="18"/>
        <v>#NUM!</v>
      </c>
      <c r="L257" s="95"/>
      <c r="M257" s="97">
        <f t="shared" si="19"/>
        <v>0</v>
      </c>
      <c r="S257" s="85"/>
      <c r="T257" s="85"/>
      <c r="U257" s="85"/>
      <c r="V257" s="85"/>
      <c r="W257" s="85"/>
      <c r="X257" s="85"/>
      <c r="Y257" s="85"/>
      <c r="Z257" s="85"/>
      <c r="AA257" s="85"/>
      <c r="AB257" s="85"/>
      <c r="AC257" s="85"/>
      <c r="AD257" s="85"/>
      <c r="AE257" s="85"/>
      <c r="AF257" s="85"/>
      <c r="AG257" s="85"/>
      <c r="AH257" s="85"/>
      <c r="AI257" s="85"/>
      <c r="AJ257" s="85"/>
      <c r="AK257" s="85"/>
      <c r="AL257" s="85"/>
    </row>
    <row r="258" spans="1:38" s="80" customFormat="1" x14ac:dyDescent="0.25">
      <c r="A258" s="116"/>
      <c r="B258" s="115"/>
      <c r="C258" s="115"/>
      <c r="D258" s="115"/>
      <c r="E258" s="115"/>
      <c r="F258" s="115"/>
      <c r="H258" s="95">
        <v>253</v>
      </c>
      <c r="I258" s="96" t="str">
        <f t="shared" si="16"/>
        <v/>
      </c>
      <c r="J258" s="95" t="e">
        <f t="shared" si="17"/>
        <v>#NUM!</v>
      </c>
      <c r="K258" s="95" t="e">
        <f t="shared" si="18"/>
        <v>#NUM!</v>
      </c>
      <c r="L258" s="95"/>
      <c r="M258" s="97">
        <f t="shared" si="19"/>
        <v>0</v>
      </c>
      <c r="S258" s="85"/>
      <c r="T258" s="85"/>
      <c r="U258" s="85"/>
      <c r="V258" s="85"/>
      <c r="W258" s="85"/>
      <c r="X258" s="85"/>
      <c r="Y258" s="85"/>
      <c r="Z258" s="85"/>
      <c r="AA258" s="85"/>
      <c r="AB258" s="85"/>
      <c r="AC258" s="85"/>
      <c r="AD258" s="85"/>
      <c r="AE258" s="85"/>
      <c r="AF258" s="85"/>
      <c r="AG258" s="85"/>
      <c r="AH258" s="85"/>
      <c r="AI258" s="85"/>
      <c r="AJ258" s="85"/>
      <c r="AK258" s="85"/>
      <c r="AL258" s="85"/>
    </row>
    <row r="259" spans="1:38" s="80" customFormat="1" x14ac:dyDescent="0.25">
      <c r="A259" s="116"/>
      <c r="B259" s="115"/>
      <c r="C259" s="115"/>
      <c r="D259" s="115"/>
      <c r="E259" s="115"/>
      <c r="F259" s="115"/>
      <c r="H259" s="95">
        <v>254</v>
      </c>
      <c r="I259" s="96" t="str">
        <f t="shared" si="16"/>
        <v/>
      </c>
      <c r="J259" s="95" t="e">
        <f t="shared" si="17"/>
        <v>#NUM!</v>
      </c>
      <c r="K259" s="95" t="e">
        <f t="shared" si="18"/>
        <v>#NUM!</v>
      </c>
      <c r="L259" s="95"/>
      <c r="M259" s="97">
        <f t="shared" si="19"/>
        <v>0</v>
      </c>
      <c r="S259" s="85"/>
      <c r="T259" s="85"/>
      <c r="U259" s="85"/>
      <c r="V259" s="85"/>
      <c r="W259" s="85"/>
      <c r="X259" s="85"/>
      <c r="Y259" s="85"/>
      <c r="Z259" s="85"/>
      <c r="AA259" s="85"/>
      <c r="AB259" s="85"/>
      <c r="AC259" s="85"/>
      <c r="AD259" s="85"/>
      <c r="AE259" s="85"/>
      <c r="AF259" s="85"/>
      <c r="AG259" s="85"/>
      <c r="AH259" s="85"/>
      <c r="AI259" s="85"/>
      <c r="AJ259" s="85"/>
      <c r="AK259" s="85"/>
      <c r="AL259" s="85"/>
    </row>
    <row r="260" spans="1:38" s="80" customFormat="1" x14ac:dyDescent="0.25">
      <c r="A260" s="116"/>
      <c r="B260" s="115"/>
      <c r="C260" s="115"/>
      <c r="D260" s="115"/>
      <c r="E260" s="115"/>
      <c r="F260" s="115"/>
      <c r="H260" s="95">
        <v>255</v>
      </c>
      <c r="I260" s="96" t="str">
        <f t="shared" si="16"/>
        <v/>
      </c>
      <c r="J260" s="95" t="e">
        <f t="shared" si="17"/>
        <v>#NUM!</v>
      </c>
      <c r="K260" s="95" t="e">
        <f t="shared" si="18"/>
        <v>#NUM!</v>
      </c>
      <c r="L260" s="95"/>
      <c r="M260" s="97">
        <f t="shared" si="19"/>
        <v>0</v>
      </c>
      <c r="S260" s="85"/>
      <c r="T260" s="85"/>
      <c r="U260" s="85"/>
      <c r="V260" s="85"/>
      <c r="W260" s="85"/>
      <c r="X260" s="85"/>
      <c r="Y260" s="85"/>
      <c r="Z260" s="85"/>
      <c r="AA260" s="85"/>
      <c r="AB260" s="85"/>
      <c r="AC260" s="85"/>
      <c r="AD260" s="85"/>
      <c r="AE260" s="85"/>
      <c r="AF260" s="85"/>
      <c r="AG260" s="85"/>
      <c r="AH260" s="85"/>
      <c r="AI260" s="85"/>
      <c r="AJ260" s="85"/>
      <c r="AK260" s="85"/>
      <c r="AL260" s="85"/>
    </row>
    <row r="261" spans="1:38" s="80" customFormat="1" x14ac:dyDescent="0.25">
      <c r="A261" s="116"/>
      <c r="B261" s="115"/>
      <c r="C261" s="115"/>
      <c r="D261" s="115"/>
      <c r="E261" s="115"/>
      <c r="F261" s="115"/>
      <c r="H261" s="95">
        <v>256</v>
      </c>
      <c r="I261" s="96" t="str">
        <f t="shared" si="16"/>
        <v/>
      </c>
      <c r="J261" s="95" t="e">
        <f t="shared" si="17"/>
        <v>#NUM!</v>
      </c>
      <c r="K261" s="95" t="e">
        <f t="shared" si="18"/>
        <v>#NUM!</v>
      </c>
      <c r="L261" s="95"/>
      <c r="M261" s="97">
        <f t="shared" si="19"/>
        <v>0</v>
      </c>
      <c r="S261" s="85"/>
      <c r="T261" s="85"/>
      <c r="U261" s="85"/>
      <c r="V261" s="85"/>
      <c r="W261" s="85"/>
      <c r="X261" s="85"/>
      <c r="Y261" s="85"/>
      <c r="Z261" s="85"/>
      <c r="AA261" s="85"/>
      <c r="AB261" s="85"/>
      <c r="AC261" s="85"/>
      <c r="AD261" s="85"/>
      <c r="AE261" s="85"/>
      <c r="AF261" s="85"/>
      <c r="AG261" s="85"/>
      <c r="AH261" s="85"/>
      <c r="AI261" s="85"/>
      <c r="AJ261" s="85"/>
      <c r="AK261" s="85"/>
      <c r="AL261" s="85"/>
    </row>
    <row r="262" spans="1:38" s="80" customFormat="1" x14ac:dyDescent="0.25">
      <c r="A262" s="116"/>
      <c r="B262" s="115"/>
      <c r="C262" s="115"/>
      <c r="D262" s="115"/>
      <c r="E262" s="115"/>
      <c r="F262" s="115"/>
      <c r="H262" s="95">
        <v>257</v>
      </c>
      <c r="I262" s="96" t="str">
        <f t="shared" ref="I262:I305" si="20">IF(H262&lt;$H$2+1,($I$2-($I$2-1)*(LOG(H262)/LOG($H$2))),"")</f>
        <v/>
      </c>
      <c r="J262" s="95" t="e">
        <f t="shared" ref="J262:J305" si="21">INT(LOG($H$2,2))-ROUNDUP(LOG(H262,2),0)+IF(OR($H$2=1,$H$2=2,$H$2=4,$H$2=8,$H$2=16,$H$2=32,$H$2=64,$H$2=128,$H$2=256),0,1)</f>
        <v>#NUM!</v>
      </c>
      <c r="K262" s="95" t="e">
        <f t="shared" ref="K262:K305" si="22">J262*$J$2</f>
        <v>#NUM!</v>
      </c>
      <c r="L262" s="95"/>
      <c r="M262" s="97">
        <f t="shared" ref="M262:M305" si="23">IF(I262&lt;&gt;"",K262+I262+L262,0)</f>
        <v>0</v>
      </c>
      <c r="S262" s="85"/>
      <c r="T262" s="85"/>
      <c r="U262" s="85"/>
      <c r="V262" s="85"/>
      <c r="W262" s="85"/>
      <c r="X262" s="85"/>
      <c r="Y262" s="85"/>
      <c r="Z262" s="85"/>
      <c r="AA262" s="85"/>
      <c r="AB262" s="85"/>
      <c r="AC262" s="85"/>
      <c r="AD262" s="85"/>
      <c r="AE262" s="85"/>
      <c r="AF262" s="85"/>
      <c r="AG262" s="85"/>
      <c r="AH262" s="85"/>
      <c r="AI262" s="85"/>
      <c r="AJ262" s="85"/>
      <c r="AK262" s="85"/>
      <c r="AL262" s="85"/>
    </row>
    <row r="263" spans="1:38" s="80" customFormat="1" x14ac:dyDescent="0.25">
      <c r="A263" s="116"/>
      <c r="B263" s="115"/>
      <c r="C263" s="115"/>
      <c r="D263" s="115"/>
      <c r="E263" s="115"/>
      <c r="F263" s="115"/>
      <c r="H263" s="95">
        <v>258</v>
      </c>
      <c r="I263" s="96" t="str">
        <f t="shared" si="20"/>
        <v/>
      </c>
      <c r="J263" s="95" t="e">
        <f t="shared" si="21"/>
        <v>#NUM!</v>
      </c>
      <c r="K263" s="95" t="e">
        <f t="shared" si="22"/>
        <v>#NUM!</v>
      </c>
      <c r="L263" s="95"/>
      <c r="M263" s="97">
        <f t="shared" si="23"/>
        <v>0</v>
      </c>
      <c r="S263" s="85"/>
      <c r="T263" s="85"/>
      <c r="U263" s="85"/>
      <c r="V263" s="85"/>
      <c r="W263" s="85"/>
      <c r="X263" s="85"/>
      <c r="Y263" s="85"/>
      <c r="Z263" s="85"/>
      <c r="AA263" s="85"/>
      <c r="AB263" s="85"/>
      <c r="AC263" s="85"/>
      <c r="AD263" s="85"/>
      <c r="AE263" s="85"/>
      <c r="AF263" s="85"/>
      <c r="AG263" s="85"/>
      <c r="AH263" s="85"/>
      <c r="AI263" s="85"/>
      <c r="AJ263" s="85"/>
      <c r="AK263" s="85"/>
      <c r="AL263" s="85"/>
    </row>
    <row r="264" spans="1:38" s="80" customFormat="1" x14ac:dyDescent="0.25">
      <c r="A264" s="116"/>
      <c r="B264" s="115"/>
      <c r="C264" s="115"/>
      <c r="D264" s="115"/>
      <c r="E264" s="115"/>
      <c r="F264" s="115"/>
      <c r="H264" s="95">
        <v>259</v>
      </c>
      <c r="I264" s="96" t="str">
        <f t="shared" si="20"/>
        <v/>
      </c>
      <c r="J264" s="95" t="e">
        <f t="shared" si="21"/>
        <v>#NUM!</v>
      </c>
      <c r="K264" s="95" t="e">
        <f t="shared" si="22"/>
        <v>#NUM!</v>
      </c>
      <c r="L264" s="95"/>
      <c r="M264" s="97">
        <f t="shared" si="23"/>
        <v>0</v>
      </c>
      <c r="S264" s="85"/>
      <c r="T264" s="85"/>
      <c r="U264" s="85"/>
      <c r="V264" s="85"/>
      <c r="W264" s="85"/>
      <c r="X264" s="85"/>
      <c r="Y264" s="85"/>
      <c r="Z264" s="85"/>
      <c r="AA264" s="85"/>
      <c r="AB264" s="85"/>
      <c r="AC264" s="85"/>
      <c r="AD264" s="85"/>
      <c r="AE264" s="85"/>
      <c r="AF264" s="85"/>
      <c r="AG264" s="85"/>
      <c r="AH264" s="85"/>
      <c r="AI264" s="85"/>
      <c r="AJ264" s="85"/>
      <c r="AK264" s="85"/>
      <c r="AL264" s="85"/>
    </row>
    <row r="265" spans="1:38" s="80" customFormat="1" x14ac:dyDescent="0.25">
      <c r="A265" s="116"/>
      <c r="B265" s="115"/>
      <c r="C265" s="115"/>
      <c r="D265" s="115"/>
      <c r="E265" s="115"/>
      <c r="F265" s="115"/>
      <c r="H265" s="95">
        <v>260</v>
      </c>
      <c r="I265" s="96" t="str">
        <f t="shared" si="20"/>
        <v/>
      </c>
      <c r="J265" s="95" t="e">
        <f t="shared" si="21"/>
        <v>#NUM!</v>
      </c>
      <c r="K265" s="95" t="e">
        <f t="shared" si="22"/>
        <v>#NUM!</v>
      </c>
      <c r="L265" s="95"/>
      <c r="M265" s="97">
        <f t="shared" si="23"/>
        <v>0</v>
      </c>
      <c r="S265" s="85"/>
      <c r="T265" s="85"/>
      <c r="U265" s="85"/>
      <c r="V265" s="85"/>
      <c r="W265" s="85"/>
      <c r="X265" s="85"/>
      <c r="Y265" s="85"/>
      <c r="Z265" s="85"/>
      <c r="AA265" s="85"/>
      <c r="AB265" s="85"/>
      <c r="AC265" s="85"/>
      <c r="AD265" s="85"/>
      <c r="AE265" s="85"/>
      <c r="AF265" s="85"/>
      <c r="AG265" s="85"/>
      <c r="AH265" s="85"/>
      <c r="AI265" s="85"/>
      <c r="AJ265" s="85"/>
      <c r="AK265" s="85"/>
      <c r="AL265" s="85"/>
    </row>
    <row r="266" spans="1:38" s="80" customFormat="1" x14ac:dyDescent="0.25">
      <c r="A266" s="116"/>
      <c r="B266" s="115"/>
      <c r="C266" s="115"/>
      <c r="D266" s="115"/>
      <c r="E266" s="115"/>
      <c r="F266" s="115"/>
      <c r="H266" s="95">
        <v>261</v>
      </c>
      <c r="I266" s="96" t="str">
        <f t="shared" si="20"/>
        <v/>
      </c>
      <c r="J266" s="95" t="e">
        <f t="shared" si="21"/>
        <v>#NUM!</v>
      </c>
      <c r="K266" s="95" t="e">
        <f t="shared" si="22"/>
        <v>#NUM!</v>
      </c>
      <c r="L266" s="95"/>
      <c r="M266" s="97">
        <f t="shared" si="23"/>
        <v>0</v>
      </c>
      <c r="S266" s="85"/>
      <c r="T266" s="85"/>
      <c r="U266" s="85"/>
      <c r="V266" s="85"/>
      <c r="W266" s="85"/>
      <c r="X266" s="85"/>
      <c r="Y266" s="85"/>
      <c r="Z266" s="85"/>
      <c r="AA266" s="85"/>
      <c r="AB266" s="85"/>
      <c r="AC266" s="85"/>
      <c r="AD266" s="85"/>
      <c r="AE266" s="85"/>
      <c r="AF266" s="85"/>
      <c r="AG266" s="85"/>
      <c r="AH266" s="85"/>
      <c r="AI266" s="85"/>
      <c r="AJ266" s="85"/>
      <c r="AK266" s="85"/>
      <c r="AL266" s="85"/>
    </row>
    <row r="267" spans="1:38" s="80" customFormat="1" x14ac:dyDescent="0.25">
      <c r="A267" s="116"/>
      <c r="B267" s="115"/>
      <c r="C267" s="115"/>
      <c r="D267" s="115"/>
      <c r="E267" s="115"/>
      <c r="F267" s="115"/>
      <c r="H267" s="95">
        <v>262</v>
      </c>
      <c r="I267" s="96" t="str">
        <f t="shared" si="20"/>
        <v/>
      </c>
      <c r="J267" s="95" t="e">
        <f t="shared" si="21"/>
        <v>#NUM!</v>
      </c>
      <c r="K267" s="95" t="e">
        <f t="shared" si="22"/>
        <v>#NUM!</v>
      </c>
      <c r="L267" s="95"/>
      <c r="M267" s="97">
        <f t="shared" si="23"/>
        <v>0</v>
      </c>
      <c r="S267" s="85"/>
      <c r="T267" s="85"/>
      <c r="U267" s="85"/>
      <c r="V267" s="85"/>
      <c r="W267" s="85"/>
      <c r="X267" s="85"/>
      <c r="Y267" s="85"/>
      <c r="Z267" s="85"/>
      <c r="AA267" s="85"/>
      <c r="AB267" s="85"/>
      <c r="AC267" s="85"/>
      <c r="AD267" s="85"/>
      <c r="AE267" s="85"/>
      <c r="AF267" s="85"/>
      <c r="AG267" s="85"/>
      <c r="AH267" s="85"/>
      <c r="AI267" s="85"/>
      <c r="AJ267" s="85"/>
      <c r="AK267" s="85"/>
      <c r="AL267" s="85"/>
    </row>
    <row r="268" spans="1:38" s="80" customFormat="1" x14ac:dyDescent="0.25">
      <c r="A268" s="116"/>
      <c r="B268" s="115"/>
      <c r="C268" s="115"/>
      <c r="D268" s="115"/>
      <c r="E268" s="115"/>
      <c r="F268" s="115"/>
      <c r="H268" s="95">
        <v>263</v>
      </c>
      <c r="I268" s="96" t="str">
        <f t="shared" si="20"/>
        <v/>
      </c>
      <c r="J268" s="95" t="e">
        <f t="shared" si="21"/>
        <v>#NUM!</v>
      </c>
      <c r="K268" s="95" t="e">
        <f t="shared" si="22"/>
        <v>#NUM!</v>
      </c>
      <c r="L268" s="95"/>
      <c r="M268" s="97">
        <f t="shared" si="23"/>
        <v>0</v>
      </c>
      <c r="S268" s="85"/>
      <c r="T268" s="85"/>
      <c r="U268" s="85"/>
      <c r="V268" s="85"/>
      <c r="W268" s="85"/>
      <c r="X268" s="85"/>
      <c r="Y268" s="85"/>
      <c r="Z268" s="85"/>
      <c r="AA268" s="85"/>
      <c r="AB268" s="85"/>
      <c r="AC268" s="85"/>
      <c r="AD268" s="85"/>
      <c r="AE268" s="85"/>
      <c r="AF268" s="85"/>
      <c r="AG268" s="85"/>
      <c r="AH268" s="85"/>
      <c r="AI268" s="85"/>
      <c r="AJ268" s="85"/>
      <c r="AK268" s="85"/>
      <c r="AL268" s="85"/>
    </row>
    <row r="269" spans="1:38" s="80" customFormat="1" x14ac:dyDescent="0.25">
      <c r="A269" s="116"/>
      <c r="B269" s="115"/>
      <c r="C269" s="115"/>
      <c r="D269" s="115"/>
      <c r="E269" s="115"/>
      <c r="F269" s="115"/>
      <c r="H269" s="95">
        <v>264</v>
      </c>
      <c r="I269" s="96" t="str">
        <f t="shared" si="20"/>
        <v/>
      </c>
      <c r="J269" s="95" t="e">
        <f t="shared" si="21"/>
        <v>#NUM!</v>
      </c>
      <c r="K269" s="95" t="e">
        <f t="shared" si="22"/>
        <v>#NUM!</v>
      </c>
      <c r="L269" s="95"/>
      <c r="M269" s="97">
        <f t="shared" si="23"/>
        <v>0</v>
      </c>
      <c r="S269" s="85"/>
      <c r="T269" s="85"/>
      <c r="U269" s="85"/>
      <c r="V269" s="85"/>
      <c r="W269" s="85"/>
      <c r="X269" s="85"/>
      <c r="Y269" s="85"/>
      <c r="Z269" s="85"/>
      <c r="AA269" s="85"/>
      <c r="AB269" s="85"/>
      <c r="AC269" s="85"/>
      <c r="AD269" s="85"/>
      <c r="AE269" s="85"/>
      <c r="AF269" s="85"/>
      <c r="AG269" s="85"/>
      <c r="AH269" s="85"/>
      <c r="AI269" s="85"/>
      <c r="AJ269" s="85"/>
      <c r="AK269" s="85"/>
      <c r="AL269" s="85"/>
    </row>
    <row r="270" spans="1:38" s="80" customFormat="1" x14ac:dyDescent="0.25">
      <c r="A270" s="116"/>
      <c r="B270" s="115"/>
      <c r="C270" s="115"/>
      <c r="D270" s="115"/>
      <c r="E270" s="115"/>
      <c r="F270" s="115"/>
      <c r="H270" s="95">
        <v>265</v>
      </c>
      <c r="I270" s="96" t="str">
        <f t="shared" si="20"/>
        <v/>
      </c>
      <c r="J270" s="95" t="e">
        <f t="shared" si="21"/>
        <v>#NUM!</v>
      </c>
      <c r="K270" s="95" t="e">
        <f t="shared" si="22"/>
        <v>#NUM!</v>
      </c>
      <c r="L270" s="95"/>
      <c r="M270" s="97">
        <f t="shared" si="23"/>
        <v>0</v>
      </c>
      <c r="S270" s="85"/>
      <c r="T270" s="85"/>
      <c r="U270" s="85"/>
      <c r="V270" s="85"/>
      <c r="W270" s="85"/>
      <c r="X270" s="85"/>
      <c r="Y270" s="85"/>
      <c r="Z270" s="85"/>
      <c r="AA270" s="85"/>
      <c r="AB270" s="85"/>
      <c r="AC270" s="85"/>
      <c r="AD270" s="85"/>
      <c r="AE270" s="85"/>
      <c r="AF270" s="85"/>
      <c r="AG270" s="85"/>
      <c r="AH270" s="85"/>
      <c r="AI270" s="85"/>
      <c r="AJ270" s="85"/>
      <c r="AK270" s="85"/>
      <c r="AL270" s="85"/>
    </row>
    <row r="271" spans="1:38" s="80" customFormat="1" x14ac:dyDescent="0.25">
      <c r="A271" s="116"/>
      <c r="B271" s="115"/>
      <c r="C271" s="115"/>
      <c r="D271" s="115"/>
      <c r="E271" s="115"/>
      <c r="F271" s="115"/>
      <c r="H271" s="95">
        <v>266</v>
      </c>
      <c r="I271" s="96" t="str">
        <f t="shared" si="20"/>
        <v/>
      </c>
      <c r="J271" s="95" t="e">
        <f t="shared" si="21"/>
        <v>#NUM!</v>
      </c>
      <c r="K271" s="95" t="e">
        <f t="shared" si="22"/>
        <v>#NUM!</v>
      </c>
      <c r="L271" s="95"/>
      <c r="M271" s="97">
        <f t="shared" si="23"/>
        <v>0</v>
      </c>
      <c r="S271" s="85"/>
      <c r="T271" s="85"/>
      <c r="U271" s="85"/>
      <c r="V271" s="85"/>
      <c r="W271" s="85"/>
      <c r="X271" s="85"/>
      <c r="Y271" s="85"/>
      <c r="Z271" s="85"/>
      <c r="AA271" s="85"/>
      <c r="AB271" s="85"/>
      <c r="AC271" s="85"/>
      <c r="AD271" s="85"/>
      <c r="AE271" s="85"/>
      <c r="AF271" s="85"/>
      <c r="AG271" s="85"/>
      <c r="AH271" s="85"/>
      <c r="AI271" s="85"/>
      <c r="AJ271" s="85"/>
      <c r="AK271" s="85"/>
      <c r="AL271" s="85"/>
    </row>
    <row r="272" spans="1:38" s="80" customFormat="1" x14ac:dyDescent="0.25">
      <c r="A272" s="116"/>
      <c r="B272" s="115"/>
      <c r="C272" s="115"/>
      <c r="D272" s="115"/>
      <c r="E272" s="115"/>
      <c r="F272" s="115"/>
      <c r="H272" s="95">
        <v>267</v>
      </c>
      <c r="I272" s="96" t="str">
        <f t="shared" si="20"/>
        <v/>
      </c>
      <c r="J272" s="95" t="e">
        <f t="shared" si="21"/>
        <v>#NUM!</v>
      </c>
      <c r="K272" s="95" t="e">
        <f t="shared" si="22"/>
        <v>#NUM!</v>
      </c>
      <c r="L272" s="95"/>
      <c r="M272" s="97">
        <f t="shared" si="23"/>
        <v>0</v>
      </c>
      <c r="S272" s="85"/>
      <c r="T272" s="85"/>
      <c r="U272" s="85"/>
      <c r="V272" s="85"/>
      <c r="W272" s="85"/>
      <c r="X272" s="85"/>
      <c r="Y272" s="85"/>
      <c r="Z272" s="85"/>
      <c r="AA272" s="85"/>
      <c r="AB272" s="85"/>
      <c r="AC272" s="85"/>
      <c r="AD272" s="85"/>
      <c r="AE272" s="85"/>
      <c r="AF272" s="85"/>
      <c r="AG272" s="85"/>
      <c r="AH272" s="85"/>
      <c r="AI272" s="85"/>
      <c r="AJ272" s="85"/>
      <c r="AK272" s="85"/>
      <c r="AL272" s="85"/>
    </row>
    <row r="273" spans="1:38" s="80" customFormat="1" x14ac:dyDescent="0.25">
      <c r="A273" s="116"/>
      <c r="B273" s="115"/>
      <c r="C273" s="115"/>
      <c r="D273" s="115"/>
      <c r="E273" s="115"/>
      <c r="F273" s="115"/>
      <c r="H273" s="95">
        <v>268</v>
      </c>
      <c r="I273" s="96" t="str">
        <f t="shared" si="20"/>
        <v/>
      </c>
      <c r="J273" s="95" t="e">
        <f t="shared" si="21"/>
        <v>#NUM!</v>
      </c>
      <c r="K273" s="95" t="e">
        <f t="shared" si="22"/>
        <v>#NUM!</v>
      </c>
      <c r="L273" s="95"/>
      <c r="M273" s="97">
        <f t="shared" si="23"/>
        <v>0</v>
      </c>
      <c r="S273" s="85"/>
      <c r="T273" s="85"/>
      <c r="U273" s="85"/>
      <c r="V273" s="85"/>
      <c r="W273" s="85"/>
      <c r="X273" s="85"/>
      <c r="Y273" s="85"/>
      <c r="Z273" s="85"/>
      <c r="AA273" s="85"/>
      <c r="AB273" s="85"/>
      <c r="AC273" s="85"/>
      <c r="AD273" s="85"/>
      <c r="AE273" s="85"/>
      <c r="AF273" s="85"/>
      <c r="AG273" s="85"/>
      <c r="AH273" s="85"/>
      <c r="AI273" s="85"/>
      <c r="AJ273" s="85"/>
      <c r="AK273" s="85"/>
      <c r="AL273" s="85"/>
    </row>
    <row r="274" spans="1:38" s="80" customFormat="1" x14ac:dyDescent="0.25">
      <c r="A274" s="116"/>
      <c r="B274" s="115"/>
      <c r="C274" s="115"/>
      <c r="D274" s="115"/>
      <c r="E274" s="115"/>
      <c r="F274" s="115"/>
      <c r="H274" s="95">
        <v>269</v>
      </c>
      <c r="I274" s="96" t="str">
        <f t="shared" si="20"/>
        <v/>
      </c>
      <c r="J274" s="95" t="e">
        <f t="shared" si="21"/>
        <v>#NUM!</v>
      </c>
      <c r="K274" s="95" t="e">
        <f t="shared" si="22"/>
        <v>#NUM!</v>
      </c>
      <c r="L274" s="95"/>
      <c r="M274" s="97">
        <f t="shared" si="23"/>
        <v>0</v>
      </c>
      <c r="S274" s="85"/>
      <c r="T274" s="85"/>
      <c r="U274" s="85"/>
      <c r="V274" s="85"/>
      <c r="W274" s="85"/>
      <c r="X274" s="85"/>
      <c r="Y274" s="85"/>
      <c r="Z274" s="85"/>
      <c r="AA274" s="85"/>
      <c r="AB274" s="85"/>
      <c r="AC274" s="85"/>
      <c r="AD274" s="85"/>
      <c r="AE274" s="85"/>
      <c r="AF274" s="85"/>
      <c r="AG274" s="85"/>
      <c r="AH274" s="85"/>
      <c r="AI274" s="85"/>
      <c r="AJ274" s="85"/>
      <c r="AK274" s="85"/>
      <c r="AL274" s="85"/>
    </row>
    <row r="275" spans="1:38" s="80" customFormat="1" x14ac:dyDescent="0.25">
      <c r="A275" s="116"/>
      <c r="B275" s="115"/>
      <c r="C275" s="115"/>
      <c r="D275" s="115"/>
      <c r="E275" s="115"/>
      <c r="F275" s="115"/>
      <c r="H275" s="95">
        <v>270</v>
      </c>
      <c r="I275" s="96" t="str">
        <f t="shared" si="20"/>
        <v/>
      </c>
      <c r="J275" s="95" t="e">
        <f t="shared" si="21"/>
        <v>#NUM!</v>
      </c>
      <c r="K275" s="95" t="e">
        <f t="shared" si="22"/>
        <v>#NUM!</v>
      </c>
      <c r="L275" s="95"/>
      <c r="M275" s="97">
        <f t="shared" si="23"/>
        <v>0</v>
      </c>
      <c r="S275" s="85"/>
      <c r="T275" s="85"/>
      <c r="U275" s="85"/>
      <c r="V275" s="85"/>
      <c r="W275" s="85"/>
      <c r="X275" s="85"/>
      <c r="Y275" s="85"/>
      <c r="Z275" s="85"/>
      <c r="AA275" s="85"/>
      <c r="AB275" s="85"/>
      <c r="AC275" s="85"/>
      <c r="AD275" s="85"/>
      <c r="AE275" s="85"/>
      <c r="AF275" s="85"/>
      <c r="AG275" s="85"/>
      <c r="AH275" s="85"/>
      <c r="AI275" s="85"/>
      <c r="AJ275" s="85"/>
      <c r="AK275" s="85"/>
      <c r="AL275" s="85"/>
    </row>
    <row r="276" spans="1:38" s="80" customFormat="1" x14ac:dyDescent="0.25">
      <c r="A276" s="116"/>
      <c r="B276" s="115"/>
      <c r="C276" s="115"/>
      <c r="D276" s="115"/>
      <c r="E276" s="115"/>
      <c r="F276" s="115"/>
      <c r="H276" s="95">
        <v>271</v>
      </c>
      <c r="I276" s="96" t="str">
        <f t="shared" si="20"/>
        <v/>
      </c>
      <c r="J276" s="95" t="e">
        <f t="shared" si="21"/>
        <v>#NUM!</v>
      </c>
      <c r="K276" s="95" t="e">
        <f t="shared" si="22"/>
        <v>#NUM!</v>
      </c>
      <c r="L276" s="95"/>
      <c r="M276" s="97">
        <f t="shared" si="23"/>
        <v>0</v>
      </c>
      <c r="S276" s="85"/>
      <c r="T276" s="85"/>
      <c r="U276" s="85"/>
      <c r="V276" s="85"/>
      <c r="W276" s="85"/>
      <c r="X276" s="85"/>
      <c r="Y276" s="85"/>
      <c r="Z276" s="85"/>
      <c r="AA276" s="85"/>
      <c r="AB276" s="85"/>
      <c r="AC276" s="85"/>
      <c r="AD276" s="85"/>
      <c r="AE276" s="85"/>
      <c r="AF276" s="85"/>
      <c r="AG276" s="85"/>
      <c r="AH276" s="85"/>
      <c r="AI276" s="85"/>
      <c r="AJ276" s="85"/>
      <c r="AK276" s="85"/>
      <c r="AL276" s="85"/>
    </row>
    <row r="277" spans="1:38" s="80" customFormat="1" x14ac:dyDescent="0.25">
      <c r="A277" s="116"/>
      <c r="B277" s="115"/>
      <c r="C277" s="115"/>
      <c r="D277" s="115"/>
      <c r="E277" s="115"/>
      <c r="F277" s="115"/>
      <c r="H277" s="95">
        <v>272</v>
      </c>
      <c r="I277" s="96" t="str">
        <f t="shared" si="20"/>
        <v/>
      </c>
      <c r="J277" s="95" t="e">
        <f t="shared" si="21"/>
        <v>#NUM!</v>
      </c>
      <c r="K277" s="95" t="e">
        <f t="shared" si="22"/>
        <v>#NUM!</v>
      </c>
      <c r="L277" s="95"/>
      <c r="M277" s="97">
        <f t="shared" si="23"/>
        <v>0</v>
      </c>
      <c r="S277" s="85"/>
      <c r="T277" s="85"/>
      <c r="U277" s="85"/>
      <c r="V277" s="85"/>
      <c r="W277" s="85"/>
      <c r="X277" s="85"/>
      <c r="Y277" s="85"/>
      <c r="Z277" s="85"/>
      <c r="AA277" s="85"/>
      <c r="AB277" s="85"/>
      <c r="AC277" s="85"/>
      <c r="AD277" s="85"/>
      <c r="AE277" s="85"/>
      <c r="AF277" s="85"/>
      <c r="AG277" s="85"/>
      <c r="AH277" s="85"/>
      <c r="AI277" s="85"/>
      <c r="AJ277" s="85"/>
      <c r="AK277" s="85"/>
      <c r="AL277" s="85"/>
    </row>
    <row r="278" spans="1:38" s="80" customFormat="1" x14ac:dyDescent="0.25">
      <c r="A278" s="116"/>
      <c r="B278" s="115"/>
      <c r="C278" s="115"/>
      <c r="D278" s="115"/>
      <c r="E278" s="115"/>
      <c r="F278" s="115"/>
      <c r="H278" s="95">
        <v>273</v>
      </c>
      <c r="I278" s="96" t="str">
        <f t="shared" si="20"/>
        <v/>
      </c>
      <c r="J278" s="95" t="e">
        <f t="shared" si="21"/>
        <v>#NUM!</v>
      </c>
      <c r="K278" s="95" t="e">
        <f t="shared" si="22"/>
        <v>#NUM!</v>
      </c>
      <c r="L278" s="95"/>
      <c r="M278" s="97">
        <f t="shared" si="23"/>
        <v>0</v>
      </c>
      <c r="S278" s="85"/>
      <c r="T278" s="85"/>
      <c r="U278" s="85"/>
      <c r="V278" s="85"/>
      <c r="W278" s="85"/>
      <c r="X278" s="85"/>
      <c r="Y278" s="85"/>
      <c r="Z278" s="85"/>
      <c r="AA278" s="85"/>
      <c r="AB278" s="85"/>
      <c r="AC278" s="85"/>
      <c r="AD278" s="85"/>
      <c r="AE278" s="85"/>
      <c r="AF278" s="85"/>
      <c r="AG278" s="85"/>
      <c r="AH278" s="85"/>
      <c r="AI278" s="85"/>
      <c r="AJ278" s="85"/>
      <c r="AK278" s="85"/>
      <c r="AL278" s="85"/>
    </row>
    <row r="279" spans="1:38" s="80" customFormat="1" x14ac:dyDescent="0.25">
      <c r="A279" s="116"/>
      <c r="B279" s="115"/>
      <c r="C279" s="115"/>
      <c r="D279" s="115"/>
      <c r="E279" s="115"/>
      <c r="F279" s="115"/>
      <c r="H279" s="95">
        <v>274</v>
      </c>
      <c r="I279" s="96" t="str">
        <f t="shared" si="20"/>
        <v/>
      </c>
      <c r="J279" s="95" t="e">
        <f t="shared" si="21"/>
        <v>#NUM!</v>
      </c>
      <c r="K279" s="95" t="e">
        <f t="shared" si="22"/>
        <v>#NUM!</v>
      </c>
      <c r="L279" s="95"/>
      <c r="M279" s="97">
        <f t="shared" si="23"/>
        <v>0</v>
      </c>
      <c r="S279" s="85"/>
      <c r="T279" s="85"/>
      <c r="U279" s="85"/>
      <c r="V279" s="85"/>
      <c r="W279" s="85"/>
      <c r="X279" s="85"/>
      <c r="Y279" s="85"/>
      <c r="Z279" s="85"/>
      <c r="AA279" s="85"/>
      <c r="AB279" s="85"/>
      <c r="AC279" s="85"/>
      <c r="AD279" s="85"/>
      <c r="AE279" s="85"/>
      <c r="AF279" s="85"/>
      <c r="AG279" s="85"/>
      <c r="AH279" s="85"/>
      <c r="AI279" s="85"/>
      <c r="AJ279" s="85"/>
      <c r="AK279" s="85"/>
      <c r="AL279" s="85"/>
    </row>
    <row r="280" spans="1:38" s="80" customFormat="1" x14ac:dyDescent="0.25">
      <c r="A280" s="116"/>
      <c r="B280" s="115"/>
      <c r="C280" s="115"/>
      <c r="D280" s="115"/>
      <c r="E280" s="115"/>
      <c r="F280" s="115"/>
      <c r="H280" s="95">
        <v>275</v>
      </c>
      <c r="I280" s="96" t="str">
        <f t="shared" si="20"/>
        <v/>
      </c>
      <c r="J280" s="95" t="e">
        <f t="shared" si="21"/>
        <v>#NUM!</v>
      </c>
      <c r="K280" s="95" t="e">
        <f t="shared" si="22"/>
        <v>#NUM!</v>
      </c>
      <c r="L280" s="95"/>
      <c r="M280" s="97">
        <f t="shared" si="23"/>
        <v>0</v>
      </c>
      <c r="S280" s="85"/>
      <c r="T280" s="85"/>
      <c r="U280" s="85"/>
      <c r="V280" s="85"/>
      <c r="W280" s="85"/>
      <c r="X280" s="85"/>
      <c r="Y280" s="85"/>
      <c r="Z280" s="85"/>
      <c r="AA280" s="85"/>
      <c r="AB280" s="85"/>
      <c r="AC280" s="85"/>
      <c r="AD280" s="85"/>
      <c r="AE280" s="85"/>
      <c r="AF280" s="85"/>
      <c r="AG280" s="85"/>
      <c r="AH280" s="85"/>
      <c r="AI280" s="85"/>
      <c r="AJ280" s="85"/>
      <c r="AK280" s="85"/>
      <c r="AL280" s="85"/>
    </row>
    <row r="281" spans="1:38" s="80" customFormat="1" x14ac:dyDescent="0.25">
      <c r="A281" s="116"/>
      <c r="B281" s="115"/>
      <c r="C281" s="115"/>
      <c r="D281" s="115"/>
      <c r="E281" s="115"/>
      <c r="F281" s="115"/>
      <c r="H281" s="95">
        <v>276</v>
      </c>
      <c r="I281" s="96" t="str">
        <f t="shared" si="20"/>
        <v/>
      </c>
      <c r="J281" s="95" t="e">
        <f t="shared" si="21"/>
        <v>#NUM!</v>
      </c>
      <c r="K281" s="95" t="e">
        <f t="shared" si="22"/>
        <v>#NUM!</v>
      </c>
      <c r="L281" s="95"/>
      <c r="M281" s="97">
        <f t="shared" si="23"/>
        <v>0</v>
      </c>
      <c r="S281" s="85"/>
      <c r="T281" s="85"/>
      <c r="U281" s="85"/>
      <c r="V281" s="85"/>
      <c r="W281" s="85"/>
      <c r="X281" s="85"/>
      <c r="Y281" s="85"/>
      <c r="Z281" s="85"/>
      <c r="AA281" s="85"/>
      <c r="AB281" s="85"/>
      <c r="AC281" s="85"/>
      <c r="AD281" s="85"/>
      <c r="AE281" s="85"/>
      <c r="AF281" s="85"/>
      <c r="AG281" s="85"/>
      <c r="AH281" s="85"/>
      <c r="AI281" s="85"/>
      <c r="AJ281" s="85"/>
      <c r="AK281" s="85"/>
      <c r="AL281" s="85"/>
    </row>
    <row r="282" spans="1:38" s="80" customFormat="1" x14ac:dyDescent="0.25">
      <c r="A282" s="116"/>
      <c r="B282" s="115"/>
      <c r="C282" s="115"/>
      <c r="D282" s="115"/>
      <c r="E282" s="115"/>
      <c r="F282" s="115"/>
      <c r="H282" s="95">
        <v>277</v>
      </c>
      <c r="I282" s="96" t="str">
        <f t="shared" si="20"/>
        <v/>
      </c>
      <c r="J282" s="95" t="e">
        <f t="shared" si="21"/>
        <v>#NUM!</v>
      </c>
      <c r="K282" s="95" t="e">
        <f t="shared" si="22"/>
        <v>#NUM!</v>
      </c>
      <c r="L282" s="95"/>
      <c r="M282" s="97">
        <f t="shared" si="23"/>
        <v>0</v>
      </c>
      <c r="S282" s="85"/>
      <c r="T282" s="85"/>
      <c r="U282" s="85"/>
      <c r="V282" s="85"/>
      <c r="W282" s="85"/>
      <c r="X282" s="85"/>
      <c r="Y282" s="85"/>
      <c r="Z282" s="85"/>
      <c r="AA282" s="85"/>
      <c r="AB282" s="85"/>
      <c r="AC282" s="85"/>
      <c r="AD282" s="85"/>
      <c r="AE282" s="85"/>
      <c r="AF282" s="85"/>
      <c r="AG282" s="85"/>
      <c r="AH282" s="85"/>
      <c r="AI282" s="85"/>
      <c r="AJ282" s="85"/>
      <c r="AK282" s="85"/>
      <c r="AL282" s="85"/>
    </row>
    <row r="283" spans="1:38" s="80" customFormat="1" x14ac:dyDescent="0.25">
      <c r="A283" s="116"/>
      <c r="B283" s="115"/>
      <c r="C283" s="115"/>
      <c r="D283" s="115"/>
      <c r="E283" s="115"/>
      <c r="F283" s="115"/>
      <c r="H283" s="95">
        <v>278</v>
      </c>
      <c r="I283" s="96" t="str">
        <f t="shared" si="20"/>
        <v/>
      </c>
      <c r="J283" s="95" t="e">
        <f t="shared" si="21"/>
        <v>#NUM!</v>
      </c>
      <c r="K283" s="95" t="e">
        <f t="shared" si="22"/>
        <v>#NUM!</v>
      </c>
      <c r="L283" s="95"/>
      <c r="M283" s="97">
        <f t="shared" si="23"/>
        <v>0</v>
      </c>
      <c r="S283" s="85"/>
      <c r="T283" s="85"/>
      <c r="U283" s="85"/>
      <c r="V283" s="85"/>
      <c r="W283" s="85"/>
      <c r="X283" s="85"/>
      <c r="Y283" s="85"/>
      <c r="Z283" s="85"/>
      <c r="AA283" s="85"/>
      <c r="AB283" s="85"/>
      <c r="AC283" s="85"/>
      <c r="AD283" s="85"/>
      <c r="AE283" s="85"/>
      <c r="AF283" s="85"/>
      <c r="AG283" s="85"/>
      <c r="AH283" s="85"/>
      <c r="AI283" s="85"/>
      <c r="AJ283" s="85"/>
      <c r="AK283" s="85"/>
      <c r="AL283" s="85"/>
    </row>
    <row r="284" spans="1:38" s="80" customFormat="1" x14ac:dyDescent="0.25">
      <c r="A284" s="116"/>
      <c r="B284" s="115"/>
      <c r="C284" s="115"/>
      <c r="D284" s="115"/>
      <c r="E284" s="115"/>
      <c r="F284" s="115"/>
      <c r="H284" s="95">
        <v>279</v>
      </c>
      <c r="I284" s="96" t="str">
        <f t="shared" si="20"/>
        <v/>
      </c>
      <c r="J284" s="95" t="e">
        <f t="shared" si="21"/>
        <v>#NUM!</v>
      </c>
      <c r="K284" s="95" t="e">
        <f t="shared" si="22"/>
        <v>#NUM!</v>
      </c>
      <c r="L284" s="95"/>
      <c r="M284" s="97">
        <f t="shared" si="23"/>
        <v>0</v>
      </c>
      <c r="S284" s="85"/>
      <c r="T284" s="85"/>
      <c r="U284" s="85"/>
      <c r="V284" s="85"/>
      <c r="W284" s="85"/>
      <c r="X284" s="85"/>
      <c r="Y284" s="85"/>
      <c r="Z284" s="85"/>
      <c r="AA284" s="85"/>
      <c r="AB284" s="85"/>
      <c r="AC284" s="85"/>
      <c r="AD284" s="85"/>
      <c r="AE284" s="85"/>
      <c r="AF284" s="85"/>
      <c r="AG284" s="85"/>
      <c r="AH284" s="85"/>
      <c r="AI284" s="85"/>
      <c r="AJ284" s="85"/>
      <c r="AK284" s="85"/>
      <c r="AL284" s="85"/>
    </row>
    <row r="285" spans="1:38" s="80" customFormat="1" x14ac:dyDescent="0.25">
      <c r="A285" s="116"/>
      <c r="B285" s="115"/>
      <c r="C285" s="115"/>
      <c r="D285" s="115"/>
      <c r="E285" s="115"/>
      <c r="F285" s="115"/>
      <c r="H285" s="95">
        <v>280</v>
      </c>
      <c r="I285" s="96" t="str">
        <f t="shared" si="20"/>
        <v/>
      </c>
      <c r="J285" s="95" t="e">
        <f t="shared" si="21"/>
        <v>#NUM!</v>
      </c>
      <c r="K285" s="95" t="e">
        <f t="shared" si="22"/>
        <v>#NUM!</v>
      </c>
      <c r="L285" s="95"/>
      <c r="M285" s="97">
        <f t="shared" si="23"/>
        <v>0</v>
      </c>
      <c r="S285" s="85"/>
      <c r="T285" s="85"/>
      <c r="U285" s="85"/>
      <c r="V285" s="85"/>
      <c r="W285" s="85"/>
      <c r="X285" s="85"/>
      <c r="Y285" s="85"/>
      <c r="Z285" s="85"/>
      <c r="AA285" s="85"/>
      <c r="AB285" s="85"/>
      <c r="AC285" s="85"/>
      <c r="AD285" s="85"/>
      <c r="AE285" s="85"/>
      <c r="AF285" s="85"/>
      <c r="AG285" s="85"/>
      <c r="AH285" s="85"/>
      <c r="AI285" s="85"/>
      <c r="AJ285" s="85"/>
      <c r="AK285" s="85"/>
      <c r="AL285" s="85"/>
    </row>
    <row r="286" spans="1:38" s="80" customFormat="1" x14ac:dyDescent="0.25">
      <c r="A286" s="116"/>
      <c r="B286" s="115"/>
      <c r="C286" s="115"/>
      <c r="D286" s="115"/>
      <c r="E286" s="115"/>
      <c r="F286" s="115"/>
      <c r="H286" s="95">
        <v>281</v>
      </c>
      <c r="I286" s="96" t="str">
        <f t="shared" si="20"/>
        <v/>
      </c>
      <c r="J286" s="95" t="e">
        <f t="shared" si="21"/>
        <v>#NUM!</v>
      </c>
      <c r="K286" s="95" t="e">
        <f t="shared" si="22"/>
        <v>#NUM!</v>
      </c>
      <c r="L286" s="95"/>
      <c r="M286" s="97">
        <f t="shared" si="23"/>
        <v>0</v>
      </c>
      <c r="S286" s="85"/>
      <c r="T286" s="85"/>
      <c r="U286" s="85"/>
      <c r="V286" s="85"/>
      <c r="W286" s="85"/>
      <c r="X286" s="85"/>
      <c r="Y286" s="85"/>
      <c r="Z286" s="85"/>
      <c r="AA286" s="85"/>
      <c r="AB286" s="85"/>
      <c r="AC286" s="85"/>
      <c r="AD286" s="85"/>
      <c r="AE286" s="85"/>
      <c r="AF286" s="85"/>
      <c r="AG286" s="85"/>
      <c r="AH286" s="85"/>
      <c r="AI286" s="85"/>
      <c r="AJ286" s="85"/>
      <c r="AK286" s="85"/>
      <c r="AL286" s="85"/>
    </row>
    <row r="287" spans="1:38" s="80" customFormat="1" x14ac:dyDescent="0.25">
      <c r="A287" s="116"/>
      <c r="B287" s="115"/>
      <c r="C287" s="115"/>
      <c r="D287" s="115"/>
      <c r="E287" s="115"/>
      <c r="F287" s="115"/>
      <c r="H287" s="95">
        <v>282</v>
      </c>
      <c r="I287" s="96" t="str">
        <f t="shared" si="20"/>
        <v/>
      </c>
      <c r="J287" s="95" t="e">
        <f t="shared" si="21"/>
        <v>#NUM!</v>
      </c>
      <c r="K287" s="95" t="e">
        <f t="shared" si="22"/>
        <v>#NUM!</v>
      </c>
      <c r="L287" s="95"/>
      <c r="M287" s="97">
        <f t="shared" si="23"/>
        <v>0</v>
      </c>
      <c r="S287" s="85"/>
      <c r="T287" s="85"/>
      <c r="U287" s="85"/>
      <c r="V287" s="85"/>
      <c r="W287" s="85"/>
      <c r="X287" s="85"/>
      <c r="Y287" s="85"/>
      <c r="Z287" s="85"/>
      <c r="AA287" s="85"/>
      <c r="AB287" s="85"/>
      <c r="AC287" s="85"/>
      <c r="AD287" s="85"/>
      <c r="AE287" s="85"/>
      <c r="AF287" s="85"/>
      <c r="AG287" s="85"/>
      <c r="AH287" s="85"/>
      <c r="AI287" s="85"/>
      <c r="AJ287" s="85"/>
      <c r="AK287" s="85"/>
      <c r="AL287" s="85"/>
    </row>
    <row r="288" spans="1:38" s="80" customFormat="1" x14ac:dyDescent="0.25">
      <c r="A288" s="116"/>
      <c r="B288" s="115"/>
      <c r="C288" s="115"/>
      <c r="D288" s="115"/>
      <c r="E288" s="115"/>
      <c r="F288" s="115"/>
      <c r="H288" s="95">
        <v>283</v>
      </c>
      <c r="I288" s="96" t="str">
        <f t="shared" si="20"/>
        <v/>
      </c>
      <c r="J288" s="95" t="e">
        <f t="shared" si="21"/>
        <v>#NUM!</v>
      </c>
      <c r="K288" s="95" t="e">
        <f t="shared" si="22"/>
        <v>#NUM!</v>
      </c>
      <c r="L288" s="95"/>
      <c r="M288" s="97">
        <f t="shared" si="23"/>
        <v>0</v>
      </c>
      <c r="S288" s="85"/>
      <c r="T288" s="85"/>
      <c r="U288" s="85"/>
      <c r="V288" s="85"/>
      <c r="W288" s="85"/>
      <c r="X288" s="85"/>
      <c r="Y288" s="85"/>
      <c r="Z288" s="85"/>
      <c r="AA288" s="85"/>
      <c r="AB288" s="85"/>
      <c r="AC288" s="85"/>
      <c r="AD288" s="85"/>
      <c r="AE288" s="85"/>
      <c r="AF288" s="85"/>
      <c r="AG288" s="85"/>
      <c r="AH288" s="85"/>
      <c r="AI288" s="85"/>
      <c r="AJ288" s="85"/>
      <c r="AK288" s="85"/>
      <c r="AL288" s="85"/>
    </row>
    <row r="289" spans="1:38" s="80" customFormat="1" x14ac:dyDescent="0.25">
      <c r="A289" s="116"/>
      <c r="B289" s="115"/>
      <c r="C289" s="115"/>
      <c r="D289" s="115"/>
      <c r="E289" s="115"/>
      <c r="F289" s="115"/>
      <c r="H289" s="95">
        <v>284</v>
      </c>
      <c r="I289" s="96" t="str">
        <f t="shared" si="20"/>
        <v/>
      </c>
      <c r="J289" s="95" t="e">
        <f t="shared" si="21"/>
        <v>#NUM!</v>
      </c>
      <c r="K289" s="95" t="e">
        <f t="shared" si="22"/>
        <v>#NUM!</v>
      </c>
      <c r="L289" s="95"/>
      <c r="M289" s="97">
        <f t="shared" si="23"/>
        <v>0</v>
      </c>
      <c r="S289" s="85"/>
      <c r="T289" s="85"/>
      <c r="U289" s="85"/>
      <c r="V289" s="85"/>
      <c r="W289" s="85"/>
      <c r="X289" s="85"/>
      <c r="Y289" s="85"/>
      <c r="Z289" s="85"/>
      <c r="AA289" s="85"/>
      <c r="AB289" s="85"/>
      <c r="AC289" s="85"/>
      <c r="AD289" s="85"/>
      <c r="AE289" s="85"/>
      <c r="AF289" s="85"/>
      <c r="AG289" s="85"/>
      <c r="AH289" s="85"/>
      <c r="AI289" s="85"/>
      <c r="AJ289" s="85"/>
      <c r="AK289" s="85"/>
      <c r="AL289" s="85"/>
    </row>
    <row r="290" spans="1:38" s="80" customFormat="1" x14ac:dyDescent="0.25">
      <c r="A290" s="116"/>
      <c r="B290" s="115"/>
      <c r="C290" s="115"/>
      <c r="D290" s="115"/>
      <c r="E290" s="115"/>
      <c r="F290" s="115"/>
      <c r="H290" s="95">
        <v>285</v>
      </c>
      <c r="I290" s="96" t="str">
        <f t="shared" si="20"/>
        <v/>
      </c>
      <c r="J290" s="95" t="e">
        <f t="shared" si="21"/>
        <v>#NUM!</v>
      </c>
      <c r="K290" s="95" t="e">
        <f t="shared" si="22"/>
        <v>#NUM!</v>
      </c>
      <c r="L290" s="95"/>
      <c r="M290" s="97">
        <f t="shared" si="23"/>
        <v>0</v>
      </c>
      <c r="S290" s="85"/>
      <c r="T290" s="85"/>
      <c r="U290" s="85"/>
      <c r="V290" s="85"/>
      <c r="W290" s="85"/>
      <c r="X290" s="85"/>
      <c r="Y290" s="85"/>
      <c r="Z290" s="85"/>
      <c r="AA290" s="85"/>
      <c r="AB290" s="85"/>
      <c r="AC290" s="85"/>
      <c r="AD290" s="85"/>
      <c r="AE290" s="85"/>
      <c r="AF290" s="85"/>
      <c r="AG290" s="85"/>
      <c r="AH290" s="85"/>
      <c r="AI290" s="85"/>
      <c r="AJ290" s="85"/>
      <c r="AK290" s="85"/>
      <c r="AL290" s="85"/>
    </row>
    <row r="291" spans="1:38" s="80" customFormat="1" x14ac:dyDescent="0.25">
      <c r="A291" s="116"/>
      <c r="B291" s="115"/>
      <c r="C291" s="115"/>
      <c r="D291" s="115"/>
      <c r="E291" s="115"/>
      <c r="F291" s="115"/>
      <c r="H291" s="95">
        <v>286</v>
      </c>
      <c r="I291" s="96" t="str">
        <f t="shared" si="20"/>
        <v/>
      </c>
      <c r="J291" s="95" t="e">
        <f t="shared" si="21"/>
        <v>#NUM!</v>
      </c>
      <c r="K291" s="95" t="e">
        <f t="shared" si="22"/>
        <v>#NUM!</v>
      </c>
      <c r="L291" s="95"/>
      <c r="M291" s="97">
        <f t="shared" si="23"/>
        <v>0</v>
      </c>
      <c r="S291" s="85"/>
      <c r="T291" s="85"/>
      <c r="U291" s="85"/>
      <c r="V291" s="85"/>
      <c r="W291" s="85"/>
      <c r="X291" s="85"/>
      <c r="Y291" s="85"/>
      <c r="Z291" s="85"/>
      <c r="AA291" s="85"/>
      <c r="AB291" s="85"/>
      <c r="AC291" s="85"/>
      <c r="AD291" s="85"/>
      <c r="AE291" s="85"/>
      <c r="AF291" s="85"/>
      <c r="AG291" s="85"/>
      <c r="AH291" s="85"/>
      <c r="AI291" s="85"/>
      <c r="AJ291" s="85"/>
      <c r="AK291" s="85"/>
      <c r="AL291" s="85"/>
    </row>
    <row r="292" spans="1:38" s="80" customFormat="1" x14ac:dyDescent="0.25">
      <c r="A292" s="116"/>
      <c r="B292" s="115"/>
      <c r="C292" s="115"/>
      <c r="D292" s="115"/>
      <c r="E292" s="115"/>
      <c r="F292" s="115"/>
      <c r="H292" s="95">
        <v>287</v>
      </c>
      <c r="I292" s="96" t="str">
        <f t="shared" si="20"/>
        <v/>
      </c>
      <c r="J292" s="95" t="e">
        <f t="shared" si="21"/>
        <v>#NUM!</v>
      </c>
      <c r="K292" s="95" t="e">
        <f t="shared" si="22"/>
        <v>#NUM!</v>
      </c>
      <c r="L292" s="95"/>
      <c r="M292" s="97">
        <f t="shared" si="23"/>
        <v>0</v>
      </c>
      <c r="S292" s="85"/>
      <c r="T292" s="85"/>
      <c r="U292" s="85"/>
      <c r="V292" s="85"/>
      <c r="W292" s="85"/>
      <c r="X292" s="85"/>
      <c r="Y292" s="85"/>
      <c r="Z292" s="85"/>
      <c r="AA292" s="85"/>
      <c r="AB292" s="85"/>
      <c r="AC292" s="85"/>
      <c r="AD292" s="85"/>
      <c r="AE292" s="85"/>
      <c r="AF292" s="85"/>
      <c r="AG292" s="85"/>
      <c r="AH292" s="85"/>
      <c r="AI292" s="85"/>
      <c r="AJ292" s="85"/>
      <c r="AK292" s="85"/>
      <c r="AL292" s="85"/>
    </row>
    <row r="293" spans="1:38" s="80" customFormat="1" x14ac:dyDescent="0.25">
      <c r="A293" s="116"/>
      <c r="B293" s="115"/>
      <c r="C293" s="115"/>
      <c r="D293" s="115"/>
      <c r="E293" s="115"/>
      <c r="F293" s="115"/>
      <c r="H293" s="95">
        <v>288</v>
      </c>
      <c r="I293" s="96" t="str">
        <f t="shared" si="20"/>
        <v/>
      </c>
      <c r="J293" s="95" t="e">
        <f t="shared" si="21"/>
        <v>#NUM!</v>
      </c>
      <c r="K293" s="95" t="e">
        <f t="shared" si="22"/>
        <v>#NUM!</v>
      </c>
      <c r="L293" s="95"/>
      <c r="M293" s="97">
        <f t="shared" si="23"/>
        <v>0</v>
      </c>
      <c r="S293" s="85"/>
      <c r="T293" s="85"/>
      <c r="U293" s="85"/>
      <c r="V293" s="85"/>
      <c r="W293" s="85"/>
      <c r="X293" s="85"/>
      <c r="Y293" s="85"/>
      <c r="Z293" s="85"/>
      <c r="AA293" s="85"/>
      <c r="AB293" s="85"/>
      <c r="AC293" s="85"/>
      <c r="AD293" s="85"/>
      <c r="AE293" s="85"/>
      <c r="AF293" s="85"/>
      <c r="AG293" s="85"/>
      <c r="AH293" s="85"/>
      <c r="AI293" s="85"/>
      <c r="AJ293" s="85"/>
      <c r="AK293" s="85"/>
      <c r="AL293" s="85"/>
    </row>
    <row r="294" spans="1:38" s="80" customFormat="1" x14ac:dyDescent="0.25">
      <c r="A294" s="116"/>
      <c r="B294" s="115"/>
      <c r="C294" s="115"/>
      <c r="D294" s="115"/>
      <c r="E294" s="115"/>
      <c r="F294" s="115"/>
      <c r="H294" s="95">
        <v>289</v>
      </c>
      <c r="I294" s="96" t="str">
        <f t="shared" si="20"/>
        <v/>
      </c>
      <c r="J294" s="95" t="e">
        <f t="shared" si="21"/>
        <v>#NUM!</v>
      </c>
      <c r="K294" s="95" t="e">
        <f t="shared" si="22"/>
        <v>#NUM!</v>
      </c>
      <c r="L294" s="95"/>
      <c r="M294" s="97">
        <f t="shared" si="23"/>
        <v>0</v>
      </c>
      <c r="S294" s="85"/>
      <c r="T294" s="85"/>
      <c r="U294" s="85"/>
      <c r="V294" s="85"/>
      <c r="W294" s="85"/>
      <c r="X294" s="85"/>
      <c r="Y294" s="85"/>
      <c r="Z294" s="85"/>
      <c r="AA294" s="85"/>
      <c r="AB294" s="85"/>
      <c r="AC294" s="85"/>
      <c r="AD294" s="85"/>
      <c r="AE294" s="85"/>
      <c r="AF294" s="85"/>
      <c r="AG294" s="85"/>
      <c r="AH294" s="85"/>
      <c r="AI294" s="85"/>
      <c r="AJ294" s="85"/>
      <c r="AK294" s="85"/>
      <c r="AL294" s="85"/>
    </row>
    <row r="295" spans="1:38" s="80" customFormat="1" x14ac:dyDescent="0.25">
      <c r="A295" s="116"/>
      <c r="B295" s="115"/>
      <c r="C295" s="115"/>
      <c r="D295" s="115"/>
      <c r="E295" s="115"/>
      <c r="F295" s="115"/>
      <c r="H295" s="95">
        <v>290</v>
      </c>
      <c r="I295" s="96" t="str">
        <f t="shared" si="20"/>
        <v/>
      </c>
      <c r="J295" s="95" t="e">
        <f t="shared" si="21"/>
        <v>#NUM!</v>
      </c>
      <c r="K295" s="95" t="e">
        <f t="shared" si="22"/>
        <v>#NUM!</v>
      </c>
      <c r="L295" s="95"/>
      <c r="M295" s="97">
        <f t="shared" si="23"/>
        <v>0</v>
      </c>
      <c r="S295" s="85"/>
      <c r="T295" s="85"/>
      <c r="U295" s="85"/>
      <c r="V295" s="85"/>
      <c r="W295" s="85"/>
      <c r="X295" s="85"/>
      <c r="Y295" s="85"/>
      <c r="Z295" s="85"/>
      <c r="AA295" s="85"/>
      <c r="AB295" s="85"/>
      <c r="AC295" s="85"/>
      <c r="AD295" s="85"/>
      <c r="AE295" s="85"/>
      <c r="AF295" s="85"/>
      <c r="AG295" s="85"/>
      <c r="AH295" s="85"/>
      <c r="AI295" s="85"/>
      <c r="AJ295" s="85"/>
      <c r="AK295" s="85"/>
      <c r="AL295" s="85"/>
    </row>
    <row r="296" spans="1:38" s="80" customFormat="1" x14ac:dyDescent="0.25">
      <c r="A296" s="116"/>
      <c r="B296" s="115"/>
      <c r="C296" s="115"/>
      <c r="D296" s="115"/>
      <c r="E296" s="115"/>
      <c r="F296" s="115"/>
      <c r="H296" s="95">
        <v>291</v>
      </c>
      <c r="I296" s="96" t="str">
        <f t="shared" si="20"/>
        <v/>
      </c>
      <c r="J296" s="95" t="e">
        <f t="shared" si="21"/>
        <v>#NUM!</v>
      </c>
      <c r="K296" s="95" t="e">
        <f t="shared" si="22"/>
        <v>#NUM!</v>
      </c>
      <c r="L296" s="95"/>
      <c r="M296" s="97">
        <f t="shared" si="23"/>
        <v>0</v>
      </c>
      <c r="S296" s="85"/>
      <c r="T296" s="85"/>
      <c r="U296" s="85"/>
      <c r="V296" s="85"/>
      <c r="W296" s="85"/>
      <c r="X296" s="85"/>
      <c r="Y296" s="85"/>
      <c r="Z296" s="85"/>
      <c r="AA296" s="85"/>
      <c r="AB296" s="85"/>
      <c r="AC296" s="85"/>
      <c r="AD296" s="85"/>
      <c r="AE296" s="85"/>
      <c r="AF296" s="85"/>
      <c r="AG296" s="85"/>
      <c r="AH296" s="85"/>
      <c r="AI296" s="85"/>
      <c r="AJ296" s="85"/>
      <c r="AK296" s="85"/>
      <c r="AL296" s="85"/>
    </row>
    <row r="297" spans="1:38" s="80" customFormat="1" x14ac:dyDescent="0.25">
      <c r="A297" s="116"/>
      <c r="B297" s="115"/>
      <c r="C297" s="115"/>
      <c r="D297" s="115"/>
      <c r="E297" s="115"/>
      <c r="F297" s="115"/>
      <c r="H297" s="95">
        <v>292</v>
      </c>
      <c r="I297" s="96" t="str">
        <f t="shared" si="20"/>
        <v/>
      </c>
      <c r="J297" s="95" t="e">
        <f t="shared" si="21"/>
        <v>#NUM!</v>
      </c>
      <c r="K297" s="95" t="e">
        <f t="shared" si="22"/>
        <v>#NUM!</v>
      </c>
      <c r="L297" s="95"/>
      <c r="M297" s="97">
        <f t="shared" si="23"/>
        <v>0</v>
      </c>
      <c r="S297" s="85"/>
      <c r="T297" s="85"/>
      <c r="U297" s="85"/>
      <c r="V297" s="85"/>
      <c r="W297" s="85"/>
      <c r="X297" s="85"/>
      <c r="Y297" s="85"/>
      <c r="Z297" s="85"/>
      <c r="AA297" s="85"/>
      <c r="AB297" s="85"/>
      <c r="AC297" s="85"/>
      <c r="AD297" s="85"/>
      <c r="AE297" s="85"/>
      <c r="AF297" s="85"/>
      <c r="AG297" s="85"/>
      <c r="AH297" s="85"/>
      <c r="AI297" s="85"/>
      <c r="AJ297" s="85"/>
      <c r="AK297" s="85"/>
      <c r="AL297" s="85"/>
    </row>
    <row r="298" spans="1:38" s="80" customFormat="1" x14ac:dyDescent="0.25">
      <c r="A298" s="116"/>
      <c r="B298" s="115"/>
      <c r="C298" s="115"/>
      <c r="D298" s="115"/>
      <c r="E298" s="115"/>
      <c r="F298" s="115"/>
      <c r="H298" s="95">
        <v>293</v>
      </c>
      <c r="I298" s="96" t="str">
        <f t="shared" si="20"/>
        <v/>
      </c>
      <c r="J298" s="95" t="e">
        <f t="shared" si="21"/>
        <v>#NUM!</v>
      </c>
      <c r="K298" s="95" t="e">
        <f t="shared" si="22"/>
        <v>#NUM!</v>
      </c>
      <c r="L298" s="95"/>
      <c r="M298" s="97">
        <f t="shared" si="23"/>
        <v>0</v>
      </c>
      <c r="S298" s="85"/>
      <c r="T298" s="85"/>
      <c r="U298" s="85"/>
      <c r="V298" s="85"/>
      <c r="W298" s="85"/>
      <c r="X298" s="85"/>
      <c r="Y298" s="85"/>
      <c r="Z298" s="85"/>
      <c r="AA298" s="85"/>
      <c r="AB298" s="85"/>
      <c r="AC298" s="85"/>
      <c r="AD298" s="85"/>
      <c r="AE298" s="85"/>
      <c r="AF298" s="85"/>
      <c r="AG298" s="85"/>
      <c r="AH298" s="85"/>
      <c r="AI298" s="85"/>
      <c r="AJ298" s="85"/>
      <c r="AK298" s="85"/>
      <c r="AL298" s="85"/>
    </row>
    <row r="299" spans="1:38" s="80" customFormat="1" x14ac:dyDescent="0.25">
      <c r="A299" s="116"/>
      <c r="B299" s="115"/>
      <c r="C299" s="115"/>
      <c r="D299" s="115"/>
      <c r="E299" s="115"/>
      <c r="F299" s="115"/>
      <c r="H299" s="95">
        <v>294</v>
      </c>
      <c r="I299" s="96" t="str">
        <f t="shared" si="20"/>
        <v/>
      </c>
      <c r="J299" s="95" t="e">
        <f t="shared" si="21"/>
        <v>#NUM!</v>
      </c>
      <c r="K299" s="95" t="e">
        <f t="shared" si="22"/>
        <v>#NUM!</v>
      </c>
      <c r="L299" s="95"/>
      <c r="M299" s="97">
        <f t="shared" si="23"/>
        <v>0</v>
      </c>
      <c r="S299" s="85"/>
      <c r="T299" s="85"/>
      <c r="U299" s="85"/>
      <c r="V299" s="85"/>
      <c r="W299" s="85"/>
      <c r="X299" s="85"/>
      <c r="Y299" s="85"/>
      <c r="Z299" s="85"/>
      <c r="AA299" s="85"/>
      <c r="AB299" s="85"/>
      <c r="AC299" s="85"/>
      <c r="AD299" s="85"/>
      <c r="AE299" s="85"/>
      <c r="AF299" s="85"/>
      <c r="AG299" s="85"/>
      <c r="AH299" s="85"/>
      <c r="AI299" s="85"/>
      <c r="AJ299" s="85"/>
      <c r="AK299" s="85"/>
      <c r="AL299" s="85"/>
    </row>
    <row r="300" spans="1:38" s="80" customFormat="1" x14ac:dyDescent="0.25">
      <c r="A300" s="116"/>
      <c r="B300" s="115"/>
      <c r="C300" s="115"/>
      <c r="D300" s="115"/>
      <c r="E300" s="115"/>
      <c r="F300" s="115"/>
      <c r="H300" s="95">
        <v>295</v>
      </c>
      <c r="I300" s="96" t="str">
        <f t="shared" si="20"/>
        <v/>
      </c>
      <c r="J300" s="95" t="e">
        <f t="shared" si="21"/>
        <v>#NUM!</v>
      </c>
      <c r="K300" s="95" t="e">
        <f t="shared" si="22"/>
        <v>#NUM!</v>
      </c>
      <c r="L300" s="95"/>
      <c r="M300" s="97">
        <f t="shared" si="23"/>
        <v>0</v>
      </c>
      <c r="S300" s="85"/>
      <c r="T300" s="85"/>
      <c r="U300" s="85"/>
      <c r="V300" s="85"/>
      <c r="W300" s="85"/>
      <c r="X300" s="85"/>
      <c r="Y300" s="85"/>
      <c r="Z300" s="85"/>
      <c r="AA300" s="85"/>
      <c r="AB300" s="85"/>
      <c r="AC300" s="85"/>
      <c r="AD300" s="85"/>
      <c r="AE300" s="85"/>
      <c r="AF300" s="85"/>
      <c r="AG300" s="85"/>
      <c r="AH300" s="85"/>
      <c r="AI300" s="85"/>
      <c r="AJ300" s="85"/>
      <c r="AK300" s="85"/>
      <c r="AL300" s="85"/>
    </row>
    <row r="301" spans="1:38" s="80" customFormat="1" x14ac:dyDescent="0.25">
      <c r="A301" s="116"/>
      <c r="B301" s="115"/>
      <c r="C301" s="115"/>
      <c r="D301" s="115"/>
      <c r="E301" s="115"/>
      <c r="F301" s="115"/>
      <c r="H301" s="95">
        <v>296</v>
      </c>
      <c r="I301" s="96" t="str">
        <f t="shared" si="20"/>
        <v/>
      </c>
      <c r="J301" s="95" t="e">
        <f t="shared" si="21"/>
        <v>#NUM!</v>
      </c>
      <c r="K301" s="95" t="e">
        <f t="shared" si="22"/>
        <v>#NUM!</v>
      </c>
      <c r="L301" s="95"/>
      <c r="M301" s="97">
        <f t="shared" si="23"/>
        <v>0</v>
      </c>
      <c r="S301" s="85"/>
      <c r="T301" s="85"/>
      <c r="U301" s="85"/>
      <c r="V301" s="85"/>
      <c r="W301" s="85"/>
      <c r="X301" s="85"/>
      <c r="Y301" s="85"/>
      <c r="Z301" s="85"/>
      <c r="AA301" s="85"/>
      <c r="AB301" s="85"/>
      <c r="AC301" s="85"/>
      <c r="AD301" s="85"/>
      <c r="AE301" s="85"/>
      <c r="AF301" s="85"/>
      <c r="AG301" s="85"/>
      <c r="AH301" s="85"/>
      <c r="AI301" s="85"/>
      <c r="AJ301" s="85"/>
      <c r="AK301" s="85"/>
      <c r="AL301" s="85"/>
    </row>
    <row r="302" spans="1:38" s="80" customFormat="1" x14ac:dyDescent="0.25">
      <c r="A302" s="116"/>
      <c r="B302" s="115"/>
      <c r="C302" s="115"/>
      <c r="D302" s="115"/>
      <c r="E302" s="115"/>
      <c r="F302" s="115"/>
      <c r="H302" s="95">
        <v>297</v>
      </c>
      <c r="I302" s="96" t="str">
        <f t="shared" si="20"/>
        <v/>
      </c>
      <c r="J302" s="95" t="e">
        <f t="shared" si="21"/>
        <v>#NUM!</v>
      </c>
      <c r="K302" s="95" t="e">
        <f t="shared" si="22"/>
        <v>#NUM!</v>
      </c>
      <c r="L302" s="95"/>
      <c r="M302" s="97">
        <f t="shared" si="23"/>
        <v>0</v>
      </c>
      <c r="S302" s="85"/>
      <c r="T302" s="85"/>
      <c r="U302" s="85"/>
      <c r="V302" s="85"/>
      <c r="W302" s="85"/>
      <c r="X302" s="85"/>
      <c r="Y302" s="85"/>
      <c r="Z302" s="85"/>
      <c r="AA302" s="85"/>
      <c r="AB302" s="85"/>
      <c r="AC302" s="85"/>
      <c r="AD302" s="85"/>
      <c r="AE302" s="85"/>
      <c r="AF302" s="85"/>
      <c r="AG302" s="85"/>
      <c r="AH302" s="85"/>
      <c r="AI302" s="85"/>
      <c r="AJ302" s="85"/>
      <c r="AK302" s="85"/>
      <c r="AL302" s="85"/>
    </row>
    <row r="303" spans="1:38" s="80" customFormat="1" x14ac:dyDescent="0.25">
      <c r="A303" s="116"/>
      <c r="B303" s="115"/>
      <c r="C303" s="115"/>
      <c r="D303" s="115"/>
      <c r="E303" s="115"/>
      <c r="F303" s="115"/>
      <c r="H303" s="95">
        <v>298</v>
      </c>
      <c r="I303" s="96" t="str">
        <f t="shared" si="20"/>
        <v/>
      </c>
      <c r="J303" s="95" t="e">
        <f t="shared" si="21"/>
        <v>#NUM!</v>
      </c>
      <c r="K303" s="95" t="e">
        <f t="shared" si="22"/>
        <v>#NUM!</v>
      </c>
      <c r="L303" s="95"/>
      <c r="M303" s="97">
        <f t="shared" si="23"/>
        <v>0</v>
      </c>
      <c r="S303" s="85"/>
      <c r="T303" s="85"/>
      <c r="U303" s="85"/>
      <c r="V303" s="85"/>
      <c r="W303" s="85"/>
      <c r="X303" s="85"/>
      <c r="Y303" s="85"/>
      <c r="Z303" s="85"/>
      <c r="AA303" s="85"/>
      <c r="AB303" s="85"/>
      <c r="AC303" s="85"/>
      <c r="AD303" s="85"/>
      <c r="AE303" s="85"/>
      <c r="AF303" s="85"/>
      <c r="AG303" s="85"/>
      <c r="AH303" s="85"/>
      <c r="AI303" s="85"/>
      <c r="AJ303" s="85"/>
      <c r="AK303" s="85"/>
      <c r="AL303" s="85"/>
    </row>
    <row r="304" spans="1:38" s="80" customFormat="1" x14ac:dyDescent="0.25">
      <c r="A304" s="116"/>
      <c r="B304" s="115"/>
      <c r="C304" s="115"/>
      <c r="D304" s="115"/>
      <c r="E304" s="115"/>
      <c r="F304" s="115"/>
      <c r="H304" s="95">
        <v>299</v>
      </c>
      <c r="I304" s="96" t="str">
        <f t="shared" si="20"/>
        <v/>
      </c>
      <c r="J304" s="95" t="e">
        <f t="shared" si="21"/>
        <v>#NUM!</v>
      </c>
      <c r="K304" s="95" t="e">
        <f t="shared" si="22"/>
        <v>#NUM!</v>
      </c>
      <c r="L304" s="95"/>
      <c r="M304" s="97">
        <f t="shared" si="23"/>
        <v>0</v>
      </c>
      <c r="S304" s="85"/>
      <c r="T304" s="85"/>
      <c r="U304" s="85"/>
      <c r="V304" s="85"/>
      <c r="W304" s="85"/>
      <c r="X304" s="85"/>
      <c r="Y304" s="85"/>
      <c r="Z304" s="85"/>
      <c r="AA304" s="85"/>
      <c r="AB304" s="85"/>
      <c r="AC304" s="85"/>
      <c r="AD304" s="85"/>
      <c r="AE304" s="85"/>
      <c r="AF304" s="85"/>
      <c r="AG304" s="85"/>
      <c r="AH304" s="85"/>
      <c r="AI304" s="85"/>
      <c r="AJ304" s="85"/>
      <c r="AK304" s="85"/>
      <c r="AL304" s="85"/>
    </row>
    <row r="305" spans="1:38" s="80" customFormat="1" x14ac:dyDescent="0.25">
      <c r="A305" s="116"/>
      <c r="B305" s="115"/>
      <c r="C305" s="115"/>
      <c r="D305" s="115"/>
      <c r="E305" s="115"/>
      <c r="F305" s="115"/>
      <c r="H305" s="95">
        <v>300</v>
      </c>
      <c r="I305" s="96" t="str">
        <f t="shared" si="20"/>
        <v/>
      </c>
      <c r="J305" s="95" t="e">
        <f t="shared" si="21"/>
        <v>#NUM!</v>
      </c>
      <c r="K305" s="95" t="e">
        <f t="shared" si="22"/>
        <v>#NUM!</v>
      </c>
      <c r="L305" s="95"/>
      <c r="M305" s="97">
        <f t="shared" si="23"/>
        <v>0</v>
      </c>
      <c r="S305" s="85"/>
      <c r="T305" s="85"/>
      <c r="U305" s="85"/>
      <c r="V305" s="85"/>
      <c r="W305" s="85"/>
      <c r="X305" s="85"/>
      <c r="Y305" s="85"/>
      <c r="Z305" s="85"/>
      <c r="AA305" s="85"/>
      <c r="AB305" s="85"/>
      <c r="AC305" s="85"/>
      <c r="AD305" s="85"/>
      <c r="AE305" s="85"/>
      <c r="AF305" s="85"/>
      <c r="AG305" s="85"/>
      <c r="AH305" s="85"/>
      <c r="AI305" s="85"/>
      <c r="AJ305" s="85"/>
      <c r="AK305" s="85"/>
      <c r="AL305" s="85"/>
    </row>
    <row r="306" spans="1:38" s="80" customFormat="1" x14ac:dyDescent="0.25">
      <c r="A306" s="117"/>
      <c r="B306" s="115"/>
      <c r="C306" s="115"/>
      <c r="D306" s="115"/>
      <c r="E306" s="115"/>
      <c r="F306" s="115"/>
      <c r="G306" s="115"/>
      <c r="H306" s="118"/>
      <c r="I306" s="118"/>
      <c r="J306" s="118"/>
      <c r="K306" s="118"/>
      <c r="L306" s="118"/>
      <c r="M306" s="119"/>
      <c r="S306" s="85"/>
      <c r="T306" s="85"/>
      <c r="U306" s="85"/>
      <c r="V306" s="85"/>
      <c r="W306" s="85"/>
      <c r="X306" s="85"/>
      <c r="Y306" s="85"/>
      <c r="Z306" s="85"/>
      <c r="AA306" s="85"/>
      <c r="AB306" s="85"/>
      <c r="AC306" s="85"/>
      <c r="AD306" s="85"/>
      <c r="AE306" s="85"/>
      <c r="AF306" s="85"/>
      <c r="AG306" s="85"/>
      <c r="AH306" s="85"/>
      <c r="AI306" s="85"/>
      <c r="AJ306" s="85"/>
      <c r="AK306" s="85"/>
      <c r="AL306" s="85"/>
    </row>
    <row r="314" spans="1:38" s="80" customFormat="1" x14ac:dyDescent="0.25">
      <c r="A314" s="115"/>
      <c r="B314" s="115"/>
      <c r="C314" s="115"/>
      <c r="D314" s="115"/>
      <c r="E314" s="115"/>
      <c r="F314" s="115"/>
      <c r="G314" s="115"/>
      <c r="H314" s="118"/>
      <c r="I314" s="118"/>
      <c r="J314" s="118"/>
      <c r="K314" s="118"/>
      <c r="L314" s="120"/>
      <c r="M314" s="119"/>
      <c r="P314" s="107"/>
      <c r="S314" s="85"/>
      <c r="T314" s="85"/>
      <c r="U314" s="85"/>
      <c r="V314" s="85"/>
      <c r="W314" s="85"/>
      <c r="X314" s="85"/>
      <c r="Y314" s="85"/>
      <c r="Z314" s="85"/>
      <c r="AA314" s="85"/>
      <c r="AB314" s="85"/>
      <c r="AC314" s="85"/>
      <c r="AD314" s="85"/>
      <c r="AE314" s="85"/>
      <c r="AF314" s="85"/>
      <c r="AG314" s="85"/>
      <c r="AH314" s="85"/>
      <c r="AI314" s="85"/>
      <c r="AJ314" s="85"/>
      <c r="AK314" s="85"/>
      <c r="AL314" s="85"/>
    </row>
    <row r="315" spans="1:38" s="80" customFormat="1" x14ac:dyDescent="0.25">
      <c r="A315" s="115"/>
      <c r="B315" s="115"/>
      <c r="C315" s="115"/>
      <c r="D315" s="115"/>
      <c r="E315" s="115"/>
      <c r="F315" s="115"/>
      <c r="G315" s="115"/>
      <c r="H315" s="118"/>
      <c r="I315" s="118"/>
      <c r="J315" s="118"/>
      <c r="K315" s="118"/>
      <c r="L315" s="120"/>
      <c r="M315" s="119"/>
      <c r="P315" s="107"/>
      <c r="S315" s="85"/>
      <c r="T315" s="85"/>
      <c r="U315" s="85"/>
      <c r="V315" s="85"/>
      <c r="W315" s="85"/>
      <c r="X315" s="85"/>
      <c r="Y315" s="85"/>
      <c r="Z315" s="85"/>
      <c r="AA315" s="85"/>
      <c r="AB315" s="85"/>
      <c r="AC315" s="85"/>
      <c r="AD315" s="85"/>
      <c r="AE315" s="85"/>
      <c r="AF315" s="85"/>
      <c r="AG315" s="85"/>
      <c r="AH315" s="85"/>
      <c r="AI315" s="85"/>
      <c r="AJ315" s="85"/>
      <c r="AK315" s="85"/>
      <c r="AL315" s="85"/>
    </row>
    <row r="316" spans="1:38" s="80" customFormat="1" x14ac:dyDescent="0.25">
      <c r="A316" s="115"/>
      <c r="B316" s="115"/>
      <c r="C316" s="115"/>
      <c r="D316" s="115"/>
      <c r="E316" s="115"/>
      <c r="F316" s="115"/>
      <c r="G316" s="115"/>
      <c r="H316" s="118"/>
      <c r="I316" s="118"/>
      <c r="J316" s="118"/>
      <c r="K316" s="118"/>
      <c r="L316" s="120"/>
      <c r="M316" s="119"/>
      <c r="P316" s="107"/>
      <c r="S316" s="85"/>
      <c r="T316" s="85"/>
      <c r="U316" s="85"/>
      <c r="V316" s="85"/>
      <c r="W316" s="85"/>
      <c r="X316" s="85"/>
      <c r="Y316" s="85"/>
      <c r="Z316" s="85"/>
      <c r="AA316" s="85"/>
      <c r="AB316" s="85"/>
      <c r="AC316" s="85"/>
      <c r="AD316" s="85"/>
      <c r="AE316" s="85"/>
      <c r="AF316" s="85"/>
      <c r="AG316" s="85"/>
      <c r="AH316" s="85"/>
      <c r="AI316" s="85"/>
      <c r="AJ316" s="85"/>
      <c r="AK316" s="85"/>
      <c r="AL316" s="85"/>
    </row>
    <row r="317" spans="1:38" s="80" customFormat="1" x14ac:dyDescent="0.25">
      <c r="A317" s="115"/>
      <c r="B317" s="115"/>
      <c r="C317" s="115"/>
      <c r="D317" s="115"/>
      <c r="E317" s="115"/>
      <c r="F317" s="115"/>
      <c r="G317" s="115"/>
      <c r="H317" s="118"/>
      <c r="I317" s="118"/>
      <c r="J317" s="118"/>
      <c r="K317" s="118"/>
      <c r="L317" s="120"/>
      <c r="M317" s="119"/>
      <c r="P317" s="107"/>
      <c r="S317" s="85"/>
      <c r="T317" s="85"/>
      <c r="U317" s="85"/>
      <c r="V317" s="85"/>
      <c r="W317" s="85"/>
      <c r="X317" s="85"/>
      <c r="Y317" s="85"/>
      <c r="Z317" s="85"/>
      <c r="AA317" s="85"/>
      <c r="AB317" s="85"/>
      <c r="AC317" s="85"/>
      <c r="AD317" s="85"/>
      <c r="AE317" s="85"/>
      <c r="AF317" s="85"/>
      <c r="AG317" s="85"/>
      <c r="AH317" s="85"/>
      <c r="AI317" s="85"/>
      <c r="AJ317" s="85"/>
      <c r="AK317" s="85"/>
      <c r="AL317" s="85"/>
    </row>
  </sheetData>
  <conditionalFormatting sqref="J6:K305">
    <cfRule type="cellIs" dxfId="14" priority="1" operator="lessThanOrEqual">
      <formula>0</formula>
    </cfRule>
  </conditionalFormatting>
  <dataValidations count="1">
    <dataValidation type="list" allowBlank="1" showInputMessage="1" showErrorMessage="1" sqref="C66:C69" xr:uid="{32704E1D-EF21-40F5-8B3D-48ABDD3C6C31}">
      <formula1>#REF!</formula1>
    </dataValidation>
  </dataValidations>
  <hyperlinks>
    <hyperlink ref="C2" r:id="rId1" display="https://engarde-service.com/?fbclid=IwAR1q8b20973WNdhLRYbl3vdP-rPK0cilvuHZi37KFNf-Dodoicffb3YOQeM" xr:uid="{C9ACA707-571C-40B7-835C-009EC821235C}"/>
  </hyperlinks>
  <pageMargins left="0.7" right="0.7" top="0.75" bottom="0.75" header="0.3" footer="0.3"/>
  <pageSetup paperSize="9" orientation="portrait"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0F5F5-DF9A-4C0B-A4E1-131595D1D196}">
  <sheetPr>
    <tabColor rgb="FF92D050"/>
  </sheetPr>
  <dimension ref="A1:AL317"/>
  <sheetViews>
    <sheetView workbookViewId="0">
      <selection activeCell="F21" sqref="F21"/>
    </sheetView>
  </sheetViews>
  <sheetFormatPr defaultColWidth="8.875" defaultRowHeight="14.3" x14ac:dyDescent="0.25"/>
  <cols>
    <col min="1" max="1" width="8" style="115" customWidth="1"/>
    <col min="2" max="2" width="8.25" style="115" customWidth="1"/>
    <col min="3" max="3" width="34.75" style="115" customWidth="1"/>
    <col min="4" max="4" width="11.25" style="115" customWidth="1"/>
    <col min="5" max="6" width="8.875" style="115"/>
    <col min="7" max="7" width="0.875" style="115" customWidth="1"/>
    <col min="8" max="8" width="8.875" style="118"/>
    <col min="9" max="9" width="11" style="118" customWidth="1"/>
    <col min="10" max="10" width="15" style="118" customWidth="1"/>
    <col min="11" max="11" width="8.75" style="118" customWidth="1"/>
    <col min="12" max="12" width="11" style="118" customWidth="1"/>
    <col min="13" max="13" width="11.75" style="119" customWidth="1"/>
    <col min="14" max="15" width="13.875" style="80" customWidth="1"/>
    <col min="16" max="18" width="8.875" style="80"/>
    <col min="19" max="20" width="8.875" style="85"/>
    <col min="21" max="21" width="12.125" style="85" customWidth="1"/>
    <col min="22" max="22" width="27.375" style="85" customWidth="1"/>
    <col min="23" max="38" width="8.875" style="85"/>
    <col min="39" max="16384" width="8.875" style="115"/>
  </cols>
  <sheetData>
    <row r="1" spans="1:36" s="85" customFormat="1" x14ac:dyDescent="0.25">
      <c r="A1" s="80"/>
      <c r="B1" s="80"/>
      <c r="C1" s="80"/>
      <c r="D1" s="80"/>
      <c r="E1" s="80"/>
      <c r="F1" s="80"/>
      <c r="G1" s="80"/>
      <c r="H1" s="81" t="s">
        <v>20</v>
      </c>
      <c r="I1" s="82" t="s">
        <v>21</v>
      </c>
      <c r="J1" s="82" t="s">
        <v>22</v>
      </c>
      <c r="K1" s="83" t="s">
        <v>84</v>
      </c>
      <c r="L1" s="84"/>
      <c r="M1" s="84"/>
      <c r="N1" s="80"/>
      <c r="O1" s="80"/>
      <c r="P1" s="80"/>
      <c r="Q1" s="80"/>
      <c r="R1" s="80"/>
    </row>
    <row r="2" spans="1:36" s="85" customFormat="1" x14ac:dyDescent="0.25">
      <c r="A2" s="80"/>
      <c r="B2" s="19" t="s">
        <v>24</v>
      </c>
      <c r="C2" s="299" t="s">
        <v>97</v>
      </c>
      <c r="D2" s="299"/>
      <c r="E2" s="20"/>
      <c r="F2" s="20"/>
      <c r="G2" s="20"/>
      <c r="H2" s="86">
        <v>0</v>
      </c>
      <c r="I2" s="87">
        <v>50</v>
      </c>
      <c r="J2" s="87">
        <v>10</v>
      </c>
      <c r="K2" s="121">
        <f>3*H2^(1/3)</f>
        <v>0</v>
      </c>
      <c r="L2" s="84"/>
      <c r="M2" s="84"/>
      <c r="N2" s="80"/>
      <c r="O2" s="80"/>
      <c r="P2" s="80"/>
      <c r="Q2" s="80"/>
      <c r="R2" s="80"/>
    </row>
    <row r="3" spans="1:36" s="85" customFormat="1" ht="14.45" customHeight="1" x14ac:dyDescent="0.25">
      <c r="A3" s="80"/>
      <c r="B3" s="89" t="s">
        <v>26</v>
      </c>
      <c r="C3" s="278" t="s">
        <v>98</v>
      </c>
      <c r="D3" s="278"/>
      <c r="E3" s="25"/>
      <c r="F3" s="25"/>
      <c r="G3" s="25"/>
      <c r="H3" s="84"/>
      <c r="I3" s="84"/>
      <c r="J3" s="84"/>
      <c r="K3" s="84"/>
      <c r="L3" s="84"/>
      <c r="M3" s="84"/>
      <c r="N3" s="80"/>
      <c r="O3" s="80"/>
      <c r="P3" s="80"/>
      <c r="Q3" s="80"/>
      <c r="R3" s="80"/>
    </row>
    <row r="4" spans="1:36" s="85" customFormat="1" ht="10.199999999999999" customHeight="1" x14ac:dyDescent="0.25">
      <c r="A4" s="27"/>
      <c r="B4" s="25"/>
      <c r="C4" s="27"/>
      <c r="D4" s="27"/>
      <c r="E4" s="27"/>
      <c r="F4" s="27"/>
      <c r="G4" s="27"/>
      <c r="H4" s="84"/>
      <c r="I4" s="84"/>
      <c r="J4" s="84"/>
      <c r="K4" s="84"/>
      <c r="L4" s="84"/>
      <c r="M4" s="84"/>
      <c r="N4" s="80"/>
      <c r="O4" s="80"/>
      <c r="P4" s="80"/>
      <c r="Q4" s="80"/>
      <c r="R4" s="80"/>
    </row>
    <row r="5" spans="1:36" s="85" customFormat="1" ht="34.65" x14ac:dyDescent="0.25">
      <c r="A5" s="1" t="s">
        <v>28</v>
      </c>
      <c r="B5" s="28" t="s">
        <v>29</v>
      </c>
      <c r="C5" s="1" t="s">
        <v>30</v>
      </c>
      <c r="D5" s="1" t="s">
        <v>31</v>
      </c>
      <c r="E5" s="1" t="s">
        <v>32</v>
      </c>
      <c r="F5" s="1" t="s">
        <v>33</v>
      </c>
      <c r="G5" s="27"/>
      <c r="H5" s="91" t="s">
        <v>34</v>
      </c>
      <c r="I5" s="92" t="s">
        <v>35</v>
      </c>
      <c r="J5" s="92" t="s">
        <v>36</v>
      </c>
      <c r="K5" s="92" t="s">
        <v>37</v>
      </c>
      <c r="L5" s="92" t="s">
        <v>38</v>
      </c>
      <c r="M5" s="91" t="s">
        <v>39</v>
      </c>
      <c r="N5" s="80"/>
      <c r="O5" s="80"/>
      <c r="P5" s="80"/>
      <c r="Q5" s="80"/>
      <c r="R5" s="80"/>
    </row>
    <row r="6" spans="1:36" s="85" customFormat="1" ht="14.45" customHeight="1" x14ac:dyDescent="0.25">
      <c r="A6" s="94">
        <f t="shared" ref="A6:A37" si="0">M6</f>
        <v>0</v>
      </c>
      <c r="B6" s="33" t="str">
        <f>IF(H6&gt;$H$2,"",(ROW()-5))</f>
        <v/>
      </c>
      <c r="C6" s="34"/>
      <c r="D6" s="34"/>
      <c r="E6" s="34"/>
      <c r="F6" s="34"/>
      <c r="G6" s="27"/>
      <c r="H6" s="95">
        <v>1</v>
      </c>
      <c r="I6" s="96" t="str">
        <f t="shared" ref="I6:I69" si="1">IF(H6&lt;$H$2+1,($I$2-($I$2-1)*(LOG(H6)/LOG($H$2))),"")</f>
        <v/>
      </c>
      <c r="J6" s="96" t="e">
        <f t="shared" ref="J6:J69" si="2">INT(LOG($H$2,2))-ROUNDUP(LOG(H6,2),0)+IF(OR($H$2=1,$H$2=2,$H$2=4,$H$2=8,$H$2=16,$H$2=32,$H$2=64,$H$2=128,$H$2=256),0,1)</f>
        <v>#NUM!</v>
      </c>
      <c r="K6" s="95" t="e">
        <f t="shared" ref="K6:K69" si="3">J6*$J$2</f>
        <v>#NUM!</v>
      </c>
      <c r="L6" s="97">
        <f>3*K2</f>
        <v>0</v>
      </c>
      <c r="M6" s="97">
        <f t="shared" ref="M6:M69" si="4">IF(I6&lt;&gt;"",K6+I6+L6,0)</f>
        <v>0</v>
      </c>
      <c r="N6" s="80"/>
      <c r="O6" s="80"/>
      <c r="P6" s="80"/>
      <c r="Q6" s="80"/>
      <c r="R6" s="80"/>
    </row>
    <row r="7" spans="1:36" s="85" customFormat="1" ht="14.45" customHeight="1" x14ac:dyDescent="0.25">
      <c r="A7" s="98">
        <f t="shared" si="0"/>
        <v>0</v>
      </c>
      <c r="B7" s="39" t="str">
        <f>IF(H7&gt;$H$2,"",(ROW()-5))</f>
        <v/>
      </c>
      <c r="C7" s="40"/>
      <c r="D7" s="40"/>
      <c r="E7" s="40"/>
      <c r="F7" s="40"/>
      <c r="G7" s="27"/>
      <c r="H7" s="99">
        <v>2</v>
      </c>
      <c r="I7" s="100" t="str">
        <f t="shared" si="1"/>
        <v/>
      </c>
      <c r="J7" s="100" t="e">
        <f t="shared" si="2"/>
        <v>#NUM!</v>
      </c>
      <c r="K7" s="99" t="e">
        <f t="shared" si="3"/>
        <v>#NUM!</v>
      </c>
      <c r="L7" s="101">
        <f>2*K2</f>
        <v>0</v>
      </c>
      <c r="M7" s="101">
        <f t="shared" si="4"/>
        <v>0</v>
      </c>
      <c r="N7" s="80"/>
      <c r="O7" s="80"/>
      <c r="P7" s="80"/>
      <c r="Q7" s="80"/>
      <c r="R7" s="80"/>
    </row>
    <row r="8" spans="1:36" s="85" customFormat="1" ht="14.45" customHeight="1" x14ac:dyDescent="0.25">
      <c r="A8" s="94">
        <f t="shared" si="0"/>
        <v>0</v>
      </c>
      <c r="B8" s="33" t="str">
        <f>IF(H8&gt;$H$2,"",(ROW()-5))</f>
        <v/>
      </c>
      <c r="C8" s="34"/>
      <c r="D8" s="34"/>
      <c r="E8" s="34"/>
      <c r="F8" s="34"/>
      <c r="G8" s="27"/>
      <c r="H8" s="95">
        <v>3</v>
      </c>
      <c r="I8" s="96" t="str">
        <f t="shared" si="1"/>
        <v/>
      </c>
      <c r="J8" s="96" t="e">
        <f t="shared" si="2"/>
        <v>#NUM!</v>
      </c>
      <c r="K8" s="95" t="e">
        <f t="shared" si="3"/>
        <v>#NUM!</v>
      </c>
      <c r="L8" s="97">
        <f>K2</f>
        <v>0</v>
      </c>
      <c r="M8" s="97">
        <f t="shared" si="4"/>
        <v>0</v>
      </c>
      <c r="N8" s="80"/>
      <c r="O8" s="80"/>
      <c r="P8" s="80"/>
      <c r="Q8" s="80"/>
      <c r="R8" s="80"/>
    </row>
    <row r="9" spans="1:36" s="85" customFormat="1" ht="14.45" customHeight="1" x14ac:dyDescent="0.25">
      <c r="A9" s="98">
        <f t="shared" si="0"/>
        <v>0</v>
      </c>
      <c r="B9" s="39" t="str">
        <f>IF(H9&gt;$H$2,"",3)</f>
        <v/>
      </c>
      <c r="C9" s="40"/>
      <c r="D9" s="40"/>
      <c r="E9" s="40"/>
      <c r="F9" s="40"/>
      <c r="G9" s="27"/>
      <c r="H9" s="99">
        <v>3</v>
      </c>
      <c r="I9" s="100" t="str">
        <f t="shared" si="1"/>
        <v/>
      </c>
      <c r="J9" s="99" t="e">
        <f t="shared" si="2"/>
        <v>#NUM!</v>
      </c>
      <c r="K9" s="99" t="e">
        <f t="shared" si="3"/>
        <v>#NUM!</v>
      </c>
      <c r="L9" s="101">
        <f>K2</f>
        <v>0</v>
      </c>
      <c r="M9" s="101">
        <f t="shared" si="4"/>
        <v>0</v>
      </c>
      <c r="N9" s="80"/>
      <c r="O9" s="80"/>
      <c r="P9" s="80"/>
      <c r="Q9" s="80"/>
      <c r="R9" s="80"/>
      <c r="V9" s="102"/>
      <c r="Z9" s="103"/>
      <c r="AA9" s="103"/>
      <c r="AG9" s="104"/>
      <c r="AH9" s="85" t="s">
        <v>40</v>
      </c>
      <c r="AI9" s="85">
        <v>23</v>
      </c>
    </row>
    <row r="10" spans="1:36" s="85" customFormat="1" ht="14.45" customHeight="1" x14ac:dyDescent="0.25">
      <c r="A10" s="94">
        <f t="shared" si="0"/>
        <v>0</v>
      </c>
      <c r="B10" s="33" t="str">
        <f t="shared" ref="B10:B41" si="5">IF(H10&gt;$H$2,"",(ROW()-5))</f>
        <v/>
      </c>
      <c r="C10" s="34"/>
      <c r="D10" s="34"/>
      <c r="E10" s="34"/>
      <c r="F10" s="34"/>
      <c r="G10" s="27"/>
      <c r="H10" s="95">
        <v>5</v>
      </c>
      <c r="I10" s="96" t="str">
        <f t="shared" si="1"/>
        <v/>
      </c>
      <c r="J10" s="96" t="e">
        <f t="shared" si="2"/>
        <v>#NUM!</v>
      </c>
      <c r="K10" s="95" t="e">
        <f t="shared" si="3"/>
        <v>#NUM!</v>
      </c>
      <c r="L10" s="95"/>
      <c r="M10" s="97">
        <f t="shared" si="4"/>
        <v>0</v>
      </c>
      <c r="N10" s="80"/>
      <c r="O10" s="80"/>
      <c r="P10" s="80"/>
      <c r="Q10" s="80"/>
      <c r="R10" s="80"/>
      <c r="V10" s="102"/>
      <c r="Z10" s="103"/>
      <c r="AA10" s="103"/>
      <c r="AG10" s="104"/>
      <c r="AH10" s="85" t="s">
        <v>41</v>
      </c>
      <c r="AI10" s="85">
        <v>45</v>
      </c>
    </row>
    <row r="11" spans="1:36" s="85" customFormat="1" ht="14.45" customHeight="1" x14ac:dyDescent="0.25">
      <c r="A11" s="98">
        <f t="shared" si="0"/>
        <v>0</v>
      </c>
      <c r="B11" s="39" t="str">
        <f t="shared" si="5"/>
        <v/>
      </c>
      <c r="C11" s="40"/>
      <c r="D11" s="40"/>
      <c r="E11" s="40"/>
      <c r="F11" s="40"/>
      <c r="G11" s="27"/>
      <c r="H11" s="99">
        <v>6</v>
      </c>
      <c r="I11" s="100" t="str">
        <f t="shared" si="1"/>
        <v/>
      </c>
      <c r="J11" s="100" t="e">
        <f t="shared" si="2"/>
        <v>#NUM!</v>
      </c>
      <c r="K11" s="99" t="e">
        <f t="shared" si="3"/>
        <v>#NUM!</v>
      </c>
      <c r="L11" s="99"/>
      <c r="M11" s="101">
        <f t="shared" si="4"/>
        <v>0</v>
      </c>
      <c r="N11" s="80"/>
      <c r="O11" s="80"/>
      <c r="P11" s="80"/>
      <c r="Q11" s="80"/>
      <c r="R11" s="80"/>
      <c r="V11" s="105"/>
      <c r="Z11" s="103"/>
      <c r="AA11" s="103"/>
      <c r="AG11" s="104"/>
      <c r="AH11" s="85" t="s">
        <v>42</v>
      </c>
      <c r="AI11" s="85">
        <v>50</v>
      </c>
    </row>
    <row r="12" spans="1:36" s="85" customFormat="1" ht="14.45" customHeight="1" x14ac:dyDescent="0.25">
      <c r="A12" s="94">
        <f t="shared" si="0"/>
        <v>0</v>
      </c>
      <c r="B12" s="33" t="str">
        <f t="shared" si="5"/>
        <v/>
      </c>
      <c r="C12" s="34"/>
      <c r="D12" s="34"/>
      <c r="E12" s="34"/>
      <c r="F12" s="34"/>
      <c r="G12" s="27"/>
      <c r="H12" s="95">
        <v>7</v>
      </c>
      <c r="I12" s="96" t="str">
        <f t="shared" si="1"/>
        <v/>
      </c>
      <c r="J12" s="96" t="e">
        <f t="shared" si="2"/>
        <v>#NUM!</v>
      </c>
      <c r="K12" s="95" t="e">
        <f t="shared" si="3"/>
        <v>#NUM!</v>
      </c>
      <c r="L12" s="95"/>
      <c r="M12" s="97">
        <f t="shared" si="4"/>
        <v>0</v>
      </c>
      <c r="N12" s="80"/>
      <c r="O12" s="80"/>
      <c r="P12" s="80"/>
      <c r="Q12" s="80"/>
      <c r="R12" s="80"/>
      <c r="Z12" s="103"/>
      <c r="AA12" s="103"/>
      <c r="AG12" s="104"/>
      <c r="AH12" s="85" t="s">
        <v>43</v>
      </c>
      <c r="AI12" s="85">
        <f>AI11-1</f>
        <v>49</v>
      </c>
    </row>
    <row r="13" spans="1:36" s="85" customFormat="1" ht="14.45" customHeight="1" x14ac:dyDescent="0.25">
      <c r="A13" s="98">
        <f t="shared" si="0"/>
        <v>0</v>
      </c>
      <c r="B13" s="39" t="str">
        <f t="shared" si="5"/>
        <v/>
      </c>
      <c r="C13" s="40"/>
      <c r="D13" s="40"/>
      <c r="E13" s="40"/>
      <c r="F13" s="40"/>
      <c r="G13" s="27"/>
      <c r="H13" s="99">
        <v>8</v>
      </c>
      <c r="I13" s="100" t="str">
        <f t="shared" si="1"/>
        <v/>
      </c>
      <c r="J13" s="100" t="e">
        <f t="shared" si="2"/>
        <v>#NUM!</v>
      </c>
      <c r="K13" s="99" t="e">
        <f t="shared" si="3"/>
        <v>#NUM!</v>
      </c>
      <c r="L13" s="99"/>
      <c r="M13" s="101">
        <f t="shared" si="4"/>
        <v>0</v>
      </c>
      <c r="N13" s="80"/>
      <c r="O13" s="80"/>
      <c r="P13" s="80"/>
      <c r="Q13" s="80"/>
      <c r="R13" s="80"/>
      <c r="X13" s="102"/>
      <c r="AG13" s="104"/>
      <c r="AH13" s="85" t="s">
        <v>44</v>
      </c>
      <c r="AI13" s="85">
        <f>LOG(AI9)</f>
        <v>1.3617278360175928</v>
      </c>
    </row>
    <row r="14" spans="1:36" s="85" customFormat="1" x14ac:dyDescent="0.25">
      <c r="A14" s="94">
        <f t="shared" si="0"/>
        <v>0</v>
      </c>
      <c r="B14" s="33" t="str">
        <f t="shared" si="5"/>
        <v/>
      </c>
      <c r="C14" s="34"/>
      <c r="D14" s="34"/>
      <c r="E14" s="34"/>
      <c r="F14" s="34"/>
      <c r="G14" s="27"/>
      <c r="H14" s="95">
        <v>9</v>
      </c>
      <c r="I14" s="96" t="str">
        <f t="shared" si="1"/>
        <v/>
      </c>
      <c r="J14" s="96" t="e">
        <f t="shared" si="2"/>
        <v>#NUM!</v>
      </c>
      <c r="K14" s="95" t="e">
        <f t="shared" si="3"/>
        <v>#NUM!</v>
      </c>
      <c r="L14" s="95"/>
      <c r="M14" s="97">
        <f t="shared" si="4"/>
        <v>0</v>
      </c>
      <c r="N14" s="80"/>
      <c r="O14" s="80"/>
      <c r="P14" s="80"/>
      <c r="Q14" s="80"/>
      <c r="R14" s="80"/>
      <c r="X14" s="106"/>
      <c r="Z14" s="103"/>
      <c r="AA14" s="103"/>
      <c r="AG14" s="104"/>
      <c r="AH14" s="85" t="s">
        <v>45</v>
      </c>
      <c r="AI14" s="85">
        <f>LOG(AI10)</f>
        <v>1.6532125137753437</v>
      </c>
    </row>
    <row r="15" spans="1:36" s="85" customFormat="1" x14ac:dyDescent="0.25">
      <c r="A15" s="98">
        <f t="shared" si="0"/>
        <v>0</v>
      </c>
      <c r="B15" s="39" t="str">
        <f t="shared" si="5"/>
        <v/>
      </c>
      <c r="C15" s="40"/>
      <c r="D15" s="40"/>
      <c r="E15" s="40"/>
      <c r="F15" s="40"/>
      <c r="G15" s="27"/>
      <c r="H15" s="99">
        <v>10</v>
      </c>
      <c r="I15" s="100" t="str">
        <f t="shared" si="1"/>
        <v/>
      </c>
      <c r="J15" s="100" t="e">
        <f t="shared" si="2"/>
        <v>#NUM!</v>
      </c>
      <c r="K15" s="99" t="e">
        <f t="shared" si="3"/>
        <v>#NUM!</v>
      </c>
      <c r="L15" s="99"/>
      <c r="M15" s="101">
        <f t="shared" si="4"/>
        <v>0</v>
      </c>
      <c r="N15" s="80"/>
      <c r="O15" s="80"/>
      <c r="P15" s="80"/>
      <c r="Q15" s="80"/>
      <c r="R15" s="80"/>
      <c r="X15" s="102"/>
      <c r="Z15" s="103"/>
      <c r="AA15" s="103"/>
    </row>
    <row r="16" spans="1:36" s="85" customFormat="1" x14ac:dyDescent="0.25">
      <c r="A16" s="94">
        <f t="shared" si="0"/>
        <v>0</v>
      </c>
      <c r="B16" s="33" t="str">
        <f t="shared" si="5"/>
        <v/>
      </c>
      <c r="C16" s="34"/>
      <c r="D16" s="34"/>
      <c r="E16" s="34"/>
      <c r="F16" s="34"/>
      <c r="G16" s="27"/>
      <c r="H16" s="95">
        <v>11</v>
      </c>
      <c r="I16" s="96" t="str">
        <f t="shared" si="1"/>
        <v/>
      </c>
      <c r="J16" s="96" t="e">
        <f t="shared" si="2"/>
        <v>#NUM!</v>
      </c>
      <c r="K16" s="95" t="e">
        <f t="shared" si="3"/>
        <v>#NUM!</v>
      </c>
      <c r="L16" s="95"/>
      <c r="M16" s="97">
        <f t="shared" si="4"/>
        <v>0</v>
      </c>
      <c r="N16" s="80"/>
      <c r="O16" s="80"/>
      <c r="P16" s="80"/>
      <c r="Q16" s="80"/>
      <c r="R16" s="107"/>
      <c r="Z16" s="103"/>
      <c r="AA16" s="103"/>
      <c r="AH16" s="108" t="s">
        <v>46</v>
      </c>
      <c r="AI16" s="85">
        <f>AI11-AI12*AI13/AI14</f>
        <v>9.6393909380186855</v>
      </c>
      <c r="AJ16" s="85" t="s">
        <v>47</v>
      </c>
    </row>
    <row r="17" spans="1:19" s="85" customFormat="1" x14ac:dyDescent="0.25">
      <c r="A17" s="98">
        <f t="shared" si="0"/>
        <v>0</v>
      </c>
      <c r="B17" s="39" t="str">
        <f t="shared" si="5"/>
        <v/>
      </c>
      <c r="C17" s="40"/>
      <c r="D17" s="40"/>
      <c r="E17" s="40"/>
      <c r="F17" s="40"/>
      <c r="G17" s="27"/>
      <c r="H17" s="99">
        <v>12</v>
      </c>
      <c r="I17" s="100" t="str">
        <f t="shared" si="1"/>
        <v/>
      </c>
      <c r="J17" s="100" t="e">
        <f t="shared" si="2"/>
        <v>#NUM!</v>
      </c>
      <c r="K17" s="99" t="e">
        <f t="shared" si="3"/>
        <v>#NUM!</v>
      </c>
      <c r="L17" s="99"/>
      <c r="M17" s="101">
        <f t="shared" si="4"/>
        <v>0</v>
      </c>
      <c r="N17" s="80"/>
      <c r="O17" s="80"/>
      <c r="P17" s="80"/>
      <c r="Q17" s="80"/>
      <c r="R17" s="80"/>
    </row>
    <row r="18" spans="1:19" s="85" customFormat="1" x14ac:dyDescent="0.25">
      <c r="A18" s="94">
        <f t="shared" si="0"/>
        <v>0</v>
      </c>
      <c r="B18" s="33" t="str">
        <f t="shared" si="5"/>
        <v/>
      </c>
      <c r="C18" s="34"/>
      <c r="D18" s="34"/>
      <c r="E18" s="34"/>
      <c r="F18" s="34"/>
      <c r="G18" s="27"/>
      <c r="H18" s="95">
        <v>13</v>
      </c>
      <c r="I18" s="96" t="str">
        <f t="shared" si="1"/>
        <v/>
      </c>
      <c r="J18" s="96" t="e">
        <f t="shared" si="2"/>
        <v>#NUM!</v>
      </c>
      <c r="K18" s="95" t="e">
        <f t="shared" si="3"/>
        <v>#NUM!</v>
      </c>
      <c r="L18" s="95"/>
      <c r="M18" s="97">
        <f t="shared" si="4"/>
        <v>0</v>
      </c>
      <c r="N18" s="80"/>
      <c r="O18" s="80"/>
      <c r="P18" s="80"/>
      <c r="Q18" s="80"/>
      <c r="R18" s="80"/>
    </row>
    <row r="19" spans="1:19" s="85" customFormat="1" x14ac:dyDescent="0.25">
      <c r="A19" s="98">
        <f t="shared" si="0"/>
        <v>0</v>
      </c>
      <c r="B19" s="39" t="str">
        <f t="shared" si="5"/>
        <v/>
      </c>
      <c r="C19" s="40"/>
      <c r="D19" s="40"/>
      <c r="E19" s="40"/>
      <c r="F19" s="40"/>
      <c r="G19" s="27"/>
      <c r="H19" s="99">
        <v>14</v>
      </c>
      <c r="I19" s="100" t="str">
        <f t="shared" si="1"/>
        <v/>
      </c>
      <c r="J19" s="100" t="e">
        <f t="shared" si="2"/>
        <v>#NUM!</v>
      </c>
      <c r="K19" s="99" t="e">
        <f t="shared" si="3"/>
        <v>#NUM!</v>
      </c>
      <c r="L19" s="99"/>
      <c r="M19" s="101">
        <f t="shared" si="4"/>
        <v>0</v>
      </c>
      <c r="N19" s="80"/>
      <c r="O19" s="80"/>
      <c r="P19" s="80"/>
      <c r="Q19" s="80"/>
      <c r="R19" s="80"/>
    </row>
    <row r="20" spans="1:19" s="85" customFormat="1" x14ac:dyDescent="0.25">
      <c r="A20" s="94">
        <f t="shared" si="0"/>
        <v>0</v>
      </c>
      <c r="B20" s="33" t="str">
        <f t="shared" si="5"/>
        <v/>
      </c>
      <c r="C20" s="34"/>
      <c r="D20" s="34"/>
      <c r="E20" s="34"/>
      <c r="F20" s="34"/>
      <c r="G20" s="27"/>
      <c r="H20" s="95">
        <v>15</v>
      </c>
      <c r="I20" s="96" t="str">
        <f t="shared" si="1"/>
        <v/>
      </c>
      <c r="J20" s="96" t="e">
        <f t="shared" si="2"/>
        <v>#NUM!</v>
      </c>
      <c r="K20" s="95" t="e">
        <f t="shared" si="3"/>
        <v>#NUM!</v>
      </c>
      <c r="L20" s="95"/>
      <c r="M20" s="97">
        <f t="shared" si="4"/>
        <v>0</v>
      </c>
      <c r="N20" s="80"/>
      <c r="O20" s="80"/>
      <c r="P20" s="80"/>
      <c r="Q20" s="80"/>
      <c r="R20" s="109"/>
      <c r="S20" s="110"/>
    </row>
    <row r="21" spans="1:19" s="85" customFormat="1" x14ac:dyDescent="0.25">
      <c r="A21" s="98">
        <f t="shared" si="0"/>
        <v>0</v>
      </c>
      <c r="B21" s="39" t="str">
        <f t="shared" si="5"/>
        <v/>
      </c>
      <c r="C21" s="40"/>
      <c r="D21" s="40"/>
      <c r="E21" s="40"/>
      <c r="F21" s="40"/>
      <c r="G21" s="27"/>
      <c r="H21" s="99">
        <v>16</v>
      </c>
      <c r="I21" s="100" t="str">
        <f t="shared" si="1"/>
        <v/>
      </c>
      <c r="J21" s="100" t="e">
        <f t="shared" si="2"/>
        <v>#NUM!</v>
      </c>
      <c r="K21" s="99" t="e">
        <f t="shared" si="3"/>
        <v>#NUM!</v>
      </c>
      <c r="L21" s="99"/>
      <c r="M21" s="101">
        <f t="shared" si="4"/>
        <v>0</v>
      </c>
      <c r="N21" s="80"/>
      <c r="O21" s="80"/>
      <c r="P21" s="80"/>
      <c r="Q21" s="80"/>
      <c r="R21" s="80"/>
    </row>
    <row r="22" spans="1:19" s="85" customFormat="1" x14ac:dyDescent="0.25">
      <c r="A22" s="94">
        <f t="shared" si="0"/>
        <v>0</v>
      </c>
      <c r="B22" s="33" t="str">
        <f t="shared" si="5"/>
        <v/>
      </c>
      <c r="C22" s="34"/>
      <c r="D22" s="34"/>
      <c r="E22" s="34"/>
      <c r="F22" s="34"/>
      <c r="G22" s="27"/>
      <c r="H22" s="95">
        <v>17</v>
      </c>
      <c r="I22" s="96" t="str">
        <f t="shared" si="1"/>
        <v/>
      </c>
      <c r="J22" s="96" t="e">
        <f t="shared" si="2"/>
        <v>#NUM!</v>
      </c>
      <c r="K22" s="95" t="e">
        <f t="shared" si="3"/>
        <v>#NUM!</v>
      </c>
      <c r="L22" s="95"/>
      <c r="M22" s="97">
        <f t="shared" si="4"/>
        <v>0</v>
      </c>
      <c r="N22" s="80"/>
      <c r="O22" s="80"/>
      <c r="P22" s="80"/>
      <c r="Q22" s="80"/>
      <c r="R22" s="80"/>
    </row>
    <row r="23" spans="1:19" s="85" customFormat="1" x14ac:dyDescent="0.25">
      <c r="A23" s="98">
        <f t="shared" si="0"/>
        <v>0</v>
      </c>
      <c r="B23" s="39" t="str">
        <f t="shared" si="5"/>
        <v/>
      </c>
      <c r="C23" s="40"/>
      <c r="D23" s="40"/>
      <c r="E23" s="40"/>
      <c r="F23" s="40"/>
      <c r="G23" s="27"/>
      <c r="H23" s="99">
        <v>18</v>
      </c>
      <c r="I23" s="100" t="str">
        <f t="shared" si="1"/>
        <v/>
      </c>
      <c r="J23" s="100" t="e">
        <f t="shared" si="2"/>
        <v>#NUM!</v>
      </c>
      <c r="K23" s="99" t="e">
        <f t="shared" si="3"/>
        <v>#NUM!</v>
      </c>
      <c r="L23" s="99"/>
      <c r="M23" s="101">
        <f t="shared" si="4"/>
        <v>0</v>
      </c>
      <c r="N23" s="80"/>
      <c r="O23" s="80"/>
      <c r="P23" s="80"/>
      <c r="Q23" s="80"/>
      <c r="R23" s="80"/>
    </row>
    <row r="24" spans="1:19" s="85" customFormat="1" x14ac:dyDescent="0.25">
      <c r="A24" s="94">
        <f t="shared" si="0"/>
        <v>0</v>
      </c>
      <c r="B24" s="33" t="str">
        <f t="shared" si="5"/>
        <v/>
      </c>
      <c r="C24" s="34"/>
      <c r="D24" s="34"/>
      <c r="E24" s="34"/>
      <c r="F24" s="34"/>
      <c r="G24" s="27"/>
      <c r="H24" s="95">
        <v>19</v>
      </c>
      <c r="I24" s="96" t="str">
        <f t="shared" si="1"/>
        <v/>
      </c>
      <c r="J24" s="96" t="e">
        <f t="shared" si="2"/>
        <v>#NUM!</v>
      </c>
      <c r="K24" s="95" t="e">
        <f t="shared" si="3"/>
        <v>#NUM!</v>
      </c>
      <c r="L24" s="95"/>
      <c r="M24" s="97">
        <f t="shared" si="4"/>
        <v>0</v>
      </c>
      <c r="N24" s="80"/>
      <c r="O24" s="80"/>
      <c r="P24" s="80"/>
      <c r="Q24" s="80"/>
      <c r="R24" s="109"/>
      <c r="S24" s="110"/>
    </row>
    <row r="25" spans="1:19" s="85" customFormat="1" x14ac:dyDescent="0.25">
      <c r="A25" s="98">
        <f t="shared" si="0"/>
        <v>0</v>
      </c>
      <c r="B25" s="39" t="str">
        <f t="shared" si="5"/>
        <v/>
      </c>
      <c r="C25" s="40"/>
      <c r="D25" s="40"/>
      <c r="E25" s="40"/>
      <c r="F25" s="40"/>
      <c r="G25" s="27"/>
      <c r="H25" s="99">
        <v>20</v>
      </c>
      <c r="I25" s="100" t="str">
        <f t="shared" si="1"/>
        <v/>
      </c>
      <c r="J25" s="100" t="e">
        <f t="shared" si="2"/>
        <v>#NUM!</v>
      </c>
      <c r="K25" s="99" t="e">
        <f t="shared" si="3"/>
        <v>#NUM!</v>
      </c>
      <c r="L25" s="99"/>
      <c r="M25" s="101">
        <f t="shared" si="4"/>
        <v>0</v>
      </c>
      <c r="N25" s="80"/>
      <c r="O25" s="80"/>
      <c r="P25" s="80"/>
      <c r="Q25" s="80"/>
      <c r="R25" s="80"/>
    </row>
    <row r="26" spans="1:19" s="85" customFormat="1" x14ac:dyDescent="0.25">
      <c r="A26" s="94">
        <f t="shared" si="0"/>
        <v>0</v>
      </c>
      <c r="B26" s="33" t="str">
        <f t="shared" si="5"/>
        <v/>
      </c>
      <c r="C26" s="34"/>
      <c r="D26" s="34"/>
      <c r="E26" s="34"/>
      <c r="F26" s="34"/>
      <c r="G26" s="27"/>
      <c r="H26" s="95">
        <v>21</v>
      </c>
      <c r="I26" s="96" t="str">
        <f t="shared" si="1"/>
        <v/>
      </c>
      <c r="J26" s="96" t="e">
        <f t="shared" si="2"/>
        <v>#NUM!</v>
      </c>
      <c r="K26" s="95" t="e">
        <f t="shared" si="3"/>
        <v>#NUM!</v>
      </c>
      <c r="L26" s="95"/>
      <c r="M26" s="97">
        <f t="shared" si="4"/>
        <v>0</v>
      </c>
      <c r="N26" s="80"/>
      <c r="O26" s="80"/>
      <c r="P26" s="80"/>
      <c r="Q26" s="80"/>
      <c r="R26" s="80"/>
    </row>
    <row r="27" spans="1:19" s="85" customFormat="1" x14ac:dyDescent="0.25">
      <c r="A27" s="98">
        <f t="shared" si="0"/>
        <v>0</v>
      </c>
      <c r="B27" s="39" t="str">
        <f t="shared" si="5"/>
        <v/>
      </c>
      <c r="C27" s="40"/>
      <c r="D27" s="40"/>
      <c r="E27" s="40"/>
      <c r="F27" s="40"/>
      <c r="G27" s="27"/>
      <c r="H27" s="99">
        <v>22</v>
      </c>
      <c r="I27" s="100" t="str">
        <f t="shared" si="1"/>
        <v/>
      </c>
      <c r="J27" s="100" t="e">
        <f t="shared" si="2"/>
        <v>#NUM!</v>
      </c>
      <c r="K27" s="99" t="e">
        <f t="shared" si="3"/>
        <v>#NUM!</v>
      </c>
      <c r="L27" s="99"/>
      <c r="M27" s="101">
        <f t="shared" si="4"/>
        <v>0</v>
      </c>
      <c r="N27" s="80"/>
      <c r="O27" s="80"/>
      <c r="P27" s="80"/>
      <c r="Q27" s="80"/>
      <c r="R27" s="80"/>
    </row>
    <row r="28" spans="1:19" s="85" customFormat="1" x14ac:dyDescent="0.25">
      <c r="A28" s="94">
        <f t="shared" si="0"/>
        <v>0</v>
      </c>
      <c r="B28" s="33" t="str">
        <f t="shared" si="5"/>
        <v/>
      </c>
      <c r="C28" s="34"/>
      <c r="D28" s="34"/>
      <c r="E28" s="34"/>
      <c r="F28" s="34"/>
      <c r="G28" s="27"/>
      <c r="H28" s="95">
        <v>23</v>
      </c>
      <c r="I28" s="96" t="str">
        <f t="shared" si="1"/>
        <v/>
      </c>
      <c r="J28" s="96" t="e">
        <f t="shared" si="2"/>
        <v>#NUM!</v>
      </c>
      <c r="K28" s="95" t="e">
        <f t="shared" si="3"/>
        <v>#NUM!</v>
      </c>
      <c r="L28" s="95"/>
      <c r="M28" s="97">
        <f t="shared" si="4"/>
        <v>0</v>
      </c>
      <c r="N28" s="80"/>
      <c r="O28" s="80"/>
      <c r="P28" s="80"/>
      <c r="Q28" s="80"/>
      <c r="R28" s="109"/>
      <c r="S28" s="110"/>
    </row>
    <row r="29" spans="1:19" s="85" customFormat="1" x14ac:dyDescent="0.25">
      <c r="A29" s="98">
        <f t="shared" si="0"/>
        <v>0</v>
      </c>
      <c r="B29" s="39" t="str">
        <f t="shared" si="5"/>
        <v/>
      </c>
      <c r="C29" s="40"/>
      <c r="D29" s="40"/>
      <c r="E29" s="40"/>
      <c r="F29" s="40"/>
      <c r="G29" s="80"/>
      <c r="H29" s="99">
        <v>24</v>
      </c>
      <c r="I29" s="100" t="str">
        <f t="shared" si="1"/>
        <v/>
      </c>
      <c r="J29" s="100" t="e">
        <f t="shared" si="2"/>
        <v>#NUM!</v>
      </c>
      <c r="K29" s="99" t="e">
        <f t="shared" si="3"/>
        <v>#NUM!</v>
      </c>
      <c r="L29" s="99"/>
      <c r="M29" s="101">
        <f t="shared" si="4"/>
        <v>0</v>
      </c>
      <c r="N29" s="80"/>
      <c r="O29" s="80"/>
      <c r="P29" s="80"/>
      <c r="Q29" s="80"/>
      <c r="R29" s="80"/>
    </row>
    <row r="30" spans="1:19" s="85" customFormat="1" x14ac:dyDescent="0.25">
      <c r="A30" s="94">
        <f t="shared" si="0"/>
        <v>0</v>
      </c>
      <c r="B30" s="33" t="str">
        <f t="shared" si="5"/>
        <v/>
      </c>
      <c r="C30" s="34"/>
      <c r="D30" s="34"/>
      <c r="E30" s="34"/>
      <c r="F30" s="34"/>
      <c r="G30" s="80"/>
      <c r="H30" s="95">
        <v>25</v>
      </c>
      <c r="I30" s="96" t="str">
        <f t="shared" si="1"/>
        <v/>
      </c>
      <c r="J30" s="96" t="e">
        <f t="shared" si="2"/>
        <v>#NUM!</v>
      </c>
      <c r="K30" s="95" t="e">
        <f t="shared" si="3"/>
        <v>#NUM!</v>
      </c>
      <c r="L30" s="95"/>
      <c r="M30" s="97">
        <f t="shared" si="4"/>
        <v>0</v>
      </c>
      <c r="N30" s="80"/>
      <c r="O30" s="80"/>
      <c r="P30" s="80"/>
      <c r="Q30" s="80"/>
      <c r="R30" s="80"/>
    </row>
    <row r="31" spans="1:19" s="85" customFormat="1" x14ac:dyDescent="0.25">
      <c r="A31" s="98">
        <f t="shared" si="0"/>
        <v>0</v>
      </c>
      <c r="B31" s="39" t="str">
        <f t="shared" si="5"/>
        <v/>
      </c>
      <c r="C31" s="40"/>
      <c r="D31" s="40"/>
      <c r="E31" s="40"/>
      <c r="F31" s="40"/>
      <c r="G31" s="80"/>
      <c r="H31" s="99">
        <v>26</v>
      </c>
      <c r="I31" s="100" t="str">
        <f t="shared" si="1"/>
        <v/>
      </c>
      <c r="J31" s="100" t="e">
        <f t="shared" si="2"/>
        <v>#NUM!</v>
      </c>
      <c r="K31" s="99" t="e">
        <f t="shared" si="3"/>
        <v>#NUM!</v>
      </c>
      <c r="L31" s="99"/>
      <c r="M31" s="101">
        <f t="shared" si="4"/>
        <v>0</v>
      </c>
      <c r="N31" s="80"/>
      <c r="O31" s="80"/>
      <c r="P31" s="80"/>
      <c r="Q31" s="80"/>
      <c r="R31" s="80"/>
    </row>
    <row r="32" spans="1:19" s="85" customFormat="1" x14ac:dyDescent="0.25">
      <c r="A32" s="94">
        <f t="shared" si="0"/>
        <v>0</v>
      </c>
      <c r="B32" s="33" t="str">
        <f t="shared" si="5"/>
        <v/>
      </c>
      <c r="C32" s="34"/>
      <c r="D32" s="34"/>
      <c r="E32" s="34"/>
      <c r="F32" s="34"/>
      <c r="G32" s="80"/>
      <c r="H32" s="95">
        <v>27</v>
      </c>
      <c r="I32" s="96" t="str">
        <f t="shared" si="1"/>
        <v/>
      </c>
      <c r="J32" s="96" t="e">
        <f t="shared" si="2"/>
        <v>#NUM!</v>
      </c>
      <c r="K32" s="95" t="e">
        <f t="shared" si="3"/>
        <v>#NUM!</v>
      </c>
      <c r="L32" s="95"/>
      <c r="M32" s="97">
        <f t="shared" si="4"/>
        <v>0</v>
      </c>
      <c r="N32" s="80"/>
      <c r="O32" s="80"/>
      <c r="P32" s="80"/>
      <c r="Q32" s="80"/>
      <c r="R32" s="109"/>
      <c r="S32" s="110"/>
    </row>
    <row r="33" spans="1:21" s="85" customFormat="1" x14ac:dyDescent="0.25">
      <c r="A33" s="98">
        <f t="shared" si="0"/>
        <v>0</v>
      </c>
      <c r="B33" s="39" t="str">
        <f t="shared" si="5"/>
        <v/>
      </c>
      <c r="C33" s="40"/>
      <c r="D33" s="40"/>
      <c r="E33" s="40"/>
      <c r="F33" s="40"/>
      <c r="G33" s="80"/>
      <c r="H33" s="99">
        <v>28</v>
      </c>
      <c r="I33" s="100" t="str">
        <f t="shared" si="1"/>
        <v/>
      </c>
      <c r="J33" s="100" t="e">
        <f t="shared" si="2"/>
        <v>#NUM!</v>
      </c>
      <c r="K33" s="99" t="e">
        <f t="shared" si="3"/>
        <v>#NUM!</v>
      </c>
      <c r="L33" s="99"/>
      <c r="M33" s="101">
        <f t="shared" si="4"/>
        <v>0</v>
      </c>
      <c r="N33" s="80"/>
      <c r="O33" s="80"/>
      <c r="P33" s="80"/>
      <c r="Q33" s="80"/>
      <c r="R33" s="80"/>
    </row>
    <row r="34" spans="1:21" s="85" customFormat="1" x14ac:dyDescent="0.25">
      <c r="A34" s="94">
        <f t="shared" si="0"/>
        <v>0</v>
      </c>
      <c r="B34" s="33" t="str">
        <f t="shared" si="5"/>
        <v/>
      </c>
      <c r="C34" s="34"/>
      <c r="D34" s="34"/>
      <c r="E34" s="34"/>
      <c r="F34" s="34"/>
      <c r="G34" s="80"/>
      <c r="H34" s="95">
        <v>29</v>
      </c>
      <c r="I34" s="96" t="str">
        <f t="shared" si="1"/>
        <v/>
      </c>
      <c r="J34" s="96" t="e">
        <f t="shared" si="2"/>
        <v>#NUM!</v>
      </c>
      <c r="K34" s="95" t="e">
        <f t="shared" si="3"/>
        <v>#NUM!</v>
      </c>
      <c r="L34" s="95"/>
      <c r="M34" s="97">
        <f t="shared" si="4"/>
        <v>0</v>
      </c>
      <c r="N34" s="80"/>
      <c r="O34" s="80"/>
      <c r="P34" s="80"/>
      <c r="Q34" s="80"/>
      <c r="R34" s="80"/>
    </row>
    <row r="35" spans="1:21" s="85" customFormat="1" x14ac:dyDescent="0.25">
      <c r="A35" s="98">
        <f t="shared" si="0"/>
        <v>0</v>
      </c>
      <c r="B35" s="39" t="str">
        <f t="shared" si="5"/>
        <v/>
      </c>
      <c r="C35" s="40"/>
      <c r="D35" s="40"/>
      <c r="E35" s="40"/>
      <c r="F35" s="40"/>
      <c r="G35" s="80"/>
      <c r="H35" s="99">
        <v>30</v>
      </c>
      <c r="I35" s="100" t="str">
        <f t="shared" si="1"/>
        <v/>
      </c>
      <c r="J35" s="100" t="e">
        <f t="shared" si="2"/>
        <v>#NUM!</v>
      </c>
      <c r="K35" s="99" t="e">
        <f t="shared" si="3"/>
        <v>#NUM!</v>
      </c>
      <c r="L35" s="99"/>
      <c r="M35" s="101">
        <f t="shared" si="4"/>
        <v>0</v>
      </c>
      <c r="N35" s="80"/>
      <c r="O35" s="80"/>
      <c r="P35" s="80"/>
      <c r="Q35" s="80"/>
      <c r="R35" s="80"/>
    </row>
    <row r="36" spans="1:21" s="85" customFormat="1" x14ac:dyDescent="0.25">
      <c r="A36" s="94">
        <f t="shared" si="0"/>
        <v>0</v>
      </c>
      <c r="B36" s="33" t="str">
        <f t="shared" si="5"/>
        <v/>
      </c>
      <c r="C36" s="34"/>
      <c r="D36" s="34"/>
      <c r="E36" s="34"/>
      <c r="F36" s="34"/>
      <c r="G36" s="80"/>
      <c r="H36" s="95">
        <v>31</v>
      </c>
      <c r="I36" s="96" t="str">
        <f t="shared" si="1"/>
        <v/>
      </c>
      <c r="J36" s="96" t="e">
        <f t="shared" si="2"/>
        <v>#NUM!</v>
      </c>
      <c r="K36" s="95" t="e">
        <f t="shared" si="3"/>
        <v>#NUM!</v>
      </c>
      <c r="L36" s="95"/>
      <c r="M36" s="97">
        <f t="shared" si="4"/>
        <v>0</v>
      </c>
      <c r="N36" s="80"/>
      <c r="O36" s="80"/>
      <c r="P36" s="80"/>
      <c r="Q36" s="80"/>
      <c r="R36" s="109"/>
      <c r="S36" s="110"/>
    </row>
    <row r="37" spans="1:21" s="85" customFormat="1" x14ac:dyDescent="0.25">
      <c r="A37" s="98">
        <f t="shared" si="0"/>
        <v>0</v>
      </c>
      <c r="B37" s="39" t="str">
        <f t="shared" si="5"/>
        <v/>
      </c>
      <c r="C37" s="40"/>
      <c r="D37" s="40"/>
      <c r="E37" s="40"/>
      <c r="F37" s="40"/>
      <c r="G37" s="80"/>
      <c r="H37" s="99">
        <v>32</v>
      </c>
      <c r="I37" s="100" t="str">
        <f t="shared" si="1"/>
        <v/>
      </c>
      <c r="J37" s="100" t="e">
        <f t="shared" si="2"/>
        <v>#NUM!</v>
      </c>
      <c r="K37" s="99" t="e">
        <f t="shared" si="3"/>
        <v>#NUM!</v>
      </c>
      <c r="L37" s="99"/>
      <c r="M37" s="101">
        <f t="shared" si="4"/>
        <v>0</v>
      </c>
      <c r="N37" s="80"/>
      <c r="O37" s="80"/>
      <c r="P37" s="80"/>
      <c r="Q37" s="80"/>
      <c r="R37" s="80"/>
    </row>
    <row r="38" spans="1:21" s="85" customFormat="1" x14ac:dyDescent="0.25">
      <c r="A38" s="94"/>
      <c r="B38" s="33" t="str">
        <f t="shared" si="5"/>
        <v/>
      </c>
      <c r="C38" s="34"/>
      <c r="D38" s="34"/>
      <c r="E38" s="34"/>
      <c r="F38" s="34"/>
      <c r="G38" s="80"/>
      <c r="H38" s="95">
        <v>33</v>
      </c>
      <c r="I38" s="96" t="str">
        <f t="shared" si="1"/>
        <v/>
      </c>
      <c r="J38" s="96" t="e">
        <f t="shared" si="2"/>
        <v>#NUM!</v>
      </c>
      <c r="K38" s="95" t="e">
        <f t="shared" si="3"/>
        <v>#NUM!</v>
      </c>
      <c r="L38" s="95"/>
      <c r="M38" s="97">
        <f t="shared" si="4"/>
        <v>0</v>
      </c>
      <c r="N38" s="80"/>
      <c r="O38" s="80"/>
      <c r="P38" s="80"/>
      <c r="Q38" s="80"/>
      <c r="R38" s="80"/>
    </row>
    <row r="39" spans="1:21" s="85" customFormat="1" x14ac:dyDescent="0.25">
      <c r="A39" s="98"/>
      <c r="B39" s="39" t="str">
        <f t="shared" si="5"/>
        <v/>
      </c>
      <c r="C39" s="40"/>
      <c r="D39" s="40"/>
      <c r="E39" s="40"/>
      <c r="F39" s="40"/>
      <c r="G39" s="80"/>
      <c r="H39" s="99">
        <v>34</v>
      </c>
      <c r="I39" s="100" t="str">
        <f t="shared" si="1"/>
        <v/>
      </c>
      <c r="J39" s="100" t="e">
        <f t="shared" si="2"/>
        <v>#NUM!</v>
      </c>
      <c r="K39" s="99" t="e">
        <f t="shared" si="3"/>
        <v>#NUM!</v>
      </c>
      <c r="L39" s="99"/>
      <c r="M39" s="101">
        <f t="shared" si="4"/>
        <v>0</v>
      </c>
      <c r="N39" s="80"/>
      <c r="O39" s="80"/>
      <c r="P39" s="80"/>
      <c r="Q39" s="80"/>
      <c r="R39" s="80"/>
    </row>
    <row r="40" spans="1:21" s="85" customFormat="1" x14ac:dyDescent="0.25">
      <c r="A40" s="94"/>
      <c r="B40" s="33" t="str">
        <f t="shared" si="5"/>
        <v/>
      </c>
      <c r="C40" s="34"/>
      <c r="D40" s="34"/>
      <c r="E40" s="34"/>
      <c r="F40" s="34"/>
      <c r="G40" s="80"/>
      <c r="H40" s="95">
        <v>35</v>
      </c>
      <c r="I40" s="96" t="str">
        <f t="shared" si="1"/>
        <v/>
      </c>
      <c r="J40" s="96" t="e">
        <f t="shared" si="2"/>
        <v>#NUM!</v>
      </c>
      <c r="K40" s="95" t="e">
        <f t="shared" si="3"/>
        <v>#NUM!</v>
      </c>
      <c r="L40" s="95"/>
      <c r="M40" s="97">
        <f t="shared" si="4"/>
        <v>0</v>
      </c>
      <c r="N40" s="80"/>
      <c r="O40" s="80"/>
      <c r="P40" s="80"/>
      <c r="Q40" s="80"/>
      <c r="R40" s="80"/>
    </row>
    <row r="41" spans="1:21" s="85" customFormat="1" x14ac:dyDescent="0.25">
      <c r="A41" s="98"/>
      <c r="B41" s="39" t="str">
        <f t="shared" si="5"/>
        <v/>
      </c>
      <c r="C41" s="40"/>
      <c r="D41" s="40"/>
      <c r="E41" s="40"/>
      <c r="F41" s="40"/>
      <c r="G41" s="80"/>
      <c r="H41" s="99">
        <v>36</v>
      </c>
      <c r="I41" s="100" t="str">
        <f t="shared" si="1"/>
        <v/>
      </c>
      <c r="J41" s="100" t="e">
        <f t="shared" si="2"/>
        <v>#NUM!</v>
      </c>
      <c r="K41" s="99" t="e">
        <f t="shared" si="3"/>
        <v>#NUM!</v>
      </c>
      <c r="L41" s="99"/>
      <c r="M41" s="101">
        <f t="shared" si="4"/>
        <v>0</v>
      </c>
      <c r="N41" s="80"/>
      <c r="O41" s="80"/>
      <c r="P41" s="80"/>
      <c r="Q41" s="80"/>
      <c r="R41" s="80"/>
      <c r="S41" s="111"/>
    </row>
    <row r="42" spans="1:21" s="85" customFormat="1" x14ac:dyDescent="0.25">
      <c r="A42" s="94"/>
      <c r="B42" s="33" t="str">
        <f t="shared" ref="B42:B65" si="6">IF(H42&gt;$H$2,"",(ROW()-5))</f>
        <v/>
      </c>
      <c r="C42" s="34"/>
      <c r="D42" s="34"/>
      <c r="E42" s="34"/>
      <c r="F42" s="34"/>
      <c r="G42" s="80"/>
      <c r="H42" s="95">
        <v>37</v>
      </c>
      <c r="I42" s="96" t="str">
        <f t="shared" si="1"/>
        <v/>
      </c>
      <c r="J42" s="96" t="e">
        <f t="shared" si="2"/>
        <v>#NUM!</v>
      </c>
      <c r="K42" s="95" t="e">
        <f t="shared" si="3"/>
        <v>#NUM!</v>
      </c>
      <c r="L42" s="95"/>
      <c r="M42" s="97">
        <f t="shared" si="4"/>
        <v>0</v>
      </c>
      <c r="N42" s="80"/>
      <c r="O42" s="80"/>
      <c r="P42" s="80"/>
      <c r="Q42" s="80"/>
      <c r="R42" s="80"/>
    </row>
    <row r="43" spans="1:21" s="85" customFormat="1" x14ac:dyDescent="0.25">
      <c r="A43" s="98"/>
      <c r="B43" s="39" t="str">
        <f t="shared" si="6"/>
        <v/>
      </c>
      <c r="C43" s="40"/>
      <c r="D43" s="40"/>
      <c r="E43" s="40"/>
      <c r="F43" s="40"/>
      <c r="G43" s="80"/>
      <c r="H43" s="99">
        <v>38</v>
      </c>
      <c r="I43" s="100" t="str">
        <f t="shared" si="1"/>
        <v/>
      </c>
      <c r="J43" s="100" t="e">
        <f t="shared" si="2"/>
        <v>#NUM!</v>
      </c>
      <c r="K43" s="99" t="e">
        <f t="shared" si="3"/>
        <v>#NUM!</v>
      </c>
      <c r="L43" s="99"/>
      <c r="M43" s="101">
        <f t="shared" si="4"/>
        <v>0</v>
      </c>
      <c r="N43" s="80"/>
      <c r="O43" s="80"/>
      <c r="P43" s="80"/>
      <c r="Q43" s="80"/>
      <c r="R43" s="80"/>
    </row>
    <row r="44" spans="1:21" s="85" customFormat="1" x14ac:dyDescent="0.25">
      <c r="A44" s="94"/>
      <c r="B44" s="33" t="str">
        <f t="shared" si="6"/>
        <v/>
      </c>
      <c r="C44" s="34"/>
      <c r="D44" s="34"/>
      <c r="E44" s="34"/>
      <c r="F44" s="34"/>
      <c r="G44" s="80"/>
      <c r="H44" s="95">
        <v>39</v>
      </c>
      <c r="I44" s="96" t="str">
        <f t="shared" si="1"/>
        <v/>
      </c>
      <c r="J44" s="96" t="e">
        <f t="shared" si="2"/>
        <v>#NUM!</v>
      </c>
      <c r="K44" s="95" t="e">
        <f t="shared" si="3"/>
        <v>#NUM!</v>
      </c>
      <c r="L44" s="95"/>
      <c r="M44" s="97">
        <f t="shared" si="4"/>
        <v>0</v>
      </c>
      <c r="N44" s="80"/>
      <c r="O44" s="80"/>
      <c r="P44" s="80"/>
      <c r="Q44" s="80"/>
      <c r="R44" s="80"/>
    </row>
    <row r="45" spans="1:21" s="85" customFormat="1" x14ac:dyDescent="0.25">
      <c r="A45" s="98"/>
      <c r="B45" s="39" t="str">
        <f t="shared" si="6"/>
        <v/>
      </c>
      <c r="C45" s="40"/>
      <c r="D45" s="40"/>
      <c r="E45" s="40"/>
      <c r="F45" s="40"/>
      <c r="G45" s="80"/>
      <c r="H45" s="99">
        <v>40</v>
      </c>
      <c r="I45" s="100" t="str">
        <f t="shared" si="1"/>
        <v/>
      </c>
      <c r="J45" s="100" t="e">
        <f t="shared" si="2"/>
        <v>#NUM!</v>
      </c>
      <c r="K45" s="99" t="e">
        <f t="shared" si="3"/>
        <v>#NUM!</v>
      </c>
      <c r="L45" s="99"/>
      <c r="M45" s="101">
        <f t="shared" si="4"/>
        <v>0</v>
      </c>
      <c r="N45" s="80"/>
      <c r="O45" s="80"/>
      <c r="P45" s="80"/>
      <c r="Q45" s="80"/>
      <c r="R45" s="80"/>
    </row>
    <row r="46" spans="1:21" s="85" customFormat="1" x14ac:dyDescent="0.25">
      <c r="A46" s="94"/>
      <c r="B46" s="33" t="str">
        <f t="shared" si="6"/>
        <v/>
      </c>
      <c r="C46" s="34"/>
      <c r="D46" s="34"/>
      <c r="E46" s="34"/>
      <c r="F46" s="34"/>
      <c r="G46" s="80"/>
      <c r="H46" s="95">
        <v>41</v>
      </c>
      <c r="I46" s="96" t="str">
        <f t="shared" si="1"/>
        <v/>
      </c>
      <c r="J46" s="96" t="e">
        <f t="shared" si="2"/>
        <v>#NUM!</v>
      </c>
      <c r="K46" s="95" t="e">
        <f t="shared" si="3"/>
        <v>#NUM!</v>
      </c>
      <c r="L46" s="95"/>
      <c r="M46" s="97">
        <f t="shared" si="4"/>
        <v>0</v>
      </c>
      <c r="N46" s="80"/>
      <c r="O46" s="80"/>
      <c r="P46" s="80"/>
      <c r="Q46" s="80"/>
      <c r="R46" s="80" t="e">
        <f>LOG($H$2,2)</f>
        <v>#NUM!</v>
      </c>
      <c r="T46" s="85">
        <f>LOG(H38,2)</f>
        <v>5.0443941193584534</v>
      </c>
      <c r="U46" s="85" t="e">
        <f>R46-T46</f>
        <v>#NUM!</v>
      </c>
    </row>
    <row r="47" spans="1:21" s="85" customFormat="1" x14ac:dyDescent="0.25">
      <c r="A47" s="98"/>
      <c r="B47" s="39" t="str">
        <f t="shared" si="6"/>
        <v/>
      </c>
      <c r="C47" s="40"/>
      <c r="D47" s="40"/>
      <c r="E47" s="40"/>
      <c r="F47" s="40"/>
      <c r="G47" s="80"/>
      <c r="H47" s="99">
        <v>42</v>
      </c>
      <c r="I47" s="100" t="str">
        <f t="shared" si="1"/>
        <v/>
      </c>
      <c r="J47" s="100" t="e">
        <f t="shared" si="2"/>
        <v>#NUM!</v>
      </c>
      <c r="K47" s="99" t="e">
        <f t="shared" si="3"/>
        <v>#NUM!</v>
      </c>
      <c r="L47" s="99"/>
      <c r="M47" s="101">
        <f t="shared" si="4"/>
        <v>0</v>
      </c>
      <c r="N47" s="80"/>
      <c r="O47" s="80"/>
      <c r="P47" s="80"/>
      <c r="Q47" s="80"/>
      <c r="R47" s="80"/>
    </row>
    <row r="48" spans="1:21" s="85" customFormat="1" x14ac:dyDescent="0.25">
      <c r="A48" s="94"/>
      <c r="B48" s="33" t="str">
        <f t="shared" si="6"/>
        <v/>
      </c>
      <c r="C48" s="34"/>
      <c r="D48" s="34"/>
      <c r="E48" s="34"/>
      <c r="F48" s="34"/>
      <c r="G48" s="80"/>
      <c r="H48" s="95">
        <v>43</v>
      </c>
      <c r="I48" s="96" t="str">
        <f t="shared" si="1"/>
        <v/>
      </c>
      <c r="J48" s="96" t="e">
        <f t="shared" si="2"/>
        <v>#NUM!</v>
      </c>
      <c r="K48" s="95" t="e">
        <f t="shared" si="3"/>
        <v>#NUM!</v>
      </c>
      <c r="L48" s="95"/>
      <c r="M48" s="97">
        <f t="shared" si="4"/>
        <v>0</v>
      </c>
      <c r="N48" s="80"/>
      <c r="O48" s="80"/>
      <c r="P48" s="80"/>
      <c r="Q48" s="80"/>
      <c r="R48" s="80"/>
    </row>
    <row r="49" spans="1:38" s="80" customFormat="1" x14ac:dyDescent="0.25">
      <c r="A49" s="98"/>
      <c r="B49" s="39" t="str">
        <f t="shared" si="6"/>
        <v/>
      </c>
      <c r="C49" s="40"/>
      <c r="D49" s="40"/>
      <c r="E49" s="40"/>
      <c r="F49" s="40"/>
      <c r="H49" s="99">
        <v>44</v>
      </c>
      <c r="I49" s="100" t="str">
        <f t="shared" si="1"/>
        <v/>
      </c>
      <c r="J49" s="100" t="e">
        <f t="shared" si="2"/>
        <v>#NUM!</v>
      </c>
      <c r="K49" s="99" t="e">
        <f t="shared" si="3"/>
        <v>#NUM!</v>
      </c>
      <c r="L49" s="99"/>
      <c r="M49" s="101">
        <f t="shared" si="4"/>
        <v>0</v>
      </c>
      <c r="S49" s="85"/>
      <c r="T49" s="85"/>
      <c r="U49" s="85"/>
      <c r="V49" s="85"/>
      <c r="W49" s="85"/>
      <c r="X49" s="85"/>
      <c r="Y49" s="85"/>
      <c r="Z49" s="85"/>
      <c r="AA49" s="85"/>
      <c r="AB49" s="85"/>
      <c r="AC49" s="85"/>
      <c r="AD49" s="85"/>
      <c r="AE49" s="85"/>
      <c r="AF49" s="85"/>
      <c r="AG49" s="85"/>
      <c r="AH49" s="85"/>
      <c r="AI49" s="85"/>
      <c r="AJ49" s="85"/>
      <c r="AK49" s="85"/>
      <c r="AL49" s="85"/>
    </row>
    <row r="50" spans="1:38" s="80" customFormat="1" x14ac:dyDescent="0.25">
      <c r="A50" s="94"/>
      <c r="B50" s="33" t="str">
        <f t="shared" si="6"/>
        <v/>
      </c>
      <c r="C50" s="34"/>
      <c r="D50" s="34"/>
      <c r="E50" s="34"/>
      <c r="F50" s="34"/>
      <c r="H50" s="95">
        <v>45</v>
      </c>
      <c r="I50" s="96" t="str">
        <f t="shared" si="1"/>
        <v/>
      </c>
      <c r="J50" s="96" t="e">
        <f t="shared" si="2"/>
        <v>#NUM!</v>
      </c>
      <c r="K50" s="95" t="e">
        <f t="shared" si="3"/>
        <v>#NUM!</v>
      </c>
      <c r="L50" s="95"/>
      <c r="M50" s="97">
        <f t="shared" si="4"/>
        <v>0</v>
      </c>
      <c r="S50" s="85"/>
      <c r="T50" s="85"/>
      <c r="U50" s="85"/>
      <c r="V50" s="85"/>
      <c r="W50" s="85"/>
      <c r="X50" s="85"/>
      <c r="Y50" s="85"/>
      <c r="Z50" s="85"/>
      <c r="AA50" s="85"/>
      <c r="AB50" s="85"/>
      <c r="AC50" s="85"/>
      <c r="AD50" s="85"/>
      <c r="AE50" s="85"/>
      <c r="AF50" s="85"/>
      <c r="AG50" s="85"/>
      <c r="AH50" s="85"/>
      <c r="AI50" s="85"/>
      <c r="AJ50" s="85"/>
      <c r="AK50" s="85"/>
      <c r="AL50" s="85"/>
    </row>
    <row r="51" spans="1:38" s="80" customFormat="1" x14ac:dyDescent="0.25">
      <c r="A51" s="98"/>
      <c r="B51" s="39" t="str">
        <f t="shared" si="6"/>
        <v/>
      </c>
      <c r="C51" s="40"/>
      <c r="D51" s="40"/>
      <c r="E51" s="40"/>
      <c r="F51" s="40"/>
      <c r="H51" s="99">
        <v>46</v>
      </c>
      <c r="I51" s="100" t="str">
        <f t="shared" si="1"/>
        <v/>
      </c>
      <c r="J51" s="100" t="e">
        <f t="shared" si="2"/>
        <v>#NUM!</v>
      </c>
      <c r="K51" s="99" t="e">
        <f t="shared" si="3"/>
        <v>#NUM!</v>
      </c>
      <c r="L51" s="99"/>
      <c r="M51" s="101">
        <f t="shared" si="4"/>
        <v>0</v>
      </c>
      <c r="S51" s="85"/>
      <c r="T51" s="85"/>
      <c r="U51" s="85"/>
      <c r="V51" s="85"/>
      <c r="W51" s="85"/>
      <c r="X51" s="85"/>
      <c r="Y51" s="85"/>
      <c r="Z51" s="85"/>
      <c r="AA51" s="85"/>
      <c r="AB51" s="85"/>
      <c r="AC51" s="85"/>
      <c r="AD51" s="85"/>
      <c r="AE51" s="85"/>
      <c r="AF51" s="85"/>
      <c r="AG51" s="85"/>
      <c r="AH51" s="85"/>
      <c r="AI51" s="85"/>
      <c r="AJ51" s="85"/>
      <c r="AK51" s="85"/>
      <c r="AL51" s="85"/>
    </row>
    <row r="52" spans="1:38" s="80" customFormat="1" x14ac:dyDescent="0.25">
      <c r="A52" s="94"/>
      <c r="B52" s="33" t="str">
        <f t="shared" si="6"/>
        <v/>
      </c>
      <c r="C52" s="34"/>
      <c r="D52" s="34"/>
      <c r="E52" s="34"/>
      <c r="F52" s="34"/>
      <c r="H52" s="95">
        <v>47</v>
      </c>
      <c r="I52" s="96" t="str">
        <f t="shared" si="1"/>
        <v/>
      </c>
      <c r="J52" s="96" t="e">
        <f t="shared" si="2"/>
        <v>#NUM!</v>
      </c>
      <c r="K52" s="95" t="e">
        <f t="shared" si="3"/>
        <v>#NUM!</v>
      </c>
      <c r="L52" s="95"/>
      <c r="M52" s="97">
        <f t="shared" si="4"/>
        <v>0</v>
      </c>
      <c r="S52" s="85"/>
      <c r="T52" s="85"/>
      <c r="U52" s="85"/>
      <c r="V52" s="85"/>
      <c r="W52" s="85"/>
      <c r="X52" s="85"/>
      <c r="Y52" s="85"/>
      <c r="Z52" s="85"/>
      <c r="AA52" s="85"/>
      <c r="AB52" s="85"/>
      <c r="AC52" s="85"/>
      <c r="AD52" s="85"/>
      <c r="AE52" s="85"/>
      <c r="AF52" s="85"/>
      <c r="AG52" s="85"/>
      <c r="AH52" s="85"/>
      <c r="AI52" s="85"/>
      <c r="AJ52" s="85"/>
      <c r="AK52" s="85"/>
      <c r="AL52" s="85"/>
    </row>
    <row r="53" spans="1:38" s="80" customFormat="1" x14ac:dyDescent="0.25">
      <c r="A53" s="98"/>
      <c r="B53" s="39" t="str">
        <f t="shared" si="6"/>
        <v/>
      </c>
      <c r="C53" s="40"/>
      <c r="D53" s="40"/>
      <c r="E53" s="40"/>
      <c r="F53" s="40"/>
      <c r="H53" s="99">
        <v>48</v>
      </c>
      <c r="I53" s="100" t="str">
        <f t="shared" si="1"/>
        <v/>
      </c>
      <c r="J53" s="100" t="e">
        <f t="shared" si="2"/>
        <v>#NUM!</v>
      </c>
      <c r="K53" s="99" t="e">
        <f t="shared" si="3"/>
        <v>#NUM!</v>
      </c>
      <c r="L53" s="99"/>
      <c r="M53" s="101">
        <f t="shared" si="4"/>
        <v>0</v>
      </c>
      <c r="S53" s="85"/>
      <c r="T53" s="85"/>
      <c r="U53" s="85"/>
      <c r="V53" s="85"/>
      <c r="W53" s="85"/>
      <c r="X53" s="85"/>
      <c r="Y53" s="85"/>
      <c r="Z53" s="85"/>
      <c r="AA53" s="85"/>
      <c r="AB53" s="85"/>
      <c r="AC53" s="85"/>
      <c r="AD53" s="85"/>
      <c r="AE53" s="85"/>
      <c r="AF53" s="85"/>
      <c r="AG53" s="85"/>
      <c r="AH53" s="85"/>
      <c r="AI53" s="85"/>
      <c r="AJ53" s="85"/>
      <c r="AK53" s="85"/>
      <c r="AL53" s="85"/>
    </row>
    <row r="54" spans="1:38" s="80" customFormat="1" x14ac:dyDescent="0.25">
      <c r="A54" s="94"/>
      <c r="B54" s="33" t="str">
        <f t="shared" si="6"/>
        <v/>
      </c>
      <c r="C54" s="34"/>
      <c r="D54" s="34"/>
      <c r="E54" s="34"/>
      <c r="F54" s="34"/>
      <c r="H54" s="95">
        <v>49</v>
      </c>
      <c r="I54" s="96" t="str">
        <f t="shared" si="1"/>
        <v/>
      </c>
      <c r="J54" s="96" t="e">
        <f t="shared" si="2"/>
        <v>#NUM!</v>
      </c>
      <c r="K54" s="95" t="e">
        <f t="shared" si="3"/>
        <v>#NUM!</v>
      </c>
      <c r="L54" s="95"/>
      <c r="M54" s="97">
        <f t="shared" si="4"/>
        <v>0</v>
      </c>
      <c r="S54" s="85"/>
      <c r="T54" s="85"/>
      <c r="U54" s="85"/>
      <c r="V54" s="85"/>
      <c r="W54" s="85"/>
      <c r="X54" s="85"/>
      <c r="Y54" s="85"/>
      <c r="Z54" s="85"/>
      <c r="AA54" s="85"/>
      <c r="AB54" s="85"/>
      <c r="AC54" s="85"/>
      <c r="AD54" s="85"/>
      <c r="AE54" s="85"/>
      <c r="AF54" s="85"/>
      <c r="AG54" s="85"/>
      <c r="AH54" s="85"/>
      <c r="AI54" s="85"/>
      <c r="AJ54" s="85"/>
      <c r="AK54" s="85"/>
      <c r="AL54" s="85"/>
    </row>
    <row r="55" spans="1:38" s="80" customFormat="1" x14ac:dyDescent="0.25">
      <c r="A55" s="98"/>
      <c r="B55" s="39" t="str">
        <f t="shared" si="6"/>
        <v/>
      </c>
      <c r="C55" s="40"/>
      <c r="D55" s="40"/>
      <c r="E55" s="40"/>
      <c r="F55" s="40"/>
      <c r="H55" s="99">
        <v>50</v>
      </c>
      <c r="I55" s="100" t="str">
        <f t="shared" si="1"/>
        <v/>
      </c>
      <c r="J55" s="100" t="e">
        <f t="shared" si="2"/>
        <v>#NUM!</v>
      </c>
      <c r="K55" s="99" t="e">
        <f t="shared" si="3"/>
        <v>#NUM!</v>
      </c>
      <c r="L55" s="99"/>
      <c r="M55" s="101">
        <f t="shared" si="4"/>
        <v>0</v>
      </c>
      <c r="S55" s="85"/>
      <c r="T55" s="85"/>
      <c r="U55" s="85"/>
      <c r="V55" s="85"/>
      <c r="W55" s="85"/>
      <c r="X55" s="85"/>
      <c r="Y55" s="85"/>
      <c r="Z55" s="85"/>
      <c r="AA55" s="85"/>
      <c r="AB55" s="85"/>
      <c r="AC55" s="85"/>
      <c r="AD55" s="85"/>
      <c r="AE55" s="85"/>
      <c r="AF55" s="85"/>
      <c r="AG55" s="85"/>
      <c r="AH55" s="85"/>
      <c r="AI55" s="85"/>
      <c r="AJ55" s="85"/>
      <c r="AK55" s="85"/>
      <c r="AL55" s="85"/>
    </row>
    <row r="56" spans="1:38" s="80" customFormat="1" x14ac:dyDescent="0.25">
      <c r="A56" s="94"/>
      <c r="B56" s="33" t="str">
        <f t="shared" si="6"/>
        <v/>
      </c>
      <c r="C56" s="34"/>
      <c r="D56" s="34"/>
      <c r="E56" s="34"/>
      <c r="F56" s="34"/>
      <c r="H56" s="95">
        <v>51</v>
      </c>
      <c r="I56" s="96" t="str">
        <f t="shared" si="1"/>
        <v/>
      </c>
      <c r="J56" s="96" t="e">
        <f t="shared" si="2"/>
        <v>#NUM!</v>
      </c>
      <c r="K56" s="95" t="e">
        <f t="shared" si="3"/>
        <v>#NUM!</v>
      </c>
      <c r="L56" s="95"/>
      <c r="M56" s="97">
        <f t="shared" si="4"/>
        <v>0</v>
      </c>
      <c r="S56" s="85"/>
      <c r="T56" s="85"/>
      <c r="U56" s="85"/>
      <c r="V56" s="85"/>
      <c r="W56" s="85"/>
      <c r="X56" s="85"/>
      <c r="Y56" s="85"/>
      <c r="Z56" s="85"/>
      <c r="AA56" s="85"/>
      <c r="AB56" s="85"/>
      <c r="AC56" s="85"/>
      <c r="AD56" s="85"/>
      <c r="AE56" s="85"/>
      <c r="AF56" s="85"/>
      <c r="AG56" s="85"/>
      <c r="AH56" s="85"/>
      <c r="AI56" s="85"/>
      <c r="AJ56" s="85"/>
      <c r="AK56" s="85"/>
      <c r="AL56" s="85"/>
    </row>
    <row r="57" spans="1:38" s="80" customFormat="1" x14ac:dyDescent="0.25">
      <c r="A57" s="98"/>
      <c r="B57" s="39" t="str">
        <f t="shared" si="6"/>
        <v/>
      </c>
      <c r="C57" s="40"/>
      <c r="D57" s="40"/>
      <c r="E57" s="40"/>
      <c r="F57" s="40"/>
      <c r="H57" s="99">
        <v>52</v>
      </c>
      <c r="I57" s="100" t="str">
        <f t="shared" si="1"/>
        <v/>
      </c>
      <c r="J57" s="100" t="e">
        <f t="shared" si="2"/>
        <v>#NUM!</v>
      </c>
      <c r="K57" s="99" t="e">
        <f t="shared" si="3"/>
        <v>#NUM!</v>
      </c>
      <c r="L57" s="99"/>
      <c r="M57" s="101">
        <f t="shared" si="4"/>
        <v>0</v>
      </c>
      <c r="S57" s="85"/>
      <c r="T57" s="85"/>
      <c r="U57" s="85"/>
      <c r="V57" s="85"/>
      <c r="W57" s="85"/>
      <c r="X57" s="85"/>
      <c r="Y57" s="85"/>
      <c r="Z57" s="85"/>
      <c r="AA57" s="85"/>
      <c r="AB57" s="85"/>
      <c r="AC57" s="85"/>
      <c r="AD57" s="85"/>
      <c r="AE57" s="85"/>
      <c r="AF57" s="85"/>
      <c r="AG57" s="85"/>
      <c r="AH57" s="85"/>
      <c r="AI57" s="85"/>
      <c r="AJ57" s="85"/>
      <c r="AK57" s="85"/>
      <c r="AL57" s="85"/>
    </row>
    <row r="58" spans="1:38" s="80" customFormat="1" x14ac:dyDescent="0.25">
      <c r="A58" s="94"/>
      <c r="B58" s="33" t="str">
        <f t="shared" si="6"/>
        <v/>
      </c>
      <c r="C58" s="34"/>
      <c r="D58" s="34"/>
      <c r="E58" s="34"/>
      <c r="F58" s="34"/>
      <c r="H58" s="95">
        <v>53</v>
      </c>
      <c r="I58" s="96" t="str">
        <f t="shared" si="1"/>
        <v/>
      </c>
      <c r="J58" s="96" t="e">
        <f t="shared" si="2"/>
        <v>#NUM!</v>
      </c>
      <c r="K58" s="95" t="e">
        <f t="shared" si="3"/>
        <v>#NUM!</v>
      </c>
      <c r="L58" s="95"/>
      <c r="M58" s="97">
        <f t="shared" si="4"/>
        <v>0</v>
      </c>
      <c r="S58" s="85"/>
      <c r="T58" s="85"/>
      <c r="U58" s="85"/>
      <c r="V58" s="85"/>
      <c r="W58" s="85"/>
      <c r="X58" s="85"/>
      <c r="Y58" s="85"/>
      <c r="Z58" s="85"/>
      <c r="AA58" s="85"/>
      <c r="AB58" s="85"/>
      <c r="AC58" s="85"/>
      <c r="AD58" s="85"/>
      <c r="AE58" s="85"/>
      <c r="AF58" s="85"/>
      <c r="AG58" s="85"/>
      <c r="AH58" s="85"/>
      <c r="AI58" s="85"/>
      <c r="AJ58" s="85"/>
      <c r="AK58" s="85"/>
      <c r="AL58" s="85"/>
    </row>
    <row r="59" spans="1:38" s="80" customFormat="1" x14ac:dyDescent="0.25">
      <c r="A59" s="98"/>
      <c r="B59" s="39" t="str">
        <f t="shared" si="6"/>
        <v/>
      </c>
      <c r="C59" s="40"/>
      <c r="D59" s="40"/>
      <c r="E59" s="40"/>
      <c r="F59" s="40"/>
      <c r="H59" s="99">
        <v>54</v>
      </c>
      <c r="I59" s="100" t="str">
        <f t="shared" si="1"/>
        <v/>
      </c>
      <c r="J59" s="100" t="e">
        <f t="shared" si="2"/>
        <v>#NUM!</v>
      </c>
      <c r="K59" s="99" t="e">
        <f t="shared" si="3"/>
        <v>#NUM!</v>
      </c>
      <c r="L59" s="99"/>
      <c r="M59" s="101">
        <f t="shared" si="4"/>
        <v>0</v>
      </c>
      <c r="S59" s="85"/>
      <c r="T59" s="85"/>
      <c r="U59" s="85"/>
      <c r="V59" s="85"/>
      <c r="W59" s="85"/>
      <c r="X59" s="85"/>
      <c r="Y59" s="85"/>
      <c r="Z59" s="85"/>
      <c r="AA59" s="85"/>
      <c r="AB59" s="85"/>
      <c r="AC59" s="85"/>
      <c r="AD59" s="85"/>
      <c r="AE59" s="85"/>
      <c r="AF59" s="85"/>
      <c r="AG59" s="85"/>
      <c r="AH59" s="85"/>
      <c r="AI59" s="85"/>
      <c r="AJ59" s="85"/>
      <c r="AK59" s="85"/>
      <c r="AL59" s="85"/>
    </row>
    <row r="60" spans="1:38" s="80" customFormat="1" x14ac:dyDescent="0.25">
      <c r="A60" s="94"/>
      <c r="B60" s="33" t="str">
        <f t="shared" si="6"/>
        <v/>
      </c>
      <c r="C60" s="34"/>
      <c r="D60" s="34"/>
      <c r="E60" s="34"/>
      <c r="F60" s="34"/>
      <c r="H60" s="95">
        <v>55</v>
      </c>
      <c r="I60" s="96" t="str">
        <f t="shared" si="1"/>
        <v/>
      </c>
      <c r="J60" s="96" t="e">
        <f t="shared" si="2"/>
        <v>#NUM!</v>
      </c>
      <c r="K60" s="95" t="e">
        <f t="shared" si="3"/>
        <v>#NUM!</v>
      </c>
      <c r="L60" s="95"/>
      <c r="M60" s="97">
        <f t="shared" si="4"/>
        <v>0</v>
      </c>
      <c r="S60" s="85"/>
      <c r="T60" s="85"/>
      <c r="U60" s="85"/>
      <c r="V60" s="85"/>
      <c r="W60" s="85"/>
      <c r="X60" s="85"/>
      <c r="Y60" s="85"/>
      <c r="Z60" s="85"/>
      <c r="AA60" s="85"/>
      <c r="AB60" s="85"/>
      <c r="AC60" s="85"/>
      <c r="AD60" s="85"/>
      <c r="AE60" s="85"/>
      <c r="AF60" s="85"/>
      <c r="AG60" s="85"/>
      <c r="AH60" s="85"/>
      <c r="AI60" s="85"/>
      <c r="AJ60" s="85"/>
      <c r="AK60" s="85"/>
      <c r="AL60" s="85"/>
    </row>
    <row r="61" spans="1:38" s="80" customFormat="1" x14ac:dyDescent="0.25">
      <c r="A61" s="98"/>
      <c r="B61" s="39" t="str">
        <f t="shared" si="6"/>
        <v/>
      </c>
      <c r="C61" s="40"/>
      <c r="D61" s="40"/>
      <c r="E61" s="40"/>
      <c r="F61" s="40"/>
      <c r="H61" s="99">
        <v>56</v>
      </c>
      <c r="I61" s="100" t="str">
        <f t="shared" si="1"/>
        <v/>
      </c>
      <c r="J61" s="100" t="e">
        <f t="shared" si="2"/>
        <v>#NUM!</v>
      </c>
      <c r="K61" s="99" t="e">
        <f t="shared" si="3"/>
        <v>#NUM!</v>
      </c>
      <c r="L61" s="99"/>
      <c r="M61" s="101">
        <f t="shared" si="4"/>
        <v>0</v>
      </c>
      <c r="S61" s="85"/>
      <c r="T61" s="85"/>
      <c r="U61" s="85"/>
      <c r="V61" s="85"/>
      <c r="W61" s="85"/>
      <c r="X61" s="85"/>
      <c r="Y61" s="85"/>
      <c r="Z61" s="85"/>
      <c r="AA61" s="85"/>
      <c r="AB61" s="85"/>
      <c r="AC61" s="85"/>
      <c r="AD61" s="85"/>
      <c r="AE61" s="85"/>
      <c r="AF61" s="85"/>
      <c r="AG61" s="85"/>
      <c r="AH61" s="85"/>
      <c r="AI61" s="85"/>
      <c r="AJ61" s="85"/>
      <c r="AK61" s="85"/>
      <c r="AL61" s="85"/>
    </row>
    <row r="62" spans="1:38" s="80" customFormat="1" x14ac:dyDescent="0.25">
      <c r="A62" s="94"/>
      <c r="B62" s="33" t="str">
        <f t="shared" si="6"/>
        <v/>
      </c>
      <c r="C62" s="34"/>
      <c r="D62" s="34"/>
      <c r="E62" s="34"/>
      <c r="F62" s="34"/>
      <c r="H62" s="95">
        <v>57</v>
      </c>
      <c r="I62" s="96" t="str">
        <f t="shared" si="1"/>
        <v/>
      </c>
      <c r="J62" s="96" t="e">
        <f t="shared" si="2"/>
        <v>#NUM!</v>
      </c>
      <c r="K62" s="95" t="e">
        <f t="shared" si="3"/>
        <v>#NUM!</v>
      </c>
      <c r="L62" s="95"/>
      <c r="M62" s="97">
        <f t="shared" si="4"/>
        <v>0</v>
      </c>
      <c r="S62" s="85"/>
      <c r="T62" s="85"/>
      <c r="U62" s="85"/>
      <c r="V62" s="85"/>
      <c r="W62" s="85"/>
      <c r="X62" s="85"/>
      <c r="Y62" s="85"/>
      <c r="Z62" s="85"/>
      <c r="AA62" s="85"/>
      <c r="AB62" s="85"/>
      <c r="AC62" s="85"/>
      <c r="AD62" s="85"/>
      <c r="AE62" s="85"/>
      <c r="AF62" s="85"/>
      <c r="AG62" s="85"/>
      <c r="AH62" s="85"/>
      <c r="AI62" s="85"/>
      <c r="AJ62" s="85"/>
      <c r="AK62" s="85"/>
      <c r="AL62" s="85"/>
    </row>
    <row r="63" spans="1:38" s="80" customFormat="1" x14ac:dyDescent="0.25">
      <c r="A63" s="98"/>
      <c r="B63" s="39" t="str">
        <f t="shared" si="6"/>
        <v/>
      </c>
      <c r="C63" s="40"/>
      <c r="D63" s="40"/>
      <c r="E63" s="40"/>
      <c r="F63" s="40"/>
      <c r="H63" s="99">
        <v>58</v>
      </c>
      <c r="I63" s="100" t="str">
        <f t="shared" si="1"/>
        <v/>
      </c>
      <c r="J63" s="100" t="e">
        <f t="shared" si="2"/>
        <v>#NUM!</v>
      </c>
      <c r="K63" s="99" t="e">
        <f t="shared" si="3"/>
        <v>#NUM!</v>
      </c>
      <c r="L63" s="99"/>
      <c r="M63" s="101">
        <f t="shared" si="4"/>
        <v>0</v>
      </c>
      <c r="S63" s="85"/>
      <c r="T63" s="85"/>
      <c r="U63" s="85"/>
      <c r="V63" s="85"/>
      <c r="W63" s="85"/>
      <c r="X63" s="85"/>
      <c r="Y63" s="85"/>
      <c r="Z63" s="85"/>
      <c r="AA63" s="85"/>
      <c r="AB63" s="85"/>
      <c r="AC63" s="85"/>
      <c r="AD63" s="85"/>
      <c r="AE63" s="85"/>
      <c r="AF63" s="85"/>
      <c r="AG63" s="85"/>
      <c r="AH63" s="85"/>
      <c r="AI63" s="85"/>
      <c r="AJ63" s="85"/>
      <c r="AK63" s="85"/>
      <c r="AL63" s="85"/>
    </row>
    <row r="64" spans="1:38" s="80" customFormat="1" x14ac:dyDescent="0.25">
      <c r="A64" s="94"/>
      <c r="B64" s="33" t="str">
        <f t="shared" si="6"/>
        <v/>
      </c>
      <c r="C64" s="34"/>
      <c r="D64" s="34"/>
      <c r="E64" s="34"/>
      <c r="F64" s="34"/>
      <c r="H64" s="95">
        <v>59</v>
      </c>
      <c r="I64" s="96" t="str">
        <f t="shared" si="1"/>
        <v/>
      </c>
      <c r="J64" s="96" t="e">
        <f t="shared" si="2"/>
        <v>#NUM!</v>
      </c>
      <c r="K64" s="95" t="e">
        <f t="shared" si="3"/>
        <v>#NUM!</v>
      </c>
      <c r="L64" s="95"/>
      <c r="M64" s="97">
        <f t="shared" si="4"/>
        <v>0</v>
      </c>
      <c r="S64" s="85"/>
      <c r="T64" s="85"/>
      <c r="U64" s="85"/>
      <c r="V64" s="85"/>
      <c r="W64" s="85"/>
      <c r="X64" s="85"/>
      <c r="Y64" s="85"/>
      <c r="Z64" s="85"/>
      <c r="AA64" s="85"/>
      <c r="AB64" s="85"/>
      <c r="AC64" s="85"/>
      <c r="AD64" s="85"/>
      <c r="AE64" s="85"/>
      <c r="AF64" s="85"/>
      <c r="AG64" s="85"/>
      <c r="AH64" s="85"/>
      <c r="AI64" s="85"/>
      <c r="AJ64" s="85"/>
      <c r="AK64" s="85"/>
      <c r="AL64" s="85"/>
    </row>
    <row r="65" spans="1:38" s="80" customFormat="1" x14ac:dyDescent="0.25">
      <c r="A65" s="98"/>
      <c r="B65" s="39" t="str">
        <f t="shared" si="6"/>
        <v/>
      </c>
      <c r="C65" s="40"/>
      <c r="D65" s="40"/>
      <c r="E65" s="40"/>
      <c r="F65" s="40"/>
      <c r="H65" s="99">
        <v>60</v>
      </c>
      <c r="I65" s="100" t="str">
        <f t="shared" si="1"/>
        <v/>
      </c>
      <c r="J65" s="100" t="e">
        <f t="shared" si="2"/>
        <v>#NUM!</v>
      </c>
      <c r="K65" s="99" t="e">
        <f t="shared" si="3"/>
        <v>#NUM!</v>
      </c>
      <c r="L65" s="99"/>
      <c r="M65" s="101">
        <f t="shared" si="4"/>
        <v>0</v>
      </c>
      <c r="S65" s="85"/>
      <c r="T65" s="85"/>
      <c r="U65" s="85"/>
      <c r="V65" s="85"/>
      <c r="W65" s="85"/>
      <c r="X65" s="85"/>
      <c r="Y65" s="85"/>
      <c r="Z65" s="85"/>
      <c r="AA65" s="85"/>
      <c r="AB65" s="85"/>
      <c r="AC65" s="85"/>
      <c r="AD65" s="85"/>
      <c r="AE65" s="85"/>
      <c r="AF65" s="85"/>
      <c r="AG65" s="85"/>
      <c r="AH65" s="85"/>
      <c r="AI65" s="85"/>
      <c r="AJ65" s="85"/>
      <c r="AK65" s="85"/>
      <c r="AL65" s="85"/>
    </row>
    <row r="66" spans="1:38" s="80" customFormat="1" x14ac:dyDescent="0.25">
      <c r="A66" s="116"/>
      <c r="B66" s="33"/>
      <c r="C66" s="115"/>
      <c r="D66" s="115"/>
      <c r="E66" s="115"/>
      <c r="F66" s="115"/>
      <c r="H66" s="95">
        <v>61</v>
      </c>
      <c r="I66" s="96" t="str">
        <f t="shared" si="1"/>
        <v/>
      </c>
      <c r="J66" s="96" t="e">
        <f t="shared" si="2"/>
        <v>#NUM!</v>
      </c>
      <c r="K66" s="95" t="e">
        <f t="shared" si="3"/>
        <v>#NUM!</v>
      </c>
      <c r="L66" s="95"/>
      <c r="M66" s="97">
        <f t="shared" si="4"/>
        <v>0</v>
      </c>
      <c r="S66" s="85"/>
      <c r="T66" s="85"/>
      <c r="U66" s="85"/>
      <c r="V66" s="85"/>
      <c r="W66" s="85"/>
      <c r="X66" s="85"/>
      <c r="Y66" s="85"/>
      <c r="Z66" s="85"/>
      <c r="AA66" s="85"/>
      <c r="AB66" s="85"/>
      <c r="AC66" s="85"/>
      <c r="AD66" s="85"/>
      <c r="AE66" s="85"/>
      <c r="AF66" s="85"/>
      <c r="AG66" s="85"/>
      <c r="AH66" s="85"/>
      <c r="AI66" s="85"/>
      <c r="AJ66" s="85"/>
      <c r="AK66" s="85"/>
      <c r="AL66" s="85"/>
    </row>
    <row r="67" spans="1:38" s="80" customFormat="1" x14ac:dyDescent="0.25">
      <c r="A67" s="116"/>
      <c r="B67" s="39"/>
      <c r="C67" s="115"/>
      <c r="D67" s="115"/>
      <c r="E67" s="115"/>
      <c r="F67" s="115"/>
      <c r="H67" s="95">
        <v>62</v>
      </c>
      <c r="I67" s="96" t="str">
        <f t="shared" si="1"/>
        <v/>
      </c>
      <c r="J67" s="96" t="e">
        <f t="shared" si="2"/>
        <v>#NUM!</v>
      </c>
      <c r="K67" s="95" t="e">
        <f t="shared" si="3"/>
        <v>#NUM!</v>
      </c>
      <c r="L67" s="95"/>
      <c r="M67" s="97">
        <f t="shared" si="4"/>
        <v>0</v>
      </c>
      <c r="S67" s="85"/>
      <c r="T67" s="85"/>
      <c r="U67" s="85"/>
      <c r="V67" s="85"/>
      <c r="W67" s="85"/>
      <c r="X67" s="85"/>
      <c r="Y67" s="85"/>
      <c r="Z67" s="85"/>
      <c r="AA67" s="85"/>
      <c r="AB67" s="85"/>
      <c r="AC67" s="85"/>
      <c r="AD67" s="85"/>
      <c r="AE67" s="85"/>
      <c r="AF67" s="85"/>
      <c r="AG67" s="85"/>
      <c r="AH67" s="85"/>
      <c r="AI67" s="85"/>
      <c r="AJ67" s="85"/>
      <c r="AK67" s="85"/>
      <c r="AL67" s="85"/>
    </row>
    <row r="68" spans="1:38" s="80" customFormat="1" x14ac:dyDescent="0.25">
      <c r="A68" s="116"/>
      <c r="B68" s="33"/>
      <c r="C68" s="115"/>
      <c r="D68" s="115"/>
      <c r="E68" s="115"/>
      <c r="F68" s="115"/>
      <c r="H68" s="95">
        <v>63</v>
      </c>
      <c r="I68" s="96" t="str">
        <f t="shared" si="1"/>
        <v/>
      </c>
      <c r="J68" s="96" t="e">
        <f t="shared" si="2"/>
        <v>#NUM!</v>
      </c>
      <c r="K68" s="95" t="e">
        <f t="shared" si="3"/>
        <v>#NUM!</v>
      </c>
      <c r="L68" s="95"/>
      <c r="M68" s="97">
        <f t="shared" si="4"/>
        <v>0</v>
      </c>
      <c r="S68" s="85"/>
      <c r="T68" s="85"/>
      <c r="U68" s="85"/>
      <c r="V68" s="85"/>
      <c r="W68" s="85"/>
      <c r="X68" s="85"/>
      <c r="Y68" s="85"/>
      <c r="Z68" s="85"/>
      <c r="AA68" s="85"/>
      <c r="AB68" s="85"/>
      <c r="AC68" s="85"/>
      <c r="AD68" s="85"/>
      <c r="AE68" s="85"/>
      <c r="AF68" s="85"/>
      <c r="AG68" s="85"/>
      <c r="AH68" s="85"/>
      <c r="AI68" s="85"/>
      <c r="AJ68" s="85"/>
      <c r="AK68" s="85"/>
      <c r="AL68" s="85"/>
    </row>
    <row r="69" spans="1:38" s="80" customFormat="1" x14ac:dyDescent="0.25">
      <c r="A69" s="116"/>
      <c r="B69" s="39"/>
      <c r="C69" s="115"/>
      <c r="D69" s="115"/>
      <c r="E69" s="115"/>
      <c r="F69" s="115"/>
      <c r="H69" s="95">
        <v>64</v>
      </c>
      <c r="I69" s="96" t="str">
        <f t="shared" si="1"/>
        <v/>
      </c>
      <c r="J69" s="96" t="e">
        <f t="shared" si="2"/>
        <v>#NUM!</v>
      </c>
      <c r="K69" s="95" t="e">
        <f t="shared" si="3"/>
        <v>#NUM!</v>
      </c>
      <c r="L69" s="95"/>
      <c r="M69" s="97">
        <f t="shared" si="4"/>
        <v>0</v>
      </c>
      <c r="S69" s="85"/>
      <c r="T69" s="85"/>
      <c r="U69" s="85"/>
      <c r="V69" s="85"/>
      <c r="W69" s="85"/>
      <c r="X69" s="85"/>
      <c r="Y69" s="85"/>
      <c r="Z69" s="85"/>
      <c r="AA69" s="85"/>
      <c r="AB69" s="85"/>
      <c r="AC69" s="85"/>
      <c r="AD69" s="85"/>
      <c r="AE69" s="85"/>
      <c r="AF69" s="85"/>
      <c r="AG69" s="85"/>
      <c r="AH69" s="85"/>
      <c r="AI69" s="85"/>
      <c r="AJ69" s="85"/>
      <c r="AK69" s="85"/>
      <c r="AL69" s="85"/>
    </row>
    <row r="70" spans="1:38" s="80" customFormat="1" x14ac:dyDescent="0.25">
      <c r="A70" s="116"/>
      <c r="B70" s="115"/>
      <c r="C70" s="115"/>
      <c r="D70" s="115"/>
      <c r="E70" s="115"/>
      <c r="F70" s="115"/>
      <c r="H70" s="95">
        <v>65</v>
      </c>
      <c r="I70" s="96" t="str">
        <f t="shared" ref="I70:I133" si="7">IF(H70&lt;$H$2+1,($I$2-($I$2-1)*(LOG(H70)/LOG($H$2))),"")</f>
        <v/>
      </c>
      <c r="J70" s="96" t="e">
        <f t="shared" ref="J70:J133" si="8">INT(LOG($H$2,2))-ROUNDUP(LOG(H70,2),0)+IF(OR($H$2=1,$H$2=2,$H$2=4,$H$2=8,$H$2=16,$H$2=32,$H$2=64,$H$2=128,$H$2=256),0,1)</f>
        <v>#NUM!</v>
      </c>
      <c r="K70" s="95" t="e">
        <f t="shared" ref="K70:K133" si="9">J70*$J$2</f>
        <v>#NUM!</v>
      </c>
      <c r="L70" s="95"/>
      <c r="M70" s="97">
        <f t="shared" ref="M70:M133" si="10">IF(I70&lt;&gt;"",K70+I70+L70,0)</f>
        <v>0</v>
      </c>
      <c r="S70" s="85"/>
      <c r="T70" s="85"/>
      <c r="U70" s="85"/>
      <c r="V70" s="85"/>
      <c r="W70" s="85"/>
      <c r="X70" s="85"/>
      <c r="Y70" s="85"/>
      <c r="Z70" s="85"/>
      <c r="AA70" s="85"/>
      <c r="AB70" s="85"/>
      <c r="AC70" s="85"/>
      <c r="AD70" s="85"/>
      <c r="AE70" s="85"/>
      <c r="AF70" s="85"/>
      <c r="AG70" s="85"/>
      <c r="AH70" s="85"/>
      <c r="AI70" s="85"/>
      <c r="AJ70" s="85"/>
      <c r="AK70" s="85"/>
      <c r="AL70" s="85"/>
    </row>
    <row r="71" spans="1:38" s="80" customFormat="1" x14ac:dyDescent="0.25">
      <c r="A71" s="116"/>
      <c r="B71" s="115"/>
      <c r="C71" s="115"/>
      <c r="D71" s="115"/>
      <c r="E71" s="115"/>
      <c r="F71" s="115"/>
      <c r="H71" s="95">
        <v>66</v>
      </c>
      <c r="I71" s="96" t="str">
        <f t="shared" si="7"/>
        <v/>
      </c>
      <c r="J71" s="96" t="e">
        <f t="shared" si="8"/>
        <v>#NUM!</v>
      </c>
      <c r="K71" s="95" t="e">
        <f t="shared" si="9"/>
        <v>#NUM!</v>
      </c>
      <c r="L71" s="95"/>
      <c r="M71" s="97">
        <f t="shared" si="10"/>
        <v>0</v>
      </c>
      <c r="S71" s="85"/>
      <c r="T71" s="85"/>
      <c r="U71" s="85"/>
      <c r="V71" s="85"/>
      <c r="W71" s="85"/>
      <c r="X71" s="85"/>
      <c r="Y71" s="85"/>
      <c r="Z71" s="85"/>
      <c r="AA71" s="85"/>
      <c r="AB71" s="85"/>
      <c r="AC71" s="85"/>
      <c r="AD71" s="85"/>
      <c r="AE71" s="85"/>
      <c r="AF71" s="85"/>
      <c r="AG71" s="85"/>
      <c r="AH71" s="85"/>
      <c r="AI71" s="85"/>
      <c r="AJ71" s="85"/>
      <c r="AK71" s="85"/>
      <c r="AL71" s="85"/>
    </row>
    <row r="72" spans="1:38" s="80" customFormat="1" x14ac:dyDescent="0.25">
      <c r="A72" s="116"/>
      <c r="B72" s="115"/>
      <c r="C72" s="115"/>
      <c r="D72" s="115"/>
      <c r="E72" s="115"/>
      <c r="F72" s="115"/>
      <c r="H72" s="95">
        <v>67</v>
      </c>
      <c r="I72" s="96" t="str">
        <f t="shared" si="7"/>
        <v/>
      </c>
      <c r="J72" s="96" t="e">
        <f t="shared" si="8"/>
        <v>#NUM!</v>
      </c>
      <c r="K72" s="95" t="e">
        <f t="shared" si="9"/>
        <v>#NUM!</v>
      </c>
      <c r="L72" s="95"/>
      <c r="M72" s="97">
        <f t="shared" si="10"/>
        <v>0</v>
      </c>
      <c r="S72" s="85"/>
      <c r="T72" s="85"/>
      <c r="U72" s="85"/>
      <c r="V72" s="85"/>
      <c r="W72" s="85"/>
      <c r="X72" s="85"/>
      <c r="Y72" s="85"/>
      <c r="Z72" s="85"/>
      <c r="AA72" s="85"/>
      <c r="AB72" s="85"/>
      <c r="AC72" s="85"/>
      <c r="AD72" s="85"/>
      <c r="AE72" s="85"/>
      <c r="AF72" s="85"/>
      <c r="AG72" s="85"/>
      <c r="AH72" s="85"/>
      <c r="AI72" s="85"/>
      <c r="AJ72" s="85"/>
      <c r="AK72" s="85"/>
      <c r="AL72" s="85"/>
    </row>
    <row r="73" spans="1:38" s="80" customFormat="1" x14ac:dyDescent="0.25">
      <c r="A73" s="116"/>
      <c r="B73" s="115"/>
      <c r="C73" s="115"/>
      <c r="D73" s="115"/>
      <c r="E73" s="115"/>
      <c r="F73" s="115"/>
      <c r="H73" s="95">
        <v>68</v>
      </c>
      <c r="I73" s="96" t="str">
        <f t="shared" si="7"/>
        <v/>
      </c>
      <c r="J73" s="96" t="e">
        <f t="shared" si="8"/>
        <v>#NUM!</v>
      </c>
      <c r="K73" s="95" t="e">
        <f t="shared" si="9"/>
        <v>#NUM!</v>
      </c>
      <c r="L73" s="95"/>
      <c r="M73" s="97">
        <f t="shared" si="10"/>
        <v>0</v>
      </c>
      <c r="S73" s="85"/>
      <c r="T73" s="85"/>
      <c r="U73" s="85"/>
      <c r="V73" s="85"/>
      <c r="W73" s="85"/>
      <c r="X73" s="85"/>
      <c r="Y73" s="85"/>
      <c r="Z73" s="85"/>
      <c r="AA73" s="85"/>
      <c r="AB73" s="85"/>
      <c r="AC73" s="85"/>
      <c r="AD73" s="85"/>
      <c r="AE73" s="85"/>
      <c r="AF73" s="85"/>
      <c r="AG73" s="85"/>
      <c r="AH73" s="85"/>
      <c r="AI73" s="85"/>
      <c r="AJ73" s="85"/>
      <c r="AK73" s="85"/>
      <c r="AL73" s="85"/>
    </row>
    <row r="74" spans="1:38" s="80" customFormat="1" x14ac:dyDescent="0.25">
      <c r="A74" s="116"/>
      <c r="B74" s="115"/>
      <c r="C74" s="115"/>
      <c r="D74" s="115"/>
      <c r="E74" s="115"/>
      <c r="F74" s="115"/>
      <c r="H74" s="95">
        <v>69</v>
      </c>
      <c r="I74" s="96" t="str">
        <f t="shared" si="7"/>
        <v/>
      </c>
      <c r="J74" s="96" t="e">
        <f t="shared" si="8"/>
        <v>#NUM!</v>
      </c>
      <c r="K74" s="95" t="e">
        <f t="shared" si="9"/>
        <v>#NUM!</v>
      </c>
      <c r="L74" s="95"/>
      <c r="M74" s="97">
        <f t="shared" si="10"/>
        <v>0</v>
      </c>
      <c r="S74" s="85"/>
      <c r="T74" s="85"/>
      <c r="U74" s="85"/>
      <c r="V74" s="85"/>
      <c r="W74" s="85"/>
      <c r="X74" s="85"/>
      <c r="Y74" s="85"/>
      <c r="Z74" s="85"/>
      <c r="AA74" s="85"/>
      <c r="AB74" s="85"/>
      <c r="AC74" s="85"/>
      <c r="AD74" s="85"/>
      <c r="AE74" s="85"/>
      <c r="AF74" s="85"/>
      <c r="AG74" s="85"/>
      <c r="AH74" s="85"/>
      <c r="AI74" s="85"/>
      <c r="AJ74" s="85"/>
      <c r="AK74" s="85"/>
      <c r="AL74" s="85"/>
    </row>
    <row r="75" spans="1:38" s="80" customFormat="1" x14ac:dyDescent="0.25">
      <c r="A75" s="116"/>
      <c r="B75" s="115"/>
      <c r="C75" s="115"/>
      <c r="D75" s="115"/>
      <c r="E75" s="115"/>
      <c r="F75" s="115"/>
      <c r="H75" s="95">
        <v>70</v>
      </c>
      <c r="I75" s="96" t="str">
        <f t="shared" si="7"/>
        <v/>
      </c>
      <c r="J75" s="96" t="e">
        <f t="shared" si="8"/>
        <v>#NUM!</v>
      </c>
      <c r="K75" s="95" t="e">
        <f t="shared" si="9"/>
        <v>#NUM!</v>
      </c>
      <c r="L75" s="95"/>
      <c r="M75" s="97">
        <f t="shared" si="10"/>
        <v>0</v>
      </c>
      <c r="S75" s="85"/>
      <c r="T75" s="85"/>
      <c r="U75" s="85"/>
      <c r="V75" s="85"/>
      <c r="W75" s="85"/>
      <c r="X75" s="85"/>
      <c r="Y75" s="85"/>
      <c r="Z75" s="85"/>
      <c r="AA75" s="85"/>
      <c r="AB75" s="85"/>
      <c r="AC75" s="85"/>
      <c r="AD75" s="85"/>
      <c r="AE75" s="85"/>
      <c r="AF75" s="85"/>
      <c r="AG75" s="85"/>
      <c r="AH75" s="85"/>
      <c r="AI75" s="85"/>
      <c r="AJ75" s="85"/>
      <c r="AK75" s="85"/>
      <c r="AL75" s="85"/>
    </row>
    <row r="76" spans="1:38" s="80" customFormat="1" x14ac:dyDescent="0.25">
      <c r="A76" s="116"/>
      <c r="B76" s="115"/>
      <c r="C76" s="115"/>
      <c r="D76" s="115"/>
      <c r="E76" s="115"/>
      <c r="F76" s="115"/>
      <c r="H76" s="95">
        <v>71</v>
      </c>
      <c r="I76" s="96" t="str">
        <f t="shared" si="7"/>
        <v/>
      </c>
      <c r="J76" s="96" t="e">
        <f t="shared" si="8"/>
        <v>#NUM!</v>
      </c>
      <c r="K76" s="95" t="e">
        <f t="shared" si="9"/>
        <v>#NUM!</v>
      </c>
      <c r="L76" s="95"/>
      <c r="M76" s="97">
        <f t="shared" si="10"/>
        <v>0</v>
      </c>
      <c r="S76" s="85"/>
      <c r="T76" s="85"/>
      <c r="U76" s="85"/>
      <c r="V76" s="85"/>
      <c r="W76" s="85"/>
      <c r="X76" s="85"/>
      <c r="Y76" s="85"/>
      <c r="Z76" s="85"/>
      <c r="AA76" s="85"/>
      <c r="AB76" s="85"/>
      <c r="AC76" s="85"/>
      <c r="AD76" s="85"/>
      <c r="AE76" s="85"/>
      <c r="AF76" s="85"/>
      <c r="AG76" s="85"/>
      <c r="AH76" s="85"/>
      <c r="AI76" s="85"/>
      <c r="AJ76" s="85"/>
      <c r="AK76" s="85"/>
      <c r="AL76" s="85"/>
    </row>
    <row r="77" spans="1:38" s="80" customFormat="1" x14ac:dyDescent="0.25">
      <c r="A77" s="116"/>
      <c r="B77" s="115"/>
      <c r="C77" s="115"/>
      <c r="D77" s="115"/>
      <c r="E77" s="115"/>
      <c r="F77" s="115"/>
      <c r="H77" s="95">
        <v>72</v>
      </c>
      <c r="I77" s="96" t="str">
        <f t="shared" si="7"/>
        <v/>
      </c>
      <c r="J77" s="96" t="e">
        <f t="shared" si="8"/>
        <v>#NUM!</v>
      </c>
      <c r="K77" s="95" t="e">
        <f t="shared" si="9"/>
        <v>#NUM!</v>
      </c>
      <c r="L77" s="95"/>
      <c r="M77" s="97">
        <f t="shared" si="10"/>
        <v>0</v>
      </c>
      <c r="S77" s="85"/>
      <c r="T77" s="85"/>
      <c r="U77" s="85"/>
      <c r="V77" s="85"/>
      <c r="W77" s="85"/>
      <c r="X77" s="85"/>
      <c r="Y77" s="85"/>
      <c r="Z77" s="85"/>
      <c r="AA77" s="85"/>
      <c r="AB77" s="85"/>
      <c r="AC77" s="85"/>
      <c r="AD77" s="85"/>
      <c r="AE77" s="85"/>
      <c r="AF77" s="85"/>
      <c r="AG77" s="85"/>
      <c r="AH77" s="85"/>
      <c r="AI77" s="85"/>
      <c r="AJ77" s="85"/>
      <c r="AK77" s="85"/>
      <c r="AL77" s="85"/>
    </row>
    <row r="78" spans="1:38" s="80" customFormat="1" x14ac:dyDescent="0.25">
      <c r="A78" s="116"/>
      <c r="B78" s="115"/>
      <c r="C78" s="115"/>
      <c r="D78" s="115"/>
      <c r="E78" s="115"/>
      <c r="F78" s="115"/>
      <c r="H78" s="95">
        <v>73</v>
      </c>
      <c r="I78" s="96" t="str">
        <f t="shared" si="7"/>
        <v/>
      </c>
      <c r="J78" s="96" t="e">
        <f t="shared" si="8"/>
        <v>#NUM!</v>
      </c>
      <c r="K78" s="95" t="e">
        <f t="shared" si="9"/>
        <v>#NUM!</v>
      </c>
      <c r="L78" s="95"/>
      <c r="M78" s="97">
        <f t="shared" si="10"/>
        <v>0</v>
      </c>
      <c r="S78" s="85"/>
      <c r="T78" s="85"/>
      <c r="U78" s="85"/>
      <c r="V78" s="85"/>
      <c r="W78" s="85"/>
      <c r="X78" s="85"/>
      <c r="Y78" s="85"/>
      <c r="Z78" s="85"/>
      <c r="AA78" s="85"/>
      <c r="AB78" s="85"/>
      <c r="AC78" s="85"/>
      <c r="AD78" s="85"/>
      <c r="AE78" s="85"/>
      <c r="AF78" s="85"/>
      <c r="AG78" s="85"/>
      <c r="AH78" s="85"/>
      <c r="AI78" s="85"/>
      <c r="AJ78" s="85"/>
      <c r="AK78" s="85"/>
      <c r="AL78" s="85"/>
    </row>
    <row r="79" spans="1:38" s="80" customFormat="1" x14ac:dyDescent="0.25">
      <c r="A79" s="116"/>
      <c r="B79" s="115"/>
      <c r="C79" s="115"/>
      <c r="D79" s="115"/>
      <c r="E79" s="115"/>
      <c r="F79" s="115"/>
      <c r="H79" s="95">
        <v>74</v>
      </c>
      <c r="I79" s="96" t="str">
        <f t="shared" si="7"/>
        <v/>
      </c>
      <c r="J79" s="96" t="e">
        <f t="shared" si="8"/>
        <v>#NUM!</v>
      </c>
      <c r="K79" s="95" t="e">
        <f t="shared" si="9"/>
        <v>#NUM!</v>
      </c>
      <c r="L79" s="95"/>
      <c r="M79" s="97">
        <f t="shared" si="10"/>
        <v>0</v>
      </c>
      <c r="S79" s="85"/>
      <c r="T79" s="85"/>
      <c r="U79" s="85"/>
      <c r="V79" s="85"/>
      <c r="W79" s="85"/>
      <c r="X79" s="85"/>
      <c r="Y79" s="85"/>
      <c r="Z79" s="85"/>
      <c r="AA79" s="85"/>
      <c r="AB79" s="85"/>
      <c r="AC79" s="85"/>
      <c r="AD79" s="85"/>
      <c r="AE79" s="85"/>
      <c r="AF79" s="85"/>
      <c r="AG79" s="85"/>
      <c r="AH79" s="85"/>
      <c r="AI79" s="85"/>
      <c r="AJ79" s="85"/>
      <c r="AK79" s="85"/>
      <c r="AL79" s="85"/>
    </row>
    <row r="80" spans="1:38" s="80" customFormat="1" x14ac:dyDescent="0.25">
      <c r="A80" s="116"/>
      <c r="B80" s="115"/>
      <c r="C80" s="115"/>
      <c r="D80" s="115"/>
      <c r="E80" s="115"/>
      <c r="F80" s="115"/>
      <c r="H80" s="95">
        <v>75</v>
      </c>
      <c r="I80" s="96" t="str">
        <f t="shared" si="7"/>
        <v/>
      </c>
      <c r="J80" s="96" t="e">
        <f t="shared" si="8"/>
        <v>#NUM!</v>
      </c>
      <c r="K80" s="95" t="e">
        <f t="shared" si="9"/>
        <v>#NUM!</v>
      </c>
      <c r="L80" s="95"/>
      <c r="M80" s="97">
        <f t="shared" si="10"/>
        <v>0</v>
      </c>
      <c r="S80" s="85"/>
      <c r="T80" s="85"/>
      <c r="U80" s="85"/>
      <c r="V80" s="85"/>
      <c r="W80" s="85"/>
      <c r="X80" s="85"/>
      <c r="Y80" s="85"/>
      <c r="Z80" s="85"/>
      <c r="AA80" s="85"/>
      <c r="AB80" s="85"/>
      <c r="AC80" s="85"/>
      <c r="AD80" s="85"/>
      <c r="AE80" s="85"/>
      <c r="AF80" s="85"/>
      <c r="AG80" s="85"/>
      <c r="AH80" s="85"/>
      <c r="AI80" s="85"/>
      <c r="AJ80" s="85"/>
      <c r="AK80" s="85"/>
      <c r="AL80" s="85"/>
    </row>
    <row r="81" spans="1:38" s="80" customFormat="1" x14ac:dyDescent="0.25">
      <c r="A81" s="116"/>
      <c r="B81" s="115"/>
      <c r="C81" s="115"/>
      <c r="D81" s="115"/>
      <c r="E81" s="115"/>
      <c r="F81" s="115"/>
      <c r="H81" s="95">
        <v>76</v>
      </c>
      <c r="I81" s="96" t="str">
        <f t="shared" si="7"/>
        <v/>
      </c>
      <c r="J81" s="96" t="e">
        <f t="shared" si="8"/>
        <v>#NUM!</v>
      </c>
      <c r="K81" s="95" t="e">
        <f t="shared" si="9"/>
        <v>#NUM!</v>
      </c>
      <c r="L81" s="95"/>
      <c r="M81" s="97">
        <f t="shared" si="10"/>
        <v>0</v>
      </c>
      <c r="S81" s="85"/>
      <c r="T81" s="85"/>
      <c r="U81" s="85"/>
      <c r="V81" s="85"/>
      <c r="W81" s="85"/>
      <c r="X81" s="85"/>
      <c r="Y81" s="85"/>
      <c r="Z81" s="85"/>
      <c r="AA81" s="85"/>
      <c r="AB81" s="85"/>
      <c r="AC81" s="85"/>
      <c r="AD81" s="85"/>
      <c r="AE81" s="85"/>
      <c r="AF81" s="85"/>
      <c r="AG81" s="85"/>
      <c r="AH81" s="85"/>
      <c r="AI81" s="85"/>
      <c r="AJ81" s="85"/>
      <c r="AK81" s="85"/>
      <c r="AL81" s="85"/>
    </row>
    <row r="82" spans="1:38" s="80" customFormat="1" x14ac:dyDescent="0.25">
      <c r="A82" s="116"/>
      <c r="B82" s="115"/>
      <c r="C82" s="115"/>
      <c r="D82" s="115"/>
      <c r="E82" s="115"/>
      <c r="F82" s="115"/>
      <c r="H82" s="95">
        <v>77</v>
      </c>
      <c r="I82" s="96" t="str">
        <f t="shared" si="7"/>
        <v/>
      </c>
      <c r="J82" s="96" t="e">
        <f t="shared" si="8"/>
        <v>#NUM!</v>
      </c>
      <c r="K82" s="95" t="e">
        <f t="shared" si="9"/>
        <v>#NUM!</v>
      </c>
      <c r="L82" s="95"/>
      <c r="M82" s="97">
        <f t="shared" si="10"/>
        <v>0</v>
      </c>
      <c r="S82" s="85"/>
      <c r="T82" s="85"/>
      <c r="U82" s="85"/>
      <c r="V82" s="85"/>
      <c r="W82" s="85"/>
      <c r="X82" s="85"/>
      <c r="Y82" s="85"/>
      <c r="Z82" s="85"/>
      <c r="AA82" s="85"/>
      <c r="AB82" s="85"/>
      <c r="AC82" s="85"/>
      <c r="AD82" s="85"/>
      <c r="AE82" s="85"/>
      <c r="AF82" s="85"/>
      <c r="AG82" s="85"/>
      <c r="AH82" s="85"/>
      <c r="AI82" s="85"/>
      <c r="AJ82" s="85"/>
      <c r="AK82" s="85"/>
      <c r="AL82" s="85"/>
    </row>
    <row r="83" spans="1:38" s="80" customFormat="1" x14ac:dyDescent="0.25">
      <c r="A83" s="116"/>
      <c r="B83" s="115"/>
      <c r="C83" s="115"/>
      <c r="D83" s="115"/>
      <c r="E83" s="115"/>
      <c r="F83" s="115"/>
      <c r="H83" s="95">
        <v>78</v>
      </c>
      <c r="I83" s="96" t="str">
        <f t="shared" si="7"/>
        <v/>
      </c>
      <c r="J83" s="96" t="e">
        <f t="shared" si="8"/>
        <v>#NUM!</v>
      </c>
      <c r="K83" s="95" t="e">
        <f t="shared" si="9"/>
        <v>#NUM!</v>
      </c>
      <c r="L83" s="95"/>
      <c r="M83" s="97">
        <f t="shared" si="10"/>
        <v>0</v>
      </c>
      <c r="S83" s="85"/>
      <c r="T83" s="85"/>
      <c r="U83" s="85"/>
      <c r="V83" s="85"/>
      <c r="W83" s="85"/>
      <c r="X83" s="85"/>
      <c r="Y83" s="85"/>
      <c r="Z83" s="85"/>
      <c r="AA83" s="85"/>
      <c r="AB83" s="85"/>
      <c r="AC83" s="85"/>
      <c r="AD83" s="85"/>
      <c r="AE83" s="85"/>
      <c r="AF83" s="85"/>
      <c r="AG83" s="85"/>
      <c r="AH83" s="85"/>
      <c r="AI83" s="85"/>
      <c r="AJ83" s="85"/>
      <c r="AK83" s="85"/>
      <c r="AL83" s="85"/>
    </row>
    <row r="84" spans="1:38" s="80" customFormat="1" x14ac:dyDescent="0.25">
      <c r="A84" s="116"/>
      <c r="B84" s="115"/>
      <c r="C84" s="115"/>
      <c r="D84" s="115"/>
      <c r="E84" s="115"/>
      <c r="F84" s="115"/>
      <c r="H84" s="95">
        <v>79</v>
      </c>
      <c r="I84" s="96" t="str">
        <f t="shared" si="7"/>
        <v/>
      </c>
      <c r="J84" s="96" t="e">
        <f t="shared" si="8"/>
        <v>#NUM!</v>
      </c>
      <c r="K84" s="95" t="e">
        <f t="shared" si="9"/>
        <v>#NUM!</v>
      </c>
      <c r="L84" s="95"/>
      <c r="M84" s="97">
        <f t="shared" si="10"/>
        <v>0</v>
      </c>
      <c r="S84" s="85"/>
      <c r="T84" s="85"/>
      <c r="U84" s="85"/>
      <c r="V84" s="85"/>
      <c r="W84" s="85"/>
      <c r="X84" s="85"/>
      <c r="Y84" s="85"/>
      <c r="Z84" s="85"/>
      <c r="AA84" s="85"/>
      <c r="AB84" s="85"/>
      <c r="AC84" s="85"/>
      <c r="AD84" s="85"/>
      <c r="AE84" s="85"/>
      <c r="AF84" s="85"/>
      <c r="AG84" s="85"/>
      <c r="AH84" s="85"/>
      <c r="AI84" s="85"/>
      <c r="AJ84" s="85"/>
      <c r="AK84" s="85"/>
      <c r="AL84" s="85"/>
    </row>
    <row r="85" spans="1:38" s="80" customFormat="1" x14ac:dyDescent="0.25">
      <c r="A85" s="116"/>
      <c r="B85" s="115"/>
      <c r="C85" s="115"/>
      <c r="D85" s="115"/>
      <c r="E85" s="115"/>
      <c r="F85" s="115"/>
      <c r="H85" s="95">
        <v>80</v>
      </c>
      <c r="I85" s="96" t="str">
        <f t="shared" si="7"/>
        <v/>
      </c>
      <c r="J85" s="96" t="e">
        <f t="shared" si="8"/>
        <v>#NUM!</v>
      </c>
      <c r="K85" s="95" t="e">
        <f t="shared" si="9"/>
        <v>#NUM!</v>
      </c>
      <c r="L85" s="95"/>
      <c r="M85" s="97">
        <f t="shared" si="10"/>
        <v>0</v>
      </c>
      <c r="S85" s="85"/>
      <c r="T85" s="85"/>
      <c r="U85" s="85"/>
      <c r="V85" s="85"/>
      <c r="W85" s="85"/>
      <c r="X85" s="85"/>
      <c r="Y85" s="85"/>
      <c r="Z85" s="85"/>
      <c r="AA85" s="85"/>
      <c r="AB85" s="85"/>
      <c r="AC85" s="85"/>
      <c r="AD85" s="85"/>
      <c r="AE85" s="85"/>
      <c r="AF85" s="85"/>
      <c r="AG85" s="85"/>
      <c r="AH85" s="85"/>
      <c r="AI85" s="85"/>
      <c r="AJ85" s="85"/>
      <c r="AK85" s="85"/>
      <c r="AL85" s="85"/>
    </row>
    <row r="86" spans="1:38" s="80" customFormat="1" x14ac:dyDescent="0.25">
      <c r="A86" s="116"/>
      <c r="B86" s="115"/>
      <c r="C86" s="115"/>
      <c r="D86" s="115"/>
      <c r="E86" s="115"/>
      <c r="F86" s="115"/>
      <c r="H86" s="95">
        <v>81</v>
      </c>
      <c r="I86" s="96" t="str">
        <f t="shared" si="7"/>
        <v/>
      </c>
      <c r="J86" s="96" t="e">
        <f t="shared" si="8"/>
        <v>#NUM!</v>
      </c>
      <c r="K86" s="95" t="e">
        <f t="shared" si="9"/>
        <v>#NUM!</v>
      </c>
      <c r="L86" s="95"/>
      <c r="M86" s="97">
        <f t="shared" si="10"/>
        <v>0</v>
      </c>
      <c r="S86" s="85"/>
      <c r="T86" s="85"/>
      <c r="U86" s="85"/>
      <c r="V86" s="85"/>
      <c r="W86" s="85"/>
      <c r="X86" s="85"/>
      <c r="Y86" s="85"/>
      <c r="Z86" s="85"/>
      <c r="AA86" s="85"/>
      <c r="AB86" s="85"/>
      <c r="AC86" s="85"/>
      <c r="AD86" s="85"/>
      <c r="AE86" s="85"/>
      <c r="AF86" s="85"/>
      <c r="AG86" s="85"/>
      <c r="AH86" s="85"/>
      <c r="AI86" s="85"/>
      <c r="AJ86" s="85"/>
      <c r="AK86" s="85"/>
      <c r="AL86" s="85"/>
    </row>
    <row r="87" spans="1:38" s="80" customFormat="1" x14ac:dyDescent="0.25">
      <c r="A87" s="116"/>
      <c r="B87" s="115"/>
      <c r="C87" s="115"/>
      <c r="D87" s="115"/>
      <c r="E87" s="115"/>
      <c r="F87" s="115"/>
      <c r="H87" s="95">
        <v>82</v>
      </c>
      <c r="I87" s="96" t="str">
        <f t="shared" si="7"/>
        <v/>
      </c>
      <c r="J87" s="96" t="e">
        <f t="shared" si="8"/>
        <v>#NUM!</v>
      </c>
      <c r="K87" s="95" t="e">
        <f t="shared" si="9"/>
        <v>#NUM!</v>
      </c>
      <c r="L87" s="95"/>
      <c r="M87" s="97">
        <f t="shared" si="10"/>
        <v>0</v>
      </c>
      <c r="S87" s="85"/>
      <c r="T87" s="85"/>
      <c r="U87" s="85"/>
      <c r="V87" s="85"/>
      <c r="W87" s="85"/>
      <c r="X87" s="85"/>
      <c r="Y87" s="85"/>
      <c r="Z87" s="85"/>
      <c r="AA87" s="85"/>
      <c r="AB87" s="85"/>
      <c r="AC87" s="85"/>
      <c r="AD87" s="85"/>
      <c r="AE87" s="85"/>
      <c r="AF87" s="85"/>
      <c r="AG87" s="85"/>
      <c r="AH87" s="85"/>
      <c r="AI87" s="85"/>
      <c r="AJ87" s="85"/>
      <c r="AK87" s="85"/>
      <c r="AL87" s="85"/>
    </row>
    <row r="88" spans="1:38" s="80" customFormat="1" x14ac:dyDescent="0.25">
      <c r="A88" s="116"/>
      <c r="B88" s="115"/>
      <c r="C88" s="115"/>
      <c r="D88" s="115"/>
      <c r="E88" s="115"/>
      <c r="F88" s="115"/>
      <c r="H88" s="95">
        <v>83</v>
      </c>
      <c r="I88" s="96" t="str">
        <f t="shared" si="7"/>
        <v/>
      </c>
      <c r="J88" s="96" t="e">
        <f t="shared" si="8"/>
        <v>#NUM!</v>
      </c>
      <c r="K88" s="95" t="e">
        <f t="shared" si="9"/>
        <v>#NUM!</v>
      </c>
      <c r="L88" s="95"/>
      <c r="M88" s="97">
        <f t="shared" si="10"/>
        <v>0</v>
      </c>
      <c r="S88" s="85"/>
      <c r="T88" s="85"/>
      <c r="U88" s="85"/>
      <c r="V88" s="85"/>
      <c r="W88" s="85"/>
      <c r="X88" s="85"/>
      <c r="Y88" s="85"/>
      <c r="Z88" s="85"/>
      <c r="AA88" s="85"/>
      <c r="AB88" s="85"/>
      <c r="AC88" s="85"/>
      <c r="AD88" s="85"/>
      <c r="AE88" s="85"/>
      <c r="AF88" s="85"/>
      <c r="AG88" s="85"/>
      <c r="AH88" s="85"/>
      <c r="AI88" s="85"/>
      <c r="AJ88" s="85"/>
      <c r="AK88" s="85"/>
      <c r="AL88" s="85"/>
    </row>
    <row r="89" spans="1:38" s="80" customFormat="1" x14ac:dyDescent="0.25">
      <c r="A89" s="116"/>
      <c r="B89" s="115"/>
      <c r="C89" s="115"/>
      <c r="D89" s="115"/>
      <c r="E89" s="115"/>
      <c r="F89" s="115"/>
      <c r="H89" s="95">
        <v>84</v>
      </c>
      <c r="I89" s="96" t="str">
        <f t="shared" si="7"/>
        <v/>
      </c>
      <c r="J89" s="96" t="e">
        <f t="shared" si="8"/>
        <v>#NUM!</v>
      </c>
      <c r="K89" s="95" t="e">
        <f t="shared" si="9"/>
        <v>#NUM!</v>
      </c>
      <c r="L89" s="95"/>
      <c r="M89" s="97">
        <f t="shared" si="10"/>
        <v>0</v>
      </c>
      <c r="S89" s="85"/>
      <c r="T89" s="85"/>
      <c r="U89" s="85"/>
      <c r="V89" s="85"/>
      <c r="W89" s="85"/>
      <c r="X89" s="85"/>
      <c r="Y89" s="85"/>
      <c r="Z89" s="85"/>
      <c r="AA89" s="85"/>
      <c r="AB89" s="85"/>
      <c r="AC89" s="85"/>
      <c r="AD89" s="85"/>
      <c r="AE89" s="85"/>
      <c r="AF89" s="85"/>
      <c r="AG89" s="85"/>
      <c r="AH89" s="85"/>
      <c r="AI89" s="85"/>
      <c r="AJ89" s="85"/>
      <c r="AK89" s="85"/>
      <c r="AL89" s="85"/>
    </row>
    <row r="90" spans="1:38" s="80" customFormat="1" x14ac:dyDescent="0.25">
      <c r="A90" s="116"/>
      <c r="B90" s="115"/>
      <c r="C90" s="115"/>
      <c r="D90" s="115"/>
      <c r="E90" s="115"/>
      <c r="F90" s="115"/>
      <c r="H90" s="95">
        <v>85</v>
      </c>
      <c r="I90" s="96" t="str">
        <f t="shared" si="7"/>
        <v/>
      </c>
      <c r="J90" s="96" t="e">
        <f t="shared" si="8"/>
        <v>#NUM!</v>
      </c>
      <c r="K90" s="95" t="e">
        <f t="shared" si="9"/>
        <v>#NUM!</v>
      </c>
      <c r="L90" s="95"/>
      <c r="M90" s="97">
        <f t="shared" si="10"/>
        <v>0</v>
      </c>
      <c r="S90" s="85"/>
      <c r="T90" s="85"/>
      <c r="U90" s="85"/>
      <c r="V90" s="85"/>
      <c r="W90" s="85"/>
      <c r="X90" s="85"/>
      <c r="Y90" s="85"/>
      <c r="Z90" s="85"/>
      <c r="AA90" s="85"/>
      <c r="AB90" s="85"/>
      <c r="AC90" s="85"/>
      <c r="AD90" s="85"/>
      <c r="AE90" s="85"/>
      <c r="AF90" s="85"/>
      <c r="AG90" s="85"/>
      <c r="AH90" s="85"/>
      <c r="AI90" s="85"/>
      <c r="AJ90" s="85"/>
      <c r="AK90" s="85"/>
      <c r="AL90" s="85"/>
    </row>
    <row r="91" spans="1:38" s="80" customFormat="1" x14ac:dyDescent="0.25">
      <c r="A91" s="116"/>
      <c r="B91" s="115"/>
      <c r="C91" s="115"/>
      <c r="D91" s="115"/>
      <c r="E91" s="115"/>
      <c r="F91" s="115"/>
      <c r="H91" s="95">
        <v>86</v>
      </c>
      <c r="I91" s="96" t="str">
        <f t="shared" si="7"/>
        <v/>
      </c>
      <c r="J91" s="96" t="e">
        <f t="shared" si="8"/>
        <v>#NUM!</v>
      </c>
      <c r="K91" s="95" t="e">
        <f t="shared" si="9"/>
        <v>#NUM!</v>
      </c>
      <c r="L91" s="95"/>
      <c r="M91" s="97">
        <f t="shared" si="10"/>
        <v>0</v>
      </c>
      <c r="S91" s="85"/>
      <c r="T91" s="85"/>
      <c r="U91" s="85"/>
      <c r="V91" s="85"/>
      <c r="W91" s="85"/>
      <c r="X91" s="85"/>
      <c r="Y91" s="85"/>
      <c r="Z91" s="85"/>
      <c r="AA91" s="85"/>
      <c r="AB91" s="85"/>
      <c r="AC91" s="85"/>
      <c r="AD91" s="85"/>
      <c r="AE91" s="85"/>
      <c r="AF91" s="85"/>
      <c r="AG91" s="85"/>
      <c r="AH91" s="85"/>
      <c r="AI91" s="85"/>
      <c r="AJ91" s="85"/>
      <c r="AK91" s="85"/>
      <c r="AL91" s="85"/>
    </row>
    <row r="92" spans="1:38" s="80" customFormat="1" x14ac:dyDescent="0.25">
      <c r="A92" s="116"/>
      <c r="B92" s="115"/>
      <c r="C92" s="115"/>
      <c r="D92" s="115"/>
      <c r="E92" s="115"/>
      <c r="F92" s="115"/>
      <c r="H92" s="95">
        <v>87</v>
      </c>
      <c r="I92" s="96" t="str">
        <f t="shared" si="7"/>
        <v/>
      </c>
      <c r="J92" s="96" t="e">
        <f t="shared" si="8"/>
        <v>#NUM!</v>
      </c>
      <c r="K92" s="95" t="e">
        <f t="shared" si="9"/>
        <v>#NUM!</v>
      </c>
      <c r="L92" s="95"/>
      <c r="M92" s="97">
        <f t="shared" si="10"/>
        <v>0</v>
      </c>
      <c r="S92" s="85"/>
      <c r="T92" s="85"/>
      <c r="U92" s="85"/>
      <c r="V92" s="85"/>
      <c r="W92" s="85"/>
      <c r="X92" s="85"/>
      <c r="Y92" s="85"/>
      <c r="Z92" s="85"/>
      <c r="AA92" s="85"/>
      <c r="AB92" s="85"/>
      <c r="AC92" s="85"/>
      <c r="AD92" s="85"/>
      <c r="AE92" s="85"/>
      <c r="AF92" s="85"/>
      <c r="AG92" s="85"/>
      <c r="AH92" s="85"/>
      <c r="AI92" s="85"/>
      <c r="AJ92" s="85"/>
      <c r="AK92" s="85"/>
      <c r="AL92" s="85"/>
    </row>
    <row r="93" spans="1:38" s="80" customFormat="1" x14ac:dyDescent="0.25">
      <c r="A93" s="116"/>
      <c r="B93" s="115"/>
      <c r="C93" s="115"/>
      <c r="D93" s="115"/>
      <c r="E93" s="115"/>
      <c r="F93" s="115"/>
      <c r="H93" s="95">
        <v>88</v>
      </c>
      <c r="I93" s="96" t="str">
        <f t="shared" si="7"/>
        <v/>
      </c>
      <c r="J93" s="96" t="e">
        <f t="shared" si="8"/>
        <v>#NUM!</v>
      </c>
      <c r="K93" s="95" t="e">
        <f t="shared" si="9"/>
        <v>#NUM!</v>
      </c>
      <c r="L93" s="95"/>
      <c r="M93" s="97">
        <f t="shared" si="10"/>
        <v>0</v>
      </c>
      <c r="S93" s="85"/>
      <c r="T93" s="85"/>
      <c r="U93" s="85"/>
      <c r="V93" s="85"/>
      <c r="W93" s="85"/>
      <c r="X93" s="85"/>
      <c r="Y93" s="85"/>
      <c r="Z93" s="85"/>
      <c r="AA93" s="85"/>
      <c r="AB93" s="85"/>
      <c r="AC93" s="85"/>
      <c r="AD93" s="85"/>
      <c r="AE93" s="85"/>
      <c r="AF93" s="85"/>
      <c r="AG93" s="85"/>
      <c r="AH93" s="85"/>
      <c r="AI93" s="85"/>
      <c r="AJ93" s="85"/>
      <c r="AK93" s="85"/>
      <c r="AL93" s="85"/>
    </row>
    <row r="94" spans="1:38" s="80" customFormat="1" x14ac:dyDescent="0.25">
      <c r="A94" s="116"/>
      <c r="B94" s="115"/>
      <c r="C94" s="115"/>
      <c r="D94" s="115"/>
      <c r="E94" s="115"/>
      <c r="F94" s="115"/>
      <c r="H94" s="95">
        <v>89</v>
      </c>
      <c r="I94" s="96" t="str">
        <f t="shared" si="7"/>
        <v/>
      </c>
      <c r="J94" s="96" t="e">
        <f t="shared" si="8"/>
        <v>#NUM!</v>
      </c>
      <c r="K94" s="95" t="e">
        <f t="shared" si="9"/>
        <v>#NUM!</v>
      </c>
      <c r="L94" s="95"/>
      <c r="M94" s="97">
        <f t="shared" si="10"/>
        <v>0</v>
      </c>
      <c r="S94" s="85"/>
      <c r="T94" s="85"/>
      <c r="U94" s="85"/>
      <c r="V94" s="85"/>
      <c r="W94" s="85"/>
      <c r="X94" s="85"/>
      <c r="Y94" s="85"/>
      <c r="Z94" s="85"/>
      <c r="AA94" s="85"/>
      <c r="AB94" s="85"/>
      <c r="AC94" s="85"/>
      <c r="AD94" s="85"/>
      <c r="AE94" s="85"/>
      <c r="AF94" s="85"/>
      <c r="AG94" s="85"/>
      <c r="AH94" s="85"/>
      <c r="AI94" s="85"/>
      <c r="AJ94" s="85"/>
      <c r="AK94" s="85"/>
      <c r="AL94" s="85"/>
    </row>
    <row r="95" spans="1:38" s="80" customFormat="1" x14ac:dyDescent="0.25">
      <c r="A95" s="116"/>
      <c r="B95" s="115"/>
      <c r="C95" s="115"/>
      <c r="D95" s="115"/>
      <c r="E95" s="115"/>
      <c r="F95" s="115"/>
      <c r="H95" s="95">
        <v>90</v>
      </c>
      <c r="I95" s="96" t="str">
        <f t="shared" si="7"/>
        <v/>
      </c>
      <c r="J95" s="96" t="e">
        <f t="shared" si="8"/>
        <v>#NUM!</v>
      </c>
      <c r="K95" s="95" t="e">
        <f t="shared" si="9"/>
        <v>#NUM!</v>
      </c>
      <c r="L95" s="95"/>
      <c r="M95" s="97">
        <f t="shared" si="10"/>
        <v>0</v>
      </c>
      <c r="S95" s="85"/>
      <c r="T95" s="85"/>
      <c r="U95" s="85"/>
      <c r="V95" s="85"/>
      <c r="W95" s="85"/>
      <c r="X95" s="85"/>
      <c r="Y95" s="85"/>
      <c r="Z95" s="85"/>
      <c r="AA95" s="85"/>
      <c r="AB95" s="85"/>
      <c r="AC95" s="85"/>
      <c r="AD95" s="85"/>
      <c r="AE95" s="85"/>
      <c r="AF95" s="85"/>
      <c r="AG95" s="85"/>
      <c r="AH95" s="85"/>
      <c r="AI95" s="85"/>
      <c r="AJ95" s="85"/>
      <c r="AK95" s="85"/>
      <c r="AL95" s="85"/>
    </row>
    <row r="96" spans="1:38" s="80" customFormat="1" x14ac:dyDescent="0.25">
      <c r="A96" s="116"/>
      <c r="B96" s="115"/>
      <c r="C96" s="115"/>
      <c r="D96" s="115"/>
      <c r="E96" s="115"/>
      <c r="F96" s="115"/>
      <c r="H96" s="95">
        <v>91</v>
      </c>
      <c r="I96" s="96" t="str">
        <f t="shared" si="7"/>
        <v/>
      </c>
      <c r="J96" s="96" t="e">
        <f t="shared" si="8"/>
        <v>#NUM!</v>
      </c>
      <c r="K96" s="95" t="e">
        <f t="shared" si="9"/>
        <v>#NUM!</v>
      </c>
      <c r="L96" s="95"/>
      <c r="M96" s="97">
        <f t="shared" si="10"/>
        <v>0</v>
      </c>
      <c r="S96" s="85"/>
      <c r="T96" s="85"/>
      <c r="U96" s="85"/>
      <c r="V96" s="85"/>
      <c r="W96" s="85"/>
      <c r="X96" s="85"/>
      <c r="Y96" s="85"/>
      <c r="Z96" s="85"/>
      <c r="AA96" s="85"/>
      <c r="AB96" s="85"/>
      <c r="AC96" s="85"/>
      <c r="AD96" s="85"/>
      <c r="AE96" s="85"/>
      <c r="AF96" s="85"/>
      <c r="AG96" s="85"/>
      <c r="AH96" s="85"/>
      <c r="AI96" s="85"/>
      <c r="AJ96" s="85"/>
      <c r="AK96" s="85"/>
      <c r="AL96" s="85"/>
    </row>
    <row r="97" spans="1:38" s="80" customFormat="1" x14ac:dyDescent="0.25">
      <c r="A97" s="116"/>
      <c r="B97" s="115"/>
      <c r="C97" s="115"/>
      <c r="D97" s="115"/>
      <c r="E97" s="115"/>
      <c r="F97" s="115"/>
      <c r="H97" s="95">
        <v>92</v>
      </c>
      <c r="I97" s="96" t="str">
        <f t="shared" si="7"/>
        <v/>
      </c>
      <c r="J97" s="96" t="e">
        <f t="shared" si="8"/>
        <v>#NUM!</v>
      </c>
      <c r="K97" s="95" t="e">
        <f t="shared" si="9"/>
        <v>#NUM!</v>
      </c>
      <c r="L97" s="95"/>
      <c r="M97" s="97">
        <f t="shared" si="10"/>
        <v>0</v>
      </c>
      <c r="S97" s="85"/>
      <c r="T97" s="85"/>
      <c r="U97" s="85"/>
      <c r="V97" s="85"/>
      <c r="W97" s="85"/>
      <c r="X97" s="85"/>
      <c r="Y97" s="85"/>
      <c r="Z97" s="85"/>
      <c r="AA97" s="85"/>
      <c r="AB97" s="85"/>
      <c r="AC97" s="85"/>
      <c r="AD97" s="85"/>
      <c r="AE97" s="85"/>
      <c r="AF97" s="85"/>
      <c r="AG97" s="85"/>
      <c r="AH97" s="85"/>
      <c r="AI97" s="85"/>
      <c r="AJ97" s="85"/>
      <c r="AK97" s="85"/>
      <c r="AL97" s="85"/>
    </row>
    <row r="98" spans="1:38" s="80" customFormat="1" x14ac:dyDescent="0.25">
      <c r="A98" s="116"/>
      <c r="B98" s="115"/>
      <c r="C98" s="115"/>
      <c r="D98" s="115"/>
      <c r="E98" s="115"/>
      <c r="F98" s="115"/>
      <c r="H98" s="95">
        <v>93</v>
      </c>
      <c r="I98" s="96" t="str">
        <f t="shared" si="7"/>
        <v/>
      </c>
      <c r="J98" s="96" t="e">
        <f t="shared" si="8"/>
        <v>#NUM!</v>
      </c>
      <c r="K98" s="95" t="e">
        <f t="shared" si="9"/>
        <v>#NUM!</v>
      </c>
      <c r="L98" s="95"/>
      <c r="M98" s="97">
        <f t="shared" si="10"/>
        <v>0</v>
      </c>
      <c r="S98" s="85"/>
      <c r="T98" s="85"/>
      <c r="U98" s="85"/>
      <c r="V98" s="85"/>
      <c r="W98" s="85"/>
      <c r="X98" s="85"/>
      <c r="Y98" s="85"/>
      <c r="Z98" s="85"/>
      <c r="AA98" s="85"/>
      <c r="AB98" s="85"/>
      <c r="AC98" s="85"/>
      <c r="AD98" s="85"/>
      <c r="AE98" s="85"/>
      <c r="AF98" s="85"/>
      <c r="AG98" s="85"/>
      <c r="AH98" s="85"/>
      <c r="AI98" s="85"/>
      <c r="AJ98" s="85"/>
      <c r="AK98" s="85"/>
      <c r="AL98" s="85"/>
    </row>
    <row r="99" spans="1:38" s="80" customFormat="1" x14ac:dyDescent="0.25">
      <c r="A99" s="116"/>
      <c r="B99" s="115"/>
      <c r="C99" s="115"/>
      <c r="D99" s="115"/>
      <c r="E99" s="115"/>
      <c r="F99" s="115"/>
      <c r="H99" s="95">
        <v>94</v>
      </c>
      <c r="I99" s="96" t="str">
        <f t="shared" si="7"/>
        <v/>
      </c>
      <c r="J99" s="96" t="e">
        <f t="shared" si="8"/>
        <v>#NUM!</v>
      </c>
      <c r="K99" s="95" t="e">
        <f t="shared" si="9"/>
        <v>#NUM!</v>
      </c>
      <c r="L99" s="95"/>
      <c r="M99" s="97">
        <f t="shared" si="10"/>
        <v>0</v>
      </c>
      <c r="S99" s="85"/>
      <c r="T99" s="85"/>
      <c r="U99" s="85"/>
      <c r="V99" s="85"/>
      <c r="W99" s="85"/>
      <c r="X99" s="85"/>
      <c r="Y99" s="85"/>
      <c r="Z99" s="85"/>
      <c r="AA99" s="85"/>
      <c r="AB99" s="85"/>
      <c r="AC99" s="85"/>
      <c r="AD99" s="85"/>
      <c r="AE99" s="85"/>
      <c r="AF99" s="85"/>
      <c r="AG99" s="85"/>
      <c r="AH99" s="85"/>
      <c r="AI99" s="85"/>
      <c r="AJ99" s="85"/>
      <c r="AK99" s="85"/>
      <c r="AL99" s="85"/>
    </row>
    <row r="100" spans="1:38" s="80" customFormat="1" x14ac:dyDescent="0.25">
      <c r="A100" s="116"/>
      <c r="B100" s="115"/>
      <c r="C100" s="115"/>
      <c r="D100" s="115"/>
      <c r="E100" s="115"/>
      <c r="F100" s="115"/>
      <c r="H100" s="95">
        <v>95</v>
      </c>
      <c r="I100" s="96" t="str">
        <f t="shared" si="7"/>
        <v/>
      </c>
      <c r="J100" s="96" t="e">
        <f t="shared" si="8"/>
        <v>#NUM!</v>
      </c>
      <c r="K100" s="95" t="e">
        <f t="shared" si="9"/>
        <v>#NUM!</v>
      </c>
      <c r="L100" s="95"/>
      <c r="M100" s="97">
        <f t="shared" si="10"/>
        <v>0</v>
      </c>
      <c r="S100" s="85"/>
      <c r="T100" s="85"/>
      <c r="U100" s="85"/>
      <c r="V100" s="85"/>
      <c r="W100" s="85"/>
      <c r="X100" s="85"/>
      <c r="Y100" s="85"/>
      <c r="Z100" s="85"/>
      <c r="AA100" s="85"/>
      <c r="AB100" s="85"/>
      <c r="AC100" s="85"/>
      <c r="AD100" s="85"/>
      <c r="AE100" s="85"/>
      <c r="AF100" s="85"/>
      <c r="AG100" s="85"/>
      <c r="AH100" s="85"/>
      <c r="AI100" s="85"/>
      <c r="AJ100" s="85"/>
      <c r="AK100" s="85"/>
      <c r="AL100" s="85"/>
    </row>
    <row r="101" spans="1:38" s="80" customFormat="1" x14ac:dyDescent="0.25">
      <c r="A101" s="116"/>
      <c r="B101" s="115"/>
      <c r="C101" s="115"/>
      <c r="D101" s="115"/>
      <c r="E101" s="115"/>
      <c r="F101" s="115"/>
      <c r="H101" s="95">
        <v>96</v>
      </c>
      <c r="I101" s="96" t="str">
        <f t="shared" si="7"/>
        <v/>
      </c>
      <c r="J101" s="96" t="e">
        <f t="shared" si="8"/>
        <v>#NUM!</v>
      </c>
      <c r="K101" s="95" t="e">
        <f t="shared" si="9"/>
        <v>#NUM!</v>
      </c>
      <c r="L101" s="95"/>
      <c r="M101" s="97">
        <f t="shared" si="10"/>
        <v>0</v>
      </c>
      <c r="S101" s="85"/>
      <c r="T101" s="85"/>
      <c r="U101" s="85"/>
      <c r="V101" s="85"/>
      <c r="W101" s="85"/>
      <c r="X101" s="85"/>
      <c r="Y101" s="85"/>
      <c r="Z101" s="85"/>
      <c r="AA101" s="85"/>
      <c r="AB101" s="85"/>
      <c r="AC101" s="85"/>
      <c r="AD101" s="85"/>
      <c r="AE101" s="85"/>
      <c r="AF101" s="85"/>
      <c r="AG101" s="85"/>
      <c r="AH101" s="85"/>
      <c r="AI101" s="85"/>
      <c r="AJ101" s="85"/>
      <c r="AK101" s="85"/>
      <c r="AL101" s="85"/>
    </row>
    <row r="102" spans="1:38" s="80" customFormat="1" x14ac:dyDescent="0.25">
      <c r="A102" s="116"/>
      <c r="B102" s="115"/>
      <c r="C102" s="115"/>
      <c r="D102" s="115"/>
      <c r="E102" s="115"/>
      <c r="F102" s="115"/>
      <c r="H102" s="95">
        <v>97</v>
      </c>
      <c r="I102" s="96" t="str">
        <f t="shared" si="7"/>
        <v/>
      </c>
      <c r="J102" s="96" t="e">
        <f t="shared" si="8"/>
        <v>#NUM!</v>
      </c>
      <c r="K102" s="95" t="e">
        <f t="shared" si="9"/>
        <v>#NUM!</v>
      </c>
      <c r="L102" s="95"/>
      <c r="M102" s="97">
        <f t="shared" si="10"/>
        <v>0</v>
      </c>
      <c r="S102" s="85"/>
      <c r="T102" s="85"/>
      <c r="U102" s="85"/>
      <c r="V102" s="85"/>
      <c r="W102" s="85"/>
      <c r="X102" s="85"/>
      <c r="Y102" s="85"/>
      <c r="Z102" s="85"/>
      <c r="AA102" s="85"/>
      <c r="AB102" s="85"/>
      <c r="AC102" s="85"/>
      <c r="AD102" s="85"/>
      <c r="AE102" s="85"/>
      <c r="AF102" s="85"/>
      <c r="AG102" s="85"/>
      <c r="AH102" s="85"/>
      <c r="AI102" s="85"/>
      <c r="AJ102" s="85"/>
      <c r="AK102" s="85"/>
      <c r="AL102" s="85"/>
    </row>
    <row r="103" spans="1:38" s="80" customFormat="1" x14ac:dyDescent="0.25">
      <c r="A103" s="116"/>
      <c r="B103" s="115"/>
      <c r="C103" s="115"/>
      <c r="D103" s="115"/>
      <c r="E103" s="115"/>
      <c r="F103" s="115"/>
      <c r="H103" s="95">
        <v>98</v>
      </c>
      <c r="I103" s="96" t="str">
        <f t="shared" si="7"/>
        <v/>
      </c>
      <c r="J103" s="96" t="e">
        <f t="shared" si="8"/>
        <v>#NUM!</v>
      </c>
      <c r="K103" s="95" t="e">
        <f t="shared" si="9"/>
        <v>#NUM!</v>
      </c>
      <c r="L103" s="95"/>
      <c r="M103" s="97">
        <f t="shared" si="10"/>
        <v>0</v>
      </c>
      <c r="S103" s="85"/>
      <c r="T103" s="85"/>
      <c r="U103" s="85"/>
      <c r="V103" s="85"/>
      <c r="W103" s="85"/>
      <c r="X103" s="85"/>
      <c r="Y103" s="85"/>
      <c r="Z103" s="85"/>
      <c r="AA103" s="85"/>
      <c r="AB103" s="85"/>
      <c r="AC103" s="85"/>
      <c r="AD103" s="85"/>
      <c r="AE103" s="85"/>
      <c r="AF103" s="85"/>
      <c r="AG103" s="85"/>
      <c r="AH103" s="85"/>
      <c r="AI103" s="85"/>
      <c r="AJ103" s="85"/>
      <c r="AK103" s="85"/>
      <c r="AL103" s="85"/>
    </row>
    <row r="104" spans="1:38" s="80" customFormat="1" x14ac:dyDescent="0.25">
      <c r="A104" s="116"/>
      <c r="B104" s="115"/>
      <c r="C104" s="115"/>
      <c r="D104" s="115"/>
      <c r="E104" s="115"/>
      <c r="F104" s="115"/>
      <c r="H104" s="95">
        <v>99</v>
      </c>
      <c r="I104" s="96" t="str">
        <f t="shared" si="7"/>
        <v/>
      </c>
      <c r="J104" s="96" t="e">
        <f t="shared" si="8"/>
        <v>#NUM!</v>
      </c>
      <c r="K104" s="95" t="e">
        <f t="shared" si="9"/>
        <v>#NUM!</v>
      </c>
      <c r="L104" s="95"/>
      <c r="M104" s="97">
        <f t="shared" si="10"/>
        <v>0</v>
      </c>
      <c r="S104" s="85"/>
      <c r="T104" s="85"/>
      <c r="U104" s="85"/>
      <c r="V104" s="85"/>
      <c r="W104" s="85"/>
      <c r="X104" s="85"/>
      <c r="Y104" s="85"/>
      <c r="Z104" s="85"/>
      <c r="AA104" s="85"/>
      <c r="AB104" s="85"/>
      <c r="AC104" s="85"/>
      <c r="AD104" s="85"/>
      <c r="AE104" s="85"/>
      <c r="AF104" s="85"/>
      <c r="AG104" s="85"/>
      <c r="AH104" s="85"/>
      <c r="AI104" s="85"/>
      <c r="AJ104" s="85"/>
      <c r="AK104" s="85"/>
      <c r="AL104" s="85"/>
    </row>
    <row r="105" spans="1:38" s="80" customFormat="1" x14ac:dyDescent="0.25">
      <c r="A105" s="116"/>
      <c r="B105" s="115"/>
      <c r="C105" s="115"/>
      <c r="D105" s="115"/>
      <c r="E105" s="115"/>
      <c r="F105" s="115"/>
      <c r="H105" s="95">
        <v>100</v>
      </c>
      <c r="I105" s="96" t="str">
        <f t="shared" si="7"/>
        <v/>
      </c>
      <c r="J105" s="96" t="e">
        <f t="shared" si="8"/>
        <v>#NUM!</v>
      </c>
      <c r="K105" s="95" t="e">
        <f t="shared" si="9"/>
        <v>#NUM!</v>
      </c>
      <c r="L105" s="95"/>
      <c r="M105" s="97">
        <f t="shared" si="10"/>
        <v>0</v>
      </c>
      <c r="S105" s="85"/>
      <c r="T105" s="85"/>
      <c r="U105" s="85"/>
      <c r="V105" s="85"/>
      <c r="W105" s="85"/>
      <c r="X105" s="85"/>
      <c r="Y105" s="85"/>
      <c r="Z105" s="85"/>
      <c r="AA105" s="85"/>
      <c r="AB105" s="85"/>
      <c r="AC105" s="85"/>
      <c r="AD105" s="85"/>
      <c r="AE105" s="85"/>
      <c r="AF105" s="85"/>
      <c r="AG105" s="85"/>
      <c r="AH105" s="85"/>
      <c r="AI105" s="85"/>
      <c r="AJ105" s="85"/>
      <c r="AK105" s="85"/>
      <c r="AL105" s="85"/>
    </row>
    <row r="106" spans="1:38" s="80" customFormat="1" x14ac:dyDescent="0.25">
      <c r="A106" s="116"/>
      <c r="B106" s="115"/>
      <c r="C106" s="115"/>
      <c r="D106" s="115"/>
      <c r="E106" s="115"/>
      <c r="F106" s="115"/>
      <c r="H106" s="95">
        <v>101</v>
      </c>
      <c r="I106" s="96" t="str">
        <f t="shared" si="7"/>
        <v/>
      </c>
      <c r="J106" s="96" t="e">
        <f t="shared" si="8"/>
        <v>#NUM!</v>
      </c>
      <c r="K106" s="95" t="e">
        <f t="shared" si="9"/>
        <v>#NUM!</v>
      </c>
      <c r="L106" s="95"/>
      <c r="M106" s="97">
        <f t="shared" si="10"/>
        <v>0</v>
      </c>
      <c r="S106" s="85"/>
      <c r="T106" s="85"/>
      <c r="U106" s="85"/>
      <c r="V106" s="85"/>
      <c r="W106" s="85"/>
      <c r="X106" s="85"/>
      <c r="Y106" s="85"/>
      <c r="Z106" s="85"/>
      <c r="AA106" s="85"/>
      <c r="AB106" s="85"/>
      <c r="AC106" s="85"/>
      <c r="AD106" s="85"/>
      <c r="AE106" s="85"/>
      <c r="AF106" s="85"/>
      <c r="AG106" s="85"/>
      <c r="AH106" s="85"/>
      <c r="AI106" s="85"/>
      <c r="AJ106" s="85"/>
      <c r="AK106" s="85"/>
      <c r="AL106" s="85"/>
    </row>
    <row r="107" spans="1:38" s="80" customFormat="1" x14ac:dyDescent="0.25">
      <c r="A107" s="116"/>
      <c r="B107" s="115"/>
      <c r="C107" s="115"/>
      <c r="D107" s="115"/>
      <c r="E107" s="115"/>
      <c r="F107" s="115"/>
      <c r="H107" s="95">
        <v>102</v>
      </c>
      <c r="I107" s="96" t="str">
        <f t="shared" si="7"/>
        <v/>
      </c>
      <c r="J107" s="96" t="e">
        <f t="shared" si="8"/>
        <v>#NUM!</v>
      </c>
      <c r="K107" s="95" t="e">
        <f t="shared" si="9"/>
        <v>#NUM!</v>
      </c>
      <c r="L107" s="95"/>
      <c r="M107" s="97">
        <f t="shared" si="10"/>
        <v>0</v>
      </c>
      <c r="S107" s="85"/>
      <c r="T107" s="85"/>
      <c r="U107" s="85"/>
      <c r="V107" s="85"/>
      <c r="W107" s="85"/>
      <c r="X107" s="85"/>
      <c r="Y107" s="85"/>
      <c r="Z107" s="85"/>
      <c r="AA107" s="85"/>
      <c r="AB107" s="85"/>
      <c r="AC107" s="85"/>
      <c r="AD107" s="85"/>
      <c r="AE107" s="85"/>
      <c r="AF107" s="85"/>
      <c r="AG107" s="85"/>
      <c r="AH107" s="85"/>
      <c r="AI107" s="85"/>
      <c r="AJ107" s="85"/>
      <c r="AK107" s="85"/>
      <c r="AL107" s="85"/>
    </row>
    <row r="108" spans="1:38" s="80" customFormat="1" x14ac:dyDescent="0.25">
      <c r="A108" s="116"/>
      <c r="B108" s="115"/>
      <c r="C108" s="115"/>
      <c r="D108" s="115"/>
      <c r="E108" s="115"/>
      <c r="F108" s="115"/>
      <c r="H108" s="95">
        <v>103</v>
      </c>
      <c r="I108" s="96" t="str">
        <f t="shared" si="7"/>
        <v/>
      </c>
      <c r="J108" s="96" t="e">
        <f t="shared" si="8"/>
        <v>#NUM!</v>
      </c>
      <c r="K108" s="95" t="e">
        <f t="shared" si="9"/>
        <v>#NUM!</v>
      </c>
      <c r="L108" s="95"/>
      <c r="M108" s="97">
        <f t="shared" si="10"/>
        <v>0</v>
      </c>
      <c r="S108" s="85"/>
      <c r="T108" s="85"/>
      <c r="U108" s="85"/>
      <c r="V108" s="85"/>
      <c r="W108" s="85"/>
      <c r="X108" s="85"/>
      <c r="Y108" s="85"/>
      <c r="Z108" s="85"/>
      <c r="AA108" s="85"/>
      <c r="AB108" s="85"/>
      <c r="AC108" s="85"/>
      <c r="AD108" s="85"/>
      <c r="AE108" s="85"/>
      <c r="AF108" s="85"/>
      <c r="AG108" s="85"/>
      <c r="AH108" s="85"/>
      <c r="AI108" s="85"/>
      <c r="AJ108" s="85"/>
      <c r="AK108" s="85"/>
      <c r="AL108" s="85"/>
    </row>
    <row r="109" spans="1:38" s="80" customFormat="1" x14ac:dyDescent="0.25">
      <c r="A109" s="116"/>
      <c r="B109" s="115"/>
      <c r="C109" s="115"/>
      <c r="D109" s="115"/>
      <c r="E109" s="115"/>
      <c r="F109" s="115"/>
      <c r="H109" s="95">
        <v>104</v>
      </c>
      <c r="I109" s="96" t="str">
        <f t="shared" si="7"/>
        <v/>
      </c>
      <c r="J109" s="96" t="e">
        <f t="shared" si="8"/>
        <v>#NUM!</v>
      </c>
      <c r="K109" s="95" t="e">
        <f t="shared" si="9"/>
        <v>#NUM!</v>
      </c>
      <c r="L109" s="95"/>
      <c r="M109" s="97">
        <f t="shared" si="10"/>
        <v>0</v>
      </c>
      <c r="S109" s="85"/>
      <c r="T109" s="85"/>
      <c r="U109" s="85"/>
      <c r="V109" s="85"/>
      <c r="W109" s="85"/>
      <c r="X109" s="85"/>
      <c r="Y109" s="85"/>
      <c r="Z109" s="85"/>
      <c r="AA109" s="85"/>
      <c r="AB109" s="85"/>
      <c r="AC109" s="85"/>
      <c r="AD109" s="85"/>
      <c r="AE109" s="85"/>
      <c r="AF109" s="85"/>
      <c r="AG109" s="85"/>
      <c r="AH109" s="85"/>
      <c r="AI109" s="85"/>
      <c r="AJ109" s="85"/>
      <c r="AK109" s="85"/>
      <c r="AL109" s="85"/>
    </row>
    <row r="110" spans="1:38" s="80" customFormat="1" x14ac:dyDescent="0.25">
      <c r="A110" s="116"/>
      <c r="B110" s="115"/>
      <c r="C110" s="115"/>
      <c r="D110" s="115"/>
      <c r="E110" s="115"/>
      <c r="F110" s="115"/>
      <c r="H110" s="95">
        <v>105</v>
      </c>
      <c r="I110" s="96" t="str">
        <f t="shared" si="7"/>
        <v/>
      </c>
      <c r="J110" s="96" t="e">
        <f t="shared" si="8"/>
        <v>#NUM!</v>
      </c>
      <c r="K110" s="95" t="e">
        <f t="shared" si="9"/>
        <v>#NUM!</v>
      </c>
      <c r="L110" s="95"/>
      <c r="M110" s="97">
        <f t="shared" si="10"/>
        <v>0</v>
      </c>
      <c r="S110" s="85"/>
      <c r="T110" s="85"/>
      <c r="U110" s="85"/>
      <c r="V110" s="85"/>
      <c r="W110" s="85"/>
      <c r="X110" s="85"/>
      <c r="Y110" s="85"/>
      <c r="Z110" s="85"/>
      <c r="AA110" s="85"/>
      <c r="AB110" s="85"/>
      <c r="AC110" s="85"/>
      <c r="AD110" s="85"/>
      <c r="AE110" s="85"/>
      <c r="AF110" s="85"/>
      <c r="AG110" s="85"/>
      <c r="AH110" s="85"/>
      <c r="AI110" s="85"/>
      <c r="AJ110" s="85"/>
      <c r="AK110" s="85"/>
      <c r="AL110" s="85"/>
    </row>
    <row r="111" spans="1:38" s="80" customFormat="1" x14ac:dyDescent="0.25">
      <c r="A111" s="116"/>
      <c r="B111" s="115"/>
      <c r="C111" s="115"/>
      <c r="D111" s="115"/>
      <c r="E111" s="115"/>
      <c r="F111" s="115"/>
      <c r="H111" s="95">
        <v>106</v>
      </c>
      <c r="I111" s="96" t="str">
        <f t="shared" si="7"/>
        <v/>
      </c>
      <c r="J111" s="96" t="e">
        <f t="shared" si="8"/>
        <v>#NUM!</v>
      </c>
      <c r="K111" s="95" t="e">
        <f t="shared" si="9"/>
        <v>#NUM!</v>
      </c>
      <c r="L111" s="95"/>
      <c r="M111" s="97">
        <f t="shared" si="10"/>
        <v>0</v>
      </c>
      <c r="S111" s="85"/>
      <c r="T111" s="85"/>
      <c r="U111" s="85"/>
      <c r="V111" s="85"/>
      <c r="W111" s="85"/>
      <c r="X111" s="85"/>
      <c r="Y111" s="85"/>
      <c r="Z111" s="85"/>
      <c r="AA111" s="85"/>
      <c r="AB111" s="85"/>
      <c r="AC111" s="85"/>
      <c r="AD111" s="85"/>
      <c r="AE111" s="85"/>
      <c r="AF111" s="85"/>
      <c r="AG111" s="85"/>
      <c r="AH111" s="85"/>
      <c r="AI111" s="85"/>
      <c r="AJ111" s="85"/>
      <c r="AK111" s="85"/>
      <c r="AL111" s="85"/>
    </row>
    <row r="112" spans="1:38" s="80" customFormat="1" x14ac:dyDescent="0.25">
      <c r="A112" s="116"/>
      <c r="B112" s="115"/>
      <c r="C112" s="115"/>
      <c r="D112" s="115"/>
      <c r="E112" s="115"/>
      <c r="F112" s="115"/>
      <c r="H112" s="95">
        <v>107</v>
      </c>
      <c r="I112" s="96" t="str">
        <f t="shared" si="7"/>
        <v/>
      </c>
      <c r="J112" s="96" t="e">
        <f t="shared" si="8"/>
        <v>#NUM!</v>
      </c>
      <c r="K112" s="95" t="e">
        <f t="shared" si="9"/>
        <v>#NUM!</v>
      </c>
      <c r="L112" s="95"/>
      <c r="M112" s="97">
        <f t="shared" si="10"/>
        <v>0</v>
      </c>
      <c r="S112" s="85"/>
      <c r="T112" s="85"/>
      <c r="U112" s="85"/>
      <c r="V112" s="85"/>
      <c r="W112" s="85"/>
      <c r="X112" s="85"/>
      <c r="Y112" s="85"/>
      <c r="Z112" s="85"/>
      <c r="AA112" s="85"/>
      <c r="AB112" s="85"/>
      <c r="AC112" s="85"/>
      <c r="AD112" s="85"/>
      <c r="AE112" s="85"/>
      <c r="AF112" s="85"/>
      <c r="AG112" s="85"/>
      <c r="AH112" s="85"/>
      <c r="AI112" s="85"/>
      <c r="AJ112" s="85"/>
      <c r="AK112" s="85"/>
      <c r="AL112" s="85"/>
    </row>
    <row r="113" spans="1:38" s="80" customFormat="1" x14ac:dyDescent="0.25">
      <c r="A113" s="116"/>
      <c r="B113" s="115"/>
      <c r="C113" s="115"/>
      <c r="D113" s="115"/>
      <c r="E113" s="115"/>
      <c r="F113" s="115"/>
      <c r="H113" s="95">
        <v>108</v>
      </c>
      <c r="I113" s="96" t="str">
        <f t="shared" si="7"/>
        <v/>
      </c>
      <c r="J113" s="96" t="e">
        <f t="shared" si="8"/>
        <v>#NUM!</v>
      </c>
      <c r="K113" s="95" t="e">
        <f t="shared" si="9"/>
        <v>#NUM!</v>
      </c>
      <c r="L113" s="95"/>
      <c r="M113" s="97">
        <f t="shared" si="10"/>
        <v>0</v>
      </c>
      <c r="S113" s="85"/>
      <c r="T113" s="85"/>
      <c r="U113" s="85"/>
      <c r="V113" s="85"/>
      <c r="W113" s="85"/>
      <c r="X113" s="85"/>
      <c r="Y113" s="85"/>
      <c r="Z113" s="85"/>
      <c r="AA113" s="85"/>
      <c r="AB113" s="85"/>
      <c r="AC113" s="85"/>
      <c r="AD113" s="85"/>
      <c r="AE113" s="85"/>
      <c r="AF113" s="85"/>
      <c r="AG113" s="85"/>
      <c r="AH113" s="85"/>
      <c r="AI113" s="85"/>
      <c r="AJ113" s="85"/>
      <c r="AK113" s="85"/>
      <c r="AL113" s="85"/>
    </row>
    <row r="114" spans="1:38" s="80" customFormat="1" x14ac:dyDescent="0.25">
      <c r="A114" s="116"/>
      <c r="B114" s="115"/>
      <c r="C114" s="115"/>
      <c r="D114" s="115"/>
      <c r="E114" s="115"/>
      <c r="F114" s="115"/>
      <c r="H114" s="95">
        <v>109</v>
      </c>
      <c r="I114" s="96" t="str">
        <f t="shared" si="7"/>
        <v/>
      </c>
      <c r="J114" s="96" t="e">
        <f t="shared" si="8"/>
        <v>#NUM!</v>
      </c>
      <c r="K114" s="95" t="e">
        <f t="shared" si="9"/>
        <v>#NUM!</v>
      </c>
      <c r="L114" s="95"/>
      <c r="M114" s="97">
        <f t="shared" si="10"/>
        <v>0</v>
      </c>
      <c r="S114" s="85"/>
      <c r="T114" s="85"/>
      <c r="U114" s="85"/>
      <c r="V114" s="85"/>
      <c r="W114" s="85"/>
      <c r="X114" s="85"/>
      <c r="Y114" s="85"/>
      <c r="Z114" s="85"/>
      <c r="AA114" s="85"/>
      <c r="AB114" s="85"/>
      <c r="AC114" s="85"/>
      <c r="AD114" s="85"/>
      <c r="AE114" s="85"/>
      <c r="AF114" s="85"/>
      <c r="AG114" s="85"/>
      <c r="AH114" s="85"/>
      <c r="AI114" s="85"/>
      <c r="AJ114" s="85"/>
      <c r="AK114" s="85"/>
      <c r="AL114" s="85"/>
    </row>
    <row r="115" spans="1:38" s="80" customFormat="1" x14ac:dyDescent="0.25">
      <c r="A115" s="116"/>
      <c r="B115" s="115"/>
      <c r="C115" s="115"/>
      <c r="D115" s="115"/>
      <c r="E115" s="115"/>
      <c r="F115" s="115"/>
      <c r="H115" s="95">
        <v>110</v>
      </c>
      <c r="I115" s="96" t="str">
        <f t="shared" si="7"/>
        <v/>
      </c>
      <c r="J115" s="96" t="e">
        <f t="shared" si="8"/>
        <v>#NUM!</v>
      </c>
      <c r="K115" s="95" t="e">
        <f t="shared" si="9"/>
        <v>#NUM!</v>
      </c>
      <c r="L115" s="95"/>
      <c r="M115" s="97">
        <f t="shared" si="10"/>
        <v>0</v>
      </c>
      <c r="S115" s="85"/>
      <c r="T115" s="85"/>
      <c r="U115" s="85"/>
      <c r="V115" s="85"/>
      <c r="W115" s="85"/>
      <c r="X115" s="85"/>
      <c r="Y115" s="85"/>
      <c r="Z115" s="85"/>
      <c r="AA115" s="85"/>
      <c r="AB115" s="85"/>
      <c r="AC115" s="85"/>
      <c r="AD115" s="85"/>
      <c r="AE115" s="85"/>
      <c r="AF115" s="85"/>
      <c r="AG115" s="85"/>
      <c r="AH115" s="85"/>
      <c r="AI115" s="85"/>
      <c r="AJ115" s="85"/>
      <c r="AK115" s="85"/>
      <c r="AL115" s="85"/>
    </row>
    <row r="116" spans="1:38" s="80" customFormat="1" x14ac:dyDescent="0.25">
      <c r="A116" s="116"/>
      <c r="B116" s="115"/>
      <c r="C116" s="115"/>
      <c r="D116" s="115"/>
      <c r="E116" s="115"/>
      <c r="F116" s="115"/>
      <c r="H116" s="95">
        <v>111</v>
      </c>
      <c r="I116" s="96" t="str">
        <f t="shared" si="7"/>
        <v/>
      </c>
      <c r="J116" s="96" t="e">
        <f t="shared" si="8"/>
        <v>#NUM!</v>
      </c>
      <c r="K116" s="95" t="e">
        <f t="shared" si="9"/>
        <v>#NUM!</v>
      </c>
      <c r="L116" s="95"/>
      <c r="M116" s="97">
        <f t="shared" si="10"/>
        <v>0</v>
      </c>
      <c r="S116" s="85"/>
      <c r="T116" s="85"/>
      <c r="U116" s="85"/>
      <c r="V116" s="85"/>
      <c r="W116" s="85"/>
      <c r="X116" s="85"/>
      <c r="Y116" s="85"/>
      <c r="Z116" s="85"/>
      <c r="AA116" s="85"/>
      <c r="AB116" s="85"/>
      <c r="AC116" s="85"/>
      <c r="AD116" s="85"/>
      <c r="AE116" s="85"/>
      <c r="AF116" s="85"/>
      <c r="AG116" s="85"/>
      <c r="AH116" s="85"/>
      <c r="AI116" s="85"/>
      <c r="AJ116" s="85"/>
      <c r="AK116" s="85"/>
      <c r="AL116" s="85"/>
    </row>
    <row r="117" spans="1:38" s="80" customFormat="1" x14ac:dyDescent="0.25">
      <c r="A117" s="116"/>
      <c r="B117" s="115"/>
      <c r="C117" s="115"/>
      <c r="D117" s="115"/>
      <c r="E117" s="115"/>
      <c r="F117" s="115"/>
      <c r="H117" s="95">
        <v>112</v>
      </c>
      <c r="I117" s="96" t="str">
        <f t="shared" si="7"/>
        <v/>
      </c>
      <c r="J117" s="96" t="e">
        <f t="shared" si="8"/>
        <v>#NUM!</v>
      </c>
      <c r="K117" s="95" t="e">
        <f t="shared" si="9"/>
        <v>#NUM!</v>
      </c>
      <c r="L117" s="95"/>
      <c r="M117" s="97">
        <f t="shared" si="10"/>
        <v>0</v>
      </c>
      <c r="S117" s="85"/>
      <c r="T117" s="85"/>
      <c r="U117" s="85"/>
      <c r="V117" s="85"/>
      <c r="W117" s="85"/>
      <c r="X117" s="85"/>
      <c r="Y117" s="85"/>
      <c r="Z117" s="85"/>
      <c r="AA117" s="85"/>
      <c r="AB117" s="85"/>
      <c r="AC117" s="85"/>
      <c r="AD117" s="85"/>
      <c r="AE117" s="85"/>
      <c r="AF117" s="85"/>
      <c r="AG117" s="85"/>
      <c r="AH117" s="85"/>
      <c r="AI117" s="85"/>
      <c r="AJ117" s="85"/>
      <c r="AK117" s="85"/>
      <c r="AL117" s="85"/>
    </row>
    <row r="118" spans="1:38" s="80" customFormat="1" x14ac:dyDescent="0.25">
      <c r="A118" s="116"/>
      <c r="B118" s="115"/>
      <c r="C118" s="115"/>
      <c r="D118" s="115"/>
      <c r="E118" s="115"/>
      <c r="F118" s="115"/>
      <c r="H118" s="95">
        <v>113</v>
      </c>
      <c r="I118" s="96" t="str">
        <f t="shared" si="7"/>
        <v/>
      </c>
      <c r="J118" s="96" t="e">
        <f t="shared" si="8"/>
        <v>#NUM!</v>
      </c>
      <c r="K118" s="95" t="e">
        <f t="shared" si="9"/>
        <v>#NUM!</v>
      </c>
      <c r="L118" s="95"/>
      <c r="M118" s="97">
        <f t="shared" si="10"/>
        <v>0</v>
      </c>
      <c r="S118" s="85"/>
      <c r="T118" s="85"/>
      <c r="U118" s="85"/>
      <c r="V118" s="85"/>
      <c r="W118" s="85"/>
      <c r="X118" s="85"/>
      <c r="Y118" s="85"/>
      <c r="Z118" s="85"/>
      <c r="AA118" s="85"/>
      <c r="AB118" s="85"/>
      <c r="AC118" s="85"/>
      <c r="AD118" s="85"/>
      <c r="AE118" s="85"/>
      <c r="AF118" s="85"/>
      <c r="AG118" s="85"/>
      <c r="AH118" s="85"/>
      <c r="AI118" s="85"/>
      <c r="AJ118" s="85"/>
      <c r="AK118" s="85"/>
      <c r="AL118" s="85"/>
    </row>
    <row r="119" spans="1:38" s="80" customFormat="1" x14ac:dyDescent="0.25">
      <c r="A119" s="116"/>
      <c r="B119" s="115"/>
      <c r="C119" s="115"/>
      <c r="D119" s="115"/>
      <c r="E119" s="115"/>
      <c r="F119" s="115"/>
      <c r="H119" s="95">
        <v>114</v>
      </c>
      <c r="I119" s="96" t="str">
        <f t="shared" si="7"/>
        <v/>
      </c>
      <c r="J119" s="96" t="e">
        <f t="shared" si="8"/>
        <v>#NUM!</v>
      </c>
      <c r="K119" s="95" t="e">
        <f t="shared" si="9"/>
        <v>#NUM!</v>
      </c>
      <c r="L119" s="95"/>
      <c r="M119" s="97">
        <f t="shared" si="10"/>
        <v>0</v>
      </c>
      <c r="S119" s="85"/>
      <c r="T119" s="85"/>
      <c r="U119" s="85"/>
      <c r="V119" s="85"/>
      <c r="W119" s="85"/>
      <c r="X119" s="85"/>
      <c r="Y119" s="85"/>
      <c r="Z119" s="85"/>
      <c r="AA119" s="85"/>
      <c r="AB119" s="85"/>
      <c r="AC119" s="85"/>
      <c r="AD119" s="85"/>
      <c r="AE119" s="85"/>
      <c r="AF119" s="85"/>
      <c r="AG119" s="85"/>
      <c r="AH119" s="85"/>
      <c r="AI119" s="85"/>
      <c r="AJ119" s="85"/>
      <c r="AK119" s="85"/>
      <c r="AL119" s="85"/>
    </row>
    <row r="120" spans="1:38" s="80" customFormat="1" x14ac:dyDescent="0.25">
      <c r="A120" s="116"/>
      <c r="B120" s="115"/>
      <c r="C120" s="115"/>
      <c r="D120" s="115"/>
      <c r="E120" s="115"/>
      <c r="F120" s="115"/>
      <c r="H120" s="95">
        <v>115</v>
      </c>
      <c r="I120" s="96" t="str">
        <f t="shared" si="7"/>
        <v/>
      </c>
      <c r="J120" s="96" t="e">
        <f t="shared" si="8"/>
        <v>#NUM!</v>
      </c>
      <c r="K120" s="95" t="e">
        <f t="shared" si="9"/>
        <v>#NUM!</v>
      </c>
      <c r="L120" s="95"/>
      <c r="M120" s="97">
        <f t="shared" si="10"/>
        <v>0</v>
      </c>
      <c r="S120" s="85"/>
      <c r="T120" s="85"/>
      <c r="U120" s="85"/>
      <c r="V120" s="85"/>
      <c r="W120" s="85"/>
      <c r="X120" s="85"/>
      <c r="Y120" s="85"/>
      <c r="Z120" s="85"/>
      <c r="AA120" s="85"/>
      <c r="AB120" s="85"/>
      <c r="AC120" s="85"/>
      <c r="AD120" s="85"/>
      <c r="AE120" s="85"/>
      <c r="AF120" s="85"/>
      <c r="AG120" s="85"/>
      <c r="AH120" s="85"/>
      <c r="AI120" s="85"/>
      <c r="AJ120" s="85"/>
      <c r="AK120" s="85"/>
      <c r="AL120" s="85"/>
    </row>
    <row r="121" spans="1:38" s="80" customFormat="1" x14ac:dyDescent="0.25">
      <c r="A121" s="116"/>
      <c r="B121" s="115"/>
      <c r="C121" s="115"/>
      <c r="D121" s="115"/>
      <c r="E121" s="115"/>
      <c r="F121" s="115"/>
      <c r="H121" s="95">
        <v>116</v>
      </c>
      <c r="I121" s="96" t="str">
        <f t="shared" si="7"/>
        <v/>
      </c>
      <c r="J121" s="96" t="e">
        <f t="shared" si="8"/>
        <v>#NUM!</v>
      </c>
      <c r="K121" s="95" t="e">
        <f t="shared" si="9"/>
        <v>#NUM!</v>
      </c>
      <c r="L121" s="95"/>
      <c r="M121" s="97">
        <f t="shared" si="10"/>
        <v>0</v>
      </c>
      <c r="S121" s="85"/>
      <c r="T121" s="85"/>
      <c r="U121" s="85"/>
      <c r="V121" s="85"/>
      <c r="W121" s="85"/>
      <c r="X121" s="85"/>
      <c r="Y121" s="85"/>
      <c r="Z121" s="85"/>
      <c r="AA121" s="85"/>
      <c r="AB121" s="85"/>
      <c r="AC121" s="85"/>
      <c r="AD121" s="85"/>
      <c r="AE121" s="85"/>
      <c r="AF121" s="85"/>
      <c r="AG121" s="85"/>
      <c r="AH121" s="85"/>
      <c r="AI121" s="85"/>
      <c r="AJ121" s="85"/>
      <c r="AK121" s="85"/>
      <c r="AL121" s="85"/>
    </row>
    <row r="122" spans="1:38" s="80" customFormat="1" x14ac:dyDescent="0.25">
      <c r="A122" s="116"/>
      <c r="B122" s="115"/>
      <c r="C122" s="115"/>
      <c r="D122" s="115"/>
      <c r="E122" s="115"/>
      <c r="F122" s="115"/>
      <c r="H122" s="95">
        <v>117</v>
      </c>
      <c r="I122" s="96" t="str">
        <f t="shared" si="7"/>
        <v/>
      </c>
      <c r="J122" s="96" t="e">
        <f t="shared" si="8"/>
        <v>#NUM!</v>
      </c>
      <c r="K122" s="95" t="e">
        <f t="shared" si="9"/>
        <v>#NUM!</v>
      </c>
      <c r="L122" s="95"/>
      <c r="M122" s="97">
        <f t="shared" si="10"/>
        <v>0</v>
      </c>
      <c r="S122" s="85"/>
      <c r="T122" s="85"/>
      <c r="U122" s="85"/>
      <c r="V122" s="85"/>
      <c r="W122" s="85"/>
      <c r="X122" s="85"/>
      <c r="Y122" s="85"/>
      <c r="Z122" s="85"/>
      <c r="AA122" s="85"/>
      <c r="AB122" s="85"/>
      <c r="AC122" s="85"/>
      <c r="AD122" s="85"/>
      <c r="AE122" s="85"/>
      <c r="AF122" s="85"/>
      <c r="AG122" s="85"/>
      <c r="AH122" s="85"/>
      <c r="AI122" s="85"/>
      <c r="AJ122" s="85"/>
      <c r="AK122" s="85"/>
      <c r="AL122" s="85"/>
    </row>
    <row r="123" spans="1:38" s="80" customFormat="1" x14ac:dyDescent="0.25">
      <c r="A123" s="116"/>
      <c r="B123" s="115"/>
      <c r="C123" s="115"/>
      <c r="D123" s="115"/>
      <c r="E123" s="115"/>
      <c r="F123" s="115"/>
      <c r="H123" s="95">
        <v>118</v>
      </c>
      <c r="I123" s="96" t="str">
        <f t="shared" si="7"/>
        <v/>
      </c>
      <c r="J123" s="96" t="e">
        <f t="shared" si="8"/>
        <v>#NUM!</v>
      </c>
      <c r="K123" s="95" t="e">
        <f t="shared" si="9"/>
        <v>#NUM!</v>
      </c>
      <c r="L123" s="95"/>
      <c r="M123" s="97">
        <f t="shared" si="10"/>
        <v>0</v>
      </c>
      <c r="S123" s="85"/>
      <c r="T123" s="85"/>
      <c r="U123" s="85"/>
      <c r="V123" s="85"/>
      <c r="W123" s="85"/>
      <c r="X123" s="85"/>
      <c r="Y123" s="85"/>
      <c r="Z123" s="85"/>
      <c r="AA123" s="85"/>
      <c r="AB123" s="85"/>
      <c r="AC123" s="85"/>
      <c r="AD123" s="85"/>
      <c r="AE123" s="85"/>
      <c r="AF123" s="85"/>
      <c r="AG123" s="85"/>
      <c r="AH123" s="85"/>
      <c r="AI123" s="85"/>
      <c r="AJ123" s="85"/>
      <c r="AK123" s="85"/>
      <c r="AL123" s="85"/>
    </row>
    <row r="124" spans="1:38" s="80" customFormat="1" x14ac:dyDescent="0.25">
      <c r="A124" s="116"/>
      <c r="B124" s="115"/>
      <c r="C124" s="115"/>
      <c r="D124" s="115"/>
      <c r="E124" s="115"/>
      <c r="F124" s="115"/>
      <c r="H124" s="95">
        <v>119</v>
      </c>
      <c r="I124" s="96" t="str">
        <f t="shared" si="7"/>
        <v/>
      </c>
      <c r="J124" s="96" t="e">
        <f t="shared" si="8"/>
        <v>#NUM!</v>
      </c>
      <c r="K124" s="95" t="e">
        <f t="shared" si="9"/>
        <v>#NUM!</v>
      </c>
      <c r="L124" s="95"/>
      <c r="M124" s="97">
        <f t="shared" si="10"/>
        <v>0</v>
      </c>
      <c r="S124" s="85"/>
      <c r="T124" s="85"/>
      <c r="U124" s="85"/>
      <c r="V124" s="85"/>
      <c r="W124" s="85"/>
      <c r="X124" s="85"/>
      <c r="Y124" s="85"/>
      <c r="Z124" s="85"/>
      <c r="AA124" s="85"/>
      <c r="AB124" s="85"/>
      <c r="AC124" s="85"/>
      <c r="AD124" s="85"/>
      <c r="AE124" s="85"/>
      <c r="AF124" s="85"/>
      <c r="AG124" s="85"/>
      <c r="AH124" s="85"/>
      <c r="AI124" s="85"/>
      <c r="AJ124" s="85"/>
      <c r="AK124" s="85"/>
      <c r="AL124" s="85"/>
    </row>
    <row r="125" spans="1:38" s="80" customFormat="1" x14ac:dyDescent="0.25">
      <c r="A125" s="116"/>
      <c r="B125" s="115"/>
      <c r="C125" s="115"/>
      <c r="D125" s="115"/>
      <c r="E125" s="115"/>
      <c r="F125" s="115"/>
      <c r="H125" s="95">
        <v>120</v>
      </c>
      <c r="I125" s="96" t="str">
        <f t="shared" si="7"/>
        <v/>
      </c>
      <c r="J125" s="96" t="e">
        <f t="shared" si="8"/>
        <v>#NUM!</v>
      </c>
      <c r="K125" s="95" t="e">
        <f t="shared" si="9"/>
        <v>#NUM!</v>
      </c>
      <c r="L125" s="95"/>
      <c r="M125" s="97">
        <f t="shared" si="10"/>
        <v>0</v>
      </c>
      <c r="S125" s="85"/>
      <c r="T125" s="85"/>
      <c r="U125" s="85"/>
      <c r="V125" s="85"/>
      <c r="W125" s="85"/>
      <c r="X125" s="85"/>
      <c r="Y125" s="85"/>
      <c r="Z125" s="85"/>
      <c r="AA125" s="85"/>
      <c r="AB125" s="85"/>
      <c r="AC125" s="85"/>
      <c r="AD125" s="85"/>
      <c r="AE125" s="85"/>
      <c r="AF125" s="85"/>
      <c r="AG125" s="85"/>
      <c r="AH125" s="85"/>
      <c r="AI125" s="85"/>
      <c r="AJ125" s="85"/>
      <c r="AK125" s="85"/>
      <c r="AL125" s="85"/>
    </row>
    <row r="126" spans="1:38" s="80" customFormat="1" x14ac:dyDescent="0.25">
      <c r="A126" s="116"/>
      <c r="B126" s="115"/>
      <c r="C126" s="115"/>
      <c r="D126" s="115"/>
      <c r="E126" s="115"/>
      <c r="F126" s="115"/>
      <c r="H126" s="95">
        <v>121</v>
      </c>
      <c r="I126" s="96" t="str">
        <f t="shared" si="7"/>
        <v/>
      </c>
      <c r="J126" s="96" t="e">
        <f t="shared" si="8"/>
        <v>#NUM!</v>
      </c>
      <c r="K126" s="95" t="e">
        <f t="shared" si="9"/>
        <v>#NUM!</v>
      </c>
      <c r="L126" s="95"/>
      <c r="M126" s="97">
        <f t="shared" si="10"/>
        <v>0</v>
      </c>
      <c r="S126" s="85"/>
      <c r="T126" s="85"/>
      <c r="U126" s="85"/>
      <c r="V126" s="85"/>
      <c r="W126" s="85"/>
      <c r="X126" s="85"/>
      <c r="Y126" s="85"/>
      <c r="Z126" s="85"/>
      <c r="AA126" s="85"/>
      <c r="AB126" s="85"/>
      <c r="AC126" s="85"/>
      <c r="AD126" s="85"/>
      <c r="AE126" s="85"/>
      <c r="AF126" s="85"/>
      <c r="AG126" s="85"/>
      <c r="AH126" s="85"/>
      <c r="AI126" s="85"/>
      <c r="AJ126" s="85"/>
      <c r="AK126" s="85"/>
      <c r="AL126" s="85"/>
    </row>
    <row r="127" spans="1:38" s="80" customFormat="1" x14ac:dyDescent="0.25">
      <c r="A127" s="116"/>
      <c r="B127" s="115"/>
      <c r="C127" s="115"/>
      <c r="D127" s="115"/>
      <c r="E127" s="115"/>
      <c r="F127" s="115"/>
      <c r="H127" s="95">
        <v>122</v>
      </c>
      <c r="I127" s="96" t="str">
        <f t="shared" si="7"/>
        <v/>
      </c>
      <c r="J127" s="96" t="e">
        <f t="shared" si="8"/>
        <v>#NUM!</v>
      </c>
      <c r="K127" s="95" t="e">
        <f t="shared" si="9"/>
        <v>#NUM!</v>
      </c>
      <c r="L127" s="95"/>
      <c r="M127" s="97">
        <f t="shared" si="10"/>
        <v>0</v>
      </c>
      <c r="S127" s="85"/>
      <c r="T127" s="85"/>
      <c r="U127" s="85"/>
      <c r="V127" s="85"/>
      <c r="W127" s="85"/>
      <c r="X127" s="85"/>
      <c r="Y127" s="85"/>
      <c r="Z127" s="85"/>
      <c r="AA127" s="85"/>
      <c r="AB127" s="85"/>
      <c r="AC127" s="85"/>
      <c r="AD127" s="85"/>
      <c r="AE127" s="85"/>
      <c r="AF127" s="85"/>
      <c r="AG127" s="85"/>
      <c r="AH127" s="85"/>
      <c r="AI127" s="85"/>
      <c r="AJ127" s="85"/>
      <c r="AK127" s="85"/>
      <c r="AL127" s="85"/>
    </row>
    <row r="128" spans="1:38" s="80" customFormat="1" x14ac:dyDescent="0.25">
      <c r="A128" s="116"/>
      <c r="B128" s="115"/>
      <c r="C128" s="115"/>
      <c r="D128" s="115"/>
      <c r="E128" s="115"/>
      <c r="F128" s="115"/>
      <c r="H128" s="95">
        <v>123</v>
      </c>
      <c r="I128" s="96" t="str">
        <f t="shared" si="7"/>
        <v/>
      </c>
      <c r="J128" s="96" t="e">
        <f t="shared" si="8"/>
        <v>#NUM!</v>
      </c>
      <c r="K128" s="95" t="e">
        <f t="shared" si="9"/>
        <v>#NUM!</v>
      </c>
      <c r="L128" s="95"/>
      <c r="M128" s="97">
        <f t="shared" si="10"/>
        <v>0</v>
      </c>
      <c r="S128" s="85"/>
      <c r="T128" s="85"/>
      <c r="U128" s="85"/>
      <c r="V128" s="85"/>
      <c r="W128" s="85"/>
      <c r="X128" s="85"/>
      <c r="Y128" s="85"/>
      <c r="Z128" s="85"/>
      <c r="AA128" s="85"/>
      <c r="AB128" s="85"/>
      <c r="AC128" s="85"/>
      <c r="AD128" s="85"/>
      <c r="AE128" s="85"/>
      <c r="AF128" s="85"/>
      <c r="AG128" s="85"/>
      <c r="AH128" s="85"/>
      <c r="AI128" s="85"/>
      <c r="AJ128" s="85"/>
      <c r="AK128" s="85"/>
      <c r="AL128" s="85"/>
    </row>
    <row r="129" spans="1:38" s="80" customFormat="1" x14ac:dyDescent="0.25">
      <c r="A129" s="116"/>
      <c r="B129" s="115"/>
      <c r="C129" s="115"/>
      <c r="D129" s="115"/>
      <c r="E129" s="115"/>
      <c r="F129" s="115"/>
      <c r="H129" s="95">
        <v>124</v>
      </c>
      <c r="I129" s="96" t="str">
        <f t="shared" si="7"/>
        <v/>
      </c>
      <c r="J129" s="96" t="e">
        <f t="shared" si="8"/>
        <v>#NUM!</v>
      </c>
      <c r="K129" s="95" t="e">
        <f t="shared" si="9"/>
        <v>#NUM!</v>
      </c>
      <c r="L129" s="95"/>
      <c r="M129" s="97">
        <f t="shared" si="10"/>
        <v>0</v>
      </c>
      <c r="S129" s="85"/>
      <c r="T129" s="85"/>
      <c r="U129" s="85"/>
      <c r="V129" s="85"/>
      <c r="W129" s="85"/>
      <c r="X129" s="85"/>
      <c r="Y129" s="85"/>
      <c r="Z129" s="85"/>
      <c r="AA129" s="85"/>
      <c r="AB129" s="85"/>
      <c r="AC129" s="85"/>
      <c r="AD129" s="85"/>
      <c r="AE129" s="85"/>
      <c r="AF129" s="85"/>
      <c r="AG129" s="85"/>
      <c r="AH129" s="85"/>
      <c r="AI129" s="85"/>
      <c r="AJ129" s="85"/>
      <c r="AK129" s="85"/>
      <c r="AL129" s="85"/>
    </row>
    <row r="130" spans="1:38" s="80" customFormat="1" x14ac:dyDescent="0.25">
      <c r="A130" s="116"/>
      <c r="B130" s="115"/>
      <c r="C130" s="115"/>
      <c r="D130" s="115"/>
      <c r="E130" s="115"/>
      <c r="F130" s="115"/>
      <c r="H130" s="95">
        <v>125</v>
      </c>
      <c r="I130" s="96" t="str">
        <f t="shared" si="7"/>
        <v/>
      </c>
      <c r="J130" s="96" t="e">
        <f t="shared" si="8"/>
        <v>#NUM!</v>
      </c>
      <c r="K130" s="95" t="e">
        <f t="shared" si="9"/>
        <v>#NUM!</v>
      </c>
      <c r="L130" s="95"/>
      <c r="M130" s="97">
        <f t="shared" si="10"/>
        <v>0</v>
      </c>
      <c r="S130" s="85"/>
      <c r="T130" s="85"/>
      <c r="U130" s="85"/>
      <c r="V130" s="85"/>
      <c r="W130" s="85"/>
      <c r="X130" s="85"/>
      <c r="Y130" s="85"/>
      <c r="Z130" s="85"/>
      <c r="AA130" s="85"/>
      <c r="AB130" s="85"/>
      <c r="AC130" s="85"/>
      <c r="AD130" s="85"/>
      <c r="AE130" s="85"/>
      <c r="AF130" s="85"/>
      <c r="AG130" s="85"/>
      <c r="AH130" s="85"/>
      <c r="AI130" s="85"/>
      <c r="AJ130" s="85"/>
      <c r="AK130" s="85"/>
      <c r="AL130" s="85"/>
    </row>
    <row r="131" spans="1:38" s="80" customFormat="1" x14ac:dyDescent="0.25">
      <c r="A131" s="116"/>
      <c r="B131" s="115"/>
      <c r="C131" s="115"/>
      <c r="D131" s="115"/>
      <c r="E131" s="115"/>
      <c r="F131" s="115"/>
      <c r="H131" s="95">
        <v>126</v>
      </c>
      <c r="I131" s="96" t="str">
        <f t="shared" si="7"/>
        <v/>
      </c>
      <c r="J131" s="96" t="e">
        <f t="shared" si="8"/>
        <v>#NUM!</v>
      </c>
      <c r="K131" s="95" t="e">
        <f t="shared" si="9"/>
        <v>#NUM!</v>
      </c>
      <c r="L131" s="95"/>
      <c r="M131" s="97">
        <f t="shared" si="10"/>
        <v>0</v>
      </c>
      <c r="S131" s="85"/>
      <c r="T131" s="85"/>
      <c r="U131" s="85"/>
      <c r="V131" s="85"/>
      <c r="W131" s="85"/>
      <c r="X131" s="85"/>
      <c r="Y131" s="85"/>
      <c r="Z131" s="85"/>
      <c r="AA131" s="85"/>
      <c r="AB131" s="85"/>
      <c r="AC131" s="85"/>
      <c r="AD131" s="85"/>
      <c r="AE131" s="85"/>
      <c r="AF131" s="85"/>
      <c r="AG131" s="85"/>
      <c r="AH131" s="85"/>
      <c r="AI131" s="85"/>
      <c r="AJ131" s="85"/>
      <c r="AK131" s="85"/>
      <c r="AL131" s="85"/>
    </row>
    <row r="132" spans="1:38" s="80" customFormat="1" x14ac:dyDescent="0.25">
      <c r="A132" s="116"/>
      <c r="B132" s="115"/>
      <c r="C132" s="115"/>
      <c r="D132" s="115"/>
      <c r="E132" s="115"/>
      <c r="F132" s="115"/>
      <c r="H132" s="95">
        <v>127</v>
      </c>
      <c r="I132" s="96" t="str">
        <f t="shared" si="7"/>
        <v/>
      </c>
      <c r="J132" s="96" t="e">
        <f t="shared" si="8"/>
        <v>#NUM!</v>
      </c>
      <c r="K132" s="95" t="e">
        <f t="shared" si="9"/>
        <v>#NUM!</v>
      </c>
      <c r="L132" s="95"/>
      <c r="M132" s="97">
        <f t="shared" si="10"/>
        <v>0</v>
      </c>
      <c r="S132" s="85"/>
      <c r="T132" s="85"/>
      <c r="U132" s="85"/>
      <c r="V132" s="85"/>
      <c r="W132" s="85"/>
      <c r="X132" s="85"/>
      <c r="Y132" s="85"/>
      <c r="Z132" s="85"/>
      <c r="AA132" s="85"/>
      <c r="AB132" s="85"/>
      <c r="AC132" s="85"/>
      <c r="AD132" s="85"/>
      <c r="AE132" s="85"/>
      <c r="AF132" s="85"/>
      <c r="AG132" s="85"/>
      <c r="AH132" s="85"/>
      <c r="AI132" s="85"/>
      <c r="AJ132" s="85"/>
      <c r="AK132" s="85"/>
      <c r="AL132" s="85"/>
    </row>
    <row r="133" spans="1:38" s="80" customFormat="1" x14ac:dyDescent="0.25">
      <c r="A133" s="116"/>
      <c r="B133" s="115"/>
      <c r="C133" s="115"/>
      <c r="D133" s="115"/>
      <c r="E133" s="115"/>
      <c r="F133" s="115"/>
      <c r="H133" s="95">
        <v>128</v>
      </c>
      <c r="I133" s="96" t="str">
        <f t="shared" si="7"/>
        <v/>
      </c>
      <c r="J133" s="96" t="e">
        <f t="shared" si="8"/>
        <v>#NUM!</v>
      </c>
      <c r="K133" s="95" t="e">
        <f t="shared" si="9"/>
        <v>#NUM!</v>
      </c>
      <c r="L133" s="95"/>
      <c r="M133" s="97">
        <f t="shared" si="10"/>
        <v>0</v>
      </c>
      <c r="S133" s="85"/>
      <c r="T133" s="85"/>
      <c r="U133" s="85"/>
      <c r="V133" s="85"/>
      <c r="W133" s="85"/>
      <c r="X133" s="85"/>
      <c r="Y133" s="85"/>
      <c r="Z133" s="85"/>
      <c r="AA133" s="85"/>
      <c r="AB133" s="85"/>
      <c r="AC133" s="85"/>
      <c r="AD133" s="85"/>
      <c r="AE133" s="85"/>
      <c r="AF133" s="85"/>
      <c r="AG133" s="85"/>
      <c r="AH133" s="85"/>
      <c r="AI133" s="85"/>
      <c r="AJ133" s="85"/>
      <c r="AK133" s="85"/>
      <c r="AL133" s="85"/>
    </row>
    <row r="134" spans="1:38" s="80" customFormat="1" x14ac:dyDescent="0.25">
      <c r="A134" s="116"/>
      <c r="B134" s="115"/>
      <c r="C134" s="115"/>
      <c r="D134" s="115"/>
      <c r="E134" s="115"/>
      <c r="F134" s="115"/>
      <c r="H134" s="95">
        <v>129</v>
      </c>
      <c r="I134" s="96" t="str">
        <f t="shared" ref="I134:I197" si="11">IF(H134&lt;$H$2+1,($I$2-($I$2-1)*(LOG(H134)/LOG($H$2))),"")</f>
        <v/>
      </c>
      <c r="J134" s="96" t="e">
        <f t="shared" ref="J134:J197" si="12">INT(LOG($H$2,2))-ROUNDUP(LOG(H134,2),0)+IF(OR($H$2=1,$H$2=2,$H$2=4,$H$2=8,$H$2=16,$H$2=32,$H$2=64,$H$2=128,$H$2=256),0,1)</f>
        <v>#NUM!</v>
      </c>
      <c r="K134" s="95" t="e">
        <f t="shared" ref="K134:K197" si="13">J134*$J$2</f>
        <v>#NUM!</v>
      </c>
      <c r="L134" s="95"/>
      <c r="M134" s="97">
        <f t="shared" ref="M134:M197" si="14">IF(I134&lt;&gt;"",K134+I134+L134,0)</f>
        <v>0</v>
      </c>
      <c r="S134" s="85"/>
      <c r="T134" s="85"/>
      <c r="U134" s="85"/>
      <c r="V134" s="85"/>
      <c r="W134" s="85"/>
      <c r="X134" s="85"/>
      <c r="Y134" s="85"/>
      <c r="Z134" s="85"/>
      <c r="AA134" s="85"/>
      <c r="AB134" s="85"/>
      <c r="AC134" s="85"/>
      <c r="AD134" s="85"/>
      <c r="AE134" s="85"/>
      <c r="AF134" s="85"/>
      <c r="AG134" s="85"/>
      <c r="AH134" s="85"/>
      <c r="AI134" s="85"/>
      <c r="AJ134" s="85"/>
      <c r="AK134" s="85"/>
      <c r="AL134" s="85"/>
    </row>
    <row r="135" spans="1:38" s="80" customFormat="1" x14ac:dyDescent="0.25">
      <c r="A135" s="116"/>
      <c r="B135" s="115"/>
      <c r="C135" s="115"/>
      <c r="D135" s="115"/>
      <c r="E135" s="115"/>
      <c r="F135" s="115"/>
      <c r="H135" s="95">
        <v>130</v>
      </c>
      <c r="I135" s="96" t="str">
        <f t="shared" si="11"/>
        <v/>
      </c>
      <c r="J135" s="96" t="e">
        <f t="shared" si="12"/>
        <v>#NUM!</v>
      </c>
      <c r="K135" s="95" t="e">
        <f t="shared" si="13"/>
        <v>#NUM!</v>
      </c>
      <c r="L135" s="95"/>
      <c r="M135" s="97">
        <f t="shared" si="14"/>
        <v>0</v>
      </c>
      <c r="S135" s="85"/>
      <c r="T135" s="85"/>
      <c r="U135" s="85"/>
      <c r="V135" s="85"/>
      <c r="W135" s="85"/>
      <c r="X135" s="85"/>
      <c r="Y135" s="85"/>
      <c r="Z135" s="85"/>
      <c r="AA135" s="85"/>
      <c r="AB135" s="85"/>
      <c r="AC135" s="85"/>
      <c r="AD135" s="85"/>
      <c r="AE135" s="85"/>
      <c r="AF135" s="85"/>
      <c r="AG135" s="85"/>
      <c r="AH135" s="85"/>
      <c r="AI135" s="85"/>
      <c r="AJ135" s="85"/>
      <c r="AK135" s="85"/>
      <c r="AL135" s="85"/>
    </row>
    <row r="136" spans="1:38" s="80" customFormat="1" x14ac:dyDescent="0.25">
      <c r="A136" s="116"/>
      <c r="B136" s="115"/>
      <c r="C136" s="115"/>
      <c r="D136" s="115"/>
      <c r="E136" s="115"/>
      <c r="F136" s="115"/>
      <c r="H136" s="95">
        <v>131</v>
      </c>
      <c r="I136" s="96" t="str">
        <f t="shared" si="11"/>
        <v/>
      </c>
      <c r="J136" s="96" t="e">
        <f t="shared" si="12"/>
        <v>#NUM!</v>
      </c>
      <c r="K136" s="95" t="e">
        <f t="shared" si="13"/>
        <v>#NUM!</v>
      </c>
      <c r="L136" s="95"/>
      <c r="M136" s="97">
        <f t="shared" si="14"/>
        <v>0</v>
      </c>
      <c r="S136" s="85"/>
      <c r="T136" s="85"/>
      <c r="U136" s="85"/>
      <c r="V136" s="85"/>
      <c r="W136" s="85"/>
      <c r="X136" s="85"/>
      <c r="Y136" s="85"/>
      <c r="Z136" s="85"/>
      <c r="AA136" s="85"/>
      <c r="AB136" s="85"/>
      <c r="AC136" s="85"/>
      <c r="AD136" s="85"/>
      <c r="AE136" s="85"/>
      <c r="AF136" s="85"/>
      <c r="AG136" s="85"/>
      <c r="AH136" s="85"/>
      <c r="AI136" s="85"/>
      <c r="AJ136" s="85"/>
      <c r="AK136" s="85"/>
      <c r="AL136" s="85"/>
    </row>
    <row r="137" spans="1:38" s="80" customFormat="1" x14ac:dyDescent="0.25">
      <c r="A137" s="116"/>
      <c r="B137" s="115"/>
      <c r="C137" s="115"/>
      <c r="D137" s="115"/>
      <c r="E137" s="115"/>
      <c r="F137" s="115"/>
      <c r="H137" s="95">
        <v>132</v>
      </c>
      <c r="I137" s="96" t="str">
        <f t="shared" si="11"/>
        <v/>
      </c>
      <c r="J137" s="96" t="e">
        <f t="shared" si="12"/>
        <v>#NUM!</v>
      </c>
      <c r="K137" s="95" t="e">
        <f t="shared" si="13"/>
        <v>#NUM!</v>
      </c>
      <c r="L137" s="95"/>
      <c r="M137" s="97">
        <f t="shared" si="14"/>
        <v>0</v>
      </c>
      <c r="S137" s="85"/>
      <c r="T137" s="85"/>
      <c r="U137" s="85"/>
      <c r="V137" s="85"/>
      <c r="W137" s="85"/>
      <c r="X137" s="85"/>
      <c r="Y137" s="85"/>
      <c r="Z137" s="85"/>
      <c r="AA137" s="85"/>
      <c r="AB137" s="85"/>
      <c r="AC137" s="85"/>
      <c r="AD137" s="85"/>
      <c r="AE137" s="85"/>
      <c r="AF137" s="85"/>
      <c r="AG137" s="85"/>
      <c r="AH137" s="85"/>
      <c r="AI137" s="85"/>
      <c r="AJ137" s="85"/>
      <c r="AK137" s="85"/>
      <c r="AL137" s="85"/>
    </row>
    <row r="138" spans="1:38" s="80" customFormat="1" x14ac:dyDescent="0.25">
      <c r="A138" s="116"/>
      <c r="B138" s="115"/>
      <c r="C138" s="115"/>
      <c r="D138" s="115"/>
      <c r="E138" s="115"/>
      <c r="F138" s="115"/>
      <c r="H138" s="95">
        <v>133</v>
      </c>
      <c r="I138" s="96" t="str">
        <f t="shared" si="11"/>
        <v/>
      </c>
      <c r="J138" s="96" t="e">
        <f t="shared" si="12"/>
        <v>#NUM!</v>
      </c>
      <c r="K138" s="95" t="e">
        <f t="shared" si="13"/>
        <v>#NUM!</v>
      </c>
      <c r="L138" s="95"/>
      <c r="M138" s="97">
        <f t="shared" si="14"/>
        <v>0</v>
      </c>
      <c r="S138" s="85"/>
      <c r="T138" s="85"/>
      <c r="U138" s="85"/>
      <c r="V138" s="85"/>
      <c r="W138" s="85"/>
      <c r="X138" s="85"/>
      <c r="Y138" s="85"/>
      <c r="Z138" s="85"/>
      <c r="AA138" s="85"/>
      <c r="AB138" s="85"/>
      <c r="AC138" s="85"/>
      <c r="AD138" s="85"/>
      <c r="AE138" s="85"/>
      <c r="AF138" s="85"/>
      <c r="AG138" s="85"/>
      <c r="AH138" s="85"/>
      <c r="AI138" s="85"/>
      <c r="AJ138" s="85"/>
      <c r="AK138" s="85"/>
      <c r="AL138" s="85"/>
    </row>
    <row r="139" spans="1:38" s="80" customFormat="1" x14ac:dyDescent="0.25">
      <c r="A139" s="116"/>
      <c r="B139" s="115"/>
      <c r="C139" s="115"/>
      <c r="D139" s="115"/>
      <c r="E139" s="115"/>
      <c r="F139" s="115"/>
      <c r="H139" s="95">
        <v>134</v>
      </c>
      <c r="I139" s="96" t="str">
        <f t="shared" si="11"/>
        <v/>
      </c>
      <c r="J139" s="96" t="e">
        <f t="shared" si="12"/>
        <v>#NUM!</v>
      </c>
      <c r="K139" s="95" t="e">
        <f t="shared" si="13"/>
        <v>#NUM!</v>
      </c>
      <c r="L139" s="95"/>
      <c r="M139" s="97">
        <f t="shared" si="14"/>
        <v>0</v>
      </c>
      <c r="S139" s="85"/>
      <c r="T139" s="85"/>
      <c r="U139" s="85"/>
      <c r="V139" s="85"/>
      <c r="W139" s="85"/>
      <c r="X139" s="85"/>
      <c r="Y139" s="85"/>
      <c r="Z139" s="85"/>
      <c r="AA139" s="85"/>
      <c r="AB139" s="85"/>
      <c r="AC139" s="85"/>
      <c r="AD139" s="85"/>
      <c r="AE139" s="85"/>
      <c r="AF139" s="85"/>
      <c r="AG139" s="85"/>
      <c r="AH139" s="85"/>
      <c r="AI139" s="85"/>
      <c r="AJ139" s="85"/>
      <c r="AK139" s="85"/>
      <c r="AL139" s="85"/>
    </row>
    <row r="140" spans="1:38" s="80" customFormat="1" x14ac:dyDescent="0.25">
      <c r="A140" s="116"/>
      <c r="B140" s="115"/>
      <c r="C140" s="115"/>
      <c r="D140" s="115"/>
      <c r="E140" s="115"/>
      <c r="F140" s="115"/>
      <c r="H140" s="95">
        <v>135</v>
      </c>
      <c r="I140" s="96" t="str">
        <f t="shared" si="11"/>
        <v/>
      </c>
      <c r="J140" s="96" t="e">
        <f t="shared" si="12"/>
        <v>#NUM!</v>
      </c>
      <c r="K140" s="95" t="e">
        <f t="shared" si="13"/>
        <v>#NUM!</v>
      </c>
      <c r="L140" s="95"/>
      <c r="M140" s="97">
        <f t="shared" si="14"/>
        <v>0</v>
      </c>
      <c r="S140" s="85"/>
      <c r="T140" s="85"/>
      <c r="U140" s="85"/>
      <c r="V140" s="85"/>
      <c r="W140" s="85"/>
      <c r="X140" s="85"/>
      <c r="Y140" s="85"/>
      <c r="Z140" s="85"/>
      <c r="AA140" s="85"/>
      <c r="AB140" s="85"/>
      <c r="AC140" s="85"/>
      <c r="AD140" s="85"/>
      <c r="AE140" s="85"/>
      <c r="AF140" s="85"/>
      <c r="AG140" s="85"/>
      <c r="AH140" s="85"/>
      <c r="AI140" s="85"/>
      <c r="AJ140" s="85"/>
      <c r="AK140" s="85"/>
      <c r="AL140" s="85"/>
    </row>
    <row r="141" spans="1:38" s="80" customFormat="1" x14ac:dyDescent="0.25">
      <c r="A141" s="116"/>
      <c r="B141" s="115"/>
      <c r="C141" s="115"/>
      <c r="D141" s="115"/>
      <c r="E141" s="115"/>
      <c r="F141" s="115"/>
      <c r="H141" s="95">
        <v>136</v>
      </c>
      <c r="I141" s="96" t="str">
        <f t="shared" si="11"/>
        <v/>
      </c>
      <c r="J141" s="96" t="e">
        <f t="shared" si="12"/>
        <v>#NUM!</v>
      </c>
      <c r="K141" s="95" t="e">
        <f t="shared" si="13"/>
        <v>#NUM!</v>
      </c>
      <c r="L141" s="95"/>
      <c r="M141" s="97">
        <f t="shared" si="14"/>
        <v>0</v>
      </c>
      <c r="S141" s="85"/>
      <c r="T141" s="85"/>
      <c r="U141" s="85"/>
      <c r="V141" s="85"/>
      <c r="W141" s="85"/>
      <c r="X141" s="85"/>
      <c r="Y141" s="85"/>
      <c r="Z141" s="85"/>
      <c r="AA141" s="85"/>
      <c r="AB141" s="85"/>
      <c r="AC141" s="85"/>
      <c r="AD141" s="85"/>
      <c r="AE141" s="85"/>
      <c r="AF141" s="85"/>
      <c r="AG141" s="85"/>
      <c r="AH141" s="85"/>
      <c r="AI141" s="85"/>
      <c r="AJ141" s="85"/>
      <c r="AK141" s="85"/>
      <c r="AL141" s="85"/>
    </row>
    <row r="142" spans="1:38" s="80" customFormat="1" x14ac:dyDescent="0.25">
      <c r="A142" s="116"/>
      <c r="B142" s="115"/>
      <c r="C142" s="115"/>
      <c r="D142" s="115"/>
      <c r="E142" s="115"/>
      <c r="F142" s="115"/>
      <c r="H142" s="95">
        <v>137</v>
      </c>
      <c r="I142" s="96" t="str">
        <f t="shared" si="11"/>
        <v/>
      </c>
      <c r="J142" s="96" t="e">
        <f t="shared" si="12"/>
        <v>#NUM!</v>
      </c>
      <c r="K142" s="95" t="e">
        <f t="shared" si="13"/>
        <v>#NUM!</v>
      </c>
      <c r="L142" s="95"/>
      <c r="M142" s="97">
        <f t="shared" si="14"/>
        <v>0</v>
      </c>
      <c r="S142" s="85"/>
      <c r="T142" s="85"/>
      <c r="U142" s="85"/>
      <c r="V142" s="85"/>
      <c r="W142" s="85"/>
      <c r="X142" s="85"/>
      <c r="Y142" s="85"/>
      <c r="Z142" s="85"/>
      <c r="AA142" s="85"/>
      <c r="AB142" s="85"/>
      <c r="AC142" s="85"/>
      <c r="AD142" s="85"/>
      <c r="AE142" s="85"/>
      <c r="AF142" s="85"/>
      <c r="AG142" s="85"/>
      <c r="AH142" s="85"/>
      <c r="AI142" s="85"/>
      <c r="AJ142" s="85"/>
      <c r="AK142" s="85"/>
      <c r="AL142" s="85"/>
    </row>
    <row r="143" spans="1:38" s="80" customFormat="1" x14ac:dyDescent="0.25">
      <c r="A143" s="116"/>
      <c r="B143" s="115"/>
      <c r="C143" s="115"/>
      <c r="D143" s="115"/>
      <c r="E143" s="115"/>
      <c r="F143" s="115"/>
      <c r="H143" s="95">
        <v>138</v>
      </c>
      <c r="I143" s="96" t="str">
        <f t="shared" si="11"/>
        <v/>
      </c>
      <c r="J143" s="96" t="e">
        <f t="shared" si="12"/>
        <v>#NUM!</v>
      </c>
      <c r="K143" s="95" t="e">
        <f t="shared" si="13"/>
        <v>#NUM!</v>
      </c>
      <c r="L143" s="95"/>
      <c r="M143" s="97">
        <f t="shared" si="14"/>
        <v>0</v>
      </c>
      <c r="S143" s="85"/>
      <c r="T143" s="85"/>
      <c r="U143" s="85"/>
      <c r="V143" s="85"/>
      <c r="W143" s="85"/>
      <c r="X143" s="85"/>
      <c r="Y143" s="85"/>
      <c r="Z143" s="85"/>
      <c r="AA143" s="85"/>
      <c r="AB143" s="85"/>
      <c r="AC143" s="85"/>
      <c r="AD143" s="85"/>
      <c r="AE143" s="85"/>
      <c r="AF143" s="85"/>
      <c r="AG143" s="85"/>
      <c r="AH143" s="85"/>
      <c r="AI143" s="85"/>
      <c r="AJ143" s="85"/>
      <c r="AK143" s="85"/>
      <c r="AL143" s="85"/>
    </row>
    <row r="144" spans="1:38" s="80" customFormat="1" x14ac:dyDescent="0.25">
      <c r="A144" s="116"/>
      <c r="B144" s="115"/>
      <c r="C144" s="115"/>
      <c r="D144" s="115"/>
      <c r="E144" s="115"/>
      <c r="F144" s="115"/>
      <c r="H144" s="95">
        <v>139</v>
      </c>
      <c r="I144" s="96" t="str">
        <f t="shared" si="11"/>
        <v/>
      </c>
      <c r="J144" s="96" t="e">
        <f t="shared" si="12"/>
        <v>#NUM!</v>
      </c>
      <c r="K144" s="95" t="e">
        <f t="shared" si="13"/>
        <v>#NUM!</v>
      </c>
      <c r="L144" s="95"/>
      <c r="M144" s="97">
        <f t="shared" si="14"/>
        <v>0</v>
      </c>
      <c r="S144" s="85"/>
      <c r="T144" s="85"/>
      <c r="U144" s="85"/>
      <c r="V144" s="85"/>
      <c r="W144" s="85"/>
      <c r="X144" s="85"/>
      <c r="Y144" s="85"/>
      <c r="Z144" s="85"/>
      <c r="AA144" s="85"/>
      <c r="AB144" s="85"/>
      <c r="AC144" s="85"/>
      <c r="AD144" s="85"/>
      <c r="AE144" s="85"/>
      <c r="AF144" s="85"/>
      <c r="AG144" s="85"/>
      <c r="AH144" s="85"/>
      <c r="AI144" s="85"/>
      <c r="AJ144" s="85"/>
      <c r="AK144" s="85"/>
      <c r="AL144" s="85"/>
    </row>
    <row r="145" spans="1:38" s="80" customFormat="1" x14ac:dyDescent="0.25">
      <c r="A145" s="116"/>
      <c r="B145" s="115"/>
      <c r="C145" s="115"/>
      <c r="D145" s="115"/>
      <c r="E145" s="115"/>
      <c r="F145" s="115"/>
      <c r="H145" s="95">
        <v>140</v>
      </c>
      <c r="I145" s="96" t="str">
        <f t="shared" si="11"/>
        <v/>
      </c>
      <c r="J145" s="96" t="e">
        <f t="shared" si="12"/>
        <v>#NUM!</v>
      </c>
      <c r="K145" s="95" t="e">
        <f t="shared" si="13"/>
        <v>#NUM!</v>
      </c>
      <c r="L145" s="95"/>
      <c r="M145" s="97">
        <f t="shared" si="14"/>
        <v>0</v>
      </c>
      <c r="S145" s="85"/>
      <c r="T145" s="85"/>
      <c r="U145" s="85"/>
      <c r="V145" s="85"/>
      <c r="W145" s="85"/>
      <c r="X145" s="85"/>
      <c r="Y145" s="85"/>
      <c r="Z145" s="85"/>
      <c r="AA145" s="85"/>
      <c r="AB145" s="85"/>
      <c r="AC145" s="85"/>
      <c r="AD145" s="85"/>
      <c r="AE145" s="85"/>
      <c r="AF145" s="85"/>
      <c r="AG145" s="85"/>
      <c r="AH145" s="85"/>
      <c r="AI145" s="85"/>
      <c r="AJ145" s="85"/>
      <c r="AK145" s="85"/>
      <c r="AL145" s="85"/>
    </row>
    <row r="146" spans="1:38" s="80" customFormat="1" x14ac:dyDescent="0.25">
      <c r="A146" s="116"/>
      <c r="B146" s="115"/>
      <c r="C146" s="115"/>
      <c r="D146" s="115"/>
      <c r="E146" s="115"/>
      <c r="F146" s="115"/>
      <c r="H146" s="95">
        <v>141</v>
      </c>
      <c r="I146" s="96" t="str">
        <f t="shared" si="11"/>
        <v/>
      </c>
      <c r="J146" s="96" t="e">
        <f t="shared" si="12"/>
        <v>#NUM!</v>
      </c>
      <c r="K146" s="95" t="e">
        <f t="shared" si="13"/>
        <v>#NUM!</v>
      </c>
      <c r="L146" s="95"/>
      <c r="M146" s="97">
        <f t="shared" si="14"/>
        <v>0</v>
      </c>
      <c r="S146" s="85"/>
      <c r="T146" s="85"/>
      <c r="U146" s="85"/>
      <c r="V146" s="85"/>
      <c r="W146" s="85"/>
      <c r="X146" s="85"/>
      <c r="Y146" s="85"/>
      <c r="Z146" s="85"/>
      <c r="AA146" s="85"/>
      <c r="AB146" s="85"/>
      <c r="AC146" s="85"/>
      <c r="AD146" s="85"/>
      <c r="AE146" s="85"/>
      <c r="AF146" s="85"/>
      <c r="AG146" s="85"/>
      <c r="AH146" s="85"/>
      <c r="AI146" s="85"/>
      <c r="AJ146" s="85"/>
      <c r="AK146" s="85"/>
      <c r="AL146" s="85"/>
    </row>
    <row r="147" spans="1:38" s="80" customFormat="1" x14ac:dyDescent="0.25">
      <c r="A147" s="116"/>
      <c r="B147" s="115"/>
      <c r="C147" s="115"/>
      <c r="D147" s="115"/>
      <c r="E147" s="115"/>
      <c r="F147" s="115"/>
      <c r="H147" s="95">
        <v>142</v>
      </c>
      <c r="I147" s="96" t="str">
        <f t="shared" si="11"/>
        <v/>
      </c>
      <c r="J147" s="96" t="e">
        <f t="shared" si="12"/>
        <v>#NUM!</v>
      </c>
      <c r="K147" s="95" t="e">
        <f t="shared" si="13"/>
        <v>#NUM!</v>
      </c>
      <c r="L147" s="95"/>
      <c r="M147" s="97">
        <f t="shared" si="14"/>
        <v>0</v>
      </c>
      <c r="S147" s="85"/>
      <c r="T147" s="85"/>
      <c r="U147" s="85"/>
      <c r="V147" s="85"/>
      <c r="W147" s="85"/>
      <c r="X147" s="85"/>
      <c r="Y147" s="85"/>
      <c r="Z147" s="85"/>
      <c r="AA147" s="85"/>
      <c r="AB147" s="85"/>
      <c r="AC147" s="85"/>
      <c r="AD147" s="85"/>
      <c r="AE147" s="85"/>
      <c r="AF147" s="85"/>
      <c r="AG147" s="85"/>
      <c r="AH147" s="85"/>
      <c r="AI147" s="85"/>
      <c r="AJ147" s="85"/>
      <c r="AK147" s="85"/>
      <c r="AL147" s="85"/>
    </row>
    <row r="148" spans="1:38" s="80" customFormat="1" x14ac:dyDescent="0.25">
      <c r="A148" s="116"/>
      <c r="B148" s="115"/>
      <c r="C148" s="115"/>
      <c r="D148" s="115"/>
      <c r="E148" s="115"/>
      <c r="F148" s="115"/>
      <c r="H148" s="95">
        <v>143</v>
      </c>
      <c r="I148" s="96" t="str">
        <f t="shared" si="11"/>
        <v/>
      </c>
      <c r="J148" s="96" t="e">
        <f t="shared" si="12"/>
        <v>#NUM!</v>
      </c>
      <c r="K148" s="95" t="e">
        <f t="shared" si="13"/>
        <v>#NUM!</v>
      </c>
      <c r="L148" s="95"/>
      <c r="M148" s="97">
        <f t="shared" si="14"/>
        <v>0</v>
      </c>
      <c r="S148" s="85"/>
      <c r="T148" s="85"/>
      <c r="U148" s="85"/>
      <c r="V148" s="85"/>
      <c r="W148" s="85"/>
      <c r="X148" s="85"/>
      <c r="Y148" s="85"/>
      <c r="Z148" s="85"/>
      <c r="AA148" s="85"/>
      <c r="AB148" s="85"/>
      <c r="AC148" s="85"/>
      <c r="AD148" s="85"/>
      <c r="AE148" s="85"/>
      <c r="AF148" s="85"/>
      <c r="AG148" s="85"/>
      <c r="AH148" s="85"/>
      <c r="AI148" s="85"/>
      <c r="AJ148" s="85"/>
      <c r="AK148" s="85"/>
      <c r="AL148" s="85"/>
    </row>
    <row r="149" spans="1:38" s="80" customFormat="1" x14ac:dyDescent="0.25">
      <c r="A149" s="116"/>
      <c r="B149" s="115"/>
      <c r="C149" s="115"/>
      <c r="D149" s="115"/>
      <c r="E149" s="115"/>
      <c r="F149" s="115"/>
      <c r="H149" s="95">
        <v>144</v>
      </c>
      <c r="I149" s="96" t="str">
        <f t="shared" si="11"/>
        <v/>
      </c>
      <c r="J149" s="96" t="e">
        <f t="shared" si="12"/>
        <v>#NUM!</v>
      </c>
      <c r="K149" s="95" t="e">
        <f t="shared" si="13"/>
        <v>#NUM!</v>
      </c>
      <c r="L149" s="95"/>
      <c r="M149" s="97">
        <f t="shared" si="14"/>
        <v>0</v>
      </c>
      <c r="S149" s="85"/>
      <c r="T149" s="85"/>
      <c r="U149" s="85"/>
      <c r="V149" s="85"/>
      <c r="W149" s="85"/>
      <c r="X149" s="85"/>
      <c r="Y149" s="85"/>
      <c r="Z149" s="85"/>
      <c r="AA149" s="85"/>
      <c r="AB149" s="85"/>
      <c r="AC149" s="85"/>
      <c r="AD149" s="85"/>
      <c r="AE149" s="85"/>
      <c r="AF149" s="85"/>
      <c r="AG149" s="85"/>
      <c r="AH149" s="85"/>
      <c r="AI149" s="85"/>
      <c r="AJ149" s="85"/>
      <c r="AK149" s="85"/>
      <c r="AL149" s="85"/>
    </row>
    <row r="150" spans="1:38" s="80" customFormat="1" x14ac:dyDescent="0.25">
      <c r="A150" s="116"/>
      <c r="B150" s="115"/>
      <c r="C150" s="115"/>
      <c r="D150" s="115"/>
      <c r="E150" s="115"/>
      <c r="F150" s="115"/>
      <c r="H150" s="95">
        <v>145</v>
      </c>
      <c r="I150" s="96" t="str">
        <f t="shared" si="11"/>
        <v/>
      </c>
      <c r="J150" s="96" t="e">
        <f t="shared" si="12"/>
        <v>#NUM!</v>
      </c>
      <c r="K150" s="95" t="e">
        <f t="shared" si="13"/>
        <v>#NUM!</v>
      </c>
      <c r="L150" s="95"/>
      <c r="M150" s="97">
        <f t="shared" si="14"/>
        <v>0</v>
      </c>
      <c r="S150" s="85"/>
      <c r="T150" s="85"/>
      <c r="U150" s="85"/>
      <c r="V150" s="85"/>
      <c r="W150" s="85"/>
      <c r="X150" s="85"/>
      <c r="Y150" s="85"/>
      <c r="Z150" s="85"/>
      <c r="AA150" s="85"/>
      <c r="AB150" s="85"/>
      <c r="AC150" s="85"/>
      <c r="AD150" s="85"/>
      <c r="AE150" s="85"/>
      <c r="AF150" s="85"/>
      <c r="AG150" s="85"/>
      <c r="AH150" s="85"/>
      <c r="AI150" s="85"/>
      <c r="AJ150" s="85"/>
      <c r="AK150" s="85"/>
      <c r="AL150" s="85"/>
    </row>
    <row r="151" spans="1:38" s="80" customFormat="1" x14ac:dyDescent="0.25">
      <c r="A151" s="116"/>
      <c r="B151" s="115"/>
      <c r="C151" s="115"/>
      <c r="D151" s="115"/>
      <c r="E151" s="115"/>
      <c r="F151" s="115"/>
      <c r="H151" s="95">
        <v>146</v>
      </c>
      <c r="I151" s="96" t="str">
        <f t="shared" si="11"/>
        <v/>
      </c>
      <c r="J151" s="96" t="e">
        <f t="shared" si="12"/>
        <v>#NUM!</v>
      </c>
      <c r="K151" s="95" t="e">
        <f t="shared" si="13"/>
        <v>#NUM!</v>
      </c>
      <c r="L151" s="95"/>
      <c r="M151" s="97">
        <f t="shared" si="14"/>
        <v>0</v>
      </c>
      <c r="S151" s="85"/>
      <c r="T151" s="85"/>
      <c r="U151" s="85"/>
      <c r="V151" s="85"/>
      <c r="W151" s="85"/>
      <c r="X151" s="85"/>
      <c r="Y151" s="85"/>
      <c r="Z151" s="85"/>
      <c r="AA151" s="85"/>
      <c r="AB151" s="85"/>
      <c r="AC151" s="85"/>
      <c r="AD151" s="85"/>
      <c r="AE151" s="85"/>
      <c r="AF151" s="85"/>
      <c r="AG151" s="85"/>
      <c r="AH151" s="85"/>
      <c r="AI151" s="85"/>
      <c r="AJ151" s="85"/>
      <c r="AK151" s="85"/>
      <c r="AL151" s="85"/>
    </row>
    <row r="152" spans="1:38" s="80" customFormat="1" x14ac:dyDescent="0.25">
      <c r="A152" s="116"/>
      <c r="B152" s="115"/>
      <c r="C152" s="115"/>
      <c r="D152" s="115"/>
      <c r="E152" s="115"/>
      <c r="F152" s="115"/>
      <c r="H152" s="95">
        <v>147</v>
      </c>
      <c r="I152" s="96" t="str">
        <f t="shared" si="11"/>
        <v/>
      </c>
      <c r="J152" s="96" t="e">
        <f t="shared" si="12"/>
        <v>#NUM!</v>
      </c>
      <c r="K152" s="95" t="e">
        <f t="shared" si="13"/>
        <v>#NUM!</v>
      </c>
      <c r="L152" s="95"/>
      <c r="M152" s="97">
        <f t="shared" si="14"/>
        <v>0</v>
      </c>
      <c r="S152" s="85"/>
      <c r="T152" s="85"/>
      <c r="U152" s="85"/>
      <c r="V152" s="85"/>
      <c r="W152" s="85"/>
      <c r="X152" s="85"/>
      <c r="Y152" s="85"/>
      <c r="Z152" s="85"/>
      <c r="AA152" s="85"/>
      <c r="AB152" s="85"/>
      <c r="AC152" s="85"/>
      <c r="AD152" s="85"/>
      <c r="AE152" s="85"/>
      <c r="AF152" s="85"/>
      <c r="AG152" s="85"/>
      <c r="AH152" s="85"/>
      <c r="AI152" s="85"/>
      <c r="AJ152" s="85"/>
      <c r="AK152" s="85"/>
      <c r="AL152" s="85"/>
    </row>
    <row r="153" spans="1:38" s="80" customFormat="1" x14ac:dyDescent="0.25">
      <c r="A153" s="116"/>
      <c r="B153" s="115"/>
      <c r="C153" s="115"/>
      <c r="D153" s="115"/>
      <c r="E153" s="115"/>
      <c r="F153" s="115"/>
      <c r="H153" s="95">
        <v>148</v>
      </c>
      <c r="I153" s="96" t="str">
        <f t="shared" si="11"/>
        <v/>
      </c>
      <c r="J153" s="96" t="e">
        <f t="shared" si="12"/>
        <v>#NUM!</v>
      </c>
      <c r="K153" s="95" t="e">
        <f t="shared" si="13"/>
        <v>#NUM!</v>
      </c>
      <c r="L153" s="95"/>
      <c r="M153" s="97">
        <f t="shared" si="14"/>
        <v>0</v>
      </c>
      <c r="S153" s="85"/>
      <c r="T153" s="85"/>
      <c r="U153" s="85"/>
      <c r="V153" s="85"/>
      <c r="W153" s="85"/>
      <c r="X153" s="85"/>
      <c r="Y153" s="85"/>
      <c r="Z153" s="85"/>
      <c r="AA153" s="85"/>
      <c r="AB153" s="85"/>
      <c r="AC153" s="85"/>
      <c r="AD153" s="85"/>
      <c r="AE153" s="85"/>
      <c r="AF153" s="85"/>
      <c r="AG153" s="85"/>
      <c r="AH153" s="85"/>
      <c r="AI153" s="85"/>
      <c r="AJ153" s="85"/>
      <c r="AK153" s="85"/>
      <c r="AL153" s="85"/>
    </row>
    <row r="154" spans="1:38" s="80" customFormat="1" x14ac:dyDescent="0.25">
      <c r="A154" s="116"/>
      <c r="B154" s="115"/>
      <c r="C154" s="115"/>
      <c r="D154" s="115"/>
      <c r="E154" s="115"/>
      <c r="F154" s="115"/>
      <c r="H154" s="95">
        <v>149</v>
      </c>
      <c r="I154" s="96" t="str">
        <f t="shared" si="11"/>
        <v/>
      </c>
      <c r="J154" s="96" t="e">
        <f t="shared" si="12"/>
        <v>#NUM!</v>
      </c>
      <c r="K154" s="95" t="e">
        <f t="shared" si="13"/>
        <v>#NUM!</v>
      </c>
      <c r="L154" s="95"/>
      <c r="M154" s="97">
        <f t="shared" si="14"/>
        <v>0</v>
      </c>
      <c r="S154" s="85"/>
      <c r="T154" s="85"/>
      <c r="U154" s="85"/>
      <c r="V154" s="85"/>
      <c r="W154" s="85"/>
      <c r="X154" s="85"/>
      <c r="Y154" s="85"/>
      <c r="Z154" s="85"/>
      <c r="AA154" s="85"/>
      <c r="AB154" s="85"/>
      <c r="AC154" s="85"/>
      <c r="AD154" s="85"/>
      <c r="AE154" s="85"/>
      <c r="AF154" s="85"/>
      <c r="AG154" s="85"/>
      <c r="AH154" s="85"/>
      <c r="AI154" s="85"/>
      <c r="AJ154" s="85"/>
      <c r="AK154" s="85"/>
      <c r="AL154" s="85"/>
    </row>
    <row r="155" spans="1:38" s="80" customFormat="1" x14ac:dyDescent="0.25">
      <c r="A155" s="116"/>
      <c r="B155" s="115"/>
      <c r="C155" s="115"/>
      <c r="D155" s="115"/>
      <c r="E155" s="115"/>
      <c r="F155" s="115"/>
      <c r="H155" s="95">
        <v>150</v>
      </c>
      <c r="I155" s="96" t="str">
        <f t="shared" si="11"/>
        <v/>
      </c>
      <c r="J155" s="96" t="e">
        <f t="shared" si="12"/>
        <v>#NUM!</v>
      </c>
      <c r="K155" s="95" t="e">
        <f t="shared" si="13"/>
        <v>#NUM!</v>
      </c>
      <c r="L155" s="95"/>
      <c r="M155" s="97">
        <f t="shared" si="14"/>
        <v>0</v>
      </c>
      <c r="S155" s="85"/>
      <c r="T155" s="85"/>
      <c r="U155" s="85"/>
      <c r="V155" s="85"/>
      <c r="W155" s="85"/>
      <c r="X155" s="85"/>
      <c r="Y155" s="85"/>
      <c r="Z155" s="85"/>
      <c r="AA155" s="85"/>
      <c r="AB155" s="85"/>
      <c r="AC155" s="85"/>
      <c r="AD155" s="85"/>
      <c r="AE155" s="85"/>
      <c r="AF155" s="85"/>
      <c r="AG155" s="85"/>
      <c r="AH155" s="85"/>
      <c r="AI155" s="85"/>
      <c r="AJ155" s="85"/>
      <c r="AK155" s="85"/>
      <c r="AL155" s="85"/>
    </row>
    <row r="156" spans="1:38" s="80" customFormat="1" x14ac:dyDescent="0.25">
      <c r="A156" s="116"/>
      <c r="B156" s="115"/>
      <c r="C156" s="115"/>
      <c r="D156" s="115"/>
      <c r="E156" s="115"/>
      <c r="F156" s="115"/>
      <c r="H156" s="95">
        <v>151</v>
      </c>
      <c r="I156" s="96" t="str">
        <f t="shared" si="11"/>
        <v/>
      </c>
      <c r="J156" s="96" t="e">
        <f t="shared" si="12"/>
        <v>#NUM!</v>
      </c>
      <c r="K156" s="95" t="e">
        <f t="shared" si="13"/>
        <v>#NUM!</v>
      </c>
      <c r="L156" s="95"/>
      <c r="M156" s="97">
        <f t="shared" si="14"/>
        <v>0</v>
      </c>
      <c r="S156" s="85"/>
      <c r="T156" s="85"/>
      <c r="U156" s="85"/>
      <c r="V156" s="85"/>
      <c r="W156" s="85"/>
      <c r="X156" s="85"/>
      <c r="Y156" s="85"/>
      <c r="Z156" s="85"/>
      <c r="AA156" s="85"/>
      <c r="AB156" s="85"/>
      <c r="AC156" s="85"/>
      <c r="AD156" s="85"/>
      <c r="AE156" s="85"/>
      <c r="AF156" s="85"/>
      <c r="AG156" s="85"/>
      <c r="AH156" s="85"/>
      <c r="AI156" s="85"/>
      <c r="AJ156" s="85"/>
      <c r="AK156" s="85"/>
      <c r="AL156" s="85"/>
    </row>
    <row r="157" spans="1:38" s="80" customFormat="1" x14ac:dyDescent="0.25">
      <c r="A157" s="116"/>
      <c r="B157" s="115"/>
      <c r="C157" s="115"/>
      <c r="D157" s="115"/>
      <c r="E157" s="115"/>
      <c r="F157" s="115"/>
      <c r="H157" s="95">
        <v>152</v>
      </c>
      <c r="I157" s="96" t="str">
        <f t="shared" si="11"/>
        <v/>
      </c>
      <c r="J157" s="96" t="e">
        <f t="shared" si="12"/>
        <v>#NUM!</v>
      </c>
      <c r="K157" s="95" t="e">
        <f t="shared" si="13"/>
        <v>#NUM!</v>
      </c>
      <c r="L157" s="95"/>
      <c r="M157" s="97">
        <f t="shared" si="14"/>
        <v>0</v>
      </c>
      <c r="S157" s="85"/>
      <c r="T157" s="85"/>
      <c r="U157" s="85"/>
      <c r="V157" s="85"/>
      <c r="W157" s="85"/>
      <c r="X157" s="85"/>
      <c r="Y157" s="85"/>
      <c r="Z157" s="85"/>
      <c r="AA157" s="85"/>
      <c r="AB157" s="85"/>
      <c r="AC157" s="85"/>
      <c r="AD157" s="85"/>
      <c r="AE157" s="85"/>
      <c r="AF157" s="85"/>
      <c r="AG157" s="85"/>
      <c r="AH157" s="85"/>
      <c r="AI157" s="85"/>
      <c r="AJ157" s="85"/>
      <c r="AK157" s="85"/>
      <c r="AL157" s="85"/>
    </row>
    <row r="158" spans="1:38" s="80" customFormat="1" x14ac:dyDescent="0.25">
      <c r="A158" s="116"/>
      <c r="B158" s="115"/>
      <c r="C158" s="115"/>
      <c r="D158" s="115"/>
      <c r="E158" s="115"/>
      <c r="F158" s="115"/>
      <c r="H158" s="95">
        <v>153</v>
      </c>
      <c r="I158" s="96" t="str">
        <f t="shared" si="11"/>
        <v/>
      </c>
      <c r="J158" s="96" t="e">
        <f t="shared" si="12"/>
        <v>#NUM!</v>
      </c>
      <c r="K158" s="95" t="e">
        <f t="shared" si="13"/>
        <v>#NUM!</v>
      </c>
      <c r="L158" s="95"/>
      <c r="M158" s="97">
        <f t="shared" si="14"/>
        <v>0</v>
      </c>
      <c r="S158" s="85"/>
      <c r="T158" s="85"/>
      <c r="U158" s="85"/>
      <c r="V158" s="85"/>
      <c r="W158" s="85"/>
      <c r="X158" s="85"/>
      <c r="Y158" s="85"/>
      <c r="Z158" s="85"/>
      <c r="AA158" s="85"/>
      <c r="AB158" s="85"/>
      <c r="AC158" s="85"/>
      <c r="AD158" s="85"/>
      <c r="AE158" s="85"/>
      <c r="AF158" s="85"/>
      <c r="AG158" s="85"/>
      <c r="AH158" s="85"/>
      <c r="AI158" s="85"/>
      <c r="AJ158" s="85"/>
      <c r="AK158" s="85"/>
      <c r="AL158" s="85"/>
    </row>
    <row r="159" spans="1:38" s="80" customFormat="1" x14ac:dyDescent="0.25">
      <c r="A159" s="116"/>
      <c r="B159" s="115"/>
      <c r="C159" s="115"/>
      <c r="D159" s="115"/>
      <c r="E159" s="115"/>
      <c r="F159" s="115"/>
      <c r="H159" s="95">
        <v>154</v>
      </c>
      <c r="I159" s="96" t="str">
        <f t="shared" si="11"/>
        <v/>
      </c>
      <c r="J159" s="96" t="e">
        <f t="shared" si="12"/>
        <v>#NUM!</v>
      </c>
      <c r="K159" s="95" t="e">
        <f t="shared" si="13"/>
        <v>#NUM!</v>
      </c>
      <c r="L159" s="95"/>
      <c r="M159" s="97">
        <f t="shared" si="14"/>
        <v>0</v>
      </c>
      <c r="S159" s="85"/>
      <c r="T159" s="85"/>
      <c r="U159" s="85"/>
      <c r="V159" s="85"/>
      <c r="W159" s="85"/>
      <c r="X159" s="85"/>
      <c r="Y159" s="85"/>
      <c r="Z159" s="85"/>
      <c r="AA159" s="85"/>
      <c r="AB159" s="85"/>
      <c r="AC159" s="85"/>
      <c r="AD159" s="85"/>
      <c r="AE159" s="85"/>
      <c r="AF159" s="85"/>
      <c r="AG159" s="85"/>
      <c r="AH159" s="85"/>
      <c r="AI159" s="85"/>
      <c r="AJ159" s="85"/>
      <c r="AK159" s="85"/>
      <c r="AL159" s="85"/>
    </row>
    <row r="160" spans="1:38" s="80" customFormat="1" x14ac:dyDescent="0.25">
      <c r="A160" s="116"/>
      <c r="B160" s="115"/>
      <c r="C160" s="115"/>
      <c r="D160" s="115"/>
      <c r="E160" s="115"/>
      <c r="F160" s="115"/>
      <c r="H160" s="95">
        <v>155</v>
      </c>
      <c r="I160" s="96" t="str">
        <f t="shared" si="11"/>
        <v/>
      </c>
      <c r="J160" s="96" t="e">
        <f t="shared" si="12"/>
        <v>#NUM!</v>
      </c>
      <c r="K160" s="95" t="e">
        <f t="shared" si="13"/>
        <v>#NUM!</v>
      </c>
      <c r="L160" s="95"/>
      <c r="M160" s="97">
        <f t="shared" si="14"/>
        <v>0</v>
      </c>
      <c r="S160" s="85"/>
      <c r="T160" s="85"/>
      <c r="U160" s="85"/>
      <c r="V160" s="85"/>
      <c r="W160" s="85"/>
      <c r="X160" s="85"/>
      <c r="Y160" s="85"/>
      <c r="Z160" s="85"/>
      <c r="AA160" s="85"/>
      <c r="AB160" s="85"/>
      <c r="AC160" s="85"/>
      <c r="AD160" s="85"/>
      <c r="AE160" s="85"/>
      <c r="AF160" s="85"/>
      <c r="AG160" s="85"/>
      <c r="AH160" s="85"/>
      <c r="AI160" s="85"/>
      <c r="AJ160" s="85"/>
      <c r="AK160" s="85"/>
      <c r="AL160" s="85"/>
    </row>
    <row r="161" spans="1:38" s="80" customFormat="1" x14ac:dyDescent="0.25">
      <c r="A161" s="116"/>
      <c r="B161" s="115"/>
      <c r="C161" s="115"/>
      <c r="D161" s="115"/>
      <c r="E161" s="115"/>
      <c r="F161" s="115"/>
      <c r="H161" s="95">
        <v>156</v>
      </c>
      <c r="I161" s="96" t="str">
        <f t="shared" si="11"/>
        <v/>
      </c>
      <c r="J161" s="96" t="e">
        <f t="shared" si="12"/>
        <v>#NUM!</v>
      </c>
      <c r="K161" s="95" t="e">
        <f t="shared" si="13"/>
        <v>#NUM!</v>
      </c>
      <c r="L161" s="95"/>
      <c r="M161" s="97">
        <f t="shared" si="14"/>
        <v>0</v>
      </c>
      <c r="S161" s="85"/>
      <c r="T161" s="85"/>
      <c r="U161" s="85"/>
      <c r="V161" s="85"/>
      <c r="W161" s="85"/>
      <c r="X161" s="85"/>
      <c r="Y161" s="85"/>
      <c r="Z161" s="85"/>
      <c r="AA161" s="85"/>
      <c r="AB161" s="85"/>
      <c r="AC161" s="85"/>
      <c r="AD161" s="85"/>
      <c r="AE161" s="85"/>
      <c r="AF161" s="85"/>
      <c r="AG161" s="85"/>
      <c r="AH161" s="85"/>
      <c r="AI161" s="85"/>
      <c r="AJ161" s="85"/>
      <c r="AK161" s="85"/>
      <c r="AL161" s="85"/>
    </row>
    <row r="162" spans="1:38" s="80" customFormat="1" x14ac:dyDescent="0.25">
      <c r="A162" s="116"/>
      <c r="B162" s="115"/>
      <c r="C162" s="115"/>
      <c r="D162" s="115"/>
      <c r="E162" s="115"/>
      <c r="F162" s="115"/>
      <c r="H162" s="95">
        <v>157</v>
      </c>
      <c r="I162" s="96" t="str">
        <f t="shared" si="11"/>
        <v/>
      </c>
      <c r="J162" s="96" t="e">
        <f t="shared" si="12"/>
        <v>#NUM!</v>
      </c>
      <c r="K162" s="95" t="e">
        <f t="shared" si="13"/>
        <v>#NUM!</v>
      </c>
      <c r="L162" s="95"/>
      <c r="M162" s="97">
        <f t="shared" si="14"/>
        <v>0</v>
      </c>
      <c r="S162" s="85"/>
      <c r="T162" s="85"/>
      <c r="U162" s="85"/>
      <c r="V162" s="85"/>
      <c r="W162" s="85"/>
      <c r="X162" s="85"/>
      <c r="Y162" s="85"/>
      <c r="Z162" s="85"/>
      <c r="AA162" s="85"/>
      <c r="AB162" s="85"/>
      <c r="AC162" s="85"/>
      <c r="AD162" s="85"/>
      <c r="AE162" s="85"/>
      <c r="AF162" s="85"/>
      <c r="AG162" s="85"/>
      <c r="AH162" s="85"/>
      <c r="AI162" s="85"/>
      <c r="AJ162" s="85"/>
      <c r="AK162" s="85"/>
      <c r="AL162" s="85"/>
    </row>
    <row r="163" spans="1:38" s="80" customFormat="1" x14ac:dyDescent="0.25">
      <c r="A163" s="116"/>
      <c r="B163" s="115"/>
      <c r="C163" s="115"/>
      <c r="D163" s="115"/>
      <c r="E163" s="115"/>
      <c r="F163" s="115"/>
      <c r="H163" s="95">
        <v>158</v>
      </c>
      <c r="I163" s="96" t="str">
        <f t="shared" si="11"/>
        <v/>
      </c>
      <c r="J163" s="96" t="e">
        <f t="shared" si="12"/>
        <v>#NUM!</v>
      </c>
      <c r="K163" s="95" t="e">
        <f t="shared" si="13"/>
        <v>#NUM!</v>
      </c>
      <c r="L163" s="95"/>
      <c r="M163" s="97">
        <f t="shared" si="14"/>
        <v>0</v>
      </c>
      <c r="S163" s="85"/>
      <c r="T163" s="85"/>
      <c r="U163" s="85"/>
      <c r="V163" s="85"/>
      <c r="W163" s="85"/>
      <c r="X163" s="85"/>
      <c r="Y163" s="85"/>
      <c r="Z163" s="85"/>
      <c r="AA163" s="85"/>
      <c r="AB163" s="85"/>
      <c r="AC163" s="85"/>
      <c r="AD163" s="85"/>
      <c r="AE163" s="85"/>
      <c r="AF163" s="85"/>
      <c r="AG163" s="85"/>
      <c r="AH163" s="85"/>
      <c r="AI163" s="85"/>
      <c r="AJ163" s="85"/>
      <c r="AK163" s="85"/>
      <c r="AL163" s="85"/>
    </row>
    <row r="164" spans="1:38" s="80" customFormat="1" x14ac:dyDescent="0.25">
      <c r="A164" s="116"/>
      <c r="B164" s="115"/>
      <c r="C164" s="115"/>
      <c r="D164" s="115"/>
      <c r="E164" s="115"/>
      <c r="F164" s="115"/>
      <c r="H164" s="95">
        <v>159</v>
      </c>
      <c r="I164" s="96" t="str">
        <f t="shared" si="11"/>
        <v/>
      </c>
      <c r="J164" s="96" t="e">
        <f t="shared" si="12"/>
        <v>#NUM!</v>
      </c>
      <c r="K164" s="95" t="e">
        <f t="shared" si="13"/>
        <v>#NUM!</v>
      </c>
      <c r="L164" s="95"/>
      <c r="M164" s="97">
        <f t="shared" si="14"/>
        <v>0</v>
      </c>
      <c r="S164" s="85"/>
      <c r="T164" s="85"/>
      <c r="U164" s="85"/>
      <c r="V164" s="85"/>
      <c r="W164" s="85"/>
      <c r="X164" s="85"/>
      <c r="Y164" s="85"/>
      <c r="Z164" s="85"/>
      <c r="AA164" s="85"/>
      <c r="AB164" s="85"/>
      <c r="AC164" s="85"/>
      <c r="AD164" s="85"/>
      <c r="AE164" s="85"/>
      <c r="AF164" s="85"/>
      <c r="AG164" s="85"/>
      <c r="AH164" s="85"/>
      <c r="AI164" s="85"/>
      <c r="AJ164" s="85"/>
      <c r="AK164" s="85"/>
      <c r="AL164" s="85"/>
    </row>
    <row r="165" spans="1:38" s="80" customFormat="1" x14ac:dyDescent="0.25">
      <c r="A165" s="116"/>
      <c r="B165" s="115"/>
      <c r="C165" s="115"/>
      <c r="D165" s="115"/>
      <c r="E165" s="115"/>
      <c r="F165" s="115"/>
      <c r="H165" s="95">
        <v>160</v>
      </c>
      <c r="I165" s="96" t="str">
        <f t="shared" si="11"/>
        <v/>
      </c>
      <c r="J165" s="96" t="e">
        <f t="shared" si="12"/>
        <v>#NUM!</v>
      </c>
      <c r="K165" s="95" t="e">
        <f t="shared" si="13"/>
        <v>#NUM!</v>
      </c>
      <c r="L165" s="95"/>
      <c r="M165" s="97">
        <f t="shared" si="14"/>
        <v>0</v>
      </c>
      <c r="S165" s="85"/>
      <c r="T165" s="85"/>
      <c r="U165" s="85"/>
      <c r="V165" s="85"/>
      <c r="W165" s="85"/>
      <c r="X165" s="85"/>
      <c r="Y165" s="85"/>
      <c r="Z165" s="85"/>
      <c r="AA165" s="85"/>
      <c r="AB165" s="85"/>
      <c r="AC165" s="85"/>
      <c r="AD165" s="85"/>
      <c r="AE165" s="85"/>
      <c r="AF165" s="85"/>
      <c r="AG165" s="85"/>
      <c r="AH165" s="85"/>
      <c r="AI165" s="85"/>
      <c r="AJ165" s="85"/>
      <c r="AK165" s="85"/>
      <c r="AL165" s="85"/>
    </row>
    <row r="166" spans="1:38" s="80" customFormat="1" x14ac:dyDescent="0.25">
      <c r="A166" s="116"/>
      <c r="B166" s="115"/>
      <c r="C166" s="115"/>
      <c r="D166" s="115"/>
      <c r="E166" s="115"/>
      <c r="F166" s="115"/>
      <c r="H166" s="95">
        <v>161</v>
      </c>
      <c r="I166" s="96" t="str">
        <f t="shared" si="11"/>
        <v/>
      </c>
      <c r="J166" s="96" t="e">
        <f t="shared" si="12"/>
        <v>#NUM!</v>
      </c>
      <c r="K166" s="95" t="e">
        <f t="shared" si="13"/>
        <v>#NUM!</v>
      </c>
      <c r="L166" s="95"/>
      <c r="M166" s="97">
        <f t="shared" si="14"/>
        <v>0</v>
      </c>
      <c r="S166" s="85"/>
      <c r="T166" s="85"/>
      <c r="U166" s="85"/>
      <c r="V166" s="85"/>
      <c r="W166" s="85"/>
      <c r="X166" s="85"/>
      <c r="Y166" s="85"/>
      <c r="Z166" s="85"/>
      <c r="AA166" s="85"/>
      <c r="AB166" s="85"/>
      <c r="AC166" s="85"/>
      <c r="AD166" s="85"/>
      <c r="AE166" s="85"/>
      <c r="AF166" s="85"/>
      <c r="AG166" s="85"/>
      <c r="AH166" s="85"/>
      <c r="AI166" s="85"/>
      <c r="AJ166" s="85"/>
      <c r="AK166" s="85"/>
      <c r="AL166" s="85"/>
    </row>
    <row r="167" spans="1:38" s="80" customFormat="1" x14ac:dyDescent="0.25">
      <c r="A167" s="116"/>
      <c r="B167" s="115"/>
      <c r="C167" s="115"/>
      <c r="D167" s="115"/>
      <c r="E167" s="115"/>
      <c r="F167" s="115"/>
      <c r="H167" s="95">
        <v>162</v>
      </c>
      <c r="I167" s="96" t="str">
        <f t="shared" si="11"/>
        <v/>
      </c>
      <c r="J167" s="96" t="e">
        <f t="shared" si="12"/>
        <v>#NUM!</v>
      </c>
      <c r="K167" s="95" t="e">
        <f t="shared" si="13"/>
        <v>#NUM!</v>
      </c>
      <c r="L167" s="95"/>
      <c r="M167" s="97">
        <f t="shared" si="14"/>
        <v>0</v>
      </c>
      <c r="S167" s="85"/>
      <c r="T167" s="85"/>
      <c r="U167" s="85"/>
      <c r="V167" s="85"/>
      <c r="W167" s="85"/>
      <c r="X167" s="85"/>
      <c r="Y167" s="85"/>
      <c r="Z167" s="85"/>
      <c r="AA167" s="85"/>
      <c r="AB167" s="85"/>
      <c r="AC167" s="85"/>
      <c r="AD167" s="85"/>
      <c r="AE167" s="85"/>
      <c r="AF167" s="85"/>
      <c r="AG167" s="85"/>
      <c r="AH167" s="85"/>
      <c r="AI167" s="85"/>
      <c r="AJ167" s="85"/>
      <c r="AK167" s="85"/>
      <c r="AL167" s="85"/>
    </row>
    <row r="168" spans="1:38" s="80" customFormat="1" x14ac:dyDescent="0.25">
      <c r="A168" s="116"/>
      <c r="B168" s="115"/>
      <c r="C168" s="115"/>
      <c r="D168" s="115"/>
      <c r="E168" s="115"/>
      <c r="F168" s="115"/>
      <c r="H168" s="95">
        <v>163</v>
      </c>
      <c r="I168" s="96" t="str">
        <f t="shared" si="11"/>
        <v/>
      </c>
      <c r="J168" s="96" t="e">
        <f t="shared" si="12"/>
        <v>#NUM!</v>
      </c>
      <c r="K168" s="95" t="e">
        <f t="shared" si="13"/>
        <v>#NUM!</v>
      </c>
      <c r="L168" s="95"/>
      <c r="M168" s="97">
        <f t="shared" si="14"/>
        <v>0</v>
      </c>
      <c r="S168" s="85"/>
      <c r="T168" s="85"/>
      <c r="U168" s="85"/>
      <c r="V168" s="85"/>
      <c r="W168" s="85"/>
      <c r="X168" s="85"/>
      <c r="Y168" s="85"/>
      <c r="Z168" s="85"/>
      <c r="AA168" s="85"/>
      <c r="AB168" s="85"/>
      <c r="AC168" s="85"/>
      <c r="AD168" s="85"/>
      <c r="AE168" s="85"/>
      <c r="AF168" s="85"/>
      <c r="AG168" s="85"/>
      <c r="AH168" s="85"/>
      <c r="AI168" s="85"/>
      <c r="AJ168" s="85"/>
      <c r="AK168" s="85"/>
      <c r="AL168" s="85"/>
    </row>
    <row r="169" spans="1:38" s="80" customFormat="1" x14ac:dyDescent="0.25">
      <c r="A169" s="116"/>
      <c r="B169" s="115"/>
      <c r="C169" s="115" t="s">
        <v>40</v>
      </c>
      <c r="D169" s="115"/>
      <c r="E169" s="115"/>
      <c r="F169" s="115"/>
      <c r="H169" s="95">
        <v>164</v>
      </c>
      <c r="I169" s="96" t="str">
        <f t="shared" si="11"/>
        <v/>
      </c>
      <c r="J169" s="96" t="e">
        <f t="shared" si="12"/>
        <v>#NUM!</v>
      </c>
      <c r="K169" s="95" t="e">
        <f t="shared" si="13"/>
        <v>#NUM!</v>
      </c>
      <c r="L169" s="95"/>
      <c r="M169" s="97">
        <f t="shared" si="14"/>
        <v>0</v>
      </c>
      <c r="S169" s="85"/>
      <c r="T169" s="85"/>
      <c r="U169" s="85"/>
      <c r="V169" s="85"/>
      <c r="W169" s="85"/>
      <c r="X169" s="85"/>
      <c r="Y169" s="85"/>
      <c r="Z169" s="85"/>
      <c r="AA169" s="85"/>
      <c r="AB169" s="85"/>
      <c r="AC169" s="85"/>
      <c r="AD169" s="85"/>
      <c r="AE169" s="85"/>
      <c r="AF169" s="85"/>
      <c r="AG169" s="85"/>
      <c r="AH169" s="85"/>
      <c r="AI169" s="85"/>
      <c r="AJ169" s="85"/>
      <c r="AK169" s="85"/>
      <c r="AL169" s="85"/>
    </row>
    <row r="170" spans="1:38" s="80" customFormat="1" x14ac:dyDescent="0.25">
      <c r="A170" s="116"/>
      <c r="B170" s="115"/>
      <c r="C170" s="115"/>
      <c r="D170" s="115"/>
      <c r="E170" s="115"/>
      <c r="F170" s="115"/>
      <c r="H170" s="95">
        <v>165</v>
      </c>
      <c r="I170" s="96" t="str">
        <f t="shared" si="11"/>
        <v/>
      </c>
      <c r="J170" s="96" t="e">
        <f t="shared" si="12"/>
        <v>#NUM!</v>
      </c>
      <c r="K170" s="95" t="e">
        <f t="shared" si="13"/>
        <v>#NUM!</v>
      </c>
      <c r="L170" s="95"/>
      <c r="M170" s="97">
        <f t="shared" si="14"/>
        <v>0</v>
      </c>
      <c r="S170" s="85"/>
      <c r="T170" s="85"/>
      <c r="U170" s="85"/>
      <c r="V170" s="85"/>
      <c r="W170" s="85"/>
      <c r="X170" s="85"/>
      <c r="Y170" s="85"/>
      <c r="Z170" s="85"/>
      <c r="AA170" s="85"/>
      <c r="AB170" s="85"/>
      <c r="AC170" s="85"/>
      <c r="AD170" s="85"/>
      <c r="AE170" s="85"/>
      <c r="AF170" s="85"/>
      <c r="AG170" s="85"/>
      <c r="AH170" s="85"/>
      <c r="AI170" s="85"/>
      <c r="AJ170" s="85"/>
      <c r="AK170" s="85"/>
      <c r="AL170" s="85"/>
    </row>
    <row r="171" spans="1:38" s="80" customFormat="1" x14ac:dyDescent="0.25">
      <c r="A171" s="116"/>
      <c r="B171" s="115"/>
      <c r="C171" s="115"/>
      <c r="D171" s="115"/>
      <c r="E171" s="115"/>
      <c r="F171" s="115"/>
      <c r="H171" s="95">
        <v>166</v>
      </c>
      <c r="I171" s="96" t="str">
        <f t="shared" si="11"/>
        <v/>
      </c>
      <c r="J171" s="96" t="e">
        <f t="shared" si="12"/>
        <v>#NUM!</v>
      </c>
      <c r="K171" s="95" t="e">
        <f t="shared" si="13"/>
        <v>#NUM!</v>
      </c>
      <c r="L171" s="95"/>
      <c r="M171" s="97">
        <f t="shared" si="14"/>
        <v>0</v>
      </c>
      <c r="S171" s="85"/>
      <c r="T171" s="85"/>
      <c r="U171" s="85"/>
      <c r="V171" s="85"/>
      <c r="W171" s="85"/>
      <c r="X171" s="85"/>
      <c r="Y171" s="85"/>
      <c r="Z171" s="85"/>
      <c r="AA171" s="85"/>
      <c r="AB171" s="85"/>
      <c r="AC171" s="85"/>
      <c r="AD171" s="85"/>
      <c r="AE171" s="85"/>
      <c r="AF171" s="85"/>
      <c r="AG171" s="85"/>
      <c r="AH171" s="85"/>
      <c r="AI171" s="85"/>
      <c r="AJ171" s="85"/>
      <c r="AK171" s="85"/>
      <c r="AL171" s="85"/>
    </row>
    <row r="172" spans="1:38" s="80" customFormat="1" x14ac:dyDescent="0.25">
      <c r="A172" s="116"/>
      <c r="B172" s="115"/>
      <c r="C172" s="115"/>
      <c r="D172" s="115"/>
      <c r="E172" s="115"/>
      <c r="F172" s="115"/>
      <c r="H172" s="95">
        <v>167</v>
      </c>
      <c r="I172" s="96" t="str">
        <f t="shared" si="11"/>
        <v/>
      </c>
      <c r="J172" s="96" t="e">
        <f t="shared" si="12"/>
        <v>#NUM!</v>
      </c>
      <c r="K172" s="95" t="e">
        <f t="shared" si="13"/>
        <v>#NUM!</v>
      </c>
      <c r="L172" s="95"/>
      <c r="M172" s="97">
        <f t="shared" si="14"/>
        <v>0</v>
      </c>
      <c r="S172" s="85"/>
      <c r="T172" s="85"/>
      <c r="U172" s="85"/>
      <c r="V172" s="85"/>
      <c r="W172" s="85"/>
      <c r="X172" s="85"/>
      <c r="Y172" s="85"/>
      <c r="Z172" s="85"/>
      <c r="AA172" s="85"/>
      <c r="AB172" s="85"/>
      <c r="AC172" s="85"/>
      <c r="AD172" s="85"/>
      <c r="AE172" s="85"/>
      <c r="AF172" s="85"/>
      <c r="AG172" s="85"/>
      <c r="AH172" s="85"/>
      <c r="AI172" s="85"/>
      <c r="AJ172" s="85"/>
      <c r="AK172" s="85"/>
      <c r="AL172" s="85"/>
    </row>
    <row r="173" spans="1:38" s="80" customFormat="1" x14ac:dyDescent="0.25">
      <c r="A173" s="116"/>
      <c r="B173" s="115"/>
      <c r="C173" s="115"/>
      <c r="D173" s="115"/>
      <c r="E173" s="115"/>
      <c r="F173" s="115"/>
      <c r="H173" s="95">
        <v>168</v>
      </c>
      <c r="I173" s="96" t="str">
        <f t="shared" si="11"/>
        <v/>
      </c>
      <c r="J173" s="96" t="e">
        <f t="shared" si="12"/>
        <v>#NUM!</v>
      </c>
      <c r="K173" s="95" t="e">
        <f t="shared" si="13"/>
        <v>#NUM!</v>
      </c>
      <c r="L173" s="95"/>
      <c r="M173" s="97">
        <f t="shared" si="14"/>
        <v>0</v>
      </c>
      <c r="S173" s="85"/>
      <c r="T173" s="85"/>
      <c r="U173" s="85"/>
      <c r="V173" s="85"/>
      <c r="W173" s="85"/>
      <c r="X173" s="85"/>
      <c r="Y173" s="85"/>
      <c r="Z173" s="85"/>
      <c r="AA173" s="85"/>
      <c r="AB173" s="85"/>
      <c r="AC173" s="85"/>
      <c r="AD173" s="85"/>
      <c r="AE173" s="85"/>
      <c r="AF173" s="85"/>
      <c r="AG173" s="85"/>
      <c r="AH173" s="85"/>
      <c r="AI173" s="85"/>
      <c r="AJ173" s="85"/>
      <c r="AK173" s="85"/>
      <c r="AL173" s="85"/>
    </row>
    <row r="174" spans="1:38" s="80" customFormat="1" x14ac:dyDescent="0.25">
      <c r="A174" s="116"/>
      <c r="B174" s="115"/>
      <c r="C174" s="115"/>
      <c r="D174" s="115"/>
      <c r="E174" s="115"/>
      <c r="F174" s="115"/>
      <c r="H174" s="95">
        <v>169</v>
      </c>
      <c r="I174" s="96" t="str">
        <f t="shared" si="11"/>
        <v/>
      </c>
      <c r="J174" s="96" t="e">
        <f t="shared" si="12"/>
        <v>#NUM!</v>
      </c>
      <c r="K174" s="95" t="e">
        <f t="shared" si="13"/>
        <v>#NUM!</v>
      </c>
      <c r="L174" s="95"/>
      <c r="M174" s="97">
        <f t="shared" si="14"/>
        <v>0</v>
      </c>
      <c r="S174" s="85"/>
      <c r="T174" s="85"/>
      <c r="U174" s="85"/>
      <c r="V174" s="85"/>
      <c r="W174" s="85"/>
      <c r="X174" s="85"/>
      <c r="Y174" s="85"/>
      <c r="Z174" s="85"/>
      <c r="AA174" s="85"/>
      <c r="AB174" s="85"/>
      <c r="AC174" s="85"/>
      <c r="AD174" s="85"/>
      <c r="AE174" s="85"/>
      <c r="AF174" s="85"/>
      <c r="AG174" s="85"/>
      <c r="AH174" s="85"/>
      <c r="AI174" s="85"/>
      <c r="AJ174" s="85"/>
      <c r="AK174" s="85"/>
      <c r="AL174" s="85"/>
    </row>
    <row r="175" spans="1:38" s="80" customFormat="1" x14ac:dyDescent="0.25">
      <c r="A175" s="116"/>
      <c r="B175" s="115"/>
      <c r="C175" s="115"/>
      <c r="D175" s="115"/>
      <c r="E175" s="115"/>
      <c r="F175" s="115"/>
      <c r="H175" s="95">
        <v>170</v>
      </c>
      <c r="I175" s="96" t="str">
        <f t="shared" si="11"/>
        <v/>
      </c>
      <c r="J175" s="96" t="e">
        <f t="shared" si="12"/>
        <v>#NUM!</v>
      </c>
      <c r="K175" s="95" t="e">
        <f t="shared" si="13"/>
        <v>#NUM!</v>
      </c>
      <c r="L175" s="95"/>
      <c r="M175" s="97">
        <f t="shared" si="14"/>
        <v>0</v>
      </c>
      <c r="S175" s="85"/>
      <c r="T175" s="85"/>
      <c r="U175" s="85"/>
      <c r="V175" s="85"/>
      <c r="W175" s="85"/>
      <c r="X175" s="85"/>
      <c r="Y175" s="85"/>
      <c r="Z175" s="85"/>
      <c r="AA175" s="85"/>
      <c r="AB175" s="85"/>
      <c r="AC175" s="85"/>
      <c r="AD175" s="85"/>
      <c r="AE175" s="85"/>
      <c r="AF175" s="85"/>
      <c r="AG175" s="85"/>
      <c r="AH175" s="85"/>
      <c r="AI175" s="85"/>
      <c r="AJ175" s="85"/>
      <c r="AK175" s="85"/>
      <c r="AL175" s="85"/>
    </row>
    <row r="176" spans="1:38" s="80" customFormat="1" x14ac:dyDescent="0.25">
      <c r="A176" s="116"/>
      <c r="B176" s="115"/>
      <c r="C176" s="115"/>
      <c r="D176" s="115"/>
      <c r="E176" s="115"/>
      <c r="F176" s="115"/>
      <c r="H176" s="95">
        <v>171</v>
      </c>
      <c r="I176" s="96" t="str">
        <f t="shared" si="11"/>
        <v/>
      </c>
      <c r="J176" s="96" t="e">
        <f t="shared" si="12"/>
        <v>#NUM!</v>
      </c>
      <c r="K176" s="95" t="e">
        <f t="shared" si="13"/>
        <v>#NUM!</v>
      </c>
      <c r="L176" s="95"/>
      <c r="M176" s="97">
        <f t="shared" si="14"/>
        <v>0</v>
      </c>
      <c r="S176" s="85"/>
      <c r="T176" s="85"/>
      <c r="U176" s="85"/>
      <c r="V176" s="85"/>
      <c r="W176" s="85"/>
      <c r="X176" s="85"/>
      <c r="Y176" s="85"/>
      <c r="Z176" s="85"/>
      <c r="AA176" s="85"/>
      <c r="AB176" s="85"/>
      <c r="AC176" s="85"/>
      <c r="AD176" s="85"/>
      <c r="AE176" s="85"/>
      <c r="AF176" s="85"/>
      <c r="AG176" s="85"/>
      <c r="AH176" s="85"/>
      <c r="AI176" s="85"/>
      <c r="AJ176" s="85"/>
      <c r="AK176" s="85"/>
      <c r="AL176" s="85"/>
    </row>
    <row r="177" spans="1:38" s="80" customFormat="1" x14ac:dyDescent="0.25">
      <c r="A177" s="116"/>
      <c r="B177" s="115"/>
      <c r="C177" s="115"/>
      <c r="D177" s="115"/>
      <c r="E177" s="115"/>
      <c r="F177" s="115"/>
      <c r="H177" s="95">
        <v>172</v>
      </c>
      <c r="I177" s="96" t="str">
        <f t="shared" si="11"/>
        <v/>
      </c>
      <c r="J177" s="96" t="e">
        <f t="shared" si="12"/>
        <v>#NUM!</v>
      </c>
      <c r="K177" s="95" t="e">
        <f t="shared" si="13"/>
        <v>#NUM!</v>
      </c>
      <c r="L177" s="95"/>
      <c r="M177" s="97">
        <f t="shared" si="14"/>
        <v>0</v>
      </c>
      <c r="S177" s="85"/>
      <c r="T177" s="85"/>
      <c r="U177" s="85"/>
      <c r="V177" s="85"/>
      <c r="W177" s="85"/>
      <c r="X177" s="85"/>
      <c r="Y177" s="85"/>
      <c r="Z177" s="85"/>
      <c r="AA177" s="85"/>
      <c r="AB177" s="85"/>
      <c r="AC177" s="85"/>
      <c r="AD177" s="85"/>
      <c r="AE177" s="85"/>
      <c r="AF177" s="85"/>
      <c r="AG177" s="85"/>
      <c r="AH177" s="85"/>
      <c r="AI177" s="85"/>
      <c r="AJ177" s="85"/>
      <c r="AK177" s="85"/>
      <c r="AL177" s="85"/>
    </row>
    <row r="178" spans="1:38" s="80" customFormat="1" x14ac:dyDescent="0.25">
      <c r="A178" s="116"/>
      <c r="B178" s="115"/>
      <c r="C178" s="115"/>
      <c r="D178" s="115"/>
      <c r="E178" s="115"/>
      <c r="F178" s="115"/>
      <c r="H178" s="95">
        <v>173</v>
      </c>
      <c r="I178" s="96" t="str">
        <f t="shared" si="11"/>
        <v/>
      </c>
      <c r="J178" s="96" t="e">
        <f t="shared" si="12"/>
        <v>#NUM!</v>
      </c>
      <c r="K178" s="95" t="e">
        <f t="shared" si="13"/>
        <v>#NUM!</v>
      </c>
      <c r="L178" s="95"/>
      <c r="M178" s="97">
        <f t="shared" si="14"/>
        <v>0</v>
      </c>
      <c r="S178" s="85"/>
      <c r="T178" s="85"/>
      <c r="U178" s="85"/>
      <c r="V178" s="85"/>
      <c r="W178" s="85"/>
      <c r="X178" s="85"/>
      <c r="Y178" s="85"/>
      <c r="Z178" s="85"/>
      <c r="AA178" s="85"/>
      <c r="AB178" s="85"/>
      <c r="AC178" s="85"/>
      <c r="AD178" s="85"/>
      <c r="AE178" s="85"/>
      <c r="AF178" s="85"/>
      <c r="AG178" s="85"/>
      <c r="AH178" s="85"/>
      <c r="AI178" s="85"/>
      <c r="AJ178" s="85"/>
      <c r="AK178" s="85"/>
      <c r="AL178" s="85"/>
    </row>
    <row r="179" spans="1:38" s="80" customFormat="1" x14ac:dyDescent="0.25">
      <c r="A179" s="116"/>
      <c r="B179" s="115"/>
      <c r="C179" s="115"/>
      <c r="D179" s="115"/>
      <c r="E179" s="115"/>
      <c r="F179" s="115"/>
      <c r="H179" s="95">
        <v>174</v>
      </c>
      <c r="I179" s="96" t="str">
        <f t="shared" si="11"/>
        <v/>
      </c>
      <c r="J179" s="96" t="e">
        <f t="shared" si="12"/>
        <v>#NUM!</v>
      </c>
      <c r="K179" s="95" t="e">
        <f t="shared" si="13"/>
        <v>#NUM!</v>
      </c>
      <c r="L179" s="95"/>
      <c r="M179" s="97">
        <f t="shared" si="14"/>
        <v>0</v>
      </c>
      <c r="S179" s="85"/>
      <c r="T179" s="85"/>
      <c r="U179" s="85"/>
      <c r="V179" s="85"/>
      <c r="W179" s="85"/>
      <c r="X179" s="85"/>
      <c r="Y179" s="85"/>
      <c r="Z179" s="85"/>
      <c r="AA179" s="85"/>
      <c r="AB179" s="85"/>
      <c r="AC179" s="85"/>
      <c r="AD179" s="85"/>
      <c r="AE179" s="85"/>
      <c r="AF179" s="85"/>
      <c r="AG179" s="85"/>
      <c r="AH179" s="85"/>
      <c r="AI179" s="85"/>
      <c r="AJ179" s="85"/>
      <c r="AK179" s="85"/>
      <c r="AL179" s="85"/>
    </row>
    <row r="180" spans="1:38" s="80" customFormat="1" x14ac:dyDescent="0.25">
      <c r="A180" s="116"/>
      <c r="B180" s="115"/>
      <c r="C180" s="115"/>
      <c r="D180" s="115"/>
      <c r="E180" s="115"/>
      <c r="F180" s="115"/>
      <c r="H180" s="95">
        <v>175</v>
      </c>
      <c r="I180" s="96" t="str">
        <f t="shared" si="11"/>
        <v/>
      </c>
      <c r="J180" s="96" t="e">
        <f t="shared" si="12"/>
        <v>#NUM!</v>
      </c>
      <c r="K180" s="95" t="e">
        <f t="shared" si="13"/>
        <v>#NUM!</v>
      </c>
      <c r="L180" s="95"/>
      <c r="M180" s="97">
        <f t="shared" si="14"/>
        <v>0</v>
      </c>
      <c r="S180" s="85"/>
      <c r="T180" s="85"/>
      <c r="U180" s="85"/>
      <c r="V180" s="85"/>
      <c r="W180" s="85"/>
      <c r="X180" s="85"/>
      <c r="Y180" s="85"/>
      <c r="Z180" s="85"/>
      <c r="AA180" s="85"/>
      <c r="AB180" s="85"/>
      <c r="AC180" s="85"/>
      <c r="AD180" s="85"/>
      <c r="AE180" s="85"/>
      <c r="AF180" s="85"/>
      <c r="AG180" s="85"/>
      <c r="AH180" s="85"/>
      <c r="AI180" s="85"/>
      <c r="AJ180" s="85"/>
      <c r="AK180" s="85"/>
      <c r="AL180" s="85"/>
    </row>
    <row r="181" spans="1:38" s="80" customFormat="1" x14ac:dyDescent="0.25">
      <c r="A181" s="116"/>
      <c r="B181" s="115"/>
      <c r="C181" s="115"/>
      <c r="D181" s="115"/>
      <c r="E181" s="115"/>
      <c r="F181" s="115"/>
      <c r="H181" s="95">
        <v>176</v>
      </c>
      <c r="I181" s="96" t="str">
        <f t="shared" si="11"/>
        <v/>
      </c>
      <c r="J181" s="96" t="e">
        <f t="shared" si="12"/>
        <v>#NUM!</v>
      </c>
      <c r="K181" s="95" t="e">
        <f t="shared" si="13"/>
        <v>#NUM!</v>
      </c>
      <c r="L181" s="95"/>
      <c r="M181" s="97">
        <f t="shared" si="14"/>
        <v>0</v>
      </c>
      <c r="S181" s="85"/>
      <c r="T181" s="85"/>
      <c r="U181" s="85"/>
      <c r="V181" s="85"/>
      <c r="W181" s="85"/>
      <c r="X181" s="85"/>
      <c r="Y181" s="85"/>
      <c r="Z181" s="85"/>
      <c r="AA181" s="85"/>
      <c r="AB181" s="85"/>
      <c r="AC181" s="85"/>
      <c r="AD181" s="85"/>
      <c r="AE181" s="85"/>
      <c r="AF181" s="85"/>
      <c r="AG181" s="85"/>
      <c r="AH181" s="85"/>
      <c r="AI181" s="85"/>
      <c r="AJ181" s="85"/>
      <c r="AK181" s="85"/>
      <c r="AL181" s="85"/>
    </row>
    <row r="182" spans="1:38" s="80" customFormat="1" x14ac:dyDescent="0.25">
      <c r="A182" s="116"/>
      <c r="B182" s="115"/>
      <c r="C182" s="115"/>
      <c r="D182" s="115"/>
      <c r="E182" s="115"/>
      <c r="F182" s="115"/>
      <c r="H182" s="95">
        <v>177</v>
      </c>
      <c r="I182" s="96" t="str">
        <f t="shared" si="11"/>
        <v/>
      </c>
      <c r="J182" s="96" t="e">
        <f t="shared" si="12"/>
        <v>#NUM!</v>
      </c>
      <c r="K182" s="95" t="e">
        <f t="shared" si="13"/>
        <v>#NUM!</v>
      </c>
      <c r="L182" s="95"/>
      <c r="M182" s="97">
        <f t="shared" si="14"/>
        <v>0</v>
      </c>
      <c r="S182" s="85"/>
      <c r="T182" s="85"/>
      <c r="U182" s="85"/>
      <c r="V182" s="85"/>
      <c r="W182" s="85"/>
      <c r="X182" s="85"/>
      <c r="Y182" s="85"/>
      <c r="Z182" s="85"/>
      <c r="AA182" s="85"/>
      <c r="AB182" s="85"/>
      <c r="AC182" s="85"/>
      <c r="AD182" s="85"/>
      <c r="AE182" s="85"/>
      <c r="AF182" s="85"/>
      <c r="AG182" s="85"/>
      <c r="AH182" s="85"/>
      <c r="AI182" s="85"/>
      <c r="AJ182" s="85"/>
      <c r="AK182" s="85"/>
      <c r="AL182" s="85"/>
    </row>
    <row r="183" spans="1:38" s="80" customFormat="1" x14ac:dyDescent="0.25">
      <c r="A183" s="116"/>
      <c r="B183" s="115"/>
      <c r="C183" s="115"/>
      <c r="D183" s="115"/>
      <c r="E183" s="115"/>
      <c r="F183" s="115"/>
      <c r="H183" s="95">
        <v>178</v>
      </c>
      <c r="I183" s="96" t="str">
        <f t="shared" si="11"/>
        <v/>
      </c>
      <c r="J183" s="96" t="e">
        <f t="shared" si="12"/>
        <v>#NUM!</v>
      </c>
      <c r="K183" s="95" t="e">
        <f t="shared" si="13"/>
        <v>#NUM!</v>
      </c>
      <c r="L183" s="95"/>
      <c r="M183" s="97">
        <f t="shared" si="14"/>
        <v>0</v>
      </c>
      <c r="S183" s="85"/>
      <c r="T183" s="85"/>
      <c r="U183" s="85"/>
      <c r="V183" s="85"/>
      <c r="W183" s="85"/>
      <c r="X183" s="85"/>
      <c r="Y183" s="85"/>
      <c r="Z183" s="85"/>
      <c r="AA183" s="85"/>
      <c r="AB183" s="85"/>
      <c r="AC183" s="85"/>
      <c r="AD183" s="85"/>
      <c r="AE183" s="85"/>
      <c r="AF183" s="85"/>
      <c r="AG183" s="85"/>
      <c r="AH183" s="85"/>
      <c r="AI183" s="85"/>
      <c r="AJ183" s="85"/>
      <c r="AK183" s="85"/>
      <c r="AL183" s="85"/>
    </row>
    <row r="184" spans="1:38" s="80" customFormat="1" x14ac:dyDescent="0.25">
      <c r="A184" s="116"/>
      <c r="B184" s="115"/>
      <c r="C184" s="115"/>
      <c r="D184" s="115"/>
      <c r="E184" s="115"/>
      <c r="F184" s="115"/>
      <c r="H184" s="95">
        <v>179</v>
      </c>
      <c r="I184" s="96" t="str">
        <f t="shared" si="11"/>
        <v/>
      </c>
      <c r="J184" s="96" t="e">
        <f t="shared" si="12"/>
        <v>#NUM!</v>
      </c>
      <c r="K184" s="95" t="e">
        <f t="shared" si="13"/>
        <v>#NUM!</v>
      </c>
      <c r="L184" s="95"/>
      <c r="M184" s="97">
        <f t="shared" si="14"/>
        <v>0</v>
      </c>
      <c r="S184" s="85"/>
      <c r="T184" s="85"/>
      <c r="U184" s="85"/>
      <c r="V184" s="85"/>
      <c r="W184" s="85"/>
      <c r="X184" s="85"/>
      <c r="Y184" s="85"/>
      <c r="Z184" s="85"/>
      <c r="AA184" s="85"/>
      <c r="AB184" s="85"/>
      <c r="AC184" s="85"/>
      <c r="AD184" s="85"/>
      <c r="AE184" s="85"/>
      <c r="AF184" s="85"/>
      <c r="AG184" s="85"/>
      <c r="AH184" s="85"/>
      <c r="AI184" s="85"/>
      <c r="AJ184" s="85"/>
      <c r="AK184" s="85"/>
      <c r="AL184" s="85"/>
    </row>
    <row r="185" spans="1:38" s="80" customFormat="1" x14ac:dyDescent="0.25">
      <c r="A185" s="116"/>
      <c r="B185" s="115"/>
      <c r="C185" s="115"/>
      <c r="D185" s="115"/>
      <c r="E185" s="115"/>
      <c r="F185" s="115"/>
      <c r="H185" s="95">
        <v>180</v>
      </c>
      <c r="I185" s="96" t="str">
        <f t="shared" si="11"/>
        <v/>
      </c>
      <c r="J185" s="96" t="e">
        <f t="shared" si="12"/>
        <v>#NUM!</v>
      </c>
      <c r="K185" s="95" t="e">
        <f t="shared" si="13"/>
        <v>#NUM!</v>
      </c>
      <c r="L185" s="95"/>
      <c r="M185" s="97">
        <f t="shared" si="14"/>
        <v>0</v>
      </c>
      <c r="S185" s="85"/>
      <c r="T185" s="85"/>
      <c r="U185" s="85"/>
      <c r="V185" s="85"/>
      <c r="W185" s="85"/>
      <c r="X185" s="85"/>
      <c r="Y185" s="85"/>
      <c r="Z185" s="85"/>
      <c r="AA185" s="85"/>
      <c r="AB185" s="85"/>
      <c r="AC185" s="85"/>
      <c r="AD185" s="85"/>
      <c r="AE185" s="85"/>
      <c r="AF185" s="85"/>
      <c r="AG185" s="85"/>
      <c r="AH185" s="85"/>
      <c r="AI185" s="85"/>
      <c r="AJ185" s="85"/>
      <c r="AK185" s="85"/>
      <c r="AL185" s="85"/>
    </row>
    <row r="186" spans="1:38" s="80" customFormat="1" x14ac:dyDescent="0.25">
      <c r="A186" s="116"/>
      <c r="B186" s="115"/>
      <c r="C186" s="115"/>
      <c r="D186" s="115"/>
      <c r="E186" s="115"/>
      <c r="F186" s="115"/>
      <c r="H186" s="95">
        <v>181</v>
      </c>
      <c r="I186" s="96" t="str">
        <f t="shared" si="11"/>
        <v/>
      </c>
      <c r="J186" s="96" t="e">
        <f t="shared" si="12"/>
        <v>#NUM!</v>
      </c>
      <c r="K186" s="95" t="e">
        <f t="shared" si="13"/>
        <v>#NUM!</v>
      </c>
      <c r="L186" s="95"/>
      <c r="M186" s="97">
        <f t="shared" si="14"/>
        <v>0</v>
      </c>
      <c r="S186" s="85"/>
      <c r="T186" s="85"/>
      <c r="U186" s="85"/>
      <c r="V186" s="85"/>
      <c r="W186" s="85"/>
      <c r="X186" s="85"/>
      <c r="Y186" s="85"/>
      <c r="Z186" s="85"/>
      <c r="AA186" s="85"/>
      <c r="AB186" s="85"/>
      <c r="AC186" s="85"/>
      <c r="AD186" s="85"/>
      <c r="AE186" s="85"/>
      <c r="AF186" s="85"/>
      <c r="AG186" s="85"/>
      <c r="AH186" s="85"/>
      <c r="AI186" s="85"/>
      <c r="AJ186" s="85"/>
      <c r="AK186" s="85"/>
      <c r="AL186" s="85"/>
    </row>
    <row r="187" spans="1:38" s="80" customFormat="1" x14ac:dyDescent="0.25">
      <c r="A187" s="116"/>
      <c r="B187" s="115"/>
      <c r="C187" s="115"/>
      <c r="D187" s="115"/>
      <c r="E187" s="115"/>
      <c r="F187" s="115"/>
      <c r="H187" s="95">
        <v>182</v>
      </c>
      <c r="I187" s="96" t="str">
        <f t="shared" si="11"/>
        <v/>
      </c>
      <c r="J187" s="96" t="e">
        <f t="shared" si="12"/>
        <v>#NUM!</v>
      </c>
      <c r="K187" s="95" t="e">
        <f t="shared" si="13"/>
        <v>#NUM!</v>
      </c>
      <c r="L187" s="95"/>
      <c r="M187" s="97">
        <f t="shared" si="14"/>
        <v>0</v>
      </c>
      <c r="S187" s="85"/>
      <c r="T187" s="85"/>
      <c r="U187" s="85"/>
      <c r="V187" s="85"/>
      <c r="W187" s="85"/>
      <c r="X187" s="85"/>
      <c r="Y187" s="85"/>
      <c r="Z187" s="85"/>
      <c r="AA187" s="85"/>
      <c r="AB187" s="85"/>
      <c r="AC187" s="85"/>
      <c r="AD187" s="85"/>
      <c r="AE187" s="85"/>
      <c r="AF187" s="85"/>
      <c r="AG187" s="85"/>
      <c r="AH187" s="85"/>
      <c r="AI187" s="85"/>
      <c r="AJ187" s="85"/>
      <c r="AK187" s="85"/>
      <c r="AL187" s="85"/>
    </row>
    <row r="188" spans="1:38" s="80" customFormat="1" x14ac:dyDescent="0.25">
      <c r="A188" s="116"/>
      <c r="B188" s="115"/>
      <c r="C188" s="115"/>
      <c r="D188" s="115"/>
      <c r="E188" s="115"/>
      <c r="F188" s="115"/>
      <c r="H188" s="95">
        <v>183</v>
      </c>
      <c r="I188" s="96" t="str">
        <f t="shared" si="11"/>
        <v/>
      </c>
      <c r="J188" s="96" t="e">
        <f t="shared" si="12"/>
        <v>#NUM!</v>
      </c>
      <c r="K188" s="95" t="e">
        <f t="shared" si="13"/>
        <v>#NUM!</v>
      </c>
      <c r="L188" s="95"/>
      <c r="M188" s="97">
        <f t="shared" si="14"/>
        <v>0</v>
      </c>
      <c r="S188" s="85"/>
      <c r="T188" s="85"/>
      <c r="U188" s="85"/>
      <c r="V188" s="85"/>
      <c r="W188" s="85"/>
      <c r="X188" s="85"/>
      <c r="Y188" s="85"/>
      <c r="Z188" s="85"/>
      <c r="AA188" s="85"/>
      <c r="AB188" s="85"/>
      <c r="AC188" s="85"/>
      <c r="AD188" s="85"/>
      <c r="AE188" s="85"/>
      <c r="AF188" s="85"/>
      <c r="AG188" s="85"/>
      <c r="AH188" s="85"/>
      <c r="AI188" s="85"/>
      <c r="AJ188" s="85"/>
      <c r="AK188" s="85"/>
      <c r="AL188" s="85"/>
    </row>
    <row r="189" spans="1:38" s="80" customFormat="1" x14ac:dyDescent="0.25">
      <c r="A189" s="116"/>
      <c r="B189" s="115"/>
      <c r="C189" s="115"/>
      <c r="D189" s="115"/>
      <c r="E189" s="115"/>
      <c r="F189" s="115"/>
      <c r="H189" s="95">
        <v>184</v>
      </c>
      <c r="I189" s="96" t="str">
        <f t="shared" si="11"/>
        <v/>
      </c>
      <c r="J189" s="96" t="e">
        <f t="shared" si="12"/>
        <v>#NUM!</v>
      </c>
      <c r="K189" s="95" t="e">
        <f t="shared" si="13"/>
        <v>#NUM!</v>
      </c>
      <c r="L189" s="95"/>
      <c r="M189" s="97">
        <f t="shared" si="14"/>
        <v>0</v>
      </c>
      <c r="S189" s="85"/>
      <c r="T189" s="85"/>
      <c r="U189" s="85"/>
      <c r="V189" s="85"/>
      <c r="W189" s="85"/>
      <c r="X189" s="85"/>
      <c r="Y189" s="85"/>
      <c r="Z189" s="85"/>
      <c r="AA189" s="85"/>
      <c r="AB189" s="85"/>
      <c r="AC189" s="85"/>
      <c r="AD189" s="85"/>
      <c r="AE189" s="85"/>
      <c r="AF189" s="85"/>
      <c r="AG189" s="85"/>
      <c r="AH189" s="85"/>
      <c r="AI189" s="85"/>
      <c r="AJ189" s="85"/>
      <c r="AK189" s="85"/>
      <c r="AL189" s="85"/>
    </row>
    <row r="190" spans="1:38" s="80" customFormat="1" x14ac:dyDescent="0.25">
      <c r="A190" s="116"/>
      <c r="B190" s="115"/>
      <c r="C190" s="115"/>
      <c r="D190" s="115"/>
      <c r="E190" s="115"/>
      <c r="F190" s="115"/>
      <c r="H190" s="95">
        <v>185</v>
      </c>
      <c r="I190" s="96" t="str">
        <f t="shared" si="11"/>
        <v/>
      </c>
      <c r="J190" s="96" t="e">
        <f t="shared" si="12"/>
        <v>#NUM!</v>
      </c>
      <c r="K190" s="95" t="e">
        <f t="shared" si="13"/>
        <v>#NUM!</v>
      </c>
      <c r="L190" s="95"/>
      <c r="M190" s="97">
        <f t="shared" si="14"/>
        <v>0</v>
      </c>
      <c r="S190" s="85"/>
      <c r="T190" s="85"/>
      <c r="U190" s="85"/>
      <c r="V190" s="85"/>
      <c r="W190" s="85"/>
      <c r="X190" s="85"/>
      <c r="Y190" s="85"/>
      <c r="Z190" s="85"/>
      <c r="AA190" s="85"/>
      <c r="AB190" s="85"/>
      <c r="AC190" s="85"/>
      <c r="AD190" s="85"/>
      <c r="AE190" s="85"/>
      <c r="AF190" s="85"/>
      <c r="AG190" s="85"/>
      <c r="AH190" s="85"/>
      <c r="AI190" s="85"/>
      <c r="AJ190" s="85"/>
      <c r="AK190" s="85"/>
      <c r="AL190" s="85"/>
    </row>
    <row r="191" spans="1:38" s="80" customFormat="1" x14ac:dyDescent="0.25">
      <c r="A191" s="116"/>
      <c r="B191" s="115"/>
      <c r="C191" s="115"/>
      <c r="D191" s="115"/>
      <c r="E191" s="115"/>
      <c r="F191" s="115"/>
      <c r="H191" s="95">
        <v>186</v>
      </c>
      <c r="I191" s="96" t="str">
        <f t="shared" si="11"/>
        <v/>
      </c>
      <c r="J191" s="96" t="e">
        <f t="shared" si="12"/>
        <v>#NUM!</v>
      </c>
      <c r="K191" s="95" t="e">
        <f t="shared" si="13"/>
        <v>#NUM!</v>
      </c>
      <c r="L191" s="95"/>
      <c r="M191" s="97">
        <f t="shared" si="14"/>
        <v>0</v>
      </c>
      <c r="S191" s="85"/>
      <c r="T191" s="85"/>
      <c r="U191" s="85"/>
      <c r="V191" s="85"/>
      <c r="W191" s="85"/>
      <c r="X191" s="85"/>
      <c r="Y191" s="85"/>
      <c r="Z191" s="85"/>
      <c r="AA191" s="85"/>
      <c r="AB191" s="85"/>
      <c r="AC191" s="85"/>
      <c r="AD191" s="85"/>
      <c r="AE191" s="85"/>
      <c r="AF191" s="85"/>
      <c r="AG191" s="85"/>
      <c r="AH191" s="85"/>
      <c r="AI191" s="85"/>
      <c r="AJ191" s="85"/>
      <c r="AK191" s="85"/>
      <c r="AL191" s="85"/>
    </row>
    <row r="192" spans="1:38" s="80" customFormat="1" x14ac:dyDescent="0.25">
      <c r="A192" s="116"/>
      <c r="B192" s="115"/>
      <c r="C192" s="115"/>
      <c r="D192" s="115"/>
      <c r="E192" s="115"/>
      <c r="F192" s="115"/>
      <c r="H192" s="95">
        <v>187</v>
      </c>
      <c r="I192" s="96" t="str">
        <f t="shared" si="11"/>
        <v/>
      </c>
      <c r="J192" s="96" t="e">
        <f t="shared" si="12"/>
        <v>#NUM!</v>
      </c>
      <c r="K192" s="95" t="e">
        <f t="shared" si="13"/>
        <v>#NUM!</v>
      </c>
      <c r="L192" s="95"/>
      <c r="M192" s="97">
        <f t="shared" si="14"/>
        <v>0</v>
      </c>
      <c r="S192" s="85"/>
      <c r="T192" s="85"/>
      <c r="U192" s="85"/>
      <c r="V192" s="85"/>
      <c r="W192" s="85"/>
      <c r="X192" s="85"/>
      <c r="Y192" s="85"/>
      <c r="Z192" s="85"/>
      <c r="AA192" s="85"/>
      <c r="AB192" s="85"/>
      <c r="AC192" s="85"/>
      <c r="AD192" s="85"/>
      <c r="AE192" s="85"/>
      <c r="AF192" s="85"/>
      <c r="AG192" s="85"/>
      <c r="AH192" s="85"/>
      <c r="AI192" s="85"/>
      <c r="AJ192" s="85"/>
      <c r="AK192" s="85"/>
      <c r="AL192" s="85"/>
    </row>
    <row r="193" spans="1:38" s="80" customFormat="1" x14ac:dyDescent="0.25">
      <c r="A193" s="116"/>
      <c r="B193" s="115"/>
      <c r="C193" s="115"/>
      <c r="D193" s="115"/>
      <c r="E193" s="115"/>
      <c r="F193" s="115"/>
      <c r="H193" s="95">
        <v>188</v>
      </c>
      <c r="I193" s="96" t="str">
        <f t="shared" si="11"/>
        <v/>
      </c>
      <c r="J193" s="96" t="e">
        <f t="shared" si="12"/>
        <v>#NUM!</v>
      </c>
      <c r="K193" s="95" t="e">
        <f t="shared" si="13"/>
        <v>#NUM!</v>
      </c>
      <c r="L193" s="95"/>
      <c r="M193" s="97">
        <f t="shared" si="14"/>
        <v>0</v>
      </c>
      <c r="S193" s="85"/>
      <c r="T193" s="85"/>
      <c r="U193" s="85"/>
      <c r="V193" s="85"/>
      <c r="W193" s="85"/>
      <c r="X193" s="85"/>
      <c r="Y193" s="85"/>
      <c r="Z193" s="85"/>
      <c r="AA193" s="85"/>
      <c r="AB193" s="85"/>
      <c r="AC193" s="85"/>
      <c r="AD193" s="85"/>
      <c r="AE193" s="85"/>
      <c r="AF193" s="85"/>
      <c r="AG193" s="85"/>
      <c r="AH193" s="85"/>
      <c r="AI193" s="85"/>
      <c r="AJ193" s="85"/>
      <c r="AK193" s="85"/>
      <c r="AL193" s="85"/>
    </row>
    <row r="194" spans="1:38" s="80" customFormat="1" x14ac:dyDescent="0.25">
      <c r="A194" s="116"/>
      <c r="B194" s="115"/>
      <c r="C194" s="115"/>
      <c r="D194" s="115"/>
      <c r="E194" s="115"/>
      <c r="F194" s="115"/>
      <c r="H194" s="95">
        <v>189</v>
      </c>
      <c r="I194" s="96" t="str">
        <f t="shared" si="11"/>
        <v/>
      </c>
      <c r="J194" s="96" t="e">
        <f t="shared" si="12"/>
        <v>#NUM!</v>
      </c>
      <c r="K194" s="95" t="e">
        <f t="shared" si="13"/>
        <v>#NUM!</v>
      </c>
      <c r="L194" s="95"/>
      <c r="M194" s="97">
        <f t="shared" si="14"/>
        <v>0</v>
      </c>
      <c r="S194" s="85"/>
      <c r="T194" s="85"/>
      <c r="U194" s="85"/>
      <c r="V194" s="85"/>
      <c r="W194" s="85"/>
      <c r="X194" s="85"/>
      <c r="Y194" s="85"/>
      <c r="Z194" s="85"/>
      <c r="AA194" s="85"/>
      <c r="AB194" s="85"/>
      <c r="AC194" s="85"/>
      <c r="AD194" s="85"/>
      <c r="AE194" s="85"/>
      <c r="AF194" s="85"/>
      <c r="AG194" s="85"/>
      <c r="AH194" s="85"/>
      <c r="AI194" s="85"/>
      <c r="AJ194" s="85"/>
      <c r="AK194" s="85"/>
      <c r="AL194" s="85"/>
    </row>
    <row r="195" spans="1:38" s="80" customFormat="1" x14ac:dyDescent="0.25">
      <c r="A195" s="116"/>
      <c r="B195" s="115"/>
      <c r="C195" s="115"/>
      <c r="D195" s="115"/>
      <c r="E195" s="115"/>
      <c r="F195" s="115"/>
      <c r="H195" s="95">
        <v>190</v>
      </c>
      <c r="I195" s="96" t="str">
        <f t="shared" si="11"/>
        <v/>
      </c>
      <c r="J195" s="96" t="e">
        <f t="shared" si="12"/>
        <v>#NUM!</v>
      </c>
      <c r="K195" s="95" t="e">
        <f t="shared" si="13"/>
        <v>#NUM!</v>
      </c>
      <c r="L195" s="95"/>
      <c r="M195" s="97">
        <f t="shared" si="14"/>
        <v>0</v>
      </c>
      <c r="S195" s="85"/>
      <c r="T195" s="85"/>
      <c r="U195" s="85"/>
      <c r="V195" s="85"/>
      <c r="W195" s="85"/>
      <c r="X195" s="85"/>
      <c r="Y195" s="85"/>
      <c r="Z195" s="85"/>
      <c r="AA195" s="85"/>
      <c r="AB195" s="85"/>
      <c r="AC195" s="85"/>
      <c r="AD195" s="85"/>
      <c r="AE195" s="85"/>
      <c r="AF195" s="85"/>
      <c r="AG195" s="85"/>
      <c r="AH195" s="85"/>
      <c r="AI195" s="85"/>
      <c r="AJ195" s="85"/>
      <c r="AK195" s="85"/>
      <c r="AL195" s="85"/>
    </row>
    <row r="196" spans="1:38" s="80" customFormat="1" x14ac:dyDescent="0.25">
      <c r="A196" s="116"/>
      <c r="B196" s="115"/>
      <c r="C196" s="115"/>
      <c r="D196" s="115"/>
      <c r="E196" s="115"/>
      <c r="F196" s="115"/>
      <c r="H196" s="95">
        <v>191</v>
      </c>
      <c r="I196" s="96" t="str">
        <f t="shared" si="11"/>
        <v/>
      </c>
      <c r="J196" s="96" t="e">
        <f t="shared" si="12"/>
        <v>#NUM!</v>
      </c>
      <c r="K196" s="95" t="e">
        <f t="shared" si="13"/>
        <v>#NUM!</v>
      </c>
      <c r="L196" s="95"/>
      <c r="M196" s="97">
        <f t="shared" si="14"/>
        <v>0</v>
      </c>
      <c r="S196" s="85"/>
      <c r="T196" s="85"/>
      <c r="U196" s="85"/>
      <c r="V196" s="85"/>
      <c r="W196" s="85"/>
      <c r="X196" s="85"/>
      <c r="Y196" s="85"/>
      <c r="Z196" s="85"/>
      <c r="AA196" s="85"/>
      <c r="AB196" s="85"/>
      <c r="AC196" s="85"/>
      <c r="AD196" s="85"/>
      <c r="AE196" s="85"/>
      <c r="AF196" s="85"/>
      <c r="AG196" s="85"/>
      <c r="AH196" s="85"/>
      <c r="AI196" s="85"/>
      <c r="AJ196" s="85"/>
      <c r="AK196" s="85"/>
      <c r="AL196" s="85"/>
    </row>
    <row r="197" spans="1:38" s="80" customFormat="1" x14ac:dyDescent="0.25">
      <c r="A197" s="116"/>
      <c r="B197" s="115"/>
      <c r="C197" s="115"/>
      <c r="D197" s="115"/>
      <c r="E197" s="115"/>
      <c r="F197" s="115"/>
      <c r="H197" s="95">
        <v>192</v>
      </c>
      <c r="I197" s="96" t="str">
        <f t="shared" si="11"/>
        <v/>
      </c>
      <c r="J197" s="96" t="e">
        <f t="shared" si="12"/>
        <v>#NUM!</v>
      </c>
      <c r="K197" s="95" t="e">
        <f t="shared" si="13"/>
        <v>#NUM!</v>
      </c>
      <c r="L197" s="95"/>
      <c r="M197" s="97">
        <f t="shared" si="14"/>
        <v>0</v>
      </c>
      <c r="S197" s="85"/>
      <c r="T197" s="85"/>
      <c r="U197" s="85"/>
      <c r="V197" s="85"/>
      <c r="W197" s="85"/>
      <c r="X197" s="85"/>
      <c r="Y197" s="85"/>
      <c r="Z197" s="85"/>
      <c r="AA197" s="85"/>
      <c r="AB197" s="85"/>
      <c r="AC197" s="85"/>
      <c r="AD197" s="85"/>
      <c r="AE197" s="85"/>
      <c r="AF197" s="85"/>
      <c r="AG197" s="85"/>
      <c r="AH197" s="85"/>
      <c r="AI197" s="85"/>
      <c r="AJ197" s="85"/>
      <c r="AK197" s="85"/>
      <c r="AL197" s="85"/>
    </row>
    <row r="198" spans="1:38" s="80" customFormat="1" x14ac:dyDescent="0.25">
      <c r="A198" s="116"/>
      <c r="B198" s="115"/>
      <c r="C198" s="115"/>
      <c r="D198" s="115"/>
      <c r="E198" s="115"/>
      <c r="F198" s="115"/>
      <c r="H198" s="95">
        <v>193</v>
      </c>
      <c r="I198" s="96" t="str">
        <f t="shared" ref="I198:I261" si="15">IF(H198&lt;$H$2+1,($I$2-($I$2-1)*(LOG(H198)/LOG($H$2))),"")</f>
        <v/>
      </c>
      <c r="J198" s="96" t="e">
        <f t="shared" ref="J198:J261" si="16">INT(LOG($H$2,2))-ROUNDUP(LOG(H198,2),0)+IF(OR($H$2=1,$H$2=2,$H$2=4,$H$2=8,$H$2=16,$H$2=32,$H$2=64,$H$2=128,$H$2=256),0,1)</f>
        <v>#NUM!</v>
      </c>
      <c r="K198" s="95" t="e">
        <f t="shared" ref="K198:K261" si="17">J198*$J$2</f>
        <v>#NUM!</v>
      </c>
      <c r="L198" s="95"/>
      <c r="M198" s="97">
        <f t="shared" ref="M198:M261" si="18">IF(I198&lt;&gt;"",K198+I198+L198,0)</f>
        <v>0</v>
      </c>
      <c r="S198" s="85"/>
      <c r="T198" s="85"/>
      <c r="U198" s="85"/>
      <c r="V198" s="85"/>
      <c r="W198" s="85"/>
      <c r="X198" s="85"/>
      <c r="Y198" s="85"/>
      <c r="Z198" s="85"/>
      <c r="AA198" s="85"/>
      <c r="AB198" s="85"/>
      <c r="AC198" s="85"/>
      <c r="AD198" s="85"/>
      <c r="AE198" s="85"/>
      <c r="AF198" s="85"/>
      <c r="AG198" s="85"/>
      <c r="AH198" s="85"/>
      <c r="AI198" s="85"/>
      <c r="AJ198" s="85"/>
      <c r="AK198" s="85"/>
      <c r="AL198" s="85"/>
    </row>
    <row r="199" spans="1:38" s="80" customFormat="1" x14ac:dyDescent="0.25">
      <c r="A199" s="116"/>
      <c r="B199" s="115"/>
      <c r="C199" s="115"/>
      <c r="D199" s="115"/>
      <c r="E199" s="115"/>
      <c r="F199" s="115"/>
      <c r="H199" s="95">
        <v>194</v>
      </c>
      <c r="I199" s="96" t="str">
        <f t="shared" si="15"/>
        <v/>
      </c>
      <c r="J199" s="96" t="e">
        <f t="shared" si="16"/>
        <v>#NUM!</v>
      </c>
      <c r="K199" s="95" t="e">
        <f t="shared" si="17"/>
        <v>#NUM!</v>
      </c>
      <c r="L199" s="95"/>
      <c r="M199" s="97">
        <f t="shared" si="18"/>
        <v>0</v>
      </c>
      <c r="S199" s="85"/>
      <c r="T199" s="85"/>
      <c r="U199" s="85"/>
      <c r="V199" s="85"/>
      <c r="W199" s="85"/>
      <c r="X199" s="85"/>
      <c r="Y199" s="85"/>
      <c r="Z199" s="85"/>
      <c r="AA199" s="85"/>
      <c r="AB199" s="85"/>
      <c r="AC199" s="85"/>
      <c r="AD199" s="85"/>
      <c r="AE199" s="85"/>
      <c r="AF199" s="85"/>
      <c r="AG199" s="85"/>
      <c r="AH199" s="85"/>
      <c r="AI199" s="85"/>
      <c r="AJ199" s="85"/>
      <c r="AK199" s="85"/>
      <c r="AL199" s="85"/>
    </row>
    <row r="200" spans="1:38" s="80" customFormat="1" x14ac:dyDescent="0.25">
      <c r="A200" s="116"/>
      <c r="B200" s="115"/>
      <c r="C200" s="115"/>
      <c r="D200" s="115"/>
      <c r="E200" s="115"/>
      <c r="F200" s="115"/>
      <c r="H200" s="95">
        <v>195</v>
      </c>
      <c r="I200" s="96" t="str">
        <f t="shared" si="15"/>
        <v/>
      </c>
      <c r="J200" s="96" t="e">
        <f t="shared" si="16"/>
        <v>#NUM!</v>
      </c>
      <c r="K200" s="95" t="e">
        <f t="shared" si="17"/>
        <v>#NUM!</v>
      </c>
      <c r="L200" s="95"/>
      <c r="M200" s="97">
        <f t="shared" si="18"/>
        <v>0</v>
      </c>
      <c r="S200" s="85"/>
      <c r="T200" s="85"/>
      <c r="U200" s="85"/>
      <c r="V200" s="85"/>
      <c r="W200" s="85"/>
      <c r="X200" s="85"/>
      <c r="Y200" s="85"/>
      <c r="Z200" s="85"/>
      <c r="AA200" s="85"/>
      <c r="AB200" s="85"/>
      <c r="AC200" s="85"/>
      <c r="AD200" s="85"/>
      <c r="AE200" s="85"/>
      <c r="AF200" s="85"/>
      <c r="AG200" s="85"/>
      <c r="AH200" s="85"/>
      <c r="AI200" s="85"/>
      <c r="AJ200" s="85"/>
      <c r="AK200" s="85"/>
      <c r="AL200" s="85"/>
    </row>
    <row r="201" spans="1:38" s="80" customFormat="1" x14ac:dyDescent="0.25">
      <c r="A201" s="116"/>
      <c r="B201" s="115"/>
      <c r="C201" s="115"/>
      <c r="D201" s="115"/>
      <c r="E201" s="115"/>
      <c r="F201" s="115"/>
      <c r="H201" s="95">
        <v>196</v>
      </c>
      <c r="I201" s="96" t="str">
        <f t="shared" si="15"/>
        <v/>
      </c>
      <c r="J201" s="96" t="e">
        <f t="shared" si="16"/>
        <v>#NUM!</v>
      </c>
      <c r="K201" s="95" t="e">
        <f t="shared" si="17"/>
        <v>#NUM!</v>
      </c>
      <c r="L201" s="95"/>
      <c r="M201" s="97">
        <f t="shared" si="18"/>
        <v>0</v>
      </c>
      <c r="S201" s="85"/>
      <c r="T201" s="85"/>
      <c r="U201" s="85"/>
      <c r="V201" s="85"/>
      <c r="W201" s="85"/>
      <c r="X201" s="85"/>
      <c r="Y201" s="85"/>
      <c r="Z201" s="85"/>
      <c r="AA201" s="85"/>
      <c r="AB201" s="85"/>
      <c r="AC201" s="85"/>
      <c r="AD201" s="85"/>
      <c r="AE201" s="85"/>
      <c r="AF201" s="85"/>
      <c r="AG201" s="85"/>
      <c r="AH201" s="85"/>
      <c r="AI201" s="85"/>
      <c r="AJ201" s="85"/>
      <c r="AK201" s="85"/>
      <c r="AL201" s="85"/>
    </row>
    <row r="202" spans="1:38" s="80" customFormat="1" x14ac:dyDescent="0.25">
      <c r="A202" s="116"/>
      <c r="B202" s="115"/>
      <c r="C202" s="115"/>
      <c r="D202" s="115"/>
      <c r="E202" s="115"/>
      <c r="F202" s="115"/>
      <c r="H202" s="95">
        <v>197</v>
      </c>
      <c r="I202" s="96" t="str">
        <f t="shared" si="15"/>
        <v/>
      </c>
      <c r="J202" s="96" t="e">
        <f t="shared" si="16"/>
        <v>#NUM!</v>
      </c>
      <c r="K202" s="95" t="e">
        <f t="shared" si="17"/>
        <v>#NUM!</v>
      </c>
      <c r="L202" s="95"/>
      <c r="M202" s="97">
        <f t="shared" si="18"/>
        <v>0</v>
      </c>
      <c r="S202" s="85"/>
      <c r="T202" s="85"/>
      <c r="U202" s="85"/>
      <c r="V202" s="85"/>
      <c r="W202" s="85"/>
      <c r="X202" s="85"/>
      <c r="Y202" s="85"/>
      <c r="Z202" s="85"/>
      <c r="AA202" s="85"/>
      <c r="AB202" s="85"/>
      <c r="AC202" s="85"/>
      <c r="AD202" s="85"/>
      <c r="AE202" s="85"/>
      <c r="AF202" s="85"/>
      <c r="AG202" s="85"/>
      <c r="AH202" s="85"/>
      <c r="AI202" s="85"/>
      <c r="AJ202" s="85"/>
      <c r="AK202" s="85"/>
      <c r="AL202" s="85"/>
    </row>
    <row r="203" spans="1:38" s="80" customFormat="1" x14ac:dyDescent="0.25">
      <c r="A203" s="116"/>
      <c r="B203" s="115"/>
      <c r="C203" s="115"/>
      <c r="D203" s="115"/>
      <c r="E203" s="115"/>
      <c r="F203" s="115"/>
      <c r="H203" s="95">
        <v>198</v>
      </c>
      <c r="I203" s="96" t="str">
        <f t="shared" si="15"/>
        <v/>
      </c>
      <c r="J203" s="96" t="e">
        <f t="shared" si="16"/>
        <v>#NUM!</v>
      </c>
      <c r="K203" s="95" t="e">
        <f t="shared" si="17"/>
        <v>#NUM!</v>
      </c>
      <c r="L203" s="95"/>
      <c r="M203" s="97">
        <f t="shared" si="18"/>
        <v>0</v>
      </c>
      <c r="S203" s="85"/>
      <c r="T203" s="85"/>
      <c r="U203" s="85"/>
      <c r="V203" s="85"/>
      <c r="W203" s="85"/>
      <c r="X203" s="85"/>
      <c r="Y203" s="85"/>
      <c r="Z203" s="85"/>
      <c r="AA203" s="85"/>
      <c r="AB203" s="85"/>
      <c r="AC203" s="85"/>
      <c r="AD203" s="85"/>
      <c r="AE203" s="85"/>
      <c r="AF203" s="85"/>
      <c r="AG203" s="85"/>
      <c r="AH203" s="85"/>
      <c r="AI203" s="85"/>
      <c r="AJ203" s="85"/>
      <c r="AK203" s="85"/>
      <c r="AL203" s="85"/>
    </row>
    <row r="204" spans="1:38" s="80" customFormat="1" x14ac:dyDescent="0.25">
      <c r="A204" s="116"/>
      <c r="B204" s="115"/>
      <c r="C204" s="115"/>
      <c r="D204" s="115"/>
      <c r="E204" s="115"/>
      <c r="F204" s="115"/>
      <c r="H204" s="95">
        <v>199</v>
      </c>
      <c r="I204" s="96" t="str">
        <f t="shared" si="15"/>
        <v/>
      </c>
      <c r="J204" s="96" t="e">
        <f t="shared" si="16"/>
        <v>#NUM!</v>
      </c>
      <c r="K204" s="95" t="e">
        <f t="shared" si="17"/>
        <v>#NUM!</v>
      </c>
      <c r="L204" s="95"/>
      <c r="M204" s="97">
        <f t="shared" si="18"/>
        <v>0</v>
      </c>
      <c r="S204" s="85"/>
      <c r="T204" s="85"/>
      <c r="U204" s="85"/>
      <c r="V204" s="85"/>
      <c r="W204" s="85"/>
      <c r="X204" s="85"/>
      <c r="Y204" s="85"/>
      <c r="Z204" s="85"/>
      <c r="AA204" s="85"/>
      <c r="AB204" s="85"/>
      <c r="AC204" s="85"/>
      <c r="AD204" s="85"/>
      <c r="AE204" s="85"/>
      <c r="AF204" s="85"/>
      <c r="AG204" s="85"/>
      <c r="AH204" s="85"/>
      <c r="AI204" s="85"/>
      <c r="AJ204" s="85"/>
      <c r="AK204" s="85"/>
      <c r="AL204" s="85"/>
    </row>
    <row r="205" spans="1:38" s="80" customFormat="1" x14ac:dyDescent="0.25">
      <c r="A205" s="116"/>
      <c r="B205" s="115"/>
      <c r="C205" s="115"/>
      <c r="D205" s="115"/>
      <c r="E205" s="115"/>
      <c r="F205" s="115"/>
      <c r="H205" s="95">
        <v>200</v>
      </c>
      <c r="I205" s="96" t="str">
        <f t="shared" si="15"/>
        <v/>
      </c>
      <c r="J205" s="96" t="e">
        <f t="shared" si="16"/>
        <v>#NUM!</v>
      </c>
      <c r="K205" s="95" t="e">
        <f t="shared" si="17"/>
        <v>#NUM!</v>
      </c>
      <c r="L205" s="95"/>
      <c r="M205" s="97">
        <f t="shared" si="18"/>
        <v>0</v>
      </c>
      <c r="S205" s="85"/>
      <c r="T205" s="85"/>
      <c r="U205" s="85"/>
      <c r="V205" s="85"/>
      <c r="W205" s="85"/>
      <c r="X205" s="85"/>
      <c r="Y205" s="85"/>
      <c r="Z205" s="85"/>
      <c r="AA205" s="85"/>
      <c r="AB205" s="85"/>
      <c r="AC205" s="85"/>
      <c r="AD205" s="85"/>
      <c r="AE205" s="85"/>
      <c r="AF205" s="85"/>
      <c r="AG205" s="85"/>
      <c r="AH205" s="85"/>
      <c r="AI205" s="85"/>
      <c r="AJ205" s="85"/>
      <c r="AK205" s="85"/>
      <c r="AL205" s="85"/>
    </row>
    <row r="206" spans="1:38" s="80" customFormat="1" x14ac:dyDescent="0.25">
      <c r="A206" s="116"/>
      <c r="B206" s="115"/>
      <c r="C206" s="115"/>
      <c r="D206" s="115"/>
      <c r="E206" s="115"/>
      <c r="F206" s="115"/>
      <c r="H206" s="95">
        <v>201</v>
      </c>
      <c r="I206" s="96" t="str">
        <f t="shared" si="15"/>
        <v/>
      </c>
      <c r="J206" s="96" t="e">
        <f t="shared" si="16"/>
        <v>#NUM!</v>
      </c>
      <c r="K206" s="95" t="e">
        <f t="shared" si="17"/>
        <v>#NUM!</v>
      </c>
      <c r="L206" s="95"/>
      <c r="M206" s="97">
        <f t="shared" si="18"/>
        <v>0</v>
      </c>
      <c r="S206" s="85"/>
      <c r="T206" s="85"/>
      <c r="U206" s="85"/>
      <c r="V206" s="85"/>
      <c r="W206" s="85"/>
      <c r="X206" s="85"/>
      <c r="Y206" s="85"/>
      <c r="Z206" s="85"/>
      <c r="AA206" s="85"/>
      <c r="AB206" s="85"/>
      <c r="AC206" s="85"/>
      <c r="AD206" s="85"/>
      <c r="AE206" s="85"/>
      <c r="AF206" s="85"/>
      <c r="AG206" s="85"/>
      <c r="AH206" s="85"/>
      <c r="AI206" s="85"/>
      <c r="AJ206" s="85"/>
      <c r="AK206" s="85"/>
      <c r="AL206" s="85"/>
    </row>
    <row r="207" spans="1:38" s="80" customFormat="1" x14ac:dyDescent="0.25">
      <c r="A207" s="116"/>
      <c r="B207" s="115"/>
      <c r="C207" s="115"/>
      <c r="D207" s="115"/>
      <c r="E207" s="115"/>
      <c r="F207" s="115"/>
      <c r="H207" s="95">
        <v>202</v>
      </c>
      <c r="I207" s="96" t="str">
        <f t="shared" si="15"/>
        <v/>
      </c>
      <c r="J207" s="96" t="e">
        <f t="shared" si="16"/>
        <v>#NUM!</v>
      </c>
      <c r="K207" s="95" t="e">
        <f t="shared" si="17"/>
        <v>#NUM!</v>
      </c>
      <c r="L207" s="95"/>
      <c r="M207" s="97">
        <f t="shared" si="18"/>
        <v>0</v>
      </c>
      <c r="S207" s="85"/>
      <c r="T207" s="85"/>
      <c r="U207" s="85"/>
      <c r="V207" s="85"/>
      <c r="W207" s="85"/>
      <c r="X207" s="85"/>
      <c r="Y207" s="85"/>
      <c r="Z207" s="85"/>
      <c r="AA207" s="85"/>
      <c r="AB207" s="85"/>
      <c r="AC207" s="85"/>
      <c r="AD207" s="85"/>
      <c r="AE207" s="85"/>
      <c r="AF207" s="85"/>
      <c r="AG207" s="85"/>
      <c r="AH207" s="85"/>
      <c r="AI207" s="85"/>
      <c r="AJ207" s="85"/>
      <c r="AK207" s="85"/>
      <c r="AL207" s="85"/>
    </row>
    <row r="208" spans="1:38" s="80" customFormat="1" x14ac:dyDescent="0.25">
      <c r="A208" s="116"/>
      <c r="B208" s="115"/>
      <c r="C208" s="115"/>
      <c r="D208" s="115"/>
      <c r="E208" s="115"/>
      <c r="F208" s="115"/>
      <c r="H208" s="95">
        <v>203</v>
      </c>
      <c r="I208" s="96" t="str">
        <f t="shared" si="15"/>
        <v/>
      </c>
      <c r="J208" s="96" t="e">
        <f t="shared" si="16"/>
        <v>#NUM!</v>
      </c>
      <c r="K208" s="95" t="e">
        <f t="shared" si="17"/>
        <v>#NUM!</v>
      </c>
      <c r="L208" s="95"/>
      <c r="M208" s="97">
        <f t="shared" si="18"/>
        <v>0</v>
      </c>
      <c r="S208" s="85"/>
      <c r="T208" s="85"/>
      <c r="U208" s="85"/>
      <c r="V208" s="85"/>
      <c r="W208" s="85"/>
      <c r="X208" s="85"/>
      <c r="Y208" s="85"/>
      <c r="Z208" s="85"/>
      <c r="AA208" s="85"/>
      <c r="AB208" s="85"/>
      <c r="AC208" s="85"/>
      <c r="AD208" s="85"/>
      <c r="AE208" s="85"/>
      <c r="AF208" s="85"/>
      <c r="AG208" s="85"/>
      <c r="AH208" s="85"/>
      <c r="AI208" s="85"/>
      <c r="AJ208" s="85"/>
      <c r="AK208" s="85"/>
      <c r="AL208" s="85"/>
    </row>
    <row r="209" spans="1:38" s="80" customFormat="1" x14ac:dyDescent="0.25">
      <c r="A209" s="116"/>
      <c r="B209" s="115"/>
      <c r="C209" s="115"/>
      <c r="D209" s="115"/>
      <c r="E209" s="115"/>
      <c r="F209" s="115"/>
      <c r="H209" s="95">
        <v>204</v>
      </c>
      <c r="I209" s="96" t="str">
        <f t="shared" si="15"/>
        <v/>
      </c>
      <c r="J209" s="96" t="e">
        <f t="shared" si="16"/>
        <v>#NUM!</v>
      </c>
      <c r="K209" s="95" t="e">
        <f t="shared" si="17"/>
        <v>#NUM!</v>
      </c>
      <c r="L209" s="95"/>
      <c r="M209" s="97">
        <f t="shared" si="18"/>
        <v>0</v>
      </c>
      <c r="S209" s="85"/>
      <c r="T209" s="85"/>
      <c r="U209" s="85"/>
      <c r="V209" s="85"/>
      <c r="W209" s="85"/>
      <c r="X209" s="85"/>
      <c r="Y209" s="85"/>
      <c r="Z209" s="85"/>
      <c r="AA209" s="85"/>
      <c r="AB209" s="85"/>
      <c r="AC209" s="85"/>
      <c r="AD209" s="85"/>
      <c r="AE209" s="85"/>
      <c r="AF209" s="85"/>
      <c r="AG209" s="85"/>
      <c r="AH209" s="85"/>
      <c r="AI209" s="85"/>
      <c r="AJ209" s="85"/>
      <c r="AK209" s="85"/>
      <c r="AL209" s="85"/>
    </row>
    <row r="210" spans="1:38" s="80" customFormat="1" x14ac:dyDescent="0.25">
      <c r="A210" s="116"/>
      <c r="B210" s="115"/>
      <c r="C210" s="115"/>
      <c r="D210" s="115"/>
      <c r="E210" s="115"/>
      <c r="F210" s="115"/>
      <c r="H210" s="95">
        <v>205</v>
      </c>
      <c r="I210" s="96" t="str">
        <f t="shared" si="15"/>
        <v/>
      </c>
      <c r="J210" s="96" t="e">
        <f t="shared" si="16"/>
        <v>#NUM!</v>
      </c>
      <c r="K210" s="95" t="e">
        <f t="shared" si="17"/>
        <v>#NUM!</v>
      </c>
      <c r="L210" s="95"/>
      <c r="M210" s="97">
        <f t="shared" si="18"/>
        <v>0</v>
      </c>
      <c r="S210" s="85"/>
      <c r="T210" s="85"/>
      <c r="U210" s="85"/>
      <c r="V210" s="85"/>
      <c r="W210" s="85"/>
      <c r="X210" s="85"/>
      <c r="Y210" s="85"/>
      <c r="Z210" s="85"/>
      <c r="AA210" s="85"/>
      <c r="AB210" s="85"/>
      <c r="AC210" s="85"/>
      <c r="AD210" s="85"/>
      <c r="AE210" s="85"/>
      <c r="AF210" s="85"/>
      <c r="AG210" s="85"/>
      <c r="AH210" s="85"/>
      <c r="AI210" s="85"/>
      <c r="AJ210" s="85"/>
      <c r="AK210" s="85"/>
      <c r="AL210" s="85"/>
    </row>
    <row r="211" spans="1:38" s="80" customFormat="1" x14ac:dyDescent="0.25">
      <c r="A211" s="116"/>
      <c r="B211" s="115"/>
      <c r="C211" s="115"/>
      <c r="D211" s="115"/>
      <c r="E211" s="115"/>
      <c r="F211" s="115"/>
      <c r="H211" s="95">
        <v>206</v>
      </c>
      <c r="I211" s="96" t="str">
        <f t="shared" si="15"/>
        <v/>
      </c>
      <c r="J211" s="96" t="e">
        <f t="shared" si="16"/>
        <v>#NUM!</v>
      </c>
      <c r="K211" s="95" t="e">
        <f t="shared" si="17"/>
        <v>#NUM!</v>
      </c>
      <c r="L211" s="95"/>
      <c r="M211" s="97">
        <f t="shared" si="18"/>
        <v>0</v>
      </c>
      <c r="S211" s="85"/>
      <c r="T211" s="85"/>
      <c r="U211" s="85"/>
      <c r="V211" s="85"/>
      <c r="W211" s="85"/>
      <c r="X211" s="85"/>
      <c r="Y211" s="85"/>
      <c r="Z211" s="85"/>
      <c r="AA211" s="85"/>
      <c r="AB211" s="85"/>
      <c r="AC211" s="85"/>
      <c r="AD211" s="85"/>
      <c r="AE211" s="85"/>
      <c r="AF211" s="85"/>
      <c r="AG211" s="85"/>
      <c r="AH211" s="85"/>
      <c r="AI211" s="85"/>
      <c r="AJ211" s="85"/>
      <c r="AK211" s="85"/>
      <c r="AL211" s="85"/>
    </row>
    <row r="212" spans="1:38" s="80" customFormat="1" x14ac:dyDescent="0.25">
      <c r="A212" s="116"/>
      <c r="B212" s="115"/>
      <c r="C212" s="115"/>
      <c r="D212" s="115"/>
      <c r="E212" s="115"/>
      <c r="F212" s="115"/>
      <c r="H212" s="95">
        <v>207</v>
      </c>
      <c r="I212" s="96" t="str">
        <f t="shared" si="15"/>
        <v/>
      </c>
      <c r="J212" s="96" t="e">
        <f t="shared" si="16"/>
        <v>#NUM!</v>
      </c>
      <c r="K212" s="95" t="e">
        <f t="shared" si="17"/>
        <v>#NUM!</v>
      </c>
      <c r="L212" s="95"/>
      <c r="M212" s="97">
        <f t="shared" si="18"/>
        <v>0</v>
      </c>
      <c r="S212" s="85"/>
      <c r="T212" s="85"/>
      <c r="U212" s="85"/>
      <c r="V212" s="85"/>
      <c r="W212" s="85"/>
      <c r="X212" s="85"/>
      <c r="Y212" s="85"/>
      <c r="Z212" s="85"/>
      <c r="AA212" s="85"/>
      <c r="AB212" s="85"/>
      <c r="AC212" s="85"/>
      <c r="AD212" s="85"/>
      <c r="AE212" s="85"/>
      <c r="AF212" s="85"/>
      <c r="AG212" s="85"/>
      <c r="AH212" s="85"/>
      <c r="AI212" s="85"/>
      <c r="AJ212" s="85"/>
      <c r="AK212" s="85"/>
      <c r="AL212" s="85"/>
    </row>
    <row r="213" spans="1:38" s="80" customFormat="1" x14ac:dyDescent="0.25">
      <c r="A213" s="116"/>
      <c r="B213" s="115"/>
      <c r="C213" s="115"/>
      <c r="D213" s="115"/>
      <c r="E213" s="115"/>
      <c r="F213" s="115"/>
      <c r="H213" s="95">
        <v>208</v>
      </c>
      <c r="I213" s="96" t="str">
        <f t="shared" si="15"/>
        <v/>
      </c>
      <c r="J213" s="96" t="e">
        <f t="shared" si="16"/>
        <v>#NUM!</v>
      </c>
      <c r="K213" s="95" t="e">
        <f t="shared" si="17"/>
        <v>#NUM!</v>
      </c>
      <c r="L213" s="95"/>
      <c r="M213" s="97">
        <f t="shared" si="18"/>
        <v>0</v>
      </c>
      <c r="S213" s="85"/>
      <c r="T213" s="85"/>
      <c r="U213" s="85"/>
      <c r="V213" s="85"/>
      <c r="W213" s="85"/>
      <c r="X213" s="85"/>
      <c r="Y213" s="85"/>
      <c r="Z213" s="85"/>
      <c r="AA213" s="85"/>
      <c r="AB213" s="85"/>
      <c r="AC213" s="85"/>
      <c r="AD213" s="85"/>
      <c r="AE213" s="85"/>
      <c r="AF213" s="85"/>
      <c r="AG213" s="85"/>
      <c r="AH213" s="85"/>
      <c r="AI213" s="85"/>
      <c r="AJ213" s="85"/>
      <c r="AK213" s="85"/>
      <c r="AL213" s="85"/>
    </row>
    <row r="214" spans="1:38" s="80" customFormat="1" x14ac:dyDescent="0.25">
      <c r="A214" s="116"/>
      <c r="B214" s="115"/>
      <c r="C214" s="115"/>
      <c r="D214" s="115"/>
      <c r="E214" s="115"/>
      <c r="F214" s="115"/>
      <c r="H214" s="95">
        <v>209</v>
      </c>
      <c r="I214" s="96" t="str">
        <f t="shared" si="15"/>
        <v/>
      </c>
      <c r="J214" s="96" t="e">
        <f t="shared" si="16"/>
        <v>#NUM!</v>
      </c>
      <c r="K214" s="95" t="e">
        <f t="shared" si="17"/>
        <v>#NUM!</v>
      </c>
      <c r="L214" s="95"/>
      <c r="M214" s="97">
        <f t="shared" si="18"/>
        <v>0</v>
      </c>
      <c r="S214" s="85"/>
      <c r="T214" s="85"/>
      <c r="U214" s="85"/>
      <c r="V214" s="85"/>
      <c r="W214" s="85"/>
      <c r="X214" s="85"/>
      <c r="Y214" s="85"/>
      <c r="Z214" s="85"/>
      <c r="AA214" s="85"/>
      <c r="AB214" s="85"/>
      <c r="AC214" s="85"/>
      <c r="AD214" s="85"/>
      <c r="AE214" s="85"/>
      <c r="AF214" s="85"/>
      <c r="AG214" s="85"/>
      <c r="AH214" s="85"/>
      <c r="AI214" s="85"/>
      <c r="AJ214" s="85"/>
      <c r="AK214" s="85"/>
      <c r="AL214" s="85"/>
    </row>
    <row r="215" spans="1:38" s="80" customFormat="1" x14ac:dyDescent="0.25">
      <c r="A215" s="116"/>
      <c r="B215" s="115"/>
      <c r="C215" s="115"/>
      <c r="D215" s="115"/>
      <c r="E215" s="115"/>
      <c r="F215" s="115"/>
      <c r="H215" s="95">
        <v>210</v>
      </c>
      <c r="I215" s="96" t="str">
        <f t="shared" si="15"/>
        <v/>
      </c>
      <c r="J215" s="96" t="e">
        <f t="shared" si="16"/>
        <v>#NUM!</v>
      </c>
      <c r="K215" s="95" t="e">
        <f t="shared" si="17"/>
        <v>#NUM!</v>
      </c>
      <c r="L215" s="95"/>
      <c r="M215" s="97">
        <f t="shared" si="18"/>
        <v>0</v>
      </c>
      <c r="S215" s="85"/>
      <c r="T215" s="85"/>
      <c r="U215" s="85"/>
      <c r="V215" s="85"/>
      <c r="W215" s="85"/>
      <c r="X215" s="85"/>
      <c r="Y215" s="85"/>
      <c r="Z215" s="85"/>
      <c r="AA215" s="85"/>
      <c r="AB215" s="85"/>
      <c r="AC215" s="85"/>
      <c r="AD215" s="85"/>
      <c r="AE215" s="85"/>
      <c r="AF215" s="85"/>
      <c r="AG215" s="85"/>
      <c r="AH215" s="85"/>
      <c r="AI215" s="85"/>
      <c r="AJ215" s="85"/>
      <c r="AK215" s="85"/>
      <c r="AL215" s="85"/>
    </row>
    <row r="216" spans="1:38" s="80" customFormat="1" x14ac:dyDescent="0.25">
      <c r="A216" s="116"/>
      <c r="B216" s="115"/>
      <c r="C216" s="115"/>
      <c r="D216" s="115"/>
      <c r="E216" s="115"/>
      <c r="F216" s="115"/>
      <c r="H216" s="95">
        <v>211</v>
      </c>
      <c r="I216" s="96" t="str">
        <f t="shared" si="15"/>
        <v/>
      </c>
      <c r="J216" s="96" t="e">
        <f t="shared" si="16"/>
        <v>#NUM!</v>
      </c>
      <c r="K216" s="95" t="e">
        <f t="shared" si="17"/>
        <v>#NUM!</v>
      </c>
      <c r="L216" s="95"/>
      <c r="M216" s="97">
        <f t="shared" si="18"/>
        <v>0</v>
      </c>
      <c r="S216" s="85"/>
      <c r="T216" s="85"/>
      <c r="U216" s="85"/>
      <c r="V216" s="85"/>
      <c r="W216" s="85"/>
      <c r="X216" s="85"/>
      <c r="Y216" s="85"/>
      <c r="Z216" s="85"/>
      <c r="AA216" s="85"/>
      <c r="AB216" s="85"/>
      <c r="AC216" s="85"/>
      <c r="AD216" s="85"/>
      <c r="AE216" s="85"/>
      <c r="AF216" s="85"/>
      <c r="AG216" s="85"/>
      <c r="AH216" s="85"/>
      <c r="AI216" s="85"/>
      <c r="AJ216" s="85"/>
      <c r="AK216" s="85"/>
      <c r="AL216" s="85"/>
    </row>
    <row r="217" spans="1:38" s="80" customFormat="1" x14ac:dyDescent="0.25">
      <c r="A217" s="116"/>
      <c r="B217" s="115"/>
      <c r="C217" s="115"/>
      <c r="D217" s="115"/>
      <c r="E217" s="115"/>
      <c r="F217" s="115"/>
      <c r="H217" s="95">
        <v>212</v>
      </c>
      <c r="I217" s="96" t="str">
        <f t="shared" si="15"/>
        <v/>
      </c>
      <c r="J217" s="96" t="e">
        <f t="shared" si="16"/>
        <v>#NUM!</v>
      </c>
      <c r="K217" s="95" t="e">
        <f t="shared" si="17"/>
        <v>#NUM!</v>
      </c>
      <c r="L217" s="95"/>
      <c r="M217" s="97">
        <f t="shared" si="18"/>
        <v>0</v>
      </c>
      <c r="S217" s="85"/>
      <c r="T217" s="85"/>
      <c r="U217" s="85"/>
      <c r="V217" s="85"/>
      <c r="W217" s="85"/>
      <c r="X217" s="85"/>
      <c r="Y217" s="85"/>
      <c r="Z217" s="85"/>
      <c r="AA217" s="85"/>
      <c r="AB217" s="85"/>
      <c r="AC217" s="85"/>
      <c r="AD217" s="85"/>
      <c r="AE217" s="85"/>
      <c r="AF217" s="85"/>
      <c r="AG217" s="85"/>
      <c r="AH217" s="85"/>
      <c r="AI217" s="85"/>
      <c r="AJ217" s="85"/>
      <c r="AK217" s="85"/>
      <c r="AL217" s="85"/>
    </row>
    <row r="218" spans="1:38" s="80" customFormat="1" x14ac:dyDescent="0.25">
      <c r="A218" s="116"/>
      <c r="B218" s="115"/>
      <c r="C218" s="115"/>
      <c r="D218" s="115"/>
      <c r="E218" s="115"/>
      <c r="F218" s="115"/>
      <c r="H218" s="95">
        <v>213</v>
      </c>
      <c r="I218" s="96" t="str">
        <f t="shared" si="15"/>
        <v/>
      </c>
      <c r="J218" s="96" t="e">
        <f t="shared" si="16"/>
        <v>#NUM!</v>
      </c>
      <c r="K218" s="95" t="e">
        <f t="shared" si="17"/>
        <v>#NUM!</v>
      </c>
      <c r="L218" s="95"/>
      <c r="M218" s="97">
        <f t="shared" si="18"/>
        <v>0</v>
      </c>
      <c r="S218" s="85"/>
      <c r="T218" s="85"/>
      <c r="U218" s="85"/>
      <c r="V218" s="85"/>
      <c r="W218" s="85"/>
      <c r="X218" s="85"/>
      <c r="Y218" s="85"/>
      <c r="Z218" s="85"/>
      <c r="AA218" s="85"/>
      <c r="AB218" s="85"/>
      <c r="AC218" s="85"/>
      <c r="AD218" s="85"/>
      <c r="AE218" s="85"/>
      <c r="AF218" s="85"/>
      <c r="AG218" s="85"/>
      <c r="AH218" s="85"/>
      <c r="AI218" s="85"/>
      <c r="AJ218" s="85"/>
      <c r="AK218" s="85"/>
      <c r="AL218" s="85"/>
    </row>
    <row r="219" spans="1:38" s="80" customFormat="1" x14ac:dyDescent="0.25">
      <c r="A219" s="116"/>
      <c r="B219" s="115"/>
      <c r="C219" s="115"/>
      <c r="D219" s="115"/>
      <c r="E219" s="115"/>
      <c r="F219" s="115"/>
      <c r="H219" s="95">
        <v>214</v>
      </c>
      <c r="I219" s="96" t="str">
        <f t="shared" si="15"/>
        <v/>
      </c>
      <c r="J219" s="96" t="e">
        <f t="shared" si="16"/>
        <v>#NUM!</v>
      </c>
      <c r="K219" s="95" t="e">
        <f t="shared" si="17"/>
        <v>#NUM!</v>
      </c>
      <c r="L219" s="95"/>
      <c r="M219" s="97">
        <f t="shared" si="18"/>
        <v>0</v>
      </c>
      <c r="S219" s="85"/>
      <c r="T219" s="85"/>
      <c r="U219" s="85"/>
      <c r="V219" s="85"/>
      <c r="W219" s="85"/>
      <c r="X219" s="85"/>
      <c r="Y219" s="85"/>
      <c r="Z219" s="85"/>
      <c r="AA219" s="85"/>
      <c r="AB219" s="85"/>
      <c r="AC219" s="85"/>
      <c r="AD219" s="85"/>
      <c r="AE219" s="85"/>
      <c r="AF219" s="85"/>
      <c r="AG219" s="85"/>
      <c r="AH219" s="85"/>
      <c r="AI219" s="85"/>
      <c r="AJ219" s="85"/>
      <c r="AK219" s="85"/>
      <c r="AL219" s="85"/>
    </row>
    <row r="220" spans="1:38" s="80" customFormat="1" x14ac:dyDescent="0.25">
      <c r="A220" s="116"/>
      <c r="B220" s="115"/>
      <c r="C220" s="115"/>
      <c r="D220" s="115"/>
      <c r="E220" s="115"/>
      <c r="F220" s="115"/>
      <c r="H220" s="95">
        <v>215</v>
      </c>
      <c r="I220" s="96" t="str">
        <f t="shared" si="15"/>
        <v/>
      </c>
      <c r="J220" s="96" t="e">
        <f t="shared" si="16"/>
        <v>#NUM!</v>
      </c>
      <c r="K220" s="95" t="e">
        <f t="shared" si="17"/>
        <v>#NUM!</v>
      </c>
      <c r="L220" s="95"/>
      <c r="M220" s="97">
        <f t="shared" si="18"/>
        <v>0</v>
      </c>
      <c r="S220" s="85"/>
      <c r="T220" s="85"/>
      <c r="U220" s="85"/>
      <c r="V220" s="85"/>
      <c r="W220" s="85"/>
      <c r="X220" s="85"/>
      <c r="Y220" s="85"/>
      <c r="Z220" s="85"/>
      <c r="AA220" s="85"/>
      <c r="AB220" s="85"/>
      <c r="AC220" s="85"/>
      <c r="AD220" s="85"/>
      <c r="AE220" s="85"/>
      <c r="AF220" s="85"/>
      <c r="AG220" s="85"/>
      <c r="AH220" s="85"/>
      <c r="AI220" s="85"/>
      <c r="AJ220" s="85"/>
      <c r="AK220" s="85"/>
      <c r="AL220" s="85"/>
    </row>
    <row r="221" spans="1:38" s="80" customFormat="1" x14ac:dyDescent="0.25">
      <c r="A221" s="116"/>
      <c r="B221" s="115"/>
      <c r="C221" s="115"/>
      <c r="D221" s="115"/>
      <c r="E221" s="115"/>
      <c r="F221" s="115"/>
      <c r="H221" s="95">
        <v>216</v>
      </c>
      <c r="I221" s="96" t="str">
        <f t="shared" si="15"/>
        <v/>
      </c>
      <c r="J221" s="96" t="e">
        <f t="shared" si="16"/>
        <v>#NUM!</v>
      </c>
      <c r="K221" s="95" t="e">
        <f t="shared" si="17"/>
        <v>#NUM!</v>
      </c>
      <c r="L221" s="95"/>
      <c r="M221" s="97">
        <f t="shared" si="18"/>
        <v>0</v>
      </c>
      <c r="S221" s="85"/>
      <c r="T221" s="85"/>
      <c r="U221" s="85"/>
      <c r="V221" s="85"/>
      <c r="W221" s="85"/>
      <c r="X221" s="85"/>
      <c r="Y221" s="85"/>
      <c r="Z221" s="85"/>
      <c r="AA221" s="85"/>
      <c r="AB221" s="85"/>
      <c r="AC221" s="85"/>
      <c r="AD221" s="85"/>
      <c r="AE221" s="85"/>
      <c r="AF221" s="85"/>
      <c r="AG221" s="85"/>
      <c r="AH221" s="85"/>
      <c r="AI221" s="85"/>
      <c r="AJ221" s="85"/>
      <c r="AK221" s="85"/>
      <c r="AL221" s="85"/>
    </row>
    <row r="222" spans="1:38" s="80" customFormat="1" x14ac:dyDescent="0.25">
      <c r="A222" s="116"/>
      <c r="B222" s="115"/>
      <c r="C222" s="115"/>
      <c r="D222" s="115"/>
      <c r="E222" s="115"/>
      <c r="F222" s="115"/>
      <c r="H222" s="95">
        <v>217</v>
      </c>
      <c r="I222" s="96" t="str">
        <f t="shared" si="15"/>
        <v/>
      </c>
      <c r="J222" s="96" t="e">
        <f t="shared" si="16"/>
        <v>#NUM!</v>
      </c>
      <c r="K222" s="95" t="e">
        <f t="shared" si="17"/>
        <v>#NUM!</v>
      </c>
      <c r="L222" s="95"/>
      <c r="M222" s="97">
        <f t="shared" si="18"/>
        <v>0</v>
      </c>
      <c r="S222" s="85"/>
      <c r="T222" s="85"/>
      <c r="U222" s="85"/>
      <c r="V222" s="85"/>
      <c r="W222" s="85"/>
      <c r="X222" s="85"/>
      <c r="Y222" s="85"/>
      <c r="Z222" s="85"/>
      <c r="AA222" s="85"/>
      <c r="AB222" s="85"/>
      <c r="AC222" s="85"/>
      <c r="AD222" s="85"/>
      <c r="AE222" s="85"/>
      <c r="AF222" s="85"/>
      <c r="AG222" s="85"/>
      <c r="AH222" s="85"/>
      <c r="AI222" s="85"/>
      <c r="AJ222" s="85"/>
      <c r="AK222" s="85"/>
      <c r="AL222" s="85"/>
    </row>
    <row r="223" spans="1:38" s="80" customFormat="1" x14ac:dyDescent="0.25">
      <c r="A223" s="116"/>
      <c r="B223" s="115"/>
      <c r="C223" s="115"/>
      <c r="D223" s="115"/>
      <c r="E223" s="115"/>
      <c r="F223" s="115"/>
      <c r="H223" s="95">
        <v>218</v>
      </c>
      <c r="I223" s="96" t="str">
        <f t="shared" si="15"/>
        <v/>
      </c>
      <c r="J223" s="96" t="e">
        <f t="shared" si="16"/>
        <v>#NUM!</v>
      </c>
      <c r="K223" s="95" t="e">
        <f t="shared" si="17"/>
        <v>#NUM!</v>
      </c>
      <c r="L223" s="95"/>
      <c r="M223" s="97">
        <f t="shared" si="18"/>
        <v>0</v>
      </c>
      <c r="S223" s="85"/>
      <c r="T223" s="85"/>
      <c r="U223" s="85"/>
      <c r="V223" s="85"/>
      <c r="W223" s="85"/>
      <c r="X223" s="85"/>
      <c r="Y223" s="85"/>
      <c r="Z223" s="85"/>
      <c r="AA223" s="85"/>
      <c r="AB223" s="85"/>
      <c r="AC223" s="85"/>
      <c r="AD223" s="85"/>
      <c r="AE223" s="85"/>
      <c r="AF223" s="85"/>
      <c r="AG223" s="85"/>
      <c r="AH223" s="85"/>
      <c r="AI223" s="85"/>
      <c r="AJ223" s="85"/>
      <c r="AK223" s="85"/>
      <c r="AL223" s="85"/>
    </row>
    <row r="224" spans="1:38" s="80" customFormat="1" x14ac:dyDescent="0.25">
      <c r="A224" s="116"/>
      <c r="B224" s="115"/>
      <c r="C224" s="115"/>
      <c r="D224" s="115"/>
      <c r="E224" s="115"/>
      <c r="F224" s="115"/>
      <c r="H224" s="95">
        <v>219</v>
      </c>
      <c r="I224" s="96" t="str">
        <f t="shared" si="15"/>
        <v/>
      </c>
      <c r="J224" s="96" t="e">
        <f t="shared" si="16"/>
        <v>#NUM!</v>
      </c>
      <c r="K224" s="95" t="e">
        <f t="shared" si="17"/>
        <v>#NUM!</v>
      </c>
      <c r="L224" s="95"/>
      <c r="M224" s="97">
        <f t="shared" si="18"/>
        <v>0</v>
      </c>
      <c r="S224" s="85"/>
      <c r="T224" s="85"/>
      <c r="U224" s="85"/>
      <c r="V224" s="85"/>
      <c r="W224" s="85"/>
      <c r="X224" s="85"/>
      <c r="Y224" s="85"/>
      <c r="Z224" s="85"/>
      <c r="AA224" s="85"/>
      <c r="AB224" s="85"/>
      <c r="AC224" s="85"/>
      <c r="AD224" s="85"/>
      <c r="AE224" s="85"/>
      <c r="AF224" s="85"/>
      <c r="AG224" s="85"/>
      <c r="AH224" s="85"/>
      <c r="AI224" s="85"/>
      <c r="AJ224" s="85"/>
      <c r="AK224" s="85"/>
      <c r="AL224" s="85"/>
    </row>
    <row r="225" spans="1:38" s="80" customFormat="1" x14ac:dyDescent="0.25">
      <c r="A225" s="116"/>
      <c r="B225" s="115"/>
      <c r="C225" s="115"/>
      <c r="D225" s="115"/>
      <c r="E225" s="115"/>
      <c r="F225" s="115"/>
      <c r="H225" s="95">
        <v>220</v>
      </c>
      <c r="I225" s="96" t="str">
        <f t="shared" si="15"/>
        <v/>
      </c>
      <c r="J225" s="96" t="e">
        <f t="shared" si="16"/>
        <v>#NUM!</v>
      </c>
      <c r="K225" s="95" t="e">
        <f t="shared" si="17"/>
        <v>#NUM!</v>
      </c>
      <c r="L225" s="95"/>
      <c r="M225" s="97">
        <f t="shared" si="18"/>
        <v>0</v>
      </c>
      <c r="S225" s="85"/>
      <c r="T225" s="85"/>
      <c r="U225" s="85"/>
      <c r="V225" s="85"/>
      <c r="W225" s="85"/>
      <c r="X225" s="85"/>
      <c r="Y225" s="85"/>
      <c r="Z225" s="85"/>
      <c r="AA225" s="85"/>
      <c r="AB225" s="85"/>
      <c r="AC225" s="85"/>
      <c r="AD225" s="85"/>
      <c r="AE225" s="85"/>
      <c r="AF225" s="85"/>
      <c r="AG225" s="85"/>
      <c r="AH225" s="85"/>
      <c r="AI225" s="85"/>
      <c r="AJ225" s="85"/>
      <c r="AK225" s="85"/>
      <c r="AL225" s="85"/>
    </row>
    <row r="226" spans="1:38" s="80" customFormat="1" x14ac:dyDescent="0.25">
      <c r="A226" s="116"/>
      <c r="B226" s="115"/>
      <c r="C226" s="115"/>
      <c r="D226" s="115"/>
      <c r="E226" s="115"/>
      <c r="F226" s="115"/>
      <c r="H226" s="95">
        <v>221</v>
      </c>
      <c r="I226" s="96" t="str">
        <f t="shared" si="15"/>
        <v/>
      </c>
      <c r="J226" s="96" t="e">
        <f t="shared" si="16"/>
        <v>#NUM!</v>
      </c>
      <c r="K226" s="95" t="e">
        <f t="shared" si="17"/>
        <v>#NUM!</v>
      </c>
      <c r="L226" s="95"/>
      <c r="M226" s="97">
        <f t="shared" si="18"/>
        <v>0</v>
      </c>
      <c r="S226" s="85"/>
      <c r="T226" s="85"/>
      <c r="U226" s="85"/>
      <c r="V226" s="85"/>
      <c r="W226" s="85"/>
      <c r="X226" s="85"/>
      <c r="Y226" s="85"/>
      <c r="Z226" s="85"/>
      <c r="AA226" s="85"/>
      <c r="AB226" s="85"/>
      <c r="AC226" s="85"/>
      <c r="AD226" s="85"/>
      <c r="AE226" s="85"/>
      <c r="AF226" s="85"/>
      <c r="AG226" s="85"/>
      <c r="AH226" s="85"/>
      <c r="AI226" s="85"/>
      <c r="AJ226" s="85"/>
      <c r="AK226" s="85"/>
      <c r="AL226" s="85"/>
    </row>
    <row r="227" spans="1:38" s="80" customFormat="1" x14ac:dyDescent="0.25">
      <c r="A227" s="116"/>
      <c r="B227" s="115"/>
      <c r="C227" s="115"/>
      <c r="D227" s="115"/>
      <c r="E227" s="115"/>
      <c r="F227" s="115"/>
      <c r="H227" s="95">
        <v>222</v>
      </c>
      <c r="I227" s="96" t="str">
        <f t="shared" si="15"/>
        <v/>
      </c>
      <c r="J227" s="96" t="e">
        <f t="shared" si="16"/>
        <v>#NUM!</v>
      </c>
      <c r="K227" s="95" t="e">
        <f t="shared" si="17"/>
        <v>#NUM!</v>
      </c>
      <c r="L227" s="95"/>
      <c r="M227" s="97">
        <f t="shared" si="18"/>
        <v>0</v>
      </c>
      <c r="S227" s="85"/>
      <c r="T227" s="85"/>
      <c r="U227" s="85"/>
      <c r="V227" s="85"/>
      <c r="W227" s="85"/>
      <c r="X227" s="85"/>
      <c r="Y227" s="85"/>
      <c r="Z227" s="85"/>
      <c r="AA227" s="85"/>
      <c r="AB227" s="85"/>
      <c r="AC227" s="85"/>
      <c r="AD227" s="85"/>
      <c r="AE227" s="85"/>
      <c r="AF227" s="85"/>
      <c r="AG227" s="85"/>
      <c r="AH227" s="85"/>
      <c r="AI227" s="85"/>
      <c r="AJ227" s="85"/>
      <c r="AK227" s="85"/>
      <c r="AL227" s="85"/>
    </row>
    <row r="228" spans="1:38" s="80" customFormat="1" x14ac:dyDescent="0.25">
      <c r="A228" s="116"/>
      <c r="B228" s="115"/>
      <c r="C228" s="115"/>
      <c r="D228" s="115"/>
      <c r="E228" s="115"/>
      <c r="F228" s="115"/>
      <c r="H228" s="95">
        <v>223</v>
      </c>
      <c r="I228" s="96" t="str">
        <f t="shared" si="15"/>
        <v/>
      </c>
      <c r="J228" s="96" t="e">
        <f t="shared" si="16"/>
        <v>#NUM!</v>
      </c>
      <c r="K228" s="95" t="e">
        <f t="shared" si="17"/>
        <v>#NUM!</v>
      </c>
      <c r="L228" s="95"/>
      <c r="M228" s="97">
        <f t="shared" si="18"/>
        <v>0</v>
      </c>
      <c r="S228" s="85"/>
      <c r="T228" s="85"/>
      <c r="U228" s="85"/>
      <c r="V228" s="85"/>
      <c r="W228" s="85"/>
      <c r="X228" s="85"/>
      <c r="Y228" s="85"/>
      <c r="Z228" s="85"/>
      <c r="AA228" s="85"/>
      <c r="AB228" s="85"/>
      <c r="AC228" s="85"/>
      <c r="AD228" s="85"/>
      <c r="AE228" s="85"/>
      <c r="AF228" s="85"/>
      <c r="AG228" s="85"/>
      <c r="AH228" s="85"/>
      <c r="AI228" s="85"/>
      <c r="AJ228" s="85"/>
      <c r="AK228" s="85"/>
      <c r="AL228" s="85"/>
    </row>
    <row r="229" spans="1:38" s="80" customFormat="1" x14ac:dyDescent="0.25">
      <c r="A229" s="116"/>
      <c r="B229" s="115"/>
      <c r="C229" s="115"/>
      <c r="D229" s="115"/>
      <c r="E229" s="115"/>
      <c r="F229" s="115"/>
      <c r="H229" s="95">
        <v>224</v>
      </c>
      <c r="I229" s="96" t="str">
        <f t="shared" si="15"/>
        <v/>
      </c>
      <c r="J229" s="96" t="e">
        <f t="shared" si="16"/>
        <v>#NUM!</v>
      </c>
      <c r="K229" s="95" t="e">
        <f t="shared" si="17"/>
        <v>#NUM!</v>
      </c>
      <c r="L229" s="95"/>
      <c r="M229" s="97">
        <f t="shared" si="18"/>
        <v>0</v>
      </c>
      <c r="S229" s="85"/>
      <c r="T229" s="85"/>
      <c r="U229" s="85"/>
      <c r="V229" s="85"/>
      <c r="W229" s="85"/>
      <c r="X229" s="85"/>
      <c r="Y229" s="85"/>
      <c r="Z229" s="85"/>
      <c r="AA229" s="85"/>
      <c r="AB229" s="85"/>
      <c r="AC229" s="85"/>
      <c r="AD229" s="85"/>
      <c r="AE229" s="85"/>
      <c r="AF229" s="85"/>
      <c r="AG229" s="85"/>
      <c r="AH229" s="85"/>
      <c r="AI229" s="85"/>
      <c r="AJ229" s="85"/>
      <c r="AK229" s="85"/>
      <c r="AL229" s="85"/>
    </row>
    <row r="230" spans="1:38" s="80" customFormat="1" x14ac:dyDescent="0.25">
      <c r="A230" s="116"/>
      <c r="B230" s="115"/>
      <c r="C230" s="115"/>
      <c r="D230" s="115"/>
      <c r="E230" s="115"/>
      <c r="F230" s="115"/>
      <c r="H230" s="95">
        <v>225</v>
      </c>
      <c r="I230" s="96" t="str">
        <f t="shared" si="15"/>
        <v/>
      </c>
      <c r="J230" s="96" t="e">
        <f t="shared" si="16"/>
        <v>#NUM!</v>
      </c>
      <c r="K230" s="95" t="e">
        <f t="shared" si="17"/>
        <v>#NUM!</v>
      </c>
      <c r="L230" s="95"/>
      <c r="M230" s="97">
        <f t="shared" si="18"/>
        <v>0</v>
      </c>
      <c r="S230" s="85"/>
      <c r="T230" s="85"/>
      <c r="U230" s="85"/>
      <c r="V230" s="85"/>
      <c r="W230" s="85"/>
      <c r="X230" s="85"/>
      <c r="Y230" s="85"/>
      <c r="Z230" s="85"/>
      <c r="AA230" s="85"/>
      <c r="AB230" s="85"/>
      <c r="AC230" s="85"/>
      <c r="AD230" s="85"/>
      <c r="AE230" s="85"/>
      <c r="AF230" s="85"/>
      <c r="AG230" s="85"/>
      <c r="AH230" s="85"/>
      <c r="AI230" s="85"/>
      <c r="AJ230" s="85"/>
      <c r="AK230" s="85"/>
      <c r="AL230" s="85"/>
    </row>
    <row r="231" spans="1:38" s="80" customFormat="1" x14ac:dyDescent="0.25">
      <c r="A231" s="116"/>
      <c r="B231" s="115"/>
      <c r="C231" s="115"/>
      <c r="D231" s="115"/>
      <c r="E231" s="115"/>
      <c r="F231" s="115"/>
      <c r="H231" s="95">
        <v>226</v>
      </c>
      <c r="I231" s="96" t="str">
        <f t="shared" si="15"/>
        <v/>
      </c>
      <c r="J231" s="96" t="e">
        <f t="shared" si="16"/>
        <v>#NUM!</v>
      </c>
      <c r="K231" s="95" t="e">
        <f t="shared" si="17"/>
        <v>#NUM!</v>
      </c>
      <c r="L231" s="95"/>
      <c r="M231" s="97">
        <f t="shared" si="18"/>
        <v>0</v>
      </c>
      <c r="S231" s="85"/>
      <c r="T231" s="85"/>
      <c r="U231" s="85"/>
      <c r="V231" s="85"/>
      <c r="W231" s="85"/>
      <c r="X231" s="85"/>
      <c r="Y231" s="85"/>
      <c r="Z231" s="85"/>
      <c r="AA231" s="85"/>
      <c r="AB231" s="85"/>
      <c r="AC231" s="85"/>
      <c r="AD231" s="85"/>
      <c r="AE231" s="85"/>
      <c r="AF231" s="85"/>
      <c r="AG231" s="85"/>
      <c r="AH231" s="85"/>
      <c r="AI231" s="85"/>
      <c r="AJ231" s="85"/>
      <c r="AK231" s="85"/>
      <c r="AL231" s="85"/>
    </row>
    <row r="232" spans="1:38" s="80" customFormat="1" x14ac:dyDescent="0.25">
      <c r="A232" s="116"/>
      <c r="B232" s="115"/>
      <c r="C232" s="115"/>
      <c r="D232" s="115"/>
      <c r="E232" s="115"/>
      <c r="F232" s="115"/>
      <c r="H232" s="95">
        <v>227</v>
      </c>
      <c r="I232" s="96" t="str">
        <f t="shared" si="15"/>
        <v/>
      </c>
      <c r="J232" s="96" t="e">
        <f t="shared" si="16"/>
        <v>#NUM!</v>
      </c>
      <c r="K232" s="95" t="e">
        <f t="shared" si="17"/>
        <v>#NUM!</v>
      </c>
      <c r="L232" s="95"/>
      <c r="M232" s="97">
        <f t="shared" si="18"/>
        <v>0</v>
      </c>
      <c r="S232" s="85"/>
      <c r="T232" s="85"/>
      <c r="U232" s="85"/>
      <c r="V232" s="85"/>
      <c r="W232" s="85"/>
      <c r="X232" s="85"/>
      <c r="Y232" s="85"/>
      <c r="Z232" s="85"/>
      <c r="AA232" s="85"/>
      <c r="AB232" s="85"/>
      <c r="AC232" s="85"/>
      <c r="AD232" s="85"/>
      <c r="AE232" s="85"/>
      <c r="AF232" s="85"/>
      <c r="AG232" s="85"/>
      <c r="AH232" s="85"/>
      <c r="AI232" s="85"/>
      <c r="AJ232" s="85"/>
      <c r="AK232" s="85"/>
      <c r="AL232" s="85"/>
    </row>
    <row r="233" spans="1:38" s="80" customFormat="1" x14ac:dyDescent="0.25">
      <c r="A233" s="116"/>
      <c r="B233" s="115"/>
      <c r="C233" s="115"/>
      <c r="D233" s="115"/>
      <c r="E233" s="115"/>
      <c r="F233" s="115"/>
      <c r="H233" s="95">
        <v>228</v>
      </c>
      <c r="I233" s="96" t="str">
        <f t="shared" si="15"/>
        <v/>
      </c>
      <c r="J233" s="96" t="e">
        <f t="shared" si="16"/>
        <v>#NUM!</v>
      </c>
      <c r="K233" s="95" t="e">
        <f t="shared" si="17"/>
        <v>#NUM!</v>
      </c>
      <c r="L233" s="95"/>
      <c r="M233" s="97">
        <f t="shared" si="18"/>
        <v>0</v>
      </c>
      <c r="S233" s="85"/>
      <c r="T233" s="85"/>
      <c r="U233" s="85"/>
      <c r="V233" s="85"/>
      <c r="W233" s="85"/>
      <c r="X233" s="85"/>
      <c r="Y233" s="85"/>
      <c r="Z233" s="85"/>
      <c r="AA233" s="85"/>
      <c r="AB233" s="85"/>
      <c r="AC233" s="85"/>
      <c r="AD233" s="85"/>
      <c r="AE233" s="85"/>
      <c r="AF233" s="85"/>
      <c r="AG233" s="85"/>
      <c r="AH233" s="85"/>
      <c r="AI233" s="85"/>
      <c r="AJ233" s="85"/>
      <c r="AK233" s="85"/>
      <c r="AL233" s="85"/>
    </row>
    <row r="234" spans="1:38" s="80" customFormat="1" x14ac:dyDescent="0.25">
      <c r="A234" s="116"/>
      <c r="B234" s="115"/>
      <c r="C234" s="115"/>
      <c r="D234" s="115"/>
      <c r="E234" s="115"/>
      <c r="F234" s="115"/>
      <c r="H234" s="95">
        <v>229</v>
      </c>
      <c r="I234" s="96" t="str">
        <f t="shared" si="15"/>
        <v/>
      </c>
      <c r="J234" s="96" t="e">
        <f t="shared" si="16"/>
        <v>#NUM!</v>
      </c>
      <c r="K234" s="95" t="e">
        <f t="shared" si="17"/>
        <v>#NUM!</v>
      </c>
      <c r="L234" s="95"/>
      <c r="M234" s="97">
        <f t="shared" si="18"/>
        <v>0</v>
      </c>
      <c r="S234" s="85"/>
      <c r="T234" s="85"/>
      <c r="U234" s="85"/>
      <c r="V234" s="85"/>
      <c r="W234" s="85"/>
      <c r="X234" s="85"/>
      <c r="Y234" s="85"/>
      <c r="Z234" s="85"/>
      <c r="AA234" s="85"/>
      <c r="AB234" s="85"/>
      <c r="AC234" s="85"/>
      <c r="AD234" s="85"/>
      <c r="AE234" s="85"/>
      <c r="AF234" s="85"/>
      <c r="AG234" s="85"/>
      <c r="AH234" s="85"/>
      <c r="AI234" s="85"/>
      <c r="AJ234" s="85"/>
      <c r="AK234" s="85"/>
      <c r="AL234" s="85"/>
    </row>
    <row r="235" spans="1:38" s="80" customFormat="1" x14ac:dyDescent="0.25">
      <c r="A235" s="116"/>
      <c r="B235" s="115"/>
      <c r="C235" s="115"/>
      <c r="D235" s="115"/>
      <c r="E235" s="115"/>
      <c r="F235" s="115"/>
      <c r="H235" s="95">
        <v>230</v>
      </c>
      <c r="I235" s="96" t="str">
        <f t="shared" si="15"/>
        <v/>
      </c>
      <c r="J235" s="96" t="e">
        <f t="shared" si="16"/>
        <v>#NUM!</v>
      </c>
      <c r="K235" s="95" t="e">
        <f t="shared" si="17"/>
        <v>#NUM!</v>
      </c>
      <c r="L235" s="95"/>
      <c r="M235" s="97">
        <f t="shared" si="18"/>
        <v>0</v>
      </c>
      <c r="S235" s="85"/>
      <c r="T235" s="85"/>
      <c r="U235" s="85"/>
      <c r="V235" s="85"/>
      <c r="W235" s="85"/>
      <c r="X235" s="85"/>
      <c r="Y235" s="85"/>
      <c r="Z235" s="85"/>
      <c r="AA235" s="85"/>
      <c r="AB235" s="85"/>
      <c r="AC235" s="85"/>
      <c r="AD235" s="85"/>
      <c r="AE235" s="85"/>
      <c r="AF235" s="85"/>
      <c r="AG235" s="85"/>
      <c r="AH235" s="85"/>
      <c r="AI235" s="85"/>
      <c r="AJ235" s="85"/>
      <c r="AK235" s="85"/>
      <c r="AL235" s="85"/>
    </row>
    <row r="236" spans="1:38" s="80" customFormat="1" x14ac:dyDescent="0.25">
      <c r="A236" s="116"/>
      <c r="B236" s="115"/>
      <c r="C236" s="115"/>
      <c r="D236" s="115"/>
      <c r="E236" s="115"/>
      <c r="F236" s="115"/>
      <c r="H236" s="95">
        <v>231</v>
      </c>
      <c r="I236" s="96" t="str">
        <f t="shared" si="15"/>
        <v/>
      </c>
      <c r="J236" s="96" t="e">
        <f t="shared" si="16"/>
        <v>#NUM!</v>
      </c>
      <c r="K236" s="95" t="e">
        <f t="shared" si="17"/>
        <v>#NUM!</v>
      </c>
      <c r="L236" s="95"/>
      <c r="M236" s="97">
        <f t="shared" si="18"/>
        <v>0</v>
      </c>
      <c r="S236" s="85"/>
      <c r="T236" s="85"/>
      <c r="U236" s="85"/>
      <c r="V236" s="85"/>
      <c r="W236" s="85"/>
      <c r="X236" s="85"/>
      <c r="Y236" s="85"/>
      <c r="Z236" s="85"/>
      <c r="AA236" s="85"/>
      <c r="AB236" s="85"/>
      <c r="AC236" s="85"/>
      <c r="AD236" s="85"/>
      <c r="AE236" s="85"/>
      <c r="AF236" s="85"/>
      <c r="AG236" s="85"/>
      <c r="AH236" s="85"/>
      <c r="AI236" s="85"/>
      <c r="AJ236" s="85"/>
      <c r="AK236" s="85"/>
      <c r="AL236" s="85"/>
    </row>
    <row r="237" spans="1:38" s="80" customFormat="1" x14ac:dyDescent="0.25">
      <c r="A237" s="116"/>
      <c r="B237" s="115"/>
      <c r="C237" s="115"/>
      <c r="D237" s="115"/>
      <c r="E237" s="115"/>
      <c r="F237" s="115"/>
      <c r="H237" s="95">
        <v>232</v>
      </c>
      <c r="I237" s="96" t="str">
        <f t="shared" si="15"/>
        <v/>
      </c>
      <c r="J237" s="96" t="e">
        <f t="shared" si="16"/>
        <v>#NUM!</v>
      </c>
      <c r="K237" s="95" t="e">
        <f t="shared" si="17"/>
        <v>#NUM!</v>
      </c>
      <c r="L237" s="95"/>
      <c r="M237" s="97">
        <f t="shared" si="18"/>
        <v>0</v>
      </c>
      <c r="S237" s="85"/>
      <c r="T237" s="85"/>
      <c r="U237" s="85"/>
      <c r="V237" s="85"/>
      <c r="W237" s="85"/>
      <c r="X237" s="85"/>
      <c r="Y237" s="85"/>
      <c r="Z237" s="85"/>
      <c r="AA237" s="85"/>
      <c r="AB237" s="85"/>
      <c r="AC237" s="85"/>
      <c r="AD237" s="85"/>
      <c r="AE237" s="85"/>
      <c r="AF237" s="85"/>
      <c r="AG237" s="85"/>
      <c r="AH237" s="85"/>
      <c r="AI237" s="85"/>
      <c r="AJ237" s="85"/>
      <c r="AK237" s="85"/>
      <c r="AL237" s="85"/>
    </row>
    <row r="238" spans="1:38" s="80" customFormat="1" x14ac:dyDescent="0.25">
      <c r="A238" s="116"/>
      <c r="B238" s="115"/>
      <c r="C238" s="115"/>
      <c r="D238" s="115"/>
      <c r="E238" s="115"/>
      <c r="F238" s="115"/>
      <c r="H238" s="95">
        <v>233</v>
      </c>
      <c r="I238" s="96" t="str">
        <f t="shared" si="15"/>
        <v/>
      </c>
      <c r="J238" s="96" t="e">
        <f t="shared" si="16"/>
        <v>#NUM!</v>
      </c>
      <c r="K238" s="95" t="e">
        <f t="shared" si="17"/>
        <v>#NUM!</v>
      </c>
      <c r="L238" s="95"/>
      <c r="M238" s="97">
        <f t="shared" si="18"/>
        <v>0</v>
      </c>
      <c r="S238" s="85"/>
      <c r="T238" s="85"/>
      <c r="U238" s="85"/>
      <c r="V238" s="85"/>
      <c r="W238" s="85"/>
      <c r="X238" s="85"/>
      <c r="Y238" s="85"/>
      <c r="Z238" s="85"/>
      <c r="AA238" s="85"/>
      <c r="AB238" s="85"/>
      <c r="AC238" s="85"/>
      <c r="AD238" s="85"/>
      <c r="AE238" s="85"/>
      <c r="AF238" s="85"/>
      <c r="AG238" s="85"/>
      <c r="AH238" s="85"/>
      <c r="AI238" s="85"/>
      <c r="AJ238" s="85"/>
      <c r="AK238" s="85"/>
      <c r="AL238" s="85"/>
    </row>
    <row r="239" spans="1:38" s="80" customFormat="1" x14ac:dyDescent="0.25">
      <c r="A239" s="116"/>
      <c r="B239" s="115"/>
      <c r="C239" s="115"/>
      <c r="D239" s="115"/>
      <c r="E239" s="115"/>
      <c r="F239" s="115"/>
      <c r="H239" s="95">
        <v>234</v>
      </c>
      <c r="I239" s="96" t="str">
        <f t="shared" si="15"/>
        <v/>
      </c>
      <c r="J239" s="96" t="e">
        <f t="shared" si="16"/>
        <v>#NUM!</v>
      </c>
      <c r="K239" s="95" t="e">
        <f t="shared" si="17"/>
        <v>#NUM!</v>
      </c>
      <c r="L239" s="95"/>
      <c r="M239" s="97">
        <f t="shared" si="18"/>
        <v>0</v>
      </c>
      <c r="S239" s="85"/>
      <c r="T239" s="85"/>
      <c r="U239" s="85"/>
      <c r="V239" s="85"/>
      <c r="W239" s="85"/>
      <c r="X239" s="85"/>
      <c r="Y239" s="85"/>
      <c r="Z239" s="85"/>
      <c r="AA239" s="85"/>
      <c r="AB239" s="85"/>
      <c r="AC239" s="85"/>
      <c r="AD239" s="85"/>
      <c r="AE239" s="85"/>
      <c r="AF239" s="85"/>
      <c r="AG239" s="85"/>
      <c r="AH239" s="85"/>
      <c r="AI239" s="85"/>
      <c r="AJ239" s="85"/>
      <c r="AK239" s="85"/>
      <c r="AL239" s="85"/>
    </row>
    <row r="240" spans="1:38" s="80" customFormat="1" x14ac:dyDescent="0.25">
      <c r="A240" s="116"/>
      <c r="B240" s="115"/>
      <c r="C240" s="115"/>
      <c r="D240" s="115"/>
      <c r="E240" s="115"/>
      <c r="F240" s="115"/>
      <c r="H240" s="95">
        <v>235</v>
      </c>
      <c r="I240" s="96" t="str">
        <f t="shared" si="15"/>
        <v/>
      </c>
      <c r="J240" s="96" t="e">
        <f t="shared" si="16"/>
        <v>#NUM!</v>
      </c>
      <c r="K240" s="95" t="e">
        <f t="shared" si="17"/>
        <v>#NUM!</v>
      </c>
      <c r="L240" s="95"/>
      <c r="M240" s="97">
        <f t="shared" si="18"/>
        <v>0</v>
      </c>
      <c r="S240" s="85"/>
      <c r="T240" s="85"/>
      <c r="U240" s="85"/>
      <c r="V240" s="85"/>
      <c r="W240" s="85"/>
      <c r="X240" s="85"/>
      <c r="Y240" s="85"/>
      <c r="Z240" s="85"/>
      <c r="AA240" s="85"/>
      <c r="AB240" s="85"/>
      <c r="AC240" s="85"/>
      <c r="AD240" s="85"/>
      <c r="AE240" s="85"/>
      <c r="AF240" s="85"/>
      <c r="AG240" s="85"/>
      <c r="AH240" s="85"/>
      <c r="AI240" s="85"/>
      <c r="AJ240" s="85"/>
      <c r="AK240" s="85"/>
      <c r="AL240" s="85"/>
    </row>
    <row r="241" spans="1:38" s="80" customFormat="1" x14ac:dyDescent="0.25">
      <c r="A241" s="116"/>
      <c r="B241" s="115"/>
      <c r="C241" s="115"/>
      <c r="D241" s="115"/>
      <c r="E241" s="115"/>
      <c r="F241" s="115"/>
      <c r="H241" s="95">
        <v>236</v>
      </c>
      <c r="I241" s="96" t="str">
        <f t="shared" si="15"/>
        <v/>
      </c>
      <c r="J241" s="96" t="e">
        <f t="shared" si="16"/>
        <v>#NUM!</v>
      </c>
      <c r="K241" s="95" t="e">
        <f t="shared" si="17"/>
        <v>#NUM!</v>
      </c>
      <c r="L241" s="95"/>
      <c r="M241" s="97">
        <f t="shared" si="18"/>
        <v>0</v>
      </c>
      <c r="S241" s="85"/>
      <c r="T241" s="85"/>
      <c r="U241" s="85"/>
      <c r="V241" s="85"/>
      <c r="W241" s="85"/>
      <c r="X241" s="85"/>
      <c r="Y241" s="85"/>
      <c r="Z241" s="85"/>
      <c r="AA241" s="85"/>
      <c r="AB241" s="85"/>
      <c r="AC241" s="85"/>
      <c r="AD241" s="85"/>
      <c r="AE241" s="85"/>
      <c r="AF241" s="85"/>
      <c r="AG241" s="85"/>
      <c r="AH241" s="85"/>
      <c r="AI241" s="85"/>
      <c r="AJ241" s="85"/>
      <c r="AK241" s="85"/>
      <c r="AL241" s="85"/>
    </row>
    <row r="242" spans="1:38" s="80" customFormat="1" x14ac:dyDescent="0.25">
      <c r="A242" s="116"/>
      <c r="B242" s="115"/>
      <c r="C242" s="115"/>
      <c r="D242" s="115"/>
      <c r="E242" s="115"/>
      <c r="F242" s="115"/>
      <c r="H242" s="95">
        <v>237</v>
      </c>
      <c r="I242" s="96" t="str">
        <f t="shared" si="15"/>
        <v/>
      </c>
      <c r="J242" s="96" t="e">
        <f t="shared" si="16"/>
        <v>#NUM!</v>
      </c>
      <c r="K242" s="95" t="e">
        <f t="shared" si="17"/>
        <v>#NUM!</v>
      </c>
      <c r="L242" s="95"/>
      <c r="M242" s="97">
        <f t="shared" si="18"/>
        <v>0</v>
      </c>
      <c r="S242" s="85"/>
      <c r="T242" s="85"/>
      <c r="U242" s="85"/>
      <c r="V242" s="85"/>
      <c r="W242" s="85"/>
      <c r="X242" s="85"/>
      <c r="Y242" s="85"/>
      <c r="Z242" s="85"/>
      <c r="AA242" s="85"/>
      <c r="AB242" s="85"/>
      <c r="AC242" s="85"/>
      <c r="AD242" s="85"/>
      <c r="AE242" s="85"/>
      <c r="AF242" s="85"/>
      <c r="AG242" s="85"/>
      <c r="AH242" s="85"/>
      <c r="AI242" s="85"/>
      <c r="AJ242" s="85"/>
      <c r="AK242" s="85"/>
      <c r="AL242" s="85"/>
    </row>
    <row r="243" spans="1:38" s="80" customFormat="1" x14ac:dyDescent="0.25">
      <c r="A243" s="116"/>
      <c r="B243" s="115"/>
      <c r="C243" s="115"/>
      <c r="D243" s="115"/>
      <c r="E243" s="115"/>
      <c r="F243" s="115"/>
      <c r="H243" s="95">
        <v>238</v>
      </c>
      <c r="I243" s="96" t="str">
        <f t="shared" si="15"/>
        <v/>
      </c>
      <c r="J243" s="96" t="e">
        <f t="shared" si="16"/>
        <v>#NUM!</v>
      </c>
      <c r="K243" s="95" t="e">
        <f t="shared" si="17"/>
        <v>#NUM!</v>
      </c>
      <c r="L243" s="95"/>
      <c r="M243" s="97">
        <f t="shared" si="18"/>
        <v>0</v>
      </c>
      <c r="S243" s="85"/>
      <c r="T243" s="85"/>
      <c r="U243" s="85"/>
      <c r="V243" s="85"/>
      <c r="W243" s="85"/>
      <c r="X243" s="85"/>
      <c r="Y243" s="85"/>
      <c r="Z243" s="85"/>
      <c r="AA243" s="85"/>
      <c r="AB243" s="85"/>
      <c r="AC243" s="85"/>
      <c r="AD243" s="85"/>
      <c r="AE243" s="85"/>
      <c r="AF243" s="85"/>
      <c r="AG243" s="85"/>
      <c r="AH243" s="85"/>
      <c r="AI243" s="85"/>
      <c r="AJ243" s="85"/>
      <c r="AK243" s="85"/>
      <c r="AL243" s="85"/>
    </row>
    <row r="244" spans="1:38" s="80" customFormat="1" x14ac:dyDescent="0.25">
      <c r="A244" s="116"/>
      <c r="B244" s="115"/>
      <c r="C244" s="115"/>
      <c r="D244" s="115"/>
      <c r="E244" s="115"/>
      <c r="F244" s="115"/>
      <c r="H244" s="95">
        <v>239</v>
      </c>
      <c r="I244" s="96" t="str">
        <f t="shared" si="15"/>
        <v/>
      </c>
      <c r="J244" s="96" t="e">
        <f t="shared" si="16"/>
        <v>#NUM!</v>
      </c>
      <c r="K244" s="95" t="e">
        <f t="shared" si="17"/>
        <v>#NUM!</v>
      </c>
      <c r="L244" s="95"/>
      <c r="M244" s="97">
        <f t="shared" si="18"/>
        <v>0</v>
      </c>
      <c r="S244" s="85"/>
      <c r="T244" s="85"/>
      <c r="U244" s="85"/>
      <c r="V244" s="85"/>
      <c r="W244" s="85"/>
      <c r="X244" s="85"/>
      <c r="Y244" s="85"/>
      <c r="Z244" s="85"/>
      <c r="AA244" s="85"/>
      <c r="AB244" s="85"/>
      <c r="AC244" s="85"/>
      <c r="AD244" s="85"/>
      <c r="AE244" s="85"/>
      <c r="AF244" s="85"/>
      <c r="AG244" s="85"/>
      <c r="AH244" s="85"/>
      <c r="AI244" s="85"/>
      <c r="AJ244" s="85"/>
      <c r="AK244" s="85"/>
      <c r="AL244" s="85"/>
    </row>
    <row r="245" spans="1:38" s="80" customFormat="1" x14ac:dyDescent="0.25">
      <c r="A245" s="116"/>
      <c r="B245" s="115"/>
      <c r="C245" s="115"/>
      <c r="D245" s="115"/>
      <c r="E245" s="115"/>
      <c r="F245" s="115"/>
      <c r="H245" s="95">
        <v>240</v>
      </c>
      <c r="I245" s="96" t="str">
        <f t="shared" si="15"/>
        <v/>
      </c>
      <c r="J245" s="96" t="e">
        <f t="shared" si="16"/>
        <v>#NUM!</v>
      </c>
      <c r="K245" s="95" t="e">
        <f t="shared" si="17"/>
        <v>#NUM!</v>
      </c>
      <c r="L245" s="95"/>
      <c r="M245" s="97">
        <f t="shared" si="18"/>
        <v>0</v>
      </c>
      <c r="S245" s="85"/>
      <c r="T245" s="85"/>
      <c r="U245" s="85"/>
      <c r="V245" s="85"/>
      <c r="W245" s="85"/>
      <c r="X245" s="85"/>
      <c r="Y245" s="85"/>
      <c r="Z245" s="85"/>
      <c r="AA245" s="85"/>
      <c r="AB245" s="85"/>
      <c r="AC245" s="85"/>
      <c r="AD245" s="85"/>
      <c r="AE245" s="85"/>
      <c r="AF245" s="85"/>
      <c r="AG245" s="85"/>
      <c r="AH245" s="85"/>
      <c r="AI245" s="85"/>
      <c r="AJ245" s="85"/>
      <c r="AK245" s="85"/>
      <c r="AL245" s="85"/>
    </row>
    <row r="246" spans="1:38" s="80" customFormat="1" x14ac:dyDescent="0.25">
      <c r="A246" s="116"/>
      <c r="B246" s="115"/>
      <c r="C246" s="115"/>
      <c r="D246" s="115"/>
      <c r="E246" s="115"/>
      <c r="F246" s="115"/>
      <c r="H246" s="95">
        <v>241</v>
      </c>
      <c r="I246" s="96" t="str">
        <f t="shared" si="15"/>
        <v/>
      </c>
      <c r="J246" s="96" t="e">
        <f t="shared" si="16"/>
        <v>#NUM!</v>
      </c>
      <c r="K246" s="95" t="e">
        <f t="shared" si="17"/>
        <v>#NUM!</v>
      </c>
      <c r="L246" s="95"/>
      <c r="M246" s="97">
        <f t="shared" si="18"/>
        <v>0</v>
      </c>
      <c r="S246" s="85"/>
      <c r="T246" s="85"/>
      <c r="U246" s="85"/>
      <c r="V246" s="85"/>
      <c r="W246" s="85"/>
      <c r="X246" s="85"/>
      <c r="Y246" s="85"/>
      <c r="Z246" s="85"/>
      <c r="AA246" s="85"/>
      <c r="AB246" s="85"/>
      <c r="AC246" s="85"/>
      <c r="AD246" s="85"/>
      <c r="AE246" s="85"/>
      <c r="AF246" s="85"/>
      <c r="AG246" s="85"/>
      <c r="AH246" s="85"/>
      <c r="AI246" s="85"/>
      <c r="AJ246" s="85"/>
      <c r="AK246" s="85"/>
      <c r="AL246" s="85"/>
    </row>
    <row r="247" spans="1:38" s="80" customFormat="1" x14ac:dyDescent="0.25">
      <c r="A247" s="116"/>
      <c r="B247" s="115"/>
      <c r="C247" s="115"/>
      <c r="D247" s="115"/>
      <c r="E247" s="115"/>
      <c r="F247" s="115"/>
      <c r="H247" s="95">
        <v>242</v>
      </c>
      <c r="I247" s="96" t="str">
        <f t="shared" si="15"/>
        <v/>
      </c>
      <c r="J247" s="96" t="e">
        <f t="shared" si="16"/>
        <v>#NUM!</v>
      </c>
      <c r="K247" s="95" t="e">
        <f t="shared" si="17"/>
        <v>#NUM!</v>
      </c>
      <c r="L247" s="95"/>
      <c r="M247" s="97">
        <f t="shared" si="18"/>
        <v>0</v>
      </c>
      <c r="S247" s="85"/>
      <c r="T247" s="85"/>
      <c r="U247" s="85"/>
      <c r="V247" s="85"/>
      <c r="W247" s="85"/>
      <c r="X247" s="85"/>
      <c r="Y247" s="85"/>
      <c r="Z247" s="85"/>
      <c r="AA247" s="85"/>
      <c r="AB247" s="85"/>
      <c r="AC247" s="85"/>
      <c r="AD247" s="85"/>
      <c r="AE247" s="85"/>
      <c r="AF247" s="85"/>
      <c r="AG247" s="85"/>
      <c r="AH247" s="85"/>
      <c r="AI247" s="85"/>
      <c r="AJ247" s="85"/>
      <c r="AK247" s="85"/>
      <c r="AL247" s="85"/>
    </row>
    <row r="248" spans="1:38" s="80" customFormat="1" x14ac:dyDescent="0.25">
      <c r="A248" s="116"/>
      <c r="B248" s="115"/>
      <c r="C248" s="115"/>
      <c r="D248" s="115"/>
      <c r="E248" s="115"/>
      <c r="F248" s="115"/>
      <c r="H248" s="95">
        <v>243</v>
      </c>
      <c r="I248" s="96" t="str">
        <f t="shared" si="15"/>
        <v/>
      </c>
      <c r="J248" s="96" t="e">
        <f t="shared" si="16"/>
        <v>#NUM!</v>
      </c>
      <c r="K248" s="95" t="e">
        <f t="shared" si="17"/>
        <v>#NUM!</v>
      </c>
      <c r="L248" s="95"/>
      <c r="M248" s="97">
        <f t="shared" si="18"/>
        <v>0</v>
      </c>
      <c r="S248" s="85"/>
      <c r="T248" s="85"/>
      <c r="U248" s="85"/>
      <c r="V248" s="85"/>
      <c r="W248" s="85"/>
      <c r="X248" s="85"/>
      <c r="Y248" s="85"/>
      <c r="Z248" s="85"/>
      <c r="AA248" s="85"/>
      <c r="AB248" s="85"/>
      <c r="AC248" s="85"/>
      <c r="AD248" s="85"/>
      <c r="AE248" s="85"/>
      <c r="AF248" s="85"/>
      <c r="AG248" s="85"/>
      <c r="AH248" s="85"/>
      <c r="AI248" s="85"/>
      <c r="AJ248" s="85"/>
      <c r="AK248" s="85"/>
      <c r="AL248" s="85"/>
    </row>
    <row r="249" spans="1:38" s="80" customFormat="1" x14ac:dyDescent="0.25">
      <c r="A249" s="116"/>
      <c r="B249" s="115"/>
      <c r="C249" s="115"/>
      <c r="D249" s="115"/>
      <c r="E249" s="115"/>
      <c r="F249" s="115"/>
      <c r="H249" s="95">
        <v>244</v>
      </c>
      <c r="I249" s="96" t="str">
        <f t="shared" si="15"/>
        <v/>
      </c>
      <c r="J249" s="96" t="e">
        <f t="shared" si="16"/>
        <v>#NUM!</v>
      </c>
      <c r="K249" s="95" t="e">
        <f t="shared" si="17"/>
        <v>#NUM!</v>
      </c>
      <c r="L249" s="95"/>
      <c r="M249" s="97">
        <f t="shared" si="18"/>
        <v>0</v>
      </c>
      <c r="S249" s="85"/>
      <c r="T249" s="85"/>
      <c r="U249" s="85"/>
      <c r="V249" s="85"/>
      <c r="W249" s="85"/>
      <c r="X249" s="85"/>
      <c r="Y249" s="85"/>
      <c r="Z249" s="85"/>
      <c r="AA249" s="85"/>
      <c r="AB249" s="85"/>
      <c r="AC249" s="85"/>
      <c r="AD249" s="85"/>
      <c r="AE249" s="85"/>
      <c r="AF249" s="85"/>
      <c r="AG249" s="85"/>
      <c r="AH249" s="85"/>
      <c r="AI249" s="85"/>
      <c r="AJ249" s="85"/>
      <c r="AK249" s="85"/>
      <c r="AL249" s="85"/>
    </row>
    <row r="250" spans="1:38" s="80" customFormat="1" x14ac:dyDescent="0.25">
      <c r="A250" s="116"/>
      <c r="B250" s="115"/>
      <c r="C250" s="115"/>
      <c r="D250" s="115"/>
      <c r="E250" s="115"/>
      <c r="F250" s="115"/>
      <c r="H250" s="95">
        <v>245</v>
      </c>
      <c r="I250" s="96" t="str">
        <f t="shared" si="15"/>
        <v/>
      </c>
      <c r="J250" s="96" t="e">
        <f t="shared" si="16"/>
        <v>#NUM!</v>
      </c>
      <c r="K250" s="95" t="e">
        <f t="shared" si="17"/>
        <v>#NUM!</v>
      </c>
      <c r="L250" s="95"/>
      <c r="M250" s="97">
        <f t="shared" si="18"/>
        <v>0</v>
      </c>
      <c r="S250" s="85"/>
      <c r="T250" s="85"/>
      <c r="U250" s="85"/>
      <c r="V250" s="85"/>
      <c r="W250" s="85"/>
      <c r="X250" s="85"/>
      <c r="Y250" s="85"/>
      <c r="Z250" s="85"/>
      <c r="AA250" s="85"/>
      <c r="AB250" s="85"/>
      <c r="AC250" s="85"/>
      <c r="AD250" s="85"/>
      <c r="AE250" s="85"/>
      <c r="AF250" s="85"/>
      <c r="AG250" s="85"/>
      <c r="AH250" s="85"/>
      <c r="AI250" s="85"/>
      <c r="AJ250" s="85"/>
      <c r="AK250" s="85"/>
      <c r="AL250" s="85"/>
    </row>
    <row r="251" spans="1:38" s="80" customFormat="1" x14ac:dyDescent="0.25">
      <c r="A251" s="116"/>
      <c r="B251" s="115"/>
      <c r="C251" s="115"/>
      <c r="D251" s="115"/>
      <c r="E251" s="115"/>
      <c r="F251" s="115"/>
      <c r="H251" s="95">
        <v>246</v>
      </c>
      <c r="I251" s="96" t="str">
        <f t="shared" si="15"/>
        <v/>
      </c>
      <c r="J251" s="96" t="e">
        <f t="shared" si="16"/>
        <v>#NUM!</v>
      </c>
      <c r="K251" s="95" t="e">
        <f t="shared" si="17"/>
        <v>#NUM!</v>
      </c>
      <c r="L251" s="95"/>
      <c r="M251" s="97">
        <f t="shared" si="18"/>
        <v>0</v>
      </c>
      <c r="S251" s="85"/>
      <c r="T251" s="85"/>
      <c r="U251" s="85"/>
      <c r="V251" s="85"/>
      <c r="W251" s="85"/>
      <c r="X251" s="85"/>
      <c r="Y251" s="85"/>
      <c r="Z251" s="85"/>
      <c r="AA251" s="85"/>
      <c r="AB251" s="85"/>
      <c r="AC251" s="85"/>
      <c r="AD251" s="85"/>
      <c r="AE251" s="85"/>
      <c r="AF251" s="85"/>
      <c r="AG251" s="85"/>
      <c r="AH251" s="85"/>
      <c r="AI251" s="85"/>
      <c r="AJ251" s="85"/>
      <c r="AK251" s="85"/>
      <c r="AL251" s="85"/>
    </row>
    <row r="252" spans="1:38" s="80" customFormat="1" x14ac:dyDescent="0.25">
      <c r="A252" s="116"/>
      <c r="B252" s="115"/>
      <c r="C252" s="115"/>
      <c r="D252" s="115"/>
      <c r="E252" s="115"/>
      <c r="F252" s="115"/>
      <c r="H252" s="95">
        <v>247</v>
      </c>
      <c r="I252" s="96" t="str">
        <f t="shared" si="15"/>
        <v/>
      </c>
      <c r="J252" s="96" t="e">
        <f t="shared" si="16"/>
        <v>#NUM!</v>
      </c>
      <c r="K252" s="95" t="e">
        <f t="shared" si="17"/>
        <v>#NUM!</v>
      </c>
      <c r="L252" s="95"/>
      <c r="M252" s="97">
        <f t="shared" si="18"/>
        <v>0</v>
      </c>
      <c r="S252" s="85"/>
      <c r="T252" s="85"/>
      <c r="U252" s="85"/>
      <c r="V252" s="85"/>
      <c r="W252" s="85"/>
      <c r="X252" s="85"/>
      <c r="Y252" s="85"/>
      <c r="Z252" s="85"/>
      <c r="AA252" s="85"/>
      <c r="AB252" s="85"/>
      <c r="AC252" s="85"/>
      <c r="AD252" s="85"/>
      <c r="AE252" s="85"/>
      <c r="AF252" s="85"/>
      <c r="AG252" s="85"/>
      <c r="AH252" s="85"/>
      <c r="AI252" s="85"/>
      <c r="AJ252" s="85"/>
      <c r="AK252" s="85"/>
      <c r="AL252" s="85"/>
    </row>
    <row r="253" spans="1:38" s="80" customFormat="1" x14ac:dyDescent="0.25">
      <c r="A253" s="116"/>
      <c r="B253" s="115"/>
      <c r="C253" s="115"/>
      <c r="D253" s="115"/>
      <c r="E253" s="115"/>
      <c r="F253" s="115"/>
      <c r="H253" s="95">
        <v>248</v>
      </c>
      <c r="I253" s="96" t="str">
        <f t="shared" si="15"/>
        <v/>
      </c>
      <c r="J253" s="96" t="e">
        <f t="shared" si="16"/>
        <v>#NUM!</v>
      </c>
      <c r="K253" s="95" t="e">
        <f t="shared" si="17"/>
        <v>#NUM!</v>
      </c>
      <c r="L253" s="95"/>
      <c r="M253" s="97">
        <f t="shared" si="18"/>
        <v>0</v>
      </c>
      <c r="S253" s="85"/>
      <c r="T253" s="85"/>
      <c r="U253" s="85"/>
      <c r="V253" s="85"/>
      <c r="W253" s="85"/>
      <c r="X253" s="85"/>
      <c r="Y253" s="85"/>
      <c r="Z253" s="85"/>
      <c r="AA253" s="85"/>
      <c r="AB253" s="85"/>
      <c r="AC253" s="85"/>
      <c r="AD253" s="85"/>
      <c r="AE253" s="85"/>
      <c r="AF253" s="85"/>
      <c r="AG253" s="85"/>
      <c r="AH253" s="85"/>
      <c r="AI253" s="85"/>
      <c r="AJ253" s="85"/>
      <c r="AK253" s="85"/>
      <c r="AL253" s="85"/>
    </row>
    <row r="254" spans="1:38" s="80" customFormat="1" x14ac:dyDescent="0.25">
      <c r="A254" s="116"/>
      <c r="B254" s="115"/>
      <c r="C254" s="115"/>
      <c r="D254" s="115"/>
      <c r="E254" s="115"/>
      <c r="F254" s="115"/>
      <c r="H254" s="95">
        <v>249</v>
      </c>
      <c r="I254" s="96" t="str">
        <f t="shared" si="15"/>
        <v/>
      </c>
      <c r="J254" s="96" t="e">
        <f t="shared" si="16"/>
        <v>#NUM!</v>
      </c>
      <c r="K254" s="95" t="e">
        <f t="shared" si="17"/>
        <v>#NUM!</v>
      </c>
      <c r="L254" s="95"/>
      <c r="M254" s="97">
        <f t="shared" si="18"/>
        <v>0</v>
      </c>
      <c r="S254" s="85"/>
      <c r="T254" s="85"/>
      <c r="U254" s="85"/>
      <c r="V254" s="85"/>
      <c r="W254" s="85"/>
      <c r="X254" s="85"/>
      <c r="Y254" s="85"/>
      <c r="Z254" s="85"/>
      <c r="AA254" s="85"/>
      <c r="AB254" s="85"/>
      <c r="AC254" s="85"/>
      <c r="AD254" s="85"/>
      <c r="AE254" s="85"/>
      <c r="AF254" s="85"/>
      <c r="AG254" s="85"/>
      <c r="AH254" s="85"/>
      <c r="AI254" s="85"/>
      <c r="AJ254" s="85"/>
      <c r="AK254" s="85"/>
      <c r="AL254" s="85"/>
    </row>
    <row r="255" spans="1:38" s="80" customFormat="1" x14ac:dyDescent="0.25">
      <c r="A255" s="116"/>
      <c r="B255" s="115"/>
      <c r="C255" s="115"/>
      <c r="D255" s="115"/>
      <c r="E255" s="115"/>
      <c r="F255" s="115"/>
      <c r="H255" s="95">
        <v>250</v>
      </c>
      <c r="I255" s="96" t="str">
        <f t="shared" si="15"/>
        <v/>
      </c>
      <c r="J255" s="96" t="e">
        <f t="shared" si="16"/>
        <v>#NUM!</v>
      </c>
      <c r="K255" s="95" t="e">
        <f t="shared" si="17"/>
        <v>#NUM!</v>
      </c>
      <c r="L255" s="95"/>
      <c r="M255" s="97">
        <f t="shared" si="18"/>
        <v>0</v>
      </c>
      <c r="S255" s="85"/>
      <c r="T255" s="85"/>
      <c r="U255" s="85"/>
      <c r="V255" s="85"/>
      <c r="W255" s="85"/>
      <c r="X255" s="85"/>
      <c r="Y255" s="85"/>
      <c r="Z255" s="85"/>
      <c r="AA255" s="85"/>
      <c r="AB255" s="85"/>
      <c r="AC255" s="85"/>
      <c r="AD255" s="85"/>
      <c r="AE255" s="85"/>
      <c r="AF255" s="85"/>
      <c r="AG255" s="85"/>
      <c r="AH255" s="85"/>
      <c r="AI255" s="85"/>
      <c r="AJ255" s="85"/>
      <c r="AK255" s="85"/>
      <c r="AL255" s="85"/>
    </row>
    <row r="256" spans="1:38" s="80" customFormat="1" x14ac:dyDescent="0.25">
      <c r="A256" s="116"/>
      <c r="B256" s="115"/>
      <c r="C256" s="115"/>
      <c r="D256" s="115"/>
      <c r="E256" s="115"/>
      <c r="F256" s="115"/>
      <c r="H256" s="95">
        <v>251</v>
      </c>
      <c r="I256" s="96" t="str">
        <f t="shared" si="15"/>
        <v/>
      </c>
      <c r="J256" s="96" t="e">
        <f t="shared" si="16"/>
        <v>#NUM!</v>
      </c>
      <c r="K256" s="95" t="e">
        <f t="shared" si="17"/>
        <v>#NUM!</v>
      </c>
      <c r="L256" s="95"/>
      <c r="M256" s="97">
        <f t="shared" si="18"/>
        <v>0</v>
      </c>
      <c r="S256" s="85"/>
      <c r="T256" s="85"/>
      <c r="U256" s="85"/>
      <c r="V256" s="85"/>
      <c r="W256" s="85"/>
      <c r="X256" s="85"/>
      <c r="Y256" s="85"/>
      <c r="Z256" s="85"/>
      <c r="AA256" s="85"/>
      <c r="AB256" s="85"/>
      <c r="AC256" s="85"/>
      <c r="AD256" s="85"/>
      <c r="AE256" s="85"/>
      <c r="AF256" s="85"/>
      <c r="AG256" s="85"/>
      <c r="AH256" s="85"/>
      <c r="AI256" s="85"/>
      <c r="AJ256" s="85"/>
      <c r="AK256" s="85"/>
      <c r="AL256" s="85"/>
    </row>
    <row r="257" spans="1:38" s="80" customFormat="1" x14ac:dyDescent="0.25">
      <c r="A257" s="116"/>
      <c r="B257" s="115"/>
      <c r="C257" s="115"/>
      <c r="D257" s="115"/>
      <c r="E257" s="115"/>
      <c r="F257" s="115"/>
      <c r="H257" s="95">
        <v>252</v>
      </c>
      <c r="I257" s="96" t="str">
        <f t="shared" si="15"/>
        <v/>
      </c>
      <c r="J257" s="96" t="e">
        <f t="shared" si="16"/>
        <v>#NUM!</v>
      </c>
      <c r="K257" s="95" t="e">
        <f t="shared" si="17"/>
        <v>#NUM!</v>
      </c>
      <c r="L257" s="95"/>
      <c r="M257" s="97">
        <f t="shared" si="18"/>
        <v>0</v>
      </c>
      <c r="S257" s="85"/>
      <c r="T257" s="85"/>
      <c r="U257" s="85"/>
      <c r="V257" s="85"/>
      <c r="W257" s="85"/>
      <c r="X257" s="85"/>
      <c r="Y257" s="85"/>
      <c r="Z257" s="85"/>
      <c r="AA257" s="85"/>
      <c r="AB257" s="85"/>
      <c r="AC257" s="85"/>
      <c r="AD257" s="85"/>
      <c r="AE257" s="85"/>
      <c r="AF257" s="85"/>
      <c r="AG257" s="85"/>
      <c r="AH257" s="85"/>
      <c r="AI257" s="85"/>
      <c r="AJ257" s="85"/>
      <c r="AK257" s="85"/>
      <c r="AL257" s="85"/>
    </row>
    <row r="258" spans="1:38" s="80" customFormat="1" x14ac:dyDescent="0.25">
      <c r="A258" s="116"/>
      <c r="B258" s="115"/>
      <c r="C258" s="115"/>
      <c r="D258" s="115"/>
      <c r="E258" s="115"/>
      <c r="F258" s="115"/>
      <c r="H258" s="95">
        <v>253</v>
      </c>
      <c r="I258" s="96" t="str">
        <f t="shared" si="15"/>
        <v/>
      </c>
      <c r="J258" s="96" t="e">
        <f t="shared" si="16"/>
        <v>#NUM!</v>
      </c>
      <c r="K258" s="95" t="e">
        <f t="shared" si="17"/>
        <v>#NUM!</v>
      </c>
      <c r="L258" s="95"/>
      <c r="M258" s="97">
        <f t="shared" si="18"/>
        <v>0</v>
      </c>
      <c r="S258" s="85"/>
      <c r="T258" s="85"/>
      <c r="U258" s="85"/>
      <c r="V258" s="85"/>
      <c r="W258" s="85"/>
      <c r="X258" s="85"/>
      <c r="Y258" s="85"/>
      <c r="Z258" s="85"/>
      <c r="AA258" s="85"/>
      <c r="AB258" s="85"/>
      <c r="AC258" s="85"/>
      <c r="AD258" s="85"/>
      <c r="AE258" s="85"/>
      <c r="AF258" s="85"/>
      <c r="AG258" s="85"/>
      <c r="AH258" s="85"/>
      <c r="AI258" s="85"/>
      <c r="AJ258" s="85"/>
      <c r="AK258" s="85"/>
      <c r="AL258" s="85"/>
    </row>
    <row r="259" spans="1:38" s="80" customFormat="1" x14ac:dyDescent="0.25">
      <c r="A259" s="116"/>
      <c r="B259" s="115"/>
      <c r="C259" s="115"/>
      <c r="D259" s="115"/>
      <c r="E259" s="115"/>
      <c r="F259" s="115"/>
      <c r="H259" s="95">
        <v>254</v>
      </c>
      <c r="I259" s="96" t="str">
        <f t="shared" si="15"/>
        <v/>
      </c>
      <c r="J259" s="96" t="e">
        <f t="shared" si="16"/>
        <v>#NUM!</v>
      </c>
      <c r="K259" s="95" t="e">
        <f t="shared" si="17"/>
        <v>#NUM!</v>
      </c>
      <c r="L259" s="95"/>
      <c r="M259" s="97">
        <f t="shared" si="18"/>
        <v>0</v>
      </c>
      <c r="S259" s="85"/>
      <c r="T259" s="85"/>
      <c r="U259" s="85"/>
      <c r="V259" s="85"/>
      <c r="W259" s="85"/>
      <c r="X259" s="85"/>
      <c r="Y259" s="85"/>
      <c r="Z259" s="85"/>
      <c r="AA259" s="85"/>
      <c r="AB259" s="85"/>
      <c r="AC259" s="85"/>
      <c r="AD259" s="85"/>
      <c r="AE259" s="85"/>
      <c r="AF259" s="85"/>
      <c r="AG259" s="85"/>
      <c r="AH259" s="85"/>
      <c r="AI259" s="85"/>
      <c r="AJ259" s="85"/>
      <c r="AK259" s="85"/>
      <c r="AL259" s="85"/>
    </row>
    <row r="260" spans="1:38" s="80" customFormat="1" x14ac:dyDescent="0.25">
      <c r="A260" s="116"/>
      <c r="B260" s="115"/>
      <c r="C260" s="115"/>
      <c r="D260" s="115"/>
      <c r="E260" s="115"/>
      <c r="F260" s="115"/>
      <c r="H260" s="95">
        <v>255</v>
      </c>
      <c r="I260" s="96" t="str">
        <f t="shared" si="15"/>
        <v/>
      </c>
      <c r="J260" s="96" t="e">
        <f t="shared" si="16"/>
        <v>#NUM!</v>
      </c>
      <c r="K260" s="95" t="e">
        <f t="shared" si="17"/>
        <v>#NUM!</v>
      </c>
      <c r="L260" s="95"/>
      <c r="M260" s="97">
        <f t="shared" si="18"/>
        <v>0</v>
      </c>
      <c r="S260" s="85"/>
      <c r="T260" s="85"/>
      <c r="U260" s="85"/>
      <c r="V260" s="85"/>
      <c r="W260" s="85"/>
      <c r="X260" s="85"/>
      <c r="Y260" s="85"/>
      <c r="Z260" s="85"/>
      <c r="AA260" s="85"/>
      <c r="AB260" s="85"/>
      <c r="AC260" s="85"/>
      <c r="AD260" s="85"/>
      <c r="AE260" s="85"/>
      <c r="AF260" s="85"/>
      <c r="AG260" s="85"/>
      <c r="AH260" s="85"/>
      <c r="AI260" s="85"/>
      <c r="AJ260" s="85"/>
      <c r="AK260" s="85"/>
      <c r="AL260" s="85"/>
    </row>
    <row r="261" spans="1:38" s="80" customFormat="1" x14ac:dyDescent="0.25">
      <c r="A261" s="116"/>
      <c r="B261" s="115"/>
      <c r="C261" s="115"/>
      <c r="D261" s="115"/>
      <c r="E261" s="115"/>
      <c r="F261" s="115"/>
      <c r="H261" s="95">
        <v>256</v>
      </c>
      <c r="I261" s="96" t="str">
        <f t="shared" si="15"/>
        <v/>
      </c>
      <c r="J261" s="96" t="e">
        <f t="shared" si="16"/>
        <v>#NUM!</v>
      </c>
      <c r="K261" s="95" t="e">
        <f t="shared" si="17"/>
        <v>#NUM!</v>
      </c>
      <c r="L261" s="95"/>
      <c r="M261" s="97">
        <f t="shared" si="18"/>
        <v>0</v>
      </c>
      <c r="S261" s="85"/>
      <c r="T261" s="85"/>
      <c r="U261" s="85"/>
      <c r="V261" s="85"/>
      <c r="W261" s="85"/>
      <c r="X261" s="85"/>
      <c r="Y261" s="85"/>
      <c r="Z261" s="85"/>
      <c r="AA261" s="85"/>
      <c r="AB261" s="85"/>
      <c r="AC261" s="85"/>
      <c r="AD261" s="85"/>
      <c r="AE261" s="85"/>
      <c r="AF261" s="85"/>
      <c r="AG261" s="85"/>
      <c r="AH261" s="85"/>
      <c r="AI261" s="85"/>
      <c r="AJ261" s="85"/>
      <c r="AK261" s="85"/>
      <c r="AL261" s="85"/>
    </row>
    <row r="262" spans="1:38" s="80" customFormat="1" x14ac:dyDescent="0.25">
      <c r="A262" s="116"/>
      <c r="B262" s="115"/>
      <c r="C262" s="115"/>
      <c r="D262" s="115"/>
      <c r="E262" s="115"/>
      <c r="F262" s="115"/>
      <c r="H262" s="95">
        <v>257</v>
      </c>
      <c r="I262" s="96" t="str">
        <f t="shared" ref="I262:I305" si="19">IF(H262&lt;$H$2+1,($I$2-($I$2-1)*(LOG(H262)/LOG($H$2))),"")</f>
        <v/>
      </c>
      <c r="J262" s="96" t="e">
        <f t="shared" ref="J262:J305" si="20">INT(LOG($H$2,2))-ROUNDUP(LOG(H262,2),0)+IF(OR($H$2=1,$H$2=2,$H$2=4,$H$2=8,$H$2=16,$H$2=32,$H$2=64,$H$2=128,$H$2=256),0,1)</f>
        <v>#NUM!</v>
      </c>
      <c r="K262" s="95" t="e">
        <f t="shared" ref="K262:K305" si="21">J262*$J$2</f>
        <v>#NUM!</v>
      </c>
      <c r="L262" s="95"/>
      <c r="M262" s="97">
        <f t="shared" ref="M262:M305" si="22">IF(I262&lt;&gt;"",K262+I262+L262,0)</f>
        <v>0</v>
      </c>
      <c r="S262" s="85"/>
      <c r="T262" s="85"/>
      <c r="U262" s="85"/>
      <c r="V262" s="85"/>
      <c r="W262" s="85"/>
      <c r="X262" s="85"/>
      <c r="Y262" s="85"/>
      <c r="Z262" s="85"/>
      <c r="AA262" s="85"/>
      <c r="AB262" s="85"/>
      <c r="AC262" s="85"/>
      <c r="AD262" s="85"/>
      <c r="AE262" s="85"/>
      <c r="AF262" s="85"/>
      <c r="AG262" s="85"/>
      <c r="AH262" s="85"/>
      <c r="AI262" s="85"/>
      <c r="AJ262" s="85"/>
      <c r="AK262" s="85"/>
      <c r="AL262" s="85"/>
    </row>
    <row r="263" spans="1:38" s="80" customFormat="1" x14ac:dyDescent="0.25">
      <c r="A263" s="116"/>
      <c r="B263" s="115"/>
      <c r="C263" s="115"/>
      <c r="D263" s="115"/>
      <c r="E263" s="115"/>
      <c r="F263" s="115"/>
      <c r="H263" s="95">
        <v>258</v>
      </c>
      <c r="I263" s="96" t="str">
        <f t="shared" si="19"/>
        <v/>
      </c>
      <c r="J263" s="96" t="e">
        <f t="shared" si="20"/>
        <v>#NUM!</v>
      </c>
      <c r="K263" s="95" t="e">
        <f t="shared" si="21"/>
        <v>#NUM!</v>
      </c>
      <c r="L263" s="95"/>
      <c r="M263" s="97">
        <f t="shared" si="22"/>
        <v>0</v>
      </c>
      <c r="S263" s="85"/>
      <c r="T263" s="85"/>
      <c r="U263" s="85"/>
      <c r="V263" s="85"/>
      <c r="W263" s="85"/>
      <c r="X263" s="85"/>
      <c r="Y263" s="85"/>
      <c r="Z263" s="85"/>
      <c r="AA263" s="85"/>
      <c r="AB263" s="85"/>
      <c r="AC263" s="85"/>
      <c r="AD263" s="85"/>
      <c r="AE263" s="85"/>
      <c r="AF263" s="85"/>
      <c r="AG263" s="85"/>
      <c r="AH263" s="85"/>
      <c r="AI263" s="85"/>
      <c r="AJ263" s="85"/>
      <c r="AK263" s="85"/>
      <c r="AL263" s="85"/>
    </row>
    <row r="264" spans="1:38" s="80" customFormat="1" x14ac:dyDescent="0.25">
      <c r="A264" s="116"/>
      <c r="B264" s="115"/>
      <c r="C264" s="115"/>
      <c r="D264" s="115"/>
      <c r="E264" s="115"/>
      <c r="F264" s="115"/>
      <c r="H264" s="95">
        <v>259</v>
      </c>
      <c r="I264" s="96" t="str">
        <f t="shared" si="19"/>
        <v/>
      </c>
      <c r="J264" s="96" t="e">
        <f t="shared" si="20"/>
        <v>#NUM!</v>
      </c>
      <c r="K264" s="95" t="e">
        <f t="shared" si="21"/>
        <v>#NUM!</v>
      </c>
      <c r="L264" s="95"/>
      <c r="M264" s="97">
        <f t="shared" si="22"/>
        <v>0</v>
      </c>
      <c r="S264" s="85"/>
      <c r="T264" s="85"/>
      <c r="U264" s="85"/>
      <c r="V264" s="85"/>
      <c r="W264" s="85"/>
      <c r="X264" s="85"/>
      <c r="Y264" s="85"/>
      <c r="Z264" s="85"/>
      <c r="AA264" s="85"/>
      <c r="AB264" s="85"/>
      <c r="AC264" s="85"/>
      <c r="AD264" s="85"/>
      <c r="AE264" s="85"/>
      <c r="AF264" s="85"/>
      <c r="AG264" s="85"/>
      <c r="AH264" s="85"/>
      <c r="AI264" s="85"/>
      <c r="AJ264" s="85"/>
      <c r="AK264" s="85"/>
      <c r="AL264" s="85"/>
    </row>
    <row r="265" spans="1:38" s="80" customFormat="1" x14ac:dyDescent="0.25">
      <c r="A265" s="116"/>
      <c r="B265" s="115"/>
      <c r="C265" s="115"/>
      <c r="D265" s="115"/>
      <c r="E265" s="115"/>
      <c r="F265" s="115"/>
      <c r="H265" s="95">
        <v>260</v>
      </c>
      <c r="I265" s="96" t="str">
        <f t="shared" si="19"/>
        <v/>
      </c>
      <c r="J265" s="96" t="e">
        <f t="shared" si="20"/>
        <v>#NUM!</v>
      </c>
      <c r="K265" s="95" t="e">
        <f t="shared" si="21"/>
        <v>#NUM!</v>
      </c>
      <c r="L265" s="95"/>
      <c r="M265" s="97">
        <f t="shared" si="22"/>
        <v>0</v>
      </c>
      <c r="S265" s="85"/>
      <c r="T265" s="85"/>
      <c r="U265" s="85"/>
      <c r="V265" s="85"/>
      <c r="W265" s="85"/>
      <c r="X265" s="85"/>
      <c r="Y265" s="85"/>
      <c r="Z265" s="85"/>
      <c r="AA265" s="85"/>
      <c r="AB265" s="85"/>
      <c r="AC265" s="85"/>
      <c r="AD265" s="85"/>
      <c r="AE265" s="85"/>
      <c r="AF265" s="85"/>
      <c r="AG265" s="85"/>
      <c r="AH265" s="85"/>
      <c r="AI265" s="85"/>
      <c r="AJ265" s="85"/>
      <c r="AK265" s="85"/>
      <c r="AL265" s="85"/>
    </row>
    <row r="266" spans="1:38" s="80" customFormat="1" x14ac:dyDescent="0.25">
      <c r="A266" s="116"/>
      <c r="B266" s="115"/>
      <c r="C266" s="115"/>
      <c r="D266" s="115"/>
      <c r="E266" s="115"/>
      <c r="F266" s="115"/>
      <c r="H266" s="95">
        <v>261</v>
      </c>
      <c r="I266" s="96" t="str">
        <f t="shared" si="19"/>
        <v/>
      </c>
      <c r="J266" s="96" t="e">
        <f t="shared" si="20"/>
        <v>#NUM!</v>
      </c>
      <c r="K266" s="95" t="e">
        <f t="shared" si="21"/>
        <v>#NUM!</v>
      </c>
      <c r="L266" s="95"/>
      <c r="M266" s="97">
        <f t="shared" si="22"/>
        <v>0</v>
      </c>
      <c r="S266" s="85"/>
      <c r="T266" s="85"/>
      <c r="U266" s="85"/>
      <c r="V266" s="85"/>
      <c r="W266" s="85"/>
      <c r="X266" s="85"/>
      <c r="Y266" s="85"/>
      <c r="Z266" s="85"/>
      <c r="AA266" s="85"/>
      <c r="AB266" s="85"/>
      <c r="AC266" s="85"/>
      <c r="AD266" s="85"/>
      <c r="AE266" s="85"/>
      <c r="AF266" s="85"/>
      <c r="AG266" s="85"/>
      <c r="AH266" s="85"/>
      <c r="AI266" s="85"/>
      <c r="AJ266" s="85"/>
      <c r="AK266" s="85"/>
      <c r="AL266" s="85"/>
    </row>
    <row r="267" spans="1:38" s="80" customFormat="1" x14ac:dyDescent="0.25">
      <c r="A267" s="116"/>
      <c r="B267" s="115"/>
      <c r="C267" s="115"/>
      <c r="D267" s="115"/>
      <c r="E267" s="115"/>
      <c r="F267" s="115"/>
      <c r="H267" s="95">
        <v>262</v>
      </c>
      <c r="I267" s="96" t="str">
        <f t="shared" si="19"/>
        <v/>
      </c>
      <c r="J267" s="96" t="e">
        <f t="shared" si="20"/>
        <v>#NUM!</v>
      </c>
      <c r="K267" s="95" t="e">
        <f t="shared" si="21"/>
        <v>#NUM!</v>
      </c>
      <c r="L267" s="95"/>
      <c r="M267" s="97">
        <f t="shared" si="22"/>
        <v>0</v>
      </c>
      <c r="S267" s="85"/>
      <c r="T267" s="85"/>
      <c r="U267" s="85"/>
      <c r="V267" s="85"/>
      <c r="W267" s="85"/>
      <c r="X267" s="85"/>
      <c r="Y267" s="85"/>
      <c r="Z267" s="85"/>
      <c r="AA267" s="85"/>
      <c r="AB267" s="85"/>
      <c r="AC267" s="85"/>
      <c r="AD267" s="85"/>
      <c r="AE267" s="85"/>
      <c r="AF267" s="85"/>
      <c r="AG267" s="85"/>
      <c r="AH267" s="85"/>
      <c r="AI267" s="85"/>
      <c r="AJ267" s="85"/>
      <c r="AK267" s="85"/>
      <c r="AL267" s="85"/>
    </row>
    <row r="268" spans="1:38" s="80" customFormat="1" x14ac:dyDescent="0.25">
      <c r="A268" s="116"/>
      <c r="B268" s="115"/>
      <c r="C268" s="115"/>
      <c r="D268" s="115"/>
      <c r="E268" s="115"/>
      <c r="F268" s="115"/>
      <c r="H268" s="95">
        <v>263</v>
      </c>
      <c r="I268" s="96" t="str">
        <f t="shared" si="19"/>
        <v/>
      </c>
      <c r="J268" s="96" t="e">
        <f t="shared" si="20"/>
        <v>#NUM!</v>
      </c>
      <c r="K268" s="95" t="e">
        <f t="shared" si="21"/>
        <v>#NUM!</v>
      </c>
      <c r="L268" s="95"/>
      <c r="M268" s="97">
        <f t="shared" si="22"/>
        <v>0</v>
      </c>
      <c r="S268" s="85"/>
      <c r="T268" s="85"/>
      <c r="U268" s="85"/>
      <c r="V268" s="85"/>
      <c r="W268" s="85"/>
      <c r="X268" s="85"/>
      <c r="Y268" s="85"/>
      <c r="Z268" s="85"/>
      <c r="AA268" s="85"/>
      <c r="AB268" s="85"/>
      <c r="AC268" s="85"/>
      <c r="AD268" s="85"/>
      <c r="AE268" s="85"/>
      <c r="AF268" s="85"/>
      <c r="AG268" s="85"/>
      <c r="AH268" s="85"/>
      <c r="AI268" s="85"/>
      <c r="AJ268" s="85"/>
      <c r="AK268" s="85"/>
      <c r="AL268" s="85"/>
    </row>
    <row r="269" spans="1:38" s="80" customFormat="1" x14ac:dyDescent="0.25">
      <c r="A269" s="116"/>
      <c r="B269" s="115"/>
      <c r="C269" s="115"/>
      <c r="D269" s="115"/>
      <c r="E269" s="115"/>
      <c r="F269" s="115"/>
      <c r="H269" s="95">
        <v>264</v>
      </c>
      <c r="I269" s="96" t="str">
        <f t="shared" si="19"/>
        <v/>
      </c>
      <c r="J269" s="96" t="e">
        <f t="shared" si="20"/>
        <v>#NUM!</v>
      </c>
      <c r="K269" s="95" t="e">
        <f t="shared" si="21"/>
        <v>#NUM!</v>
      </c>
      <c r="L269" s="95"/>
      <c r="M269" s="97">
        <f t="shared" si="22"/>
        <v>0</v>
      </c>
      <c r="S269" s="85"/>
      <c r="T269" s="85"/>
      <c r="U269" s="85"/>
      <c r="V269" s="85"/>
      <c r="W269" s="85"/>
      <c r="X269" s="85"/>
      <c r="Y269" s="85"/>
      <c r="Z269" s="85"/>
      <c r="AA269" s="85"/>
      <c r="AB269" s="85"/>
      <c r="AC269" s="85"/>
      <c r="AD269" s="85"/>
      <c r="AE269" s="85"/>
      <c r="AF269" s="85"/>
      <c r="AG269" s="85"/>
      <c r="AH269" s="85"/>
      <c r="AI269" s="85"/>
      <c r="AJ269" s="85"/>
      <c r="AK269" s="85"/>
      <c r="AL269" s="85"/>
    </row>
    <row r="270" spans="1:38" s="80" customFormat="1" x14ac:dyDescent="0.25">
      <c r="A270" s="116"/>
      <c r="B270" s="115"/>
      <c r="C270" s="115"/>
      <c r="D270" s="115"/>
      <c r="E270" s="115"/>
      <c r="F270" s="115"/>
      <c r="H270" s="95">
        <v>265</v>
      </c>
      <c r="I270" s="96" t="str">
        <f t="shared" si="19"/>
        <v/>
      </c>
      <c r="J270" s="96" t="e">
        <f t="shared" si="20"/>
        <v>#NUM!</v>
      </c>
      <c r="K270" s="95" t="e">
        <f t="shared" si="21"/>
        <v>#NUM!</v>
      </c>
      <c r="L270" s="95"/>
      <c r="M270" s="97">
        <f t="shared" si="22"/>
        <v>0</v>
      </c>
      <c r="S270" s="85"/>
      <c r="T270" s="85"/>
      <c r="U270" s="85"/>
      <c r="V270" s="85"/>
      <c r="W270" s="85"/>
      <c r="X270" s="85"/>
      <c r="Y270" s="85"/>
      <c r="Z270" s="85"/>
      <c r="AA270" s="85"/>
      <c r="AB270" s="85"/>
      <c r="AC270" s="85"/>
      <c r="AD270" s="85"/>
      <c r="AE270" s="85"/>
      <c r="AF270" s="85"/>
      <c r="AG270" s="85"/>
      <c r="AH270" s="85"/>
      <c r="AI270" s="85"/>
      <c r="AJ270" s="85"/>
      <c r="AK270" s="85"/>
      <c r="AL270" s="85"/>
    </row>
    <row r="271" spans="1:38" s="80" customFormat="1" x14ac:dyDescent="0.25">
      <c r="A271" s="116"/>
      <c r="B271" s="115"/>
      <c r="C271" s="115"/>
      <c r="D271" s="115"/>
      <c r="E271" s="115"/>
      <c r="F271" s="115"/>
      <c r="H271" s="95">
        <v>266</v>
      </c>
      <c r="I271" s="96" t="str">
        <f t="shared" si="19"/>
        <v/>
      </c>
      <c r="J271" s="96" t="e">
        <f t="shared" si="20"/>
        <v>#NUM!</v>
      </c>
      <c r="K271" s="95" t="e">
        <f t="shared" si="21"/>
        <v>#NUM!</v>
      </c>
      <c r="L271" s="95"/>
      <c r="M271" s="97">
        <f t="shared" si="22"/>
        <v>0</v>
      </c>
      <c r="S271" s="85"/>
      <c r="T271" s="85"/>
      <c r="U271" s="85"/>
      <c r="V271" s="85"/>
      <c r="W271" s="85"/>
      <c r="X271" s="85"/>
      <c r="Y271" s="85"/>
      <c r="Z271" s="85"/>
      <c r="AA271" s="85"/>
      <c r="AB271" s="85"/>
      <c r="AC271" s="85"/>
      <c r="AD271" s="85"/>
      <c r="AE271" s="85"/>
      <c r="AF271" s="85"/>
      <c r="AG271" s="85"/>
      <c r="AH271" s="85"/>
      <c r="AI271" s="85"/>
      <c r="AJ271" s="85"/>
      <c r="AK271" s="85"/>
      <c r="AL271" s="85"/>
    </row>
    <row r="272" spans="1:38" s="80" customFormat="1" x14ac:dyDescent="0.25">
      <c r="A272" s="116"/>
      <c r="B272" s="115"/>
      <c r="C272" s="115"/>
      <c r="D272" s="115"/>
      <c r="E272" s="115"/>
      <c r="F272" s="115"/>
      <c r="H272" s="95">
        <v>267</v>
      </c>
      <c r="I272" s="96" t="str">
        <f t="shared" si="19"/>
        <v/>
      </c>
      <c r="J272" s="96" t="e">
        <f t="shared" si="20"/>
        <v>#NUM!</v>
      </c>
      <c r="K272" s="95" t="e">
        <f t="shared" si="21"/>
        <v>#NUM!</v>
      </c>
      <c r="L272" s="95"/>
      <c r="M272" s="97">
        <f t="shared" si="22"/>
        <v>0</v>
      </c>
      <c r="S272" s="85"/>
      <c r="T272" s="85"/>
      <c r="U272" s="85"/>
      <c r="V272" s="85"/>
      <c r="W272" s="85"/>
      <c r="X272" s="85"/>
      <c r="Y272" s="85"/>
      <c r="Z272" s="85"/>
      <c r="AA272" s="85"/>
      <c r="AB272" s="85"/>
      <c r="AC272" s="85"/>
      <c r="AD272" s="85"/>
      <c r="AE272" s="85"/>
      <c r="AF272" s="85"/>
      <c r="AG272" s="85"/>
      <c r="AH272" s="85"/>
      <c r="AI272" s="85"/>
      <c r="AJ272" s="85"/>
      <c r="AK272" s="85"/>
      <c r="AL272" s="85"/>
    </row>
    <row r="273" spans="1:38" s="80" customFormat="1" x14ac:dyDescent="0.25">
      <c r="A273" s="116"/>
      <c r="B273" s="115"/>
      <c r="C273" s="115"/>
      <c r="D273" s="115"/>
      <c r="E273" s="115"/>
      <c r="F273" s="115"/>
      <c r="H273" s="95">
        <v>268</v>
      </c>
      <c r="I273" s="96" t="str">
        <f t="shared" si="19"/>
        <v/>
      </c>
      <c r="J273" s="96" t="e">
        <f t="shared" si="20"/>
        <v>#NUM!</v>
      </c>
      <c r="K273" s="95" t="e">
        <f t="shared" si="21"/>
        <v>#NUM!</v>
      </c>
      <c r="L273" s="95"/>
      <c r="M273" s="97">
        <f t="shared" si="22"/>
        <v>0</v>
      </c>
      <c r="S273" s="85"/>
      <c r="T273" s="85"/>
      <c r="U273" s="85"/>
      <c r="V273" s="85"/>
      <c r="W273" s="85"/>
      <c r="X273" s="85"/>
      <c r="Y273" s="85"/>
      <c r="Z273" s="85"/>
      <c r="AA273" s="85"/>
      <c r="AB273" s="85"/>
      <c r="AC273" s="85"/>
      <c r="AD273" s="85"/>
      <c r="AE273" s="85"/>
      <c r="AF273" s="85"/>
      <c r="AG273" s="85"/>
      <c r="AH273" s="85"/>
      <c r="AI273" s="85"/>
      <c r="AJ273" s="85"/>
      <c r="AK273" s="85"/>
      <c r="AL273" s="85"/>
    </row>
    <row r="274" spans="1:38" s="80" customFormat="1" x14ac:dyDescent="0.25">
      <c r="A274" s="116"/>
      <c r="B274" s="115"/>
      <c r="C274" s="115"/>
      <c r="D274" s="115"/>
      <c r="E274" s="115"/>
      <c r="F274" s="115"/>
      <c r="H274" s="95">
        <v>269</v>
      </c>
      <c r="I274" s="96" t="str">
        <f t="shared" si="19"/>
        <v/>
      </c>
      <c r="J274" s="96" t="e">
        <f t="shared" si="20"/>
        <v>#NUM!</v>
      </c>
      <c r="K274" s="95" t="e">
        <f t="shared" si="21"/>
        <v>#NUM!</v>
      </c>
      <c r="L274" s="95"/>
      <c r="M274" s="97">
        <f t="shared" si="22"/>
        <v>0</v>
      </c>
      <c r="S274" s="85"/>
      <c r="T274" s="85"/>
      <c r="U274" s="85"/>
      <c r="V274" s="85"/>
      <c r="W274" s="85"/>
      <c r="X274" s="85"/>
      <c r="Y274" s="85"/>
      <c r="Z274" s="85"/>
      <c r="AA274" s="85"/>
      <c r="AB274" s="85"/>
      <c r="AC274" s="85"/>
      <c r="AD274" s="85"/>
      <c r="AE274" s="85"/>
      <c r="AF274" s="85"/>
      <c r="AG274" s="85"/>
      <c r="AH274" s="85"/>
      <c r="AI274" s="85"/>
      <c r="AJ274" s="85"/>
      <c r="AK274" s="85"/>
      <c r="AL274" s="85"/>
    </row>
    <row r="275" spans="1:38" s="80" customFormat="1" x14ac:dyDescent="0.25">
      <c r="A275" s="116"/>
      <c r="B275" s="115"/>
      <c r="C275" s="115"/>
      <c r="D275" s="115"/>
      <c r="E275" s="115"/>
      <c r="F275" s="115"/>
      <c r="H275" s="95">
        <v>270</v>
      </c>
      <c r="I275" s="96" t="str">
        <f t="shared" si="19"/>
        <v/>
      </c>
      <c r="J275" s="96" t="e">
        <f t="shared" si="20"/>
        <v>#NUM!</v>
      </c>
      <c r="K275" s="95" t="e">
        <f t="shared" si="21"/>
        <v>#NUM!</v>
      </c>
      <c r="L275" s="95"/>
      <c r="M275" s="97">
        <f t="shared" si="22"/>
        <v>0</v>
      </c>
      <c r="S275" s="85"/>
      <c r="T275" s="85"/>
      <c r="U275" s="85"/>
      <c r="V275" s="85"/>
      <c r="W275" s="85"/>
      <c r="X275" s="85"/>
      <c r="Y275" s="85"/>
      <c r="Z275" s="85"/>
      <c r="AA275" s="85"/>
      <c r="AB275" s="85"/>
      <c r="AC275" s="85"/>
      <c r="AD275" s="85"/>
      <c r="AE275" s="85"/>
      <c r="AF275" s="85"/>
      <c r="AG275" s="85"/>
      <c r="AH275" s="85"/>
      <c r="AI275" s="85"/>
      <c r="AJ275" s="85"/>
      <c r="AK275" s="85"/>
      <c r="AL275" s="85"/>
    </row>
    <row r="276" spans="1:38" s="80" customFormat="1" x14ac:dyDescent="0.25">
      <c r="A276" s="116"/>
      <c r="B276" s="115"/>
      <c r="C276" s="115"/>
      <c r="D276" s="115"/>
      <c r="E276" s="115"/>
      <c r="F276" s="115"/>
      <c r="H276" s="95">
        <v>271</v>
      </c>
      <c r="I276" s="96" t="str">
        <f t="shared" si="19"/>
        <v/>
      </c>
      <c r="J276" s="96" t="e">
        <f t="shared" si="20"/>
        <v>#NUM!</v>
      </c>
      <c r="K276" s="95" t="e">
        <f t="shared" si="21"/>
        <v>#NUM!</v>
      </c>
      <c r="L276" s="95"/>
      <c r="M276" s="97">
        <f t="shared" si="22"/>
        <v>0</v>
      </c>
      <c r="S276" s="85"/>
      <c r="T276" s="85"/>
      <c r="U276" s="85"/>
      <c r="V276" s="85"/>
      <c r="W276" s="85"/>
      <c r="X276" s="85"/>
      <c r="Y276" s="85"/>
      <c r="Z276" s="85"/>
      <c r="AA276" s="85"/>
      <c r="AB276" s="85"/>
      <c r="AC276" s="85"/>
      <c r="AD276" s="85"/>
      <c r="AE276" s="85"/>
      <c r="AF276" s="85"/>
      <c r="AG276" s="85"/>
      <c r="AH276" s="85"/>
      <c r="AI276" s="85"/>
      <c r="AJ276" s="85"/>
      <c r="AK276" s="85"/>
      <c r="AL276" s="85"/>
    </row>
    <row r="277" spans="1:38" s="80" customFormat="1" x14ac:dyDescent="0.25">
      <c r="A277" s="116"/>
      <c r="B277" s="115"/>
      <c r="C277" s="115"/>
      <c r="D277" s="115"/>
      <c r="E277" s="115"/>
      <c r="F277" s="115"/>
      <c r="H277" s="95">
        <v>272</v>
      </c>
      <c r="I277" s="96" t="str">
        <f t="shared" si="19"/>
        <v/>
      </c>
      <c r="J277" s="96" t="e">
        <f t="shared" si="20"/>
        <v>#NUM!</v>
      </c>
      <c r="K277" s="95" t="e">
        <f t="shared" si="21"/>
        <v>#NUM!</v>
      </c>
      <c r="L277" s="95"/>
      <c r="M277" s="97">
        <f t="shared" si="22"/>
        <v>0</v>
      </c>
      <c r="S277" s="85"/>
      <c r="T277" s="85"/>
      <c r="U277" s="85"/>
      <c r="V277" s="85"/>
      <c r="W277" s="85"/>
      <c r="X277" s="85"/>
      <c r="Y277" s="85"/>
      <c r="Z277" s="85"/>
      <c r="AA277" s="85"/>
      <c r="AB277" s="85"/>
      <c r="AC277" s="85"/>
      <c r="AD277" s="85"/>
      <c r="AE277" s="85"/>
      <c r="AF277" s="85"/>
      <c r="AG277" s="85"/>
      <c r="AH277" s="85"/>
      <c r="AI277" s="85"/>
      <c r="AJ277" s="85"/>
      <c r="AK277" s="85"/>
      <c r="AL277" s="85"/>
    </row>
    <row r="278" spans="1:38" s="80" customFormat="1" x14ac:dyDescent="0.25">
      <c r="A278" s="116"/>
      <c r="B278" s="115"/>
      <c r="C278" s="115"/>
      <c r="D278" s="115"/>
      <c r="E278" s="115"/>
      <c r="F278" s="115"/>
      <c r="H278" s="95">
        <v>273</v>
      </c>
      <c r="I278" s="96" t="str">
        <f t="shared" si="19"/>
        <v/>
      </c>
      <c r="J278" s="96" t="e">
        <f t="shared" si="20"/>
        <v>#NUM!</v>
      </c>
      <c r="K278" s="95" t="e">
        <f t="shared" si="21"/>
        <v>#NUM!</v>
      </c>
      <c r="L278" s="95"/>
      <c r="M278" s="97">
        <f t="shared" si="22"/>
        <v>0</v>
      </c>
      <c r="S278" s="85"/>
      <c r="T278" s="85"/>
      <c r="U278" s="85"/>
      <c r="V278" s="85"/>
      <c r="W278" s="85"/>
      <c r="X278" s="85"/>
      <c r="Y278" s="85"/>
      <c r="Z278" s="85"/>
      <c r="AA278" s="85"/>
      <c r="AB278" s="85"/>
      <c r="AC278" s="85"/>
      <c r="AD278" s="85"/>
      <c r="AE278" s="85"/>
      <c r="AF278" s="85"/>
      <c r="AG278" s="85"/>
      <c r="AH278" s="85"/>
      <c r="AI278" s="85"/>
      <c r="AJ278" s="85"/>
      <c r="AK278" s="85"/>
      <c r="AL278" s="85"/>
    </row>
    <row r="279" spans="1:38" s="80" customFormat="1" x14ac:dyDescent="0.25">
      <c r="A279" s="116"/>
      <c r="B279" s="115"/>
      <c r="C279" s="115"/>
      <c r="D279" s="115"/>
      <c r="E279" s="115"/>
      <c r="F279" s="115"/>
      <c r="H279" s="95">
        <v>274</v>
      </c>
      <c r="I279" s="96" t="str">
        <f t="shared" si="19"/>
        <v/>
      </c>
      <c r="J279" s="96" t="e">
        <f t="shared" si="20"/>
        <v>#NUM!</v>
      </c>
      <c r="K279" s="95" t="e">
        <f t="shared" si="21"/>
        <v>#NUM!</v>
      </c>
      <c r="L279" s="95"/>
      <c r="M279" s="97">
        <f t="shared" si="22"/>
        <v>0</v>
      </c>
      <c r="S279" s="85"/>
      <c r="T279" s="85"/>
      <c r="U279" s="85"/>
      <c r="V279" s="85"/>
      <c r="W279" s="85"/>
      <c r="X279" s="85"/>
      <c r="Y279" s="85"/>
      <c r="Z279" s="85"/>
      <c r="AA279" s="85"/>
      <c r="AB279" s="85"/>
      <c r="AC279" s="85"/>
      <c r="AD279" s="85"/>
      <c r="AE279" s="85"/>
      <c r="AF279" s="85"/>
      <c r="AG279" s="85"/>
      <c r="AH279" s="85"/>
      <c r="AI279" s="85"/>
      <c r="AJ279" s="85"/>
      <c r="AK279" s="85"/>
      <c r="AL279" s="85"/>
    </row>
    <row r="280" spans="1:38" s="80" customFormat="1" x14ac:dyDescent="0.25">
      <c r="A280" s="116"/>
      <c r="B280" s="115"/>
      <c r="C280" s="115"/>
      <c r="D280" s="115"/>
      <c r="E280" s="115"/>
      <c r="F280" s="115"/>
      <c r="H280" s="95">
        <v>275</v>
      </c>
      <c r="I280" s="96" t="str">
        <f t="shared" si="19"/>
        <v/>
      </c>
      <c r="J280" s="96" t="e">
        <f t="shared" si="20"/>
        <v>#NUM!</v>
      </c>
      <c r="K280" s="95" t="e">
        <f t="shared" si="21"/>
        <v>#NUM!</v>
      </c>
      <c r="L280" s="95"/>
      <c r="M280" s="97">
        <f t="shared" si="22"/>
        <v>0</v>
      </c>
      <c r="S280" s="85"/>
      <c r="T280" s="85"/>
      <c r="U280" s="85"/>
      <c r="V280" s="85"/>
      <c r="W280" s="85"/>
      <c r="X280" s="85"/>
      <c r="Y280" s="85"/>
      <c r="Z280" s="85"/>
      <c r="AA280" s="85"/>
      <c r="AB280" s="85"/>
      <c r="AC280" s="85"/>
      <c r="AD280" s="85"/>
      <c r="AE280" s="85"/>
      <c r="AF280" s="85"/>
      <c r="AG280" s="85"/>
      <c r="AH280" s="85"/>
      <c r="AI280" s="85"/>
      <c r="AJ280" s="85"/>
      <c r="AK280" s="85"/>
      <c r="AL280" s="85"/>
    </row>
    <row r="281" spans="1:38" s="80" customFormat="1" x14ac:dyDescent="0.25">
      <c r="A281" s="116"/>
      <c r="B281" s="115"/>
      <c r="C281" s="115"/>
      <c r="D281" s="115"/>
      <c r="E281" s="115"/>
      <c r="F281" s="115"/>
      <c r="H281" s="95">
        <v>276</v>
      </c>
      <c r="I281" s="96" t="str">
        <f t="shared" si="19"/>
        <v/>
      </c>
      <c r="J281" s="96" t="e">
        <f t="shared" si="20"/>
        <v>#NUM!</v>
      </c>
      <c r="K281" s="95" t="e">
        <f t="shared" si="21"/>
        <v>#NUM!</v>
      </c>
      <c r="L281" s="95"/>
      <c r="M281" s="97">
        <f t="shared" si="22"/>
        <v>0</v>
      </c>
      <c r="S281" s="85"/>
      <c r="T281" s="85"/>
      <c r="U281" s="85"/>
      <c r="V281" s="85"/>
      <c r="W281" s="85"/>
      <c r="X281" s="85"/>
      <c r="Y281" s="85"/>
      <c r="Z281" s="85"/>
      <c r="AA281" s="85"/>
      <c r="AB281" s="85"/>
      <c r="AC281" s="85"/>
      <c r="AD281" s="85"/>
      <c r="AE281" s="85"/>
      <c r="AF281" s="85"/>
      <c r="AG281" s="85"/>
      <c r="AH281" s="85"/>
      <c r="AI281" s="85"/>
      <c r="AJ281" s="85"/>
      <c r="AK281" s="85"/>
      <c r="AL281" s="85"/>
    </row>
    <row r="282" spans="1:38" s="80" customFormat="1" x14ac:dyDescent="0.25">
      <c r="A282" s="116"/>
      <c r="B282" s="115"/>
      <c r="C282" s="115"/>
      <c r="D282" s="115"/>
      <c r="E282" s="115"/>
      <c r="F282" s="115"/>
      <c r="H282" s="95">
        <v>277</v>
      </c>
      <c r="I282" s="96" t="str">
        <f t="shared" si="19"/>
        <v/>
      </c>
      <c r="J282" s="96" t="e">
        <f t="shared" si="20"/>
        <v>#NUM!</v>
      </c>
      <c r="K282" s="95" t="e">
        <f t="shared" si="21"/>
        <v>#NUM!</v>
      </c>
      <c r="L282" s="95"/>
      <c r="M282" s="97">
        <f t="shared" si="22"/>
        <v>0</v>
      </c>
      <c r="S282" s="85"/>
      <c r="T282" s="85"/>
      <c r="U282" s="85"/>
      <c r="V282" s="85"/>
      <c r="W282" s="85"/>
      <c r="X282" s="85"/>
      <c r="Y282" s="85"/>
      <c r="Z282" s="85"/>
      <c r="AA282" s="85"/>
      <c r="AB282" s="85"/>
      <c r="AC282" s="85"/>
      <c r="AD282" s="85"/>
      <c r="AE282" s="85"/>
      <c r="AF282" s="85"/>
      <c r="AG282" s="85"/>
      <c r="AH282" s="85"/>
      <c r="AI282" s="85"/>
      <c r="AJ282" s="85"/>
      <c r="AK282" s="85"/>
      <c r="AL282" s="85"/>
    </row>
    <row r="283" spans="1:38" s="80" customFormat="1" x14ac:dyDescent="0.25">
      <c r="A283" s="116"/>
      <c r="B283" s="115"/>
      <c r="C283" s="115"/>
      <c r="D283" s="115"/>
      <c r="E283" s="115"/>
      <c r="F283" s="115"/>
      <c r="H283" s="95">
        <v>278</v>
      </c>
      <c r="I283" s="96" t="str">
        <f t="shared" si="19"/>
        <v/>
      </c>
      <c r="J283" s="96" t="e">
        <f t="shared" si="20"/>
        <v>#NUM!</v>
      </c>
      <c r="K283" s="95" t="e">
        <f t="shared" si="21"/>
        <v>#NUM!</v>
      </c>
      <c r="L283" s="95"/>
      <c r="M283" s="97">
        <f t="shared" si="22"/>
        <v>0</v>
      </c>
      <c r="S283" s="85"/>
      <c r="T283" s="85"/>
      <c r="U283" s="85"/>
      <c r="V283" s="85"/>
      <c r="W283" s="85"/>
      <c r="X283" s="85"/>
      <c r="Y283" s="85"/>
      <c r="Z283" s="85"/>
      <c r="AA283" s="85"/>
      <c r="AB283" s="85"/>
      <c r="AC283" s="85"/>
      <c r="AD283" s="85"/>
      <c r="AE283" s="85"/>
      <c r="AF283" s="85"/>
      <c r="AG283" s="85"/>
      <c r="AH283" s="85"/>
      <c r="AI283" s="85"/>
      <c r="AJ283" s="85"/>
      <c r="AK283" s="85"/>
      <c r="AL283" s="85"/>
    </row>
    <row r="284" spans="1:38" s="80" customFormat="1" x14ac:dyDescent="0.25">
      <c r="A284" s="116"/>
      <c r="B284" s="115"/>
      <c r="C284" s="115"/>
      <c r="D284" s="115"/>
      <c r="E284" s="115"/>
      <c r="F284" s="115"/>
      <c r="H284" s="95">
        <v>279</v>
      </c>
      <c r="I284" s="96" t="str">
        <f t="shared" si="19"/>
        <v/>
      </c>
      <c r="J284" s="96" t="e">
        <f t="shared" si="20"/>
        <v>#NUM!</v>
      </c>
      <c r="K284" s="95" t="e">
        <f t="shared" si="21"/>
        <v>#NUM!</v>
      </c>
      <c r="L284" s="95"/>
      <c r="M284" s="97">
        <f t="shared" si="22"/>
        <v>0</v>
      </c>
      <c r="S284" s="85"/>
      <c r="T284" s="85"/>
      <c r="U284" s="85"/>
      <c r="V284" s="85"/>
      <c r="W284" s="85"/>
      <c r="X284" s="85"/>
      <c r="Y284" s="85"/>
      <c r="Z284" s="85"/>
      <c r="AA284" s="85"/>
      <c r="AB284" s="85"/>
      <c r="AC284" s="85"/>
      <c r="AD284" s="85"/>
      <c r="AE284" s="85"/>
      <c r="AF284" s="85"/>
      <c r="AG284" s="85"/>
      <c r="AH284" s="85"/>
      <c r="AI284" s="85"/>
      <c r="AJ284" s="85"/>
      <c r="AK284" s="85"/>
      <c r="AL284" s="85"/>
    </row>
    <row r="285" spans="1:38" s="80" customFormat="1" x14ac:dyDescent="0.25">
      <c r="A285" s="116"/>
      <c r="B285" s="115"/>
      <c r="C285" s="115"/>
      <c r="D285" s="115"/>
      <c r="E285" s="115"/>
      <c r="F285" s="115"/>
      <c r="H285" s="95">
        <v>280</v>
      </c>
      <c r="I285" s="96" t="str">
        <f t="shared" si="19"/>
        <v/>
      </c>
      <c r="J285" s="96" t="e">
        <f t="shared" si="20"/>
        <v>#NUM!</v>
      </c>
      <c r="K285" s="95" t="e">
        <f t="shared" si="21"/>
        <v>#NUM!</v>
      </c>
      <c r="L285" s="95"/>
      <c r="M285" s="97">
        <f t="shared" si="22"/>
        <v>0</v>
      </c>
      <c r="S285" s="85"/>
      <c r="T285" s="85"/>
      <c r="U285" s="85"/>
      <c r="V285" s="85"/>
      <c r="W285" s="85"/>
      <c r="X285" s="85"/>
      <c r="Y285" s="85"/>
      <c r="Z285" s="85"/>
      <c r="AA285" s="85"/>
      <c r="AB285" s="85"/>
      <c r="AC285" s="85"/>
      <c r="AD285" s="85"/>
      <c r="AE285" s="85"/>
      <c r="AF285" s="85"/>
      <c r="AG285" s="85"/>
      <c r="AH285" s="85"/>
      <c r="AI285" s="85"/>
      <c r="AJ285" s="85"/>
      <c r="AK285" s="85"/>
      <c r="AL285" s="85"/>
    </row>
    <row r="286" spans="1:38" s="80" customFormat="1" x14ac:dyDescent="0.25">
      <c r="A286" s="116"/>
      <c r="B286" s="115"/>
      <c r="C286" s="115"/>
      <c r="D286" s="115"/>
      <c r="E286" s="115"/>
      <c r="F286" s="115"/>
      <c r="H286" s="95">
        <v>281</v>
      </c>
      <c r="I286" s="96" t="str">
        <f t="shared" si="19"/>
        <v/>
      </c>
      <c r="J286" s="96" t="e">
        <f t="shared" si="20"/>
        <v>#NUM!</v>
      </c>
      <c r="K286" s="95" t="e">
        <f t="shared" si="21"/>
        <v>#NUM!</v>
      </c>
      <c r="L286" s="95"/>
      <c r="M286" s="97">
        <f t="shared" si="22"/>
        <v>0</v>
      </c>
      <c r="S286" s="85"/>
      <c r="T286" s="85"/>
      <c r="U286" s="85"/>
      <c r="V286" s="85"/>
      <c r="W286" s="85"/>
      <c r="X286" s="85"/>
      <c r="Y286" s="85"/>
      <c r="Z286" s="85"/>
      <c r="AA286" s="85"/>
      <c r="AB286" s="85"/>
      <c r="AC286" s="85"/>
      <c r="AD286" s="85"/>
      <c r="AE286" s="85"/>
      <c r="AF286" s="85"/>
      <c r="AG286" s="85"/>
      <c r="AH286" s="85"/>
      <c r="AI286" s="85"/>
      <c r="AJ286" s="85"/>
      <c r="AK286" s="85"/>
      <c r="AL286" s="85"/>
    </row>
    <row r="287" spans="1:38" s="80" customFormat="1" x14ac:dyDescent="0.25">
      <c r="A287" s="116"/>
      <c r="B287" s="115"/>
      <c r="C287" s="115"/>
      <c r="D287" s="115"/>
      <c r="E287" s="115"/>
      <c r="F287" s="115"/>
      <c r="H287" s="95">
        <v>282</v>
      </c>
      <c r="I287" s="96" t="str">
        <f t="shared" si="19"/>
        <v/>
      </c>
      <c r="J287" s="96" t="e">
        <f t="shared" si="20"/>
        <v>#NUM!</v>
      </c>
      <c r="K287" s="95" t="e">
        <f t="shared" si="21"/>
        <v>#NUM!</v>
      </c>
      <c r="L287" s="95"/>
      <c r="M287" s="97">
        <f t="shared" si="22"/>
        <v>0</v>
      </c>
      <c r="S287" s="85"/>
      <c r="T287" s="85"/>
      <c r="U287" s="85"/>
      <c r="V287" s="85"/>
      <c r="W287" s="85"/>
      <c r="X287" s="85"/>
      <c r="Y287" s="85"/>
      <c r="Z287" s="85"/>
      <c r="AA287" s="85"/>
      <c r="AB287" s="85"/>
      <c r="AC287" s="85"/>
      <c r="AD287" s="85"/>
      <c r="AE287" s="85"/>
      <c r="AF287" s="85"/>
      <c r="AG287" s="85"/>
      <c r="AH287" s="85"/>
      <c r="AI287" s="85"/>
      <c r="AJ287" s="85"/>
      <c r="AK287" s="85"/>
      <c r="AL287" s="85"/>
    </row>
    <row r="288" spans="1:38" s="80" customFormat="1" x14ac:dyDescent="0.25">
      <c r="A288" s="116"/>
      <c r="B288" s="115"/>
      <c r="C288" s="115"/>
      <c r="D288" s="115"/>
      <c r="E288" s="115"/>
      <c r="F288" s="115"/>
      <c r="H288" s="95">
        <v>283</v>
      </c>
      <c r="I288" s="96" t="str">
        <f t="shared" si="19"/>
        <v/>
      </c>
      <c r="J288" s="96" t="e">
        <f t="shared" si="20"/>
        <v>#NUM!</v>
      </c>
      <c r="K288" s="95" t="e">
        <f t="shared" si="21"/>
        <v>#NUM!</v>
      </c>
      <c r="L288" s="95"/>
      <c r="M288" s="97">
        <f t="shared" si="22"/>
        <v>0</v>
      </c>
      <c r="S288" s="85"/>
      <c r="T288" s="85"/>
      <c r="U288" s="85"/>
      <c r="V288" s="85"/>
      <c r="W288" s="85"/>
      <c r="X288" s="85"/>
      <c r="Y288" s="85"/>
      <c r="Z288" s="85"/>
      <c r="AA288" s="85"/>
      <c r="AB288" s="85"/>
      <c r="AC288" s="85"/>
      <c r="AD288" s="85"/>
      <c r="AE288" s="85"/>
      <c r="AF288" s="85"/>
      <c r="AG288" s="85"/>
      <c r="AH288" s="85"/>
      <c r="AI288" s="85"/>
      <c r="AJ288" s="85"/>
      <c r="AK288" s="85"/>
      <c r="AL288" s="85"/>
    </row>
    <row r="289" spans="1:38" s="80" customFormat="1" x14ac:dyDescent="0.25">
      <c r="A289" s="116"/>
      <c r="B289" s="115"/>
      <c r="C289" s="115"/>
      <c r="D289" s="115"/>
      <c r="E289" s="115"/>
      <c r="F289" s="115"/>
      <c r="H289" s="95">
        <v>284</v>
      </c>
      <c r="I289" s="96" t="str">
        <f t="shared" si="19"/>
        <v/>
      </c>
      <c r="J289" s="96" t="e">
        <f t="shared" si="20"/>
        <v>#NUM!</v>
      </c>
      <c r="K289" s="95" t="e">
        <f t="shared" si="21"/>
        <v>#NUM!</v>
      </c>
      <c r="L289" s="95"/>
      <c r="M289" s="97">
        <f t="shared" si="22"/>
        <v>0</v>
      </c>
      <c r="S289" s="85"/>
      <c r="T289" s="85"/>
      <c r="U289" s="85"/>
      <c r="V289" s="85"/>
      <c r="W289" s="85"/>
      <c r="X289" s="85"/>
      <c r="Y289" s="85"/>
      <c r="Z289" s="85"/>
      <c r="AA289" s="85"/>
      <c r="AB289" s="85"/>
      <c r="AC289" s="85"/>
      <c r="AD289" s="85"/>
      <c r="AE289" s="85"/>
      <c r="AF289" s="85"/>
      <c r="AG289" s="85"/>
      <c r="AH289" s="85"/>
      <c r="AI289" s="85"/>
      <c r="AJ289" s="85"/>
      <c r="AK289" s="85"/>
      <c r="AL289" s="85"/>
    </row>
    <row r="290" spans="1:38" s="80" customFormat="1" x14ac:dyDescent="0.25">
      <c r="A290" s="116"/>
      <c r="B290" s="115"/>
      <c r="C290" s="115"/>
      <c r="D290" s="115"/>
      <c r="E290" s="115"/>
      <c r="F290" s="115"/>
      <c r="H290" s="95">
        <v>285</v>
      </c>
      <c r="I290" s="96" t="str">
        <f t="shared" si="19"/>
        <v/>
      </c>
      <c r="J290" s="96" t="e">
        <f t="shared" si="20"/>
        <v>#NUM!</v>
      </c>
      <c r="K290" s="95" t="e">
        <f t="shared" si="21"/>
        <v>#NUM!</v>
      </c>
      <c r="L290" s="95"/>
      <c r="M290" s="97">
        <f t="shared" si="22"/>
        <v>0</v>
      </c>
      <c r="S290" s="85"/>
      <c r="T290" s="85"/>
      <c r="U290" s="85"/>
      <c r="V290" s="85"/>
      <c r="W290" s="85"/>
      <c r="X290" s="85"/>
      <c r="Y290" s="85"/>
      <c r="Z290" s="85"/>
      <c r="AA290" s="85"/>
      <c r="AB290" s="85"/>
      <c r="AC290" s="85"/>
      <c r="AD290" s="85"/>
      <c r="AE290" s="85"/>
      <c r="AF290" s="85"/>
      <c r="AG290" s="85"/>
      <c r="AH290" s="85"/>
      <c r="AI290" s="85"/>
      <c r="AJ290" s="85"/>
      <c r="AK290" s="85"/>
      <c r="AL290" s="85"/>
    </row>
    <row r="291" spans="1:38" s="80" customFormat="1" x14ac:dyDescent="0.25">
      <c r="A291" s="116"/>
      <c r="B291" s="115"/>
      <c r="C291" s="115"/>
      <c r="D291" s="115"/>
      <c r="E291" s="115"/>
      <c r="F291" s="115"/>
      <c r="H291" s="95">
        <v>286</v>
      </c>
      <c r="I291" s="96" t="str">
        <f t="shared" si="19"/>
        <v/>
      </c>
      <c r="J291" s="96" t="e">
        <f t="shared" si="20"/>
        <v>#NUM!</v>
      </c>
      <c r="K291" s="95" t="e">
        <f t="shared" si="21"/>
        <v>#NUM!</v>
      </c>
      <c r="L291" s="95"/>
      <c r="M291" s="97">
        <f t="shared" si="22"/>
        <v>0</v>
      </c>
      <c r="S291" s="85"/>
      <c r="T291" s="85"/>
      <c r="U291" s="85"/>
      <c r="V291" s="85"/>
      <c r="W291" s="85"/>
      <c r="X291" s="85"/>
      <c r="Y291" s="85"/>
      <c r="Z291" s="85"/>
      <c r="AA291" s="85"/>
      <c r="AB291" s="85"/>
      <c r="AC291" s="85"/>
      <c r="AD291" s="85"/>
      <c r="AE291" s="85"/>
      <c r="AF291" s="85"/>
      <c r="AG291" s="85"/>
      <c r="AH291" s="85"/>
      <c r="AI291" s="85"/>
      <c r="AJ291" s="85"/>
      <c r="AK291" s="85"/>
      <c r="AL291" s="85"/>
    </row>
    <row r="292" spans="1:38" s="80" customFormat="1" x14ac:dyDescent="0.25">
      <c r="A292" s="116"/>
      <c r="B292" s="115"/>
      <c r="C292" s="115"/>
      <c r="D292" s="115"/>
      <c r="E292" s="115"/>
      <c r="F292" s="115"/>
      <c r="H292" s="95">
        <v>287</v>
      </c>
      <c r="I292" s="96" t="str">
        <f t="shared" si="19"/>
        <v/>
      </c>
      <c r="J292" s="96" t="e">
        <f t="shared" si="20"/>
        <v>#NUM!</v>
      </c>
      <c r="K292" s="95" t="e">
        <f t="shared" si="21"/>
        <v>#NUM!</v>
      </c>
      <c r="L292" s="95"/>
      <c r="M292" s="97">
        <f t="shared" si="22"/>
        <v>0</v>
      </c>
      <c r="S292" s="85"/>
      <c r="T292" s="85"/>
      <c r="U292" s="85"/>
      <c r="V292" s="85"/>
      <c r="W292" s="85"/>
      <c r="X292" s="85"/>
      <c r="Y292" s="85"/>
      <c r="Z292" s="85"/>
      <c r="AA292" s="85"/>
      <c r="AB292" s="85"/>
      <c r="AC292" s="85"/>
      <c r="AD292" s="85"/>
      <c r="AE292" s="85"/>
      <c r="AF292" s="85"/>
      <c r="AG292" s="85"/>
      <c r="AH292" s="85"/>
      <c r="AI292" s="85"/>
      <c r="AJ292" s="85"/>
      <c r="AK292" s="85"/>
      <c r="AL292" s="85"/>
    </row>
    <row r="293" spans="1:38" s="80" customFormat="1" x14ac:dyDescent="0.25">
      <c r="A293" s="116"/>
      <c r="B293" s="115"/>
      <c r="C293" s="115"/>
      <c r="D293" s="115"/>
      <c r="E293" s="115"/>
      <c r="F293" s="115"/>
      <c r="H293" s="95">
        <v>288</v>
      </c>
      <c r="I293" s="96" t="str">
        <f t="shared" si="19"/>
        <v/>
      </c>
      <c r="J293" s="96" t="e">
        <f t="shared" si="20"/>
        <v>#NUM!</v>
      </c>
      <c r="K293" s="95" t="e">
        <f t="shared" si="21"/>
        <v>#NUM!</v>
      </c>
      <c r="L293" s="95"/>
      <c r="M293" s="97">
        <f t="shared" si="22"/>
        <v>0</v>
      </c>
      <c r="S293" s="85"/>
      <c r="T293" s="85"/>
      <c r="U293" s="85"/>
      <c r="V293" s="85"/>
      <c r="W293" s="85"/>
      <c r="X293" s="85"/>
      <c r="Y293" s="85"/>
      <c r="Z293" s="85"/>
      <c r="AA293" s="85"/>
      <c r="AB293" s="85"/>
      <c r="AC293" s="85"/>
      <c r="AD293" s="85"/>
      <c r="AE293" s="85"/>
      <c r="AF293" s="85"/>
      <c r="AG293" s="85"/>
      <c r="AH293" s="85"/>
      <c r="AI293" s="85"/>
      <c r="AJ293" s="85"/>
      <c r="AK293" s="85"/>
      <c r="AL293" s="85"/>
    </row>
    <row r="294" spans="1:38" s="80" customFormat="1" x14ac:dyDescent="0.25">
      <c r="A294" s="116"/>
      <c r="B294" s="115"/>
      <c r="C294" s="115"/>
      <c r="D294" s="115"/>
      <c r="E294" s="115"/>
      <c r="F294" s="115"/>
      <c r="H294" s="95">
        <v>289</v>
      </c>
      <c r="I294" s="96" t="str">
        <f t="shared" si="19"/>
        <v/>
      </c>
      <c r="J294" s="96" t="e">
        <f t="shared" si="20"/>
        <v>#NUM!</v>
      </c>
      <c r="K294" s="95" t="e">
        <f t="shared" si="21"/>
        <v>#NUM!</v>
      </c>
      <c r="L294" s="95"/>
      <c r="M294" s="97">
        <f t="shared" si="22"/>
        <v>0</v>
      </c>
      <c r="S294" s="85"/>
      <c r="T294" s="85"/>
      <c r="U294" s="85"/>
      <c r="V294" s="85"/>
      <c r="W294" s="85"/>
      <c r="X294" s="85"/>
      <c r="Y294" s="85"/>
      <c r="Z294" s="85"/>
      <c r="AA294" s="85"/>
      <c r="AB294" s="85"/>
      <c r="AC294" s="85"/>
      <c r="AD294" s="85"/>
      <c r="AE294" s="85"/>
      <c r="AF294" s="85"/>
      <c r="AG294" s="85"/>
      <c r="AH294" s="85"/>
      <c r="AI294" s="85"/>
      <c r="AJ294" s="85"/>
      <c r="AK294" s="85"/>
      <c r="AL294" s="85"/>
    </row>
    <row r="295" spans="1:38" s="80" customFormat="1" x14ac:dyDescent="0.25">
      <c r="A295" s="116"/>
      <c r="B295" s="115"/>
      <c r="C295" s="115"/>
      <c r="D295" s="115"/>
      <c r="E295" s="115"/>
      <c r="F295" s="115"/>
      <c r="H295" s="95">
        <v>290</v>
      </c>
      <c r="I295" s="96" t="str">
        <f t="shared" si="19"/>
        <v/>
      </c>
      <c r="J295" s="96" t="e">
        <f t="shared" si="20"/>
        <v>#NUM!</v>
      </c>
      <c r="K295" s="95" t="e">
        <f t="shared" si="21"/>
        <v>#NUM!</v>
      </c>
      <c r="L295" s="95"/>
      <c r="M295" s="97">
        <f t="shared" si="22"/>
        <v>0</v>
      </c>
      <c r="S295" s="85"/>
      <c r="T295" s="85"/>
      <c r="U295" s="85"/>
      <c r="V295" s="85"/>
      <c r="W295" s="85"/>
      <c r="X295" s="85"/>
      <c r="Y295" s="85"/>
      <c r="Z295" s="85"/>
      <c r="AA295" s="85"/>
      <c r="AB295" s="85"/>
      <c r="AC295" s="85"/>
      <c r="AD295" s="85"/>
      <c r="AE295" s="85"/>
      <c r="AF295" s="85"/>
      <c r="AG295" s="85"/>
      <c r="AH295" s="85"/>
      <c r="AI295" s="85"/>
      <c r="AJ295" s="85"/>
      <c r="AK295" s="85"/>
      <c r="AL295" s="85"/>
    </row>
    <row r="296" spans="1:38" s="80" customFormat="1" x14ac:dyDescent="0.25">
      <c r="A296" s="116"/>
      <c r="B296" s="115"/>
      <c r="C296" s="115"/>
      <c r="D296" s="115"/>
      <c r="E296" s="115"/>
      <c r="F296" s="115"/>
      <c r="H296" s="95">
        <v>291</v>
      </c>
      <c r="I296" s="96" t="str">
        <f t="shared" si="19"/>
        <v/>
      </c>
      <c r="J296" s="96" t="e">
        <f t="shared" si="20"/>
        <v>#NUM!</v>
      </c>
      <c r="K296" s="95" t="e">
        <f t="shared" si="21"/>
        <v>#NUM!</v>
      </c>
      <c r="L296" s="95"/>
      <c r="M296" s="97">
        <f t="shared" si="22"/>
        <v>0</v>
      </c>
      <c r="S296" s="85"/>
      <c r="T296" s="85"/>
      <c r="U296" s="85"/>
      <c r="V296" s="85"/>
      <c r="W296" s="85"/>
      <c r="X296" s="85"/>
      <c r="Y296" s="85"/>
      <c r="Z296" s="85"/>
      <c r="AA296" s="85"/>
      <c r="AB296" s="85"/>
      <c r="AC296" s="85"/>
      <c r="AD296" s="85"/>
      <c r="AE296" s="85"/>
      <c r="AF296" s="85"/>
      <c r="AG296" s="85"/>
      <c r="AH296" s="85"/>
      <c r="AI296" s="85"/>
      <c r="AJ296" s="85"/>
      <c r="AK296" s="85"/>
      <c r="AL296" s="85"/>
    </row>
    <row r="297" spans="1:38" s="80" customFormat="1" x14ac:dyDescent="0.25">
      <c r="A297" s="116"/>
      <c r="B297" s="115"/>
      <c r="C297" s="115"/>
      <c r="D297" s="115"/>
      <c r="E297" s="115"/>
      <c r="F297" s="115"/>
      <c r="H297" s="95">
        <v>292</v>
      </c>
      <c r="I297" s="96" t="str">
        <f t="shared" si="19"/>
        <v/>
      </c>
      <c r="J297" s="96" t="e">
        <f t="shared" si="20"/>
        <v>#NUM!</v>
      </c>
      <c r="K297" s="95" t="e">
        <f t="shared" si="21"/>
        <v>#NUM!</v>
      </c>
      <c r="L297" s="95"/>
      <c r="M297" s="97">
        <f t="shared" si="22"/>
        <v>0</v>
      </c>
      <c r="S297" s="85"/>
      <c r="T297" s="85"/>
      <c r="U297" s="85"/>
      <c r="V297" s="85"/>
      <c r="W297" s="85"/>
      <c r="X297" s="85"/>
      <c r="Y297" s="85"/>
      <c r="Z297" s="85"/>
      <c r="AA297" s="85"/>
      <c r="AB297" s="85"/>
      <c r="AC297" s="85"/>
      <c r="AD297" s="85"/>
      <c r="AE297" s="85"/>
      <c r="AF297" s="85"/>
      <c r="AG297" s="85"/>
      <c r="AH297" s="85"/>
      <c r="AI297" s="85"/>
      <c r="AJ297" s="85"/>
      <c r="AK297" s="85"/>
      <c r="AL297" s="85"/>
    </row>
    <row r="298" spans="1:38" s="80" customFormat="1" x14ac:dyDescent="0.25">
      <c r="A298" s="116"/>
      <c r="B298" s="115"/>
      <c r="C298" s="115"/>
      <c r="D298" s="115"/>
      <c r="E298" s="115"/>
      <c r="F298" s="115"/>
      <c r="H298" s="95">
        <v>293</v>
      </c>
      <c r="I298" s="96" t="str">
        <f t="shared" si="19"/>
        <v/>
      </c>
      <c r="J298" s="96" t="e">
        <f t="shared" si="20"/>
        <v>#NUM!</v>
      </c>
      <c r="K298" s="95" t="e">
        <f t="shared" si="21"/>
        <v>#NUM!</v>
      </c>
      <c r="L298" s="95"/>
      <c r="M298" s="97">
        <f t="shared" si="22"/>
        <v>0</v>
      </c>
      <c r="S298" s="85"/>
      <c r="T298" s="85"/>
      <c r="U298" s="85"/>
      <c r="V298" s="85"/>
      <c r="W298" s="85"/>
      <c r="X298" s="85"/>
      <c r="Y298" s="85"/>
      <c r="Z298" s="85"/>
      <c r="AA298" s="85"/>
      <c r="AB298" s="85"/>
      <c r="AC298" s="85"/>
      <c r="AD298" s="85"/>
      <c r="AE298" s="85"/>
      <c r="AF298" s="85"/>
      <c r="AG298" s="85"/>
      <c r="AH298" s="85"/>
      <c r="AI298" s="85"/>
      <c r="AJ298" s="85"/>
      <c r="AK298" s="85"/>
      <c r="AL298" s="85"/>
    </row>
    <row r="299" spans="1:38" s="80" customFormat="1" x14ac:dyDescent="0.25">
      <c r="A299" s="116"/>
      <c r="B299" s="115"/>
      <c r="C299" s="115"/>
      <c r="D299" s="115"/>
      <c r="E299" s="115"/>
      <c r="F299" s="115"/>
      <c r="H299" s="95">
        <v>294</v>
      </c>
      <c r="I299" s="96" t="str">
        <f t="shared" si="19"/>
        <v/>
      </c>
      <c r="J299" s="96" t="e">
        <f t="shared" si="20"/>
        <v>#NUM!</v>
      </c>
      <c r="K299" s="95" t="e">
        <f t="shared" si="21"/>
        <v>#NUM!</v>
      </c>
      <c r="L299" s="95"/>
      <c r="M299" s="97">
        <f t="shared" si="22"/>
        <v>0</v>
      </c>
      <c r="S299" s="85"/>
      <c r="T299" s="85"/>
      <c r="U299" s="85"/>
      <c r="V299" s="85"/>
      <c r="W299" s="85"/>
      <c r="X299" s="85"/>
      <c r="Y299" s="85"/>
      <c r="Z299" s="85"/>
      <c r="AA299" s="85"/>
      <c r="AB299" s="85"/>
      <c r="AC299" s="85"/>
      <c r="AD299" s="85"/>
      <c r="AE299" s="85"/>
      <c r="AF299" s="85"/>
      <c r="AG299" s="85"/>
      <c r="AH299" s="85"/>
      <c r="AI299" s="85"/>
      <c r="AJ299" s="85"/>
      <c r="AK299" s="85"/>
      <c r="AL299" s="85"/>
    </row>
    <row r="300" spans="1:38" s="80" customFormat="1" x14ac:dyDescent="0.25">
      <c r="A300" s="116"/>
      <c r="B300" s="115"/>
      <c r="C300" s="115"/>
      <c r="D300" s="115"/>
      <c r="E300" s="115"/>
      <c r="F300" s="115"/>
      <c r="H300" s="95">
        <v>295</v>
      </c>
      <c r="I300" s="96" t="str">
        <f t="shared" si="19"/>
        <v/>
      </c>
      <c r="J300" s="96" t="e">
        <f t="shared" si="20"/>
        <v>#NUM!</v>
      </c>
      <c r="K300" s="95" t="e">
        <f t="shared" si="21"/>
        <v>#NUM!</v>
      </c>
      <c r="L300" s="95"/>
      <c r="M300" s="97">
        <f t="shared" si="22"/>
        <v>0</v>
      </c>
      <c r="S300" s="85"/>
      <c r="T300" s="85"/>
      <c r="U300" s="85"/>
      <c r="V300" s="85"/>
      <c r="W300" s="85"/>
      <c r="X300" s="85"/>
      <c r="Y300" s="85"/>
      <c r="Z300" s="85"/>
      <c r="AA300" s="85"/>
      <c r="AB300" s="85"/>
      <c r="AC300" s="85"/>
      <c r="AD300" s="85"/>
      <c r="AE300" s="85"/>
      <c r="AF300" s="85"/>
      <c r="AG300" s="85"/>
      <c r="AH300" s="85"/>
      <c r="AI300" s="85"/>
      <c r="AJ300" s="85"/>
      <c r="AK300" s="85"/>
      <c r="AL300" s="85"/>
    </row>
    <row r="301" spans="1:38" s="80" customFormat="1" x14ac:dyDescent="0.25">
      <c r="A301" s="116"/>
      <c r="B301" s="115"/>
      <c r="C301" s="115"/>
      <c r="D301" s="115"/>
      <c r="E301" s="115"/>
      <c r="F301" s="115"/>
      <c r="H301" s="95">
        <v>296</v>
      </c>
      <c r="I301" s="96" t="str">
        <f t="shared" si="19"/>
        <v/>
      </c>
      <c r="J301" s="96" t="e">
        <f t="shared" si="20"/>
        <v>#NUM!</v>
      </c>
      <c r="K301" s="95" t="e">
        <f t="shared" si="21"/>
        <v>#NUM!</v>
      </c>
      <c r="L301" s="95"/>
      <c r="M301" s="97">
        <f t="shared" si="22"/>
        <v>0</v>
      </c>
      <c r="S301" s="85"/>
      <c r="T301" s="85"/>
      <c r="U301" s="85"/>
      <c r="V301" s="85"/>
      <c r="W301" s="85"/>
      <c r="X301" s="85"/>
      <c r="Y301" s="85"/>
      <c r="Z301" s="85"/>
      <c r="AA301" s="85"/>
      <c r="AB301" s="85"/>
      <c r="AC301" s="85"/>
      <c r="AD301" s="85"/>
      <c r="AE301" s="85"/>
      <c r="AF301" s="85"/>
      <c r="AG301" s="85"/>
      <c r="AH301" s="85"/>
      <c r="AI301" s="85"/>
      <c r="AJ301" s="85"/>
      <c r="AK301" s="85"/>
      <c r="AL301" s="85"/>
    </row>
    <row r="302" spans="1:38" s="80" customFormat="1" x14ac:dyDescent="0.25">
      <c r="A302" s="116"/>
      <c r="B302" s="115"/>
      <c r="C302" s="115"/>
      <c r="D302" s="115"/>
      <c r="E302" s="115"/>
      <c r="F302" s="115"/>
      <c r="H302" s="95">
        <v>297</v>
      </c>
      <c r="I302" s="96" t="str">
        <f t="shared" si="19"/>
        <v/>
      </c>
      <c r="J302" s="96" t="e">
        <f t="shared" si="20"/>
        <v>#NUM!</v>
      </c>
      <c r="K302" s="95" t="e">
        <f t="shared" si="21"/>
        <v>#NUM!</v>
      </c>
      <c r="L302" s="95"/>
      <c r="M302" s="97">
        <f t="shared" si="22"/>
        <v>0</v>
      </c>
      <c r="S302" s="85"/>
      <c r="T302" s="85"/>
      <c r="U302" s="85"/>
      <c r="V302" s="85"/>
      <c r="W302" s="85"/>
      <c r="X302" s="85"/>
      <c r="Y302" s="85"/>
      <c r="Z302" s="85"/>
      <c r="AA302" s="85"/>
      <c r="AB302" s="85"/>
      <c r="AC302" s="85"/>
      <c r="AD302" s="85"/>
      <c r="AE302" s="85"/>
      <c r="AF302" s="85"/>
      <c r="AG302" s="85"/>
      <c r="AH302" s="85"/>
      <c r="AI302" s="85"/>
      <c r="AJ302" s="85"/>
      <c r="AK302" s="85"/>
      <c r="AL302" s="85"/>
    </row>
    <row r="303" spans="1:38" s="80" customFormat="1" x14ac:dyDescent="0.25">
      <c r="A303" s="116"/>
      <c r="B303" s="115"/>
      <c r="C303" s="115"/>
      <c r="D303" s="115"/>
      <c r="E303" s="115"/>
      <c r="F303" s="115"/>
      <c r="H303" s="95">
        <v>298</v>
      </c>
      <c r="I303" s="96" t="str">
        <f t="shared" si="19"/>
        <v/>
      </c>
      <c r="J303" s="96" t="e">
        <f t="shared" si="20"/>
        <v>#NUM!</v>
      </c>
      <c r="K303" s="95" t="e">
        <f t="shared" si="21"/>
        <v>#NUM!</v>
      </c>
      <c r="L303" s="95"/>
      <c r="M303" s="97">
        <f t="shared" si="22"/>
        <v>0</v>
      </c>
      <c r="S303" s="85"/>
      <c r="T303" s="85"/>
      <c r="U303" s="85"/>
      <c r="V303" s="85"/>
      <c r="W303" s="85"/>
      <c r="X303" s="85"/>
      <c r="Y303" s="85"/>
      <c r="Z303" s="85"/>
      <c r="AA303" s="85"/>
      <c r="AB303" s="85"/>
      <c r="AC303" s="85"/>
      <c r="AD303" s="85"/>
      <c r="AE303" s="85"/>
      <c r="AF303" s="85"/>
      <c r="AG303" s="85"/>
      <c r="AH303" s="85"/>
      <c r="AI303" s="85"/>
      <c r="AJ303" s="85"/>
      <c r="AK303" s="85"/>
      <c r="AL303" s="85"/>
    </row>
    <row r="304" spans="1:38" s="80" customFormat="1" x14ac:dyDescent="0.25">
      <c r="A304" s="116"/>
      <c r="B304" s="115"/>
      <c r="C304" s="115"/>
      <c r="D304" s="115"/>
      <c r="E304" s="115"/>
      <c r="F304" s="115"/>
      <c r="H304" s="95">
        <v>299</v>
      </c>
      <c r="I304" s="96" t="str">
        <f t="shared" si="19"/>
        <v/>
      </c>
      <c r="J304" s="96" t="e">
        <f t="shared" si="20"/>
        <v>#NUM!</v>
      </c>
      <c r="K304" s="95" t="e">
        <f t="shared" si="21"/>
        <v>#NUM!</v>
      </c>
      <c r="L304" s="95"/>
      <c r="M304" s="97">
        <f t="shared" si="22"/>
        <v>0</v>
      </c>
      <c r="S304" s="85"/>
      <c r="T304" s="85"/>
      <c r="U304" s="85"/>
      <c r="V304" s="85"/>
      <c r="W304" s="85"/>
      <c r="X304" s="85"/>
      <c r="Y304" s="85"/>
      <c r="Z304" s="85"/>
      <c r="AA304" s="85"/>
      <c r="AB304" s="85"/>
      <c r="AC304" s="85"/>
      <c r="AD304" s="85"/>
      <c r="AE304" s="85"/>
      <c r="AF304" s="85"/>
      <c r="AG304" s="85"/>
      <c r="AH304" s="85"/>
      <c r="AI304" s="85"/>
      <c r="AJ304" s="85"/>
      <c r="AK304" s="85"/>
      <c r="AL304" s="85"/>
    </row>
    <row r="305" spans="1:38" s="80" customFormat="1" x14ac:dyDescent="0.25">
      <c r="A305" s="116"/>
      <c r="B305" s="115"/>
      <c r="C305" s="115"/>
      <c r="D305" s="115"/>
      <c r="E305" s="115"/>
      <c r="F305" s="115"/>
      <c r="H305" s="95">
        <v>300</v>
      </c>
      <c r="I305" s="96" t="str">
        <f t="shared" si="19"/>
        <v/>
      </c>
      <c r="J305" s="96" t="e">
        <f t="shared" si="20"/>
        <v>#NUM!</v>
      </c>
      <c r="K305" s="95" t="e">
        <f t="shared" si="21"/>
        <v>#NUM!</v>
      </c>
      <c r="L305" s="95"/>
      <c r="M305" s="97">
        <f t="shared" si="22"/>
        <v>0</v>
      </c>
      <c r="S305" s="85"/>
      <c r="T305" s="85"/>
      <c r="U305" s="85"/>
      <c r="V305" s="85"/>
      <c r="W305" s="85"/>
      <c r="X305" s="85"/>
      <c r="Y305" s="85"/>
      <c r="Z305" s="85"/>
      <c r="AA305" s="85"/>
      <c r="AB305" s="85"/>
      <c r="AC305" s="85"/>
      <c r="AD305" s="85"/>
      <c r="AE305" s="85"/>
      <c r="AF305" s="85"/>
      <c r="AG305" s="85"/>
      <c r="AH305" s="85"/>
      <c r="AI305" s="85"/>
      <c r="AJ305" s="85"/>
      <c r="AK305" s="85"/>
      <c r="AL305" s="85"/>
    </row>
    <row r="306" spans="1:38" s="80" customFormat="1" x14ac:dyDescent="0.25">
      <c r="A306" s="117"/>
      <c r="B306" s="115"/>
      <c r="C306" s="115"/>
      <c r="D306" s="115"/>
      <c r="E306" s="115"/>
      <c r="F306" s="115"/>
      <c r="G306" s="115"/>
      <c r="H306" s="118"/>
      <c r="I306" s="118"/>
      <c r="J306" s="118"/>
      <c r="K306" s="118"/>
      <c r="L306" s="118"/>
      <c r="M306" s="119"/>
      <c r="S306" s="85"/>
      <c r="T306" s="85"/>
      <c r="U306" s="85"/>
      <c r="V306" s="85"/>
      <c r="W306" s="85"/>
      <c r="X306" s="85"/>
      <c r="Y306" s="85"/>
      <c r="Z306" s="85"/>
      <c r="AA306" s="85"/>
      <c r="AB306" s="85"/>
      <c r="AC306" s="85"/>
      <c r="AD306" s="85"/>
      <c r="AE306" s="85"/>
      <c r="AF306" s="85"/>
      <c r="AG306" s="85"/>
      <c r="AH306" s="85"/>
      <c r="AI306" s="85"/>
      <c r="AJ306" s="85"/>
      <c r="AK306" s="85"/>
      <c r="AL306" s="85"/>
    </row>
    <row r="314" spans="1:38" s="80" customFormat="1" x14ac:dyDescent="0.25">
      <c r="A314" s="115"/>
      <c r="B314" s="115"/>
      <c r="C314" s="115"/>
      <c r="D314" s="115"/>
      <c r="E314" s="115"/>
      <c r="F314" s="115"/>
      <c r="G314" s="115"/>
      <c r="H314" s="118"/>
      <c r="I314" s="118"/>
      <c r="J314" s="118"/>
      <c r="K314" s="118"/>
      <c r="L314" s="120"/>
      <c r="M314" s="119"/>
      <c r="P314" s="107"/>
      <c r="S314" s="85"/>
      <c r="T314" s="85"/>
      <c r="U314" s="85"/>
      <c r="V314" s="85"/>
      <c r="W314" s="85"/>
      <c r="X314" s="85"/>
      <c r="Y314" s="85"/>
      <c r="Z314" s="85"/>
      <c r="AA314" s="85"/>
      <c r="AB314" s="85"/>
      <c r="AC314" s="85"/>
      <c r="AD314" s="85"/>
      <c r="AE314" s="85"/>
      <c r="AF314" s="85"/>
      <c r="AG314" s="85"/>
      <c r="AH314" s="85"/>
      <c r="AI314" s="85"/>
      <c r="AJ314" s="85"/>
      <c r="AK314" s="85"/>
      <c r="AL314" s="85"/>
    </row>
    <row r="315" spans="1:38" s="80" customFormat="1" x14ac:dyDescent="0.25">
      <c r="A315" s="115"/>
      <c r="B315" s="115"/>
      <c r="C315" s="115"/>
      <c r="D315" s="115"/>
      <c r="E315" s="115"/>
      <c r="F315" s="115"/>
      <c r="G315" s="115"/>
      <c r="H315" s="118"/>
      <c r="I315" s="118"/>
      <c r="J315" s="118"/>
      <c r="K315" s="118"/>
      <c r="L315" s="120"/>
      <c r="M315" s="119"/>
      <c r="P315" s="107"/>
      <c r="S315" s="85"/>
      <c r="T315" s="85"/>
      <c r="U315" s="85"/>
      <c r="V315" s="85"/>
      <c r="W315" s="85"/>
      <c r="X315" s="85"/>
      <c r="Y315" s="85"/>
      <c r="Z315" s="85"/>
      <c r="AA315" s="85"/>
      <c r="AB315" s="85"/>
      <c r="AC315" s="85"/>
      <c r="AD315" s="85"/>
      <c r="AE315" s="85"/>
      <c r="AF315" s="85"/>
      <c r="AG315" s="85"/>
      <c r="AH315" s="85"/>
      <c r="AI315" s="85"/>
      <c r="AJ315" s="85"/>
      <c r="AK315" s="85"/>
      <c r="AL315" s="85"/>
    </row>
    <row r="316" spans="1:38" s="80" customFormat="1" x14ac:dyDescent="0.25">
      <c r="A316" s="115"/>
      <c r="B316" s="115"/>
      <c r="C316" s="115"/>
      <c r="D316" s="115"/>
      <c r="E316" s="115"/>
      <c r="F316" s="115"/>
      <c r="G316" s="115"/>
      <c r="H316" s="118"/>
      <c r="I316" s="118"/>
      <c r="J316" s="118"/>
      <c r="K316" s="118"/>
      <c r="L316" s="120"/>
      <c r="M316" s="119"/>
      <c r="P316" s="107"/>
      <c r="S316" s="85"/>
      <c r="T316" s="85"/>
      <c r="U316" s="85"/>
      <c r="V316" s="85"/>
      <c r="W316" s="85"/>
      <c r="X316" s="85"/>
      <c r="Y316" s="85"/>
      <c r="Z316" s="85"/>
      <c r="AA316" s="85"/>
      <c r="AB316" s="85"/>
      <c r="AC316" s="85"/>
      <c r="AD316" s="85"/>
      <c r="AE316" s="85"/>
      <c r="AF316" s="85"/>
      <c r="AG316" s="85"/>
      <c r="AH316" s="85"/>
      <c r="AI316" s="85"/>
      <c r="AJ316" s="85"/>
      <c r="AK316" s="85"/>
      <c r="AL316" s="85"/>
    </row>
    <row r="317" spans="1:38" s="80" customFormat="1" x14ac:dyDescent="0.25">
      <c r="A317" s="115"/>
      <c r="B317" s="115"/>
      <c r="C317" s="115"/>
      <c r="D317" s="115"/>
      <c r="E317" s="115"/>
      <c r="F317" s="115"/>
      <c r="G317" s="115"/>
      <c r="H317" s="118"/>
      <c r="I317" s="118"/>
      <c r="J317" s="118"/>
      <c r="K317" s="118"/>
      <c r="L317" s="120"/>
      <c r="M317" s="119"/>
      <c r="P317" s="107"/>
      <c r="S317" s="85"/>
      <c r="T317" s="85"/>
      <c r="U317" s="85"/>
      <c r="V317" s="85"/>
      <c r="W317" s="85"/>
      <c r="X317" s="85"/>
      <c r="Y317" s="85"/>
      <c r="Z317" s="85"/>
      <c r="AA317" s="85"/>
      <c r="AB317" s="85"/>
      <c r="AC317" s="85"/>
      <c r="AD317" s="85"/>
      <c r="AE317" s="85"/>
      <c r="AF317" s="85"/>
      <c r="AG317" s="85"/>
      <c r="AH317" s="85"/>
      <c r="AI317" s="85"/>
      <c r="AJ317" s="85"/>
      <c r="AK317" s="85"/>
      <c r="AL317" s="85"/>
    </row>
  </sheetData>
  <mergeCells count="2">
    <mergeCell ref="C2:D2"/>
    <mergeCell ref="C3:D3"/>
  </mergeCells>
  <conditionalFormatting sqref="J9:K9">
    <cfRule type="cellIs" dxfId="13" priority="1" operator="lessThanOrEqual">
      <formula>0</formula>
    </cfRule>
  </conditionalFormatting>
  <conditionalFormatting sqref="K6:K8 K10:K305">
    <cfRule type="cellIs" dxfId="12" priority="2" operator="lessThanOrEqual">
      <formula>0</formula>
    </cfRule>
  </conditionalFormatting>
  <dataValidations count="1">
    <dataValidation type="list" allowBlank="1" showInputMessage="1" showErrorMessage="1" sqref="C38:C69" xr:uid="{AB1F8A33-683B-4524-9A7B-2A5B2A7EF2F5}">
      <formula1>#REF!</formula1>
    </dataValidation>
  </dataValidations>
  <hyperlinks>
    <hyperlink ref="C2:D2" r:id="rId1" display="Madrid" xr:uid="{8AF37BFF-027C-46EF-B7FB-1CFC1DEA4501}"/>
  </hyperlinks>
  <pageMargins left="0.7" right="0.7" top="0.75" bottom="0.75" header="0.3" footer="0.3"/>
  <pageSetup paperSize="9" orientation="portrait"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B4314-58F7-4D9B-827C-13BFE2240249}">
  <sheetPr>
    <tabColor rgb="FF92D050"/>
  </sheetPr>
  <dimension ref="A1:AL317"/>
  <sheetViews>
    <sheetView workbookViewId="0">
      <selection activeCell="P25" sqref="P25"/>
    </sheetView>
  </sheetViews>
  <sheetFormatPr defaultColWidth="8.875" defaultRowHeight="14.3" x14ac:dyDescent="0.25"/>
  <cols>
    <col min="1" max="1" width="8" style="115" customWidth="1"/>
    <col min="2" max="2" width="8.25" style="115" customWidth="1"/>
    <col min="3" max="3" width="34.75" style="115" customWidth="1"/>
    <col min="4" max="4" width="11.25" style="115" customWidth="1"/>
    <col min="5" max="6" width="8.875" style="115"/>
    <col min="7" max="7" width="0.875" style="115" customWidth="1"/>
    <col min="8" max="8" width="8.875" style="118"/>
    <col min="9" max="9" width="11" style="118" customWidth="1"/>
    <col min="10" max="10" width="15" style="118" customWidth="1"/>
    <col min="11" max="11" width="8.75" style="118" customWidth="1"/>
    <col min="12" max="12" width="11" style="118" customWidth="1"/>
    <col min="13" max="13" width="11.75" style="119" customWidth="1"/>
    <col min="14" max="15" width="13.875" style="80" customWidth="1"/>
    <col min="16" max="18" width="8.875" style="80"/>
    <col min="19" max="20" width="8.875" style="85"/>
    <col min="21" max="21" width="12.125" style="85" customWidth="1"/>
    <col min="22" max="22" width="27.375" style="85" customWidth="1"/>
    <col min="23" max="38" width="8.875" style="85"/>
    <col min="39" max="16384" width="8.875" style="115"/>
  </cols>
  <sheetData>
    <row r="1" spans="1:36" s="85" customFormat="1" x14ac:dyDescent="0.25">
      <c r="A1" s="80"/>
      <c r="B1" s="80"/>
      <c r="C1" s="80"/>
      <c r="D1" s="80"/>
      <c r="E1" s="80"/>
      <c r="F1" s="80"/>
      <c r="G1" s="80"/>
      <c r="H1" s="81" t="s">
        <v>20</v>
      </c>
      <c r="I1" s="82" t="s">
        <v>21</v>
      </c>
      <c r="J1" s="82" t="s">
        <v>22</v>
      </c>
      <c r="K1" s="83" t="s">
        <v>84</v>
      </c>
      <c r="L1" s="84"/>
      <c r="M1" s="84"/>
      <c r="N1" s="80"/>
      <c r="O1" s="80"/>
      <c r="P1" s="80"/>
      <c r="Q1" s="80"/>
      <c r="R1" s="80"/>
    </row>
    <row r="2" spans="1:36" s="85" customFormat="1" x14ac:dyDescent="0.25">
      <c r="A2" s="80"/>
      <c r="B2" s="19" t="s">
        <v>24</v>
      </c>
      <c r="C2" s="299" t="s">
        <v>99</v>
      </c>
      <c r="D2" s="299"/>
      <c r="E2" s="20"/>
      <c r="F2" s="20"/>
      <c r="G2" s="20"/>
      <c r="H2" s="86">
        <v>0</v>
      </c>
      <c r="I2" s="87">
        <v>50</v>
      </c>
      <c r="J2" s="87">
        <v>10</v>
      </c>
      <c r="K2" s="121">
        <f>3*H2^(1/3)</f>
        <v>0</v>
      </c>
      <c r="L2" s="84"/>
      <c r="M2" s="84"/>
      <c r="N2" s="80"/>
      <c r="O2" s="80"/>
      <c r="P2" s="80"/>
      <c r="Q2" s="80"/>
      <c r="R2" s="80"/>
    </row>
    <row r="3" spans="1:36" s="85" customFormat="1" ht="14.45" customHeight="1" x14ac:dyDescent="0.25">
      <c r="A3" s="80"/>
      <c r="B3" s="89" t="s">
        <v>26</v>
      </c>
      <c r="C3" s="278">
        <v>45208</v>
      </c>
      <c r="D3" s="278"/>
      <c r="E3" s="25"/>
      <c r="F3" s="25"/>
      <c r="G3" s="25"/>
      <c r="H3" s="84"/>
      <c r="I3" s="84"/>
      <c r="J3" s="84"/>
      <c r="K3" s="84"/>
      <c r="L3" s="84"/>
      <c r="M3" s="84"/>
      <c r="N3" s="80"/>
      <c r="O3" s="80"/>
      <c r="P3" s="80"/>
      <c r="Q3" s="80"/>
      <c r="R3" s="80"/>
    </row>
    <row r="4" spans="1:36" s="85" customFormat="1" ht="10.199999999999999" customHeight="1" x14ac:dyDescent="0.25">
      <c r="A4" s="27"/>
      <c r="B4" s="25"/>
      <c r="C4" s="27"/>
      <c r="D4" s="27"/>
      <c r="E4" s="27"/>
      <c r="F4" s="27"/>
      <c r="G4" s="27"/>
      <c r="H4" s="84"/>
      <c r="I4" s="84"/>
      <c r="J4" s="84"/>
      <c r="K4" s="84"/>
      <c r="L4" s="84"/>
      <c r="M4" s="84"/>
      <c r="N4" s="80"/>
      <c r="O4" s="80"/>
      <c r="P4" s="80"/>
      <c r="Q4" s="80"/>
      <c r="R4" s="80"/>
    </row>
    <row r="5" spans="1:36" s="85" customFormat="1" ht="34.65" x14ac:dyDescent="0.25">
      <c r="A5" s="1" t="s">
        <v>28</v>
      </c>
      <c r="B5" s="28" t="s">
        <v>29</v>
      </c>
      <c r="C5" s="1" t="s">
        <v>30</v>
      </c>
      <c r="D5" s="1" t="s">
        <v>31</v>
      </c>
      <c r="E5" s="1" t="s">
        <v>32</v>
      </c>
      <c r="F5" s="1" t="s">
        <v>33</v>
      </c>
      <c r="G5" s="27"/>
      <c r="H5" s="91" t="s">
        <v>34</v>
      </c>
      <c r="I5" s="92" t="s">
        <v>35</v>
      </c>
      <c r="J5" s="92" t="s">
        <v>36</v>
      </c>
      <c r="K5" s="92" t="s">
        <v>37</v>
      </c>
      <c r="L5" s="92" t="s">
        <v>38</v>
      </c>
      <c r="M5" s="91" t="s">
        <v>39</v>
      </c>
      <c r="N5" s="80"/>
      <c r="O5" s="80"/>
      <c r="P5" s="80"/>
      <c r="Q5" s="80"/>
      <c r="R5" s="80"/>
    </row>
    <row r="6" spans="1:36" s="85" customFormat="1" ht="14.45" customHeight="1" x14ac:dyDescent="0.25">
      <c r="A6" s="94">
        <f t="shared" ref="A6:A37" si="0">M6</f>
        <v>0</v>
      </c>
      <c r="B6" s="33" t="str">
        <f>IF(H6&gt;$H$2,"",(ROW()-5))</f>
        <v/>
      </c>
      <c r="C6" s="34"/>
      <c r="D6" s="34"/>
      <c r="E6" s="34"/>
      <c r="F6" s="34"/>
      <c r="G6" s="27"/>
      <c r="H6" s="95">
        <v>1</v>
      </c>
      <c r="I6" s="96" t="str">
        <f t="shared" ref="I6:I69" si="1">IF(H6&lt;$H$2+1,($I$2-($I$2-1)*(LOG(H6)/LOG($H$2))),"")</f>
        <v/>
      </c>
      <c r="J6" s="96" t="e">
        <f t="shared" ref="J6:J69" si="2">INT(LOG($H$2,2))-ROUNDUP(LOG(H6,2),0)+IF(OR($H$2=1,$H$2=2,$H$2=4,$H$2=8,$H$2=16,$H$2=32,$H$2=64,$H$2=128,$H$2=256),0,1)</f>
        <v>#NUM!</v>
      </c>
      <c r="K6" s="95" t="e">
        <f t="shared" ref="K6:K69" si="3">J6*$J$2</f>
        <v>#NUM!</v>
      </c>
      <c r="L6" s="97">
        <f>3*K2</f>
        <v>0</v>
      </c>
      <c r="M6" s="97">
        <f t="shared" ref="M6:M69" si="4">IF(I6&lt;&gt;"",K6+I6+L6,0)</f>
        <v>0</v>
      </c>
      <c r="N6" s="80"/>
      <c r="O6" s="80"/>
      <c r="P6" s="80"/>
      <c r="Q6" s="80"/>
      <c r="R6" s="80"/>
    </row>
    <row r="7" spans="1:36" s="85" customFormat="1" ht="14.45" customHeight="1" x14ac:dyDescent="0.25">
      <c r="A7" s="98">
        <f t="shared" si="0"/>
        <v>0</v>
      </c>
      <c r="B7" s="39" t="str">
        <f>IF(H7&gt;$H$2,"",(ROW()-5))</f>
        <v/>
      </c>
      <c r="C7" s="40"/>
      <c r="D7" s="40"/>
      <c r="E7" s="40"/>
      <c r="F7" s="40"/>
      <c r="G7" s="27"/>
      <c r="H7" s="99">
        <v>2</v>
      </c>
      <c r="I7" s="100" t="str">
        <f t="shared" si="1"/>
        <v/>
      </c>
      <c r="J7" s="100" t="e">
        <f t="shared" si="2"/>
        <v>#NUM!</v>
      </c>
      <c r="K7" s="99" t="e">
        <f t="shared" si="3"/>
        <v>#NUM!</v>
      </c>
      <c r="L7" s="101">
        <f>2*K2</f>
        <v>0</v>
      </c>
      <c r="M7" s="101">
        <f t="shared" si="4"/>
        <v>0</v>
      </c>
      <c r="N7" s="80"/>
      <c r="O7" s="80"/>
      <c r="P7" s="80"/>
      <c r="Q7" s="80"/>
      <c r="R7" s="80"/>
    </row>
    <row r="8" spans="1:36" s="85" customFormat="1" ht="14.45" customHeight="1" x14ac:dyDescent="0.25">
      <c r="A8" s="94">
        <f t="shared" si="0"/>
        <v>0</v>
      </c>
      <c r="B8" s="33" t="str">
        <f>IF(H8&gt;$H$2,"",(ROW()-5))</f>
        <v/>
      </c>
      <c r="C8" s="34"/>
      <c r="D8" s="34"/>
      <c r="E8" s="34"/>
      <c r="F8" s="34"/>
      <c r="G8" s="27"/>
      <c r="H8" s="95">
        <v>3</v>
      </c>
      <c r="I8" s="96" t="str">
        <f t="shared" si="1"/>
        <v/>
      </c>
      <c r="J8" s="96" t="e">
        <f t="shared" si="2"/>
        <v>#NUM!</v>
      </c>
      <c r="K8" s="95" t="e">
        <f t="shared" si="3"/>
        <v>#NUM!</v>
      </c>
      <c r="L8" s="97">
        <f>K2</f>
        <v>0</v>
      </c>
      <c r="M8" s="97">
        <f t="shared" si="4"/>
        <v>0</v>
      </c>
      <c r="N8" s="80"/>
      <c r="O8" s="80"/>
      <c r="P8" s="80"/>
      <c r="Q8" s="80"/>
      <c r="R8" s="80"/>
    </row>
    <row r="9" spans="1:36" s="85" customFormat="1" ht="14.45" customHeight="1" x14ac:dyDescent="0.25">
      <c r="A9" s="98">
        <f t="shared" si="0"/>
        <v>0</v>
      </c>
      <c r="B9" s="39" t="str">
        <f>IF(H9&gt;$H$2,"",3)</f>
        <v/>
      </c>
      <c r="C9" s="40"/>
      <c r="D9" s="40"/>
      <c r="E9" s="40"/>
      <c r="F9" s="40"/>
      <c r="G9" s="27"/>
      <c r="H9" s="99">
        <v>3</v>
      </c>
      <c r="I9" s="100" t="str">
        <f t="shared" si="1"/>
        <v/>
      </c>
      <c r="J9" s="99" t="e">
        <f t="shared" si="2"/>
        <v>#NUM!</v>
      </c>
      <c r="K9" s="99" t="e">
        <f t="shared" si="3"/>
        <v>#NUM!</v>
      </c>
      <c r="L9" s="101">
        <f>K2</f>
        <v>0</v>
      </c>
      <c r="M9" s="101">
        <f t="shared" si="4"/>
        <v>0</v>
      </c>
      <c r="N9" s="80"/>
      <c r="O9" s="80"/>
      <c r="P9" s="80"/>
      <c r="Q9" s="80"/>
      <c r="R9" s="80"/>
      <c r="V9" s="102"/>
      <c r="Z9" s="103"/>
      <c r="AA9" s="103"/>
      <c r="AG9" s="104"/>
      <c r="AH9" s="85" t="s">
        <v>40</v>
      </c>
      <c r="AI9" s="85">
        <v>23</v>
      </c>
    </row>
    <row r="10" spans="1:36" s="85" customFormat="1" ht="14.45" customHeight="1" x14ac:dyDescent="0.25">
      <c r="A10" s="94">
        <f t="shared" si="0"/>
        <v>0</v>
      </c>
      <c r="B10" s="33" t="str">
        <f t="shared" ref="B10:B41" si="5">IF(H10&gt;$H$2,"",(ROW()-5))</f>
        <v/>
      </c>
      <c r="C10" s="34"/>
      <c r="D10" s="34"/>
      <c r="E10" s="34"/>
      <c r="F10" s="34"/>
      <c r="G10" s="27"/>
      <c r="H10" s="95">
        <v>5</v>
      </c>
      <c r="I10" s="96" t="str">
        <f t="shared" si="1"/>
        <v/>
      </c>
      <c r="J10" s="96" t="e">
        <f t="shared" si="2"/>
        <v>#NUM!</v>
      </c>
      <c r="K10" s="95" t="e">
        <f t="shared" si="3"/>
        <v>#NUM!</v>
      </c>
      <c r="L10" s="95"/>
      <c r="M10" s="97">
        <f t="shared" si="4"/>
        <v>0</v>
      </c>
      <c r="N10" s="80"/>
      <c r="O10" s="80"/>
      <c r="P10" s="80"/>
      <c r="Q10" s="80"/>
      <c r="R10" s="80"/>
      <c r="V10" s="102"/>
      <c r="Z10" s="103"/>
      <c r="AA10" s="103"/>
      <c r="AG10" s="104"/>
      <c r="AH10" s="85" t="s">
        <v>41</v>
      </c>
      <c r="AI10" s="85">
        <v>45</v>
      </c>
    </row>
    <row r="11" spans="1:36" s="85" customFormat="1" ht="14.45" customHeight="1" x14ac:dyDescent="0.25">
      <c r="A11" s="98">
        <f t="shared" si="0"/>
        <v>0</v>
      </c>
      <c r="B11" s="39" t="str">
        <f t="shared" si="5"/>
        <v/>
      </c>
      <c r="C11" s="40"/>
      <c r="D11" s="40"/>
      <c r="E11" s="40"/>
      <c r="F11" s="40"/>
      <c r="G11" s="27"/>
      <c r="H11" s="99">
        <v>6</v>
      </c>
      <c r="I11" s="100" t="str">
        <f t="shared" si="1"/>
        <v/>
      </c>
      <c r="J11" s="100" t="e">
        <f t="shared" si="2"/>
        <v>#NUM!</v>
      </c>
      <c r="K11" s="99" t="e">
        <f t="shared" si="3"/>
        <v>#NUM!</v>
      </c>
      <c r="L11" s="99"/>
      <c r="M11" s="101">
        <f t="shared" si="4"/>
        <v>0</v>
      </c>
      <c r="N11" s="80"/>
      <c r="O11" s="80"/>
      <c r="P11" s="80"/>
      <c r="Q11" s="80"/>
      <c r="R11" s="80"/>
      <c r="V11" s="105"/>
      <c r="Z11" s="103"/>
      <c r="AA11" s="103"/>
      <c r="AG11" s="104"/>
      <c r="AH11" s="85" t="s">
        <v>42</v>
      </c>
      <c r="AI11" s="85">
        <v>50</v>
      </c>
    </row>
    <row r="12" spans="1:36" s="85" customFormat="1" ht="14.45" customHeight="1" x14ac:dyDescent="0.25">
      <c r="A12" s="94">
        <f t="shared" si="0"/>
        <v>0</v>
      </c>
      <c r="B12" s="33" t="str">
        <f t="shared" si="5"/>
        <v/>
      </c>
      <c r="C12" s="34"/>
      <c r="D12" s="34"/>
      <c r="E12" s="34"/>
      <c r="F12" s="34"/>
      <c r="G12" s="27"/>
      <c r="H12" s="95">
        <v>7</v>
      </c>
      <c r="I12" s="96" t="str">
        <f t="shared" si="1"/>
        <v/>
      </c>
      <c r="J12" s="96" t="e">
        <f t="shared" si="2"/>
        <v>#NUM!</v>
      </c>
      <c r="K12" s="95" t="e">
        <f t="shared" si="3"/>
        <v>#NUM!</v>
      </c>
      <c r="L12" s="95"/>
      <c r="M12" s="97">
        <f t="shared" si="4"/>
        <v>0</v>
      </c>
      <c r="N12" s="80"/>
      <c r="O12" s="80"/>
      <c r="P12" s="80"/>
      <c r="Q12" s="80"/>
      <c r="R12" s="80"/>
      <c r="Z12" s="103"/>
      <c r="AA12" s="103"/>
      <c r="AG12" s="104"/>
      <c r="AH12" s="85" t="s">
        <v>43</v>
      </c>
      <c r="AI12" s="85">
        <f>AI11-1</f>
        <v>49</v>
      </c>
    </row>
    <row r="13" spans="1:36" s="85" customFormat="1" ht="14.45" customHeight="1" x14ac:dyDescent="0.25">
      <c r="A13" s="98">
        <f t="shared" si="0"/>
        <v>0</v>
      </c>
      <c r="B13" s="39" t="str">
        <f t="shared" si="5"/>
        <v/>
      </c>
      <c r="C13" s="40"/>
      <c r="D13" s="40"/>
      <c r="E13" s="40"/>
      <c r="F13" s="40"/>
      <c r="G13" s="27"/>
      <c r="H13" s="99">
        <v>8</v>
      </c>
      <c r="I13" s="100" t="str">
        <f t="shared" si="1"/>
        <v/>
      </c>
      <c r="J13" s="100" t="e">
        <f t="shared" si="2"/>
        <v>#NUM!</v>
      </c>
      <c r="K13" s="99" t="e">
        <f t="shared" si="3"/>
        <v>#NUM!</v>
      </c>
      <c r="L13" s="99"/>
      <c r="M13" s="101">
        <f t="shared" si="4"/>
        <v>0</v>
      </c>
      <c r="N13" s="80"/>
      <c r="O13" s="80"/>
      <c r="P13" s="80"/>
      <c r="Q13" s="80"/>
      <c r="R13" s="80"/>
      <c r="X13" s="102"/>
      <c r="AG13" s="104"/>
      <c r="AH13" s="85" t="s">
        <v>44</v>
      </c>
      <c r="AI13" s="85">
        <f>LOG(AI9)</f>
        <v>1.3617278360175928</v>
      </c>
    </row>
    <row r="14" spans="1:36" s="85" customFormat="1" x14ac:dyDescent="0.25">
      <c r="A14" s="94">
        <f t="shared" si="0"/>
        <v>0</v>
      </c>
      <c r="B14" s="33" t="str">
        <f t="shared" si="5"/>
        <v/>
      </c>
      <c r="C14" s="34"/>
      <c r="D14" s="34"/>
      <c r="E14" s="34"/>
      <c r="F14" s="34"/>
      <c r="G14" s="27"/>
      <c r="H14" s="95">
        <v>9</v>
      </c>
      <c r="I14" s="96" t="str">
        <f t="shared" si="1"/>
        <v/>
      </c>
      <c r="J14" s="96" t="e">
        <f t="shared" si="2"/>
        <v>#NUM!</v>
      </c>
      <c r="K14" s="95" t="e">
        <f t="shared" si="3"/>
        <v>#NUM!</v>
      </c>
      <c r="L14" s="95"/>
      <c r="M14" s="97">
        <f t="shared" si="4"/>
        <v>0</v>
      </c>
      <c r="N14" s="80"/>
      <c r="O14" s="80"/>
      <c r="P14" s="80"/>
      <c r="Q14" s="80"/>
      <c r="R14" s="80"/>
      <c r="X14" s="106"/>
      <c r="Z14" s="103"/>
      <c r="AA14" s="103"/>
      <c r="AG14" s="104"/>
      <c r="AH14" s="85" t="s">
        <v>45</v>
      </c>
      <c r="AI14" s="85">
        <f>LOG(AI10)</f>
        <v>1.6532125137753437</v>
      </c>
    </row>
    <row r="15" spans="1:36" s="85" customFormat="1" x14ac:dyDescent="0.25">
      <c r="A15" s="98">
        <f t="shared" si="0"/>
        <v>0</v>
      </c>
      <c r="B15" s="39" t="str">
        <f t="shared" si="5"/>
        <v/>
      </c>
      <c r="C15" s="40"/>
      <c r="D15" s="40"/>
      <c r="E15" s="40"/>
      <c r="F15" s="40"/>
      <c r="G15" s="27"/>
      <c r="H15" s="99">
        <v>10</v>
      </c>
      <c r="I15" s="100" t="str">
        <f t="shared" si="1"/>
        <v/>
      </c>
      <c r="J15" s="100" t="e">
        <f t="shared" si="2"/>
        <v>#NUM!</v>
      </c>
      <c r="K15" s="99" t="e">
        <f t="shared" si="3"/>
        <v>#NUM!</v>
      </c>
      <c r="L15" s="99"/>
      <c r="M15" s="101">
        <f t="shared" si="4"/>
        <v>0</v>
      </c>
      <c r="N15" s="80"/>
      <c r="O15" s="80"/>
      <c r="P15" s="80"/>
      <c r="Q15" s="80"/>
      <c r="R15" s="80"/>
      <c r="X15" s="102"/>
      <c r="Z15" s="103"/>
      <c r="AA15" s="103"/>
    </row>
    <row r="16" spans="1:36" s="85" customFormat="1" x14ac:dyDescent="0.25">
      <c r="A16" s="94">
        <f t="shared" si="0"/>
        <v>0</v>
      </c>
      <c r="B16" s="33" t="str">
        <f t="shared" si="5"/>
        <v/>
      </c>
      <c r="C16" s="34"/>
      <c r="D16" s="34"/>
      <c r="E16" s="34"/>
      <c r="F16" s="34"/>
      <c r="G16" s="27"/>
      <c r="H16" s="95">
        <v>11</v>
      </c>
      <c r="I16" s="96" t="str">
        <f t="shared" si="1"/>
        <v/>
      </c>
      <c r="J16" s="96" t="e">
        <f t="shared" si="2"/>
        <v>#NUM!</v>
      </c>
      <c r="K16" s="95" t="e">
        <f t="shared" si="3"/>
        <v>#NUM!</v>
      </c>
      <c r="L16" s="95"/>
      <c r="M16" s="97">
        <f t="shared" si="4"/>
        <v>0</v>
      </c>
      <c r="N16" s="80"/>
      <c r="O16" s="80"/>
      <c r="P16" s="80"/>
      <c r="Q16" s="80"/>
      <c r="R16" s="107"/>
      <c r="Z16" s="103"/>
      <c r="AA16" s="103"/>
      <c r="AH16" s="108" t="s">
        <v>46</v>
      </c>
      <c r="AI16" s="85">
        <f>AI11-AI12*AI13/AI14</f>
        <v>9.6393909380186855</v>
      </c>
      <c r="AJ16" s="85" t="s">
        <v>47</v>
      </c>
    </row>
    <row r="17" spans="1:19" s="85" customFormat="1" x14ac:dyDescent="0.25">
      <c r="A17" s="98">
        <f t="shared" si="0"/>
        <v>0</v>
      </c>
      <c r="B17" s="39" t="str">
        <f t="shared" si="5"/>
        <v/>
      </c>
      <c r="C17" s="40"/>
      <c r="D17" s="40"/>
      <c r="E17" s="40"/>
      <c r="F17" s="40"/>
      <c r="G17" s="27"/>
      <c r="H17" s="99">
        <v>12</v>
      </c>
      <c r="I17" s="100" t="str">
        <f t="shared" si="1"/>
        <v/>
      </c>
      <c r="J17" s="100" t="e">
        <f t="shared" si="2"/>
        <v>#NUM!</v>
      </c>
      <c r="K17" s="99" t="e">
        <f t="shared" si="3"/>
        <v>#NUM!</v>
      </c>
      <c r="L17" s="99"/>
      <c r="M17" s="101">
        <f t="shared" si="4"/>
        <v>0</v>
      </c>
      <c r="N17" s="80"/>
      <c r="O17" s="80"/>
      <c r="P17" s="80"/>
      <c r="Q17" s="80"/>
      <c r="R17" s="80"/>
    </row>
    <row r="18" spans="1:19" s="85" customFormat="1" x14ac:dyDescent="0.25">
      <c r="A18" s="94">
        <f t="shared" si="0"/>
        <v>0</v>
      </c>
      <c r="B18" s="33" t="str">
        <f t="shared" si="5"/>
        <v/>
      </c>
      <c r="C18" s="34"/>
      <c r="D18" s="34"/>
      <c r="E18" s="34"/>
      <c r="F18" s="34"/>
      <c r="G18" s="27"/>
      <c r="H18" s="95">
        <v>13</v>
      </c>
      <c r="I18" s="96" t="str">
        <f t="shared" si="1"/>
        <v/>
      </c>
      <c r="J18" s="96" t="e">
        <f t="shared" si="2"/>
        <v>#NUM!</v>
      </c>
      <c r="K18" s="95" t="e">
        <f t="shared" si="3"/>
        <v>#NUM!</v>
      </c>
      <c r="L18" s="95"/>
      <c r="M18" s="97">
        <f t="shared" si="4"/>
        <v>0</v>
      </c>
      <c r="N18" s="80"/>
      <c r="O18" s="80"/>
      <c r="P18" s="80"/>
      <c r="Q18" s="80"/>
      <c r="R18" s="80"/>
    </row>
    <row r="19" spans="1:19" s="85" customFormat="1" x14ac:dyDescent="0.25">
      <c r="A19" s="98">
        <f t="shared" si="0"/>
        <v>0</v>
      </c>
      <c r="B19" s="39" t="str">
        <f t="shared" si="5"/>
        <v/>
      </c>
      <c r="C19" s="40"/>
      <c r="D19" s="40"/>
      <c r="E19" s="40"/>
      <c r="F19" s="40"/>
      <c r="G19" s="27"/>
      <c r="H19" s="99">
        <v>14</v>
      </c>
      <c r="I19" s="100" t="str">
        <f t="shared" si="1"/>
        <v/>
      </c>
      <c r="J19" s="100" t="e">
        <f t="shared" si="2"/>
        <v>#NUM!</v>
      </c>
      <c r="K19" s="99" t="e">
        <f t="shared" si="3"/>
        <v>#NUM!</v>
      </c>
      <c r="L19" s="99"/>
      <c r="M19" s="101">
        <f t="shared" si="4"/>
        <v>0</v>
      </c>
      <c r="N19" s="80"/>
      <c r="O19" s="80"/>
      <c r="P19" s="80"/>
      <c r="Q19" s="80"/>
      <c r="R19" s="80"/>
    </row>
    <row r="20" spans="1:19" s="85" customFormat="1" x14ac:dyDescent="0.25">
      <c r="A20" s="94">
        <f t="shared" si="0"/>
        <v>0</v>
      </c>
      <c r="B20" s="33" t="str">
        <f t="shared" si="5"/>
        <v/>
      </c>
      <c r="C20" s="34"/>
      <c r="D20" s="34"/>
      <c r="E20" s="34"/>
      <c r="F20" s="34"/>
      <c r="G20" s="27"/>
      <c r="H20" s="95">
        <v>15</v>
      </c>
      <c r="I20" s="96" t="str">
        <f t="shared" si="1"/>
        <v/>
      </c>
      <c r="J20" s="96" t="e">
        <f t="shared" si="2"/>
        <v>#NUM!</v>
      </c>
      <c r="K20" s="95" t="e">
        <f t="shared" si="3"/>
        <v>#NUM!</v>
      </c>
      <c r="L20" s="95"/>
      <c r="M20" s="97">
        <f t="shared" si="4"/>
        <v>0</v>
      </c>
      <c r="N20" s="80"/>
      <c r="O20" s="80"/>
      <c r="P20" s="80"/>
      <c r="Q20" s="80"/>
      <c r="R20" s="109"/>
      <c r="S20" s="110"/>
    </row>
    <row r="21" spans="1:19" s="85" customFormat="1" x14ac:dyDescent="0.25">
      <c r="A21" s="98">
        <f t="shared" si="0"/>
        <v>0</v>
      </c>
      <c r="B21" s="39" t="str">
        <f t="shared" si="5"/>
        <v/>
      </c>
      <c r="C21" s="40"/>
      <c r="D21" s="40"/>
      <c r="E21" s="40"/>
      <c r="F21" s="40"/>
      <c r="G21" s="27"/>
      <c r="H21" s="99">
        <v>16</v>
      </c>
      <c r="I21" s="100" t="str">
        <f t="shared" si="1"/>
        <v/>
      </c>
      <c r="J21" s="100" t="e">
        <f t="shared" si="2"/>
        <v>#NUM!</v>
      </c>
      <c r="K21" s="99" t="e">
        <f t="shared" si="3"/>
        <v>#NUM!</v>
      </c>
      <c r="L21" s="99"/>
      <c r="M21" s="101">
        <f t="shared" si="4"/>
        <v>0</v>
      </c>
      <c r="N21" s="80"/>
      <c r="O21" s="80"/>
      <c r="P21" s="80"/>
      <c r="Q21" s="80"/>
      <c r="R21" s="80"/>
    </row>
    <row r="22" spans="1:19" s="85" customFormat="1" x14ac:dyDescent="0.25">
      <c r="A22" s="94">
        <f t="shared" si="0"/>
        <v>0</v>
      </c>
      <c r="B22" s="33" t="str">
        <f t="shared" si="5"/>
        <v/>
      </c>
      <c r="C22" s="34"/>
      <c r="D22" s="34"/>
      <c r="E22" s="34"/>
      <c r="F22" s="34"/>
      <c r="G22" s="27"/>
      <c r="H22" s="95">
        <v>17</v>
      </c>
      <c r="I22" s="96" t="str">
        <f t="shared" si="1"/>
        <v/>
      </c>
      <c r="J22" s="96" t="e">
        <f t="shared" si="2"/>
        <v>#NUM!</v>
      </c>
      <c r="K22" s="95" t="e">
        <f t="shared" si="3"/>
        <v>#NUM!</v>
      </c>
      <c r="L22" s="95"/>
      <c r="M22" s="97">
        <f t="shared" si="4"/>
        <v>0</v>
      </c>
      <c r="N22" s="80"/>
      <c r="O22" s="80"/>
      <c r="P22" s="80"/>
      <c r="Q22" s="80"/>
      <c r="R22" s="80"/>
    </row>
    <row r="23" spans="1:19" s="85" customFormat="1" x14ac:dyDescent="0.25">
      <c r="A23" s="98">
        <f t="shared" si="0"/>
        <v>0</v>
      </c>
      <c r="B23" s="39" t="str">
        <f t="shared" si="5"/>
        <v/>
      </c>
      <c r="C23" s="40"/>
      <c r="D23" s="40"/>
      <c r="E23" s="40"/>
      <c r="F23" s="40"/>
      <c r="G23" s="27"/>
      <c r="H23" s="99">
        <v>18</v>
      </c>
      <c r="I23" s="100" t="str">
        <f t="shared" si="1"/>
        <v/>
      </c>
      <c r="J23" s="100" t="e">
        <f t="shared" si="2"/>
        <v>#NUM!</v>
      </c>
      <c r="K23" s="99" t="e">
        <f t="shared" si="3"/>
        <v>#NUM!</v>
      </c>
      <c r="L23" s="99"/>
      <c r="M23" s="101">
        <f t="shared" si="4"/>
        <v>0</v>
      </c>
      <c r="N23" s="80"/>
      <c r="O23" s="80"/>
      <c r="P23" s="80"/>
      <c r="Q23" s="80"/>
      <c r="R23" s="80"/>
    </row>
    <row r="24" spans="1:19" s="85" customFormat="1" x14ac:dyDescent="0.25">
      <c r="A24" s="94">
        <f t="shared" si="0"/>
        <v>0</v>
      </c>
      <c r="B24" s="33" t="str">
        <f t="shared" si="5"/>
        <v/>
      </c>
      <c r="C24" s="34"/>
      <c r="D24" s="34"/>
      <c r="E24" s="34"/>
      <c r="F24" s="34"/>
      <c r="G24" s="27"/>
      <c r="H24" s="95">
        <v>19</v>
      </c>
      <c r="I24" s="96" t="str">
        <f t="shared" si="1"/>
        <v/>
      </c>
      <c r="J24" s="96" t="e">
        <f t="shared" si="2"/>
        <v>#NUM!</v>
      </c>
      <c r="K24" s="95" t="e">
        <f t="shared" si="3"/>
        <v>#NUM!</v>
      </c>
      <c r="L24" s="95"/>
      <c r="M24" s="97">
        <f t="shared" si="4"/>
        <v>0</v>
      </c>
      <c r="N24" s="80"/>
      <c r="O24" s="80"/>
      <c r="P24" s="80"/>
      <c r="Q24" s="80"/>
      <c r="R24" s="109"/>
      <c r="S24" s="110"/>
    </row>
    <row r="25" spans="1:19" s="85" customFormat="1" x14ac:dyDescent="0.25">
      <c r="A25" s="98">
        <f t="shared" si="0"/>
        <v>0</v>
      </c>
      <c r="B25" s="39" t="str">
        <f t="shared" si="5"/>
        <v/>
      </c>
      <c r="C25" s="40"/>
      <c r="D25" s="40"/>
      <c r="E25" s="40"/>
      <c r="F25" s="40"/>
      <c r="G25" s="27"/>
      <c r="H25" s="99">
        <v>20</v>
      </c>
      <c r="I25" s="100" t="str">
        <f t="shared" si="1"/>
        <v/>
      </c>
      <c r="J25" s="100" t="e">
        <f t="shared" si="2"/>
        <v>#NUM!</v>
      </c>
      <c r="K25" s="99" t="e">
        <f t="shared" si="3"/>
        <v>#NUM!</v>
      </c>
      <c r="L25" s="99"/>
      <c r="M25" s="101">
        <f t="shared" si="4"/>
        <v>0</v>
      </c>
      <c r="N25" s="80"/>
      <c r="O25" s="80"/>
      <c r="P25" s="80"/>
      <c r="Q25" s="80"/>
      <c r="R25" s="80"/>
    </row>
    <row r="26" spans="1:19" s="85" customFormat="1" x14ac:dyDescent="0.25">
      <c r="A26" s="94">
        <f t="shared" si="0"/>
        <v>0</v>
      </c>
      <c r="B26" s="33" t="str">
        <f t="shared" si="5"/>
        <v/>
      </c>
      <c r="C26" s="34"/>
      <c r="D26" s="34"/>
      <c r="E26" s="34"/>
      <c r="F26" s="34"/>
      <c r="G26" s="27"/>
      <c r="H26" s="95">
        <v>21</v>
      </c>
      <c r="I26" s="96" t="str">
        <f t="shared" si="1"/>
        <v/>
      </c>
      <c r="J26" s="96" t="e">
        <f t="shared" si="2"/>
        <v>#NUM!</v>
      </c>
      <c r="K26" s="95" t="e">
        <f t="shared" si="3"/>
        <v>#NUM!</v>
      </c>
      <c r="L26" s="95"/>
      <c r="M26" s="97">
        <f t="shared" si="4"/>
        <v>0</v>
      </c>
      <c r="N26" s="80"/>
      <c r="O26" s="80"/>
      <c r="P26" s="80"/>
      <c r="Q26" s="80"/>
      <c r="R26" s="80"/>
    </row>
    <row r="27" spans="1:19" s="85" customFormat="1" x14ac:dyDescent="0.25">
      <c r="A27" s="98">
        <f t="shared" si="0"/>
        <v>0</v>
      </c>
      <c r="B27" s="39" t="str">
        <f t="shared" si="5"/>
        <v/>
      </c>
      <c r="C27" s="40"/>
      <c r="D27" s="40"/>
      <c r="E27" s="40"/>
      <c r="F27" s="40"/>
      <c r="G27" s="27"/>
      <c r="H27" s="99">
        <v>22</v>
      </c>
      <c r="I27" s="100" t="str">
        <f t="shared" si="1"/>
        <v/>
      </c>
      <c r="J27" s="100" t="e">
        <f t="shared" si="2"/>
        <v>#NUM!</v>
      </c>
      <c r="K27" s="99" t="e">
        <f t="shared" si="3"/>
        <v>#NUM!</v>
      </c>
      <c r="L27" s="99"/>
      <c r="M27" s="101">
        <f t="shared" si="4"/>
        <v>0</v>
      </c>
      <c r="N27" s="80"/>
      <c r="O27" s="80"/>
      <c r="P27" s="80"/>
      <c r="Q27" s="80"/>
      <c r="R27" s="80"/>
    </row>
    <row r="28" spans="1:19" s="85" customFormat="1" x14ac:dyDescent="0.25">
      <c r="A28" s="94">
        <f t="shared" si="0"/>
        <v>0</v>
      </c>
      <c r="B28" s="33" t="str">
        <f t="shared" si="5"/>
        <v/>
      </c>
      <c r="C28" s="34"/>
      <c r="D28" s="34"/>
      <c r="E28" s="34"/>
      <c r="F28" s="34"/>
      <c r="G28" s="27"/>
      <c r="H28" s="95">
        <v>23</v>
      </c>
      <c r="I28" s="96" t="str">
        <f t="shared" si="1"/>
        <v/>
      </c>
      <c r="J28" s="96" t="e">
        <f t="shared" si="2"/>
        <v>#NUM!</v>
      </c>
      <c r="K28" s="95" t="e">
        <f t="shared" si="3"/>
        <v>#NUM!</v>
      </c>
      <c r="L28" s="95"/>
      <c r="M28" s="97">
        <f t="shared" si="4"/>
        <v>0</v>
      </c>
      <c r="N28" s="80"/>
      <c r="O28" s="80"/>
      <c r="P28" s="80"/>
      <c r="Q28" s="80"/>
      <c r="R28" s="109"/>
      <c r="S28" s="110"/>
    </row>
    <row r="29" spans="1:19" s="85" customFormat="1" x14ac:dyDescent="0.25">
      <c r="A29" s="98">
        <f t="shared" si="0"/>
        <v>0</v>
      </c>
      <c r="B29" s="39" t="str">
        <f t="shared" si="5"/>
        <v/>
      </c>
      <c r="C29" s="40"/>
      <c r="D29" s="40"/>
      <c r="E29" s="40"/>
      <c r="F29" s="40"/>
      <c r="G29" s="80"/>
      <c r="H29" s="99">
        <v>24</v>
      </c>
      <c r="I29" s="100" t="str">
        <f t="shared" si="1"/>
        <v/>
      </c>
      <c r="J29" s="100" t="e">
        <f t="shared" si="2"/>
        <v>#NUM!</v>
      </c>
      <c r="K29" s="99" t="e">
        <f t="shared" si="3"/>
        <v>#NUM!</v>
      </c>
      <c r="L29" s="99"/>
      <c r="M29" s="101">
        <f t="shared" si="4"/>
        <v>0</v>
      </c>
      <c r="N29" s="80"/>
      <c r="O29" s="80"/>
      <c r="P29" s="80"/>
      <c r="Q29" s="80"/>
      <c r="R29" s="80"/>
    </row>
    <row r="30" spans="1:19" s="85" customFormat="1" x14ac:dyDescent="0.25">
      <c r="A30" s="94">
        <f t="shared" si="0"/>
        <v>0</v>
      </c>
      <c r="B30" s="33" t="str">
        <f t="shared" si="5"/>
        <v/>
      </c>
      <c r="C30" s="34"/>
      <c r="D30" s="34"/>
      <c r="E30" s="34"/>
      <c r="F30" s="34"/>
      <c r="G30" s="80"/>
      <c r="H30" s="95">
        <v>25</v>
      </c>
      <c r="I30" s="96" t="str">
        <f t="shared" si="1"/>
        <v/>
      </c>
      <c r="J30" s="96" t="e">
        <f t="shared" si="2"/>
        <v>#NUM!</v>
      </c>
      <c r="K30" s="95" t="e">
        <f t="shared" si="3"/>
        <v>#NUM!</v>
      </c>
      <c r="L30" s="95"/>
      <c r="M30" s="97">
        <f t="shared" si="4"/>
        <v>0</v>
      </c>
      <c r="N30" s="80"/>
      <c r="O30" s="80"/>
      <c r="P30" s="80"/>
      <c r="Q30" s="80"/>
      <c r="R30" s="80"/>
    </row>
    <row r="31" spans="1:19" s="85" customFormat="1" x14ac:dyDescent="0.25">
      <c r="A31" s="98">
        <f t="shared" si="0"/>
        <v>0</v>
      </c>
      <c r="B31" s="39" t="str">
        <f t="shared" si="5"/>
        <v/>
      </c>
      <c r="C31" s="40"/>
      <c r="D31" s="40"/>
      <c r="E31" s="40"/>
      <c r="F31" s="40"/>
      <c r="G31" s="80"/>
      <c r="H31" s="99">
        <v>26</v>
      </c>
      <c r="I31" s="100" t="str">
        <f t="shared" si="1"/>
        <v/>
      </c>
      <c r="J31" s="100" t="e">
        <f t="shared" si="2"/>
        <v>#NUM!</v>
      </c>
      <c r="K31" s="99" t="e">
        <f t="shared" si="3"/>
        <v>#NUM!</v>
      </c>
      <c r="L31" s="99"/>
      <c r="M31" s="101">
        <f t="shared" si="4"/>
        <v>0</v>
      </c>
      <c r="N31" s="80"/>
      <c r="O31" s="80"/>
      <c r="P31" s="80"/>
      <c r="Q31" s="80"/>
      <c r="R31" s="80"/>
    </row>
    <row r="32" spans="1:19" s="85" customFormat="1" x14ac:dyDescent="0.25">
      <c r="A32" s="94">
        <f t="shared" si="0"/>
        <v>0</v>
      </c>
      <c r="B32" s="33" t="str">
        <f t="shared" si="5"/>
        <v/>
      </c>
      <c r="C32" s="34"/>
      <c r="D32" s="34"/>
      <c r="E32" s="34"/>
      <c r="F32" s="34"/>
      <c r="G32" s="80"/>
      <c r="H32" s="95">
        <v>27</v>
      </c>
      <c r="I32" s="96" t="str">
        <f t="shared" si="1"/>
        <v/>
      </c>
      <c r="J32" s="96" t="e">
        <f t="shared" si="2"/>
        <v>#NUM!</v>
      </c>
      <c r="K32" s="95" t="e">
        <f t="shared" si="3"/>
        <v>#NUM!</v>
      </c>
      <c r="L32" s="95"/>
      <c r="M32" s="97">
        <f t="shared" si="4"/>
        <v>0</v>
      </c>
      <c r="N32" s="80"/>
      <c r="O32" s="80"/>
      <c r="P32" s="80"/>
      <c r="Q32" s="80"/>
      <c r="R32" s="109"/>
      <c r="S32" s="110"/>
    </row>
    <row r="33" spans="1:21" s="85" customFormat="1" x14ac:dyDescent="0.25">
      <c r="A33" s="98">
        <f t="shared" si="0"/>
        <v>0</v>
      </c>
      <c r="B33" s="39" t="str">
        <f t="shared" si="5"/>
        <v/>
      </c>
      <c r="C33" s="40"/>
      <c r="D33" s="40"/>
      <c r="E33" s="40"/>
      <c r="F33" s="40"/>
      <c r="G33" s="80"/>
      <c r="H33" s="99">
        <v>28</v>
      </c>
      <c r="I33" s="100" t="str">
        <f t="shared" si="1"/>
        <v/>
      </c>
      <c r="J33" s="100" t="e">
        <f t="shared" si="2"/>
        <v>#NUM!</v>
      </c>
      <c r="K33" s="99" t="e">
        <f t="shared" si="3"/>
        <v>#NUM!</v>
      </c>
      <c r="L33" s="99"/>
      <c r="M33" s="101">
        <f t="shared" si="4"/>
        <v>0</v>
      </c>
      <c r="N33" s="80"/>
      <c r="O33" s="80"/>
      <c r="P33" s="80"/>
      <c r="Q33" s="80"/>
      <c r="R33" s="80"/>
    </row>
    <row r="34" spans="1:21" s="85" customFormat="1" x14ac:dyDescent="0.25">
      <c r="A34" s="94">
        <f t="shared" si="0"/>
        <v>0</v>
      </c>
      <c r="B34" s="33" t="str">
        <f t="shared" si="5"/>
        <v/>
      </c>
      <c r="C34" s="34"/>
      <c r="D34" s="34"/>
      <c r="E34" s="34"/>
      <c r="F34" s="34"/>
      <c r="G34" s="80"/>
      <c r="H34" s="95">
        <v>29</v>
      </c>
      <c r="I34" s="96" t="str">
        <f t="shared" si="1"/>
        <v/>
      </c>
      <c r="J34" s="96" t="e">
        <f t="shared" si="2"/>
        <v>#NUM!</v>
      </c>
      <c r="K34" s="95" t="e">
        <f t="shared" si="3"/>
        <v>#NUM!</v>
      </c>
      <c r="L34" s="95"/>
      <c r="M34" s="97">
        <f t="shared" si="4"/>
        <v>0</v>
      </c>
      <c r="N34" s="80"/>
      <c r="O34" s="80"/>
      <c r="P34" s="80"/>
      <c r="Q34" s="80"/>
      <c r="R34" s="80"/>
    </row>
    <row r="35" spans="1:21" s="85" customFormat="1" x14ac:dyDescent="0.25">
      <c r="A35" s="98">
        <f t="shared" si="0"/>
        <v>0</v>
      </c>
      <c r="B35" s="39" t="str">
        <f t="shared" si="5"/>
        <v/>
      </c>
      <c r="C35" s="40"/>
      <c r="D35" s="40"/>
      <c r="E35" s="40"/>
      <c r="F35" s="40"/>
      <c r="G35" s="80"/>
      <c r="H35" s="99">
        <v>30</v>
      </c>
      <c r="I35" s="100" t="str">
        <f t="shared" si="1"/>
        <v/>
      </c>
      <c r="J35" s="100" t="e">
        <f t="shared" si="2"/>
        <v>#NUM!</v>
      </c>
      <c r="K35" s="99" t="e">
        <f t="shared" si="3"/>
        <v>#NUM!</v>
      </c>
      <c r="L35" s="99"/>
      <c r="M35" s="101">
        <f t="shared" si="4"/>
        <v>0</v>
      </c>
      <c r="N35" s="80"/>
      <c r="O35" s="80"/>
      <c r="P35" s="80"/>
      <c r="Q35" s="80"/>
      <c r="R35" s="80"/>
    </row>
    <row r="36" spans="1:21" s="85" customFormat="1" x14ac:dyDescent="0.25">
      <c r="A36" s="94">
        <f t="shared" si="0"/>
        <v>0</v>
      </c>
      <c r="B36" s="33" t="str">
        <f t="shared" si="5"/>
        <v/>
      </c>
      <c r="C36" s="34"/>
      <c r="D36" s="34"/>
      <c r="E36" s="34"/>
      <c r="F36" s="34"/>
      <c r="G36" s="80"/>
      <c r="H36" s="95">
        <v>31</v>
      </c>
      <c r="I36" s="96" t="str">
        <f t="shared" si="1"/>
        <v/>
      </c>
      <c r="J36" s="96" t="e">
        <f t="shared" si="2"/>
        <v>#NUM!</v>
      </c>
      <c r="K36" s="95" t="e">
        <f t="shared" si="3"/>
        <v>#NUM!</v>
      </c>
      <c r="L36" s="95"/>
      <c r="M36" s="97">
        <f t="shared" si="4"/>
        <v>0</v>
      </c>
      <c r="N36" s="80"/>
      <c r="O36" s="80"/>
      <c r="P36" s="80"/>
      <c r="Q36" s="80"/>
      <c r="R36" s="109"/>
      <c r="S36" s="110"/>
    </row>
    <row r="37" spans="1:21" s="85" customFormat="1" x14ac:dyDescent="0.25">
      <c r="A37" s="98">
        <f t="shared" si="0"/>
        <v>0</v>
      </c>
      <c r="B37" s="39" t="str">
        <f t="shared" si="5"/>
        <v/>
      </c>
      <c r="C37" s="40"/>
      <c r="D37" s="40"/>
      <c r="E37" s="40"/>
      <c r="F37" s="40"/>
      <c r="G37" s="80"/>
      <c r="H37" s="99">
        <v>32</v>
      </c>
      <c r="I37" s="100" t="str">
        <f t="shared" si="1"/>
        <v/>
      </c>
      <c r="J37" s="100" t="e">
        <f t="shared" si="2"/>
        <v>#NUM!</v>
      </c>
      <c r="K37" s="99" t="e">
        <f t="shared" si="3"/>
        <v>#NUM!</v>
      </c>
      <c r="L37" s="99"/>
      <c r="M37" s="101">
        <f t="shared" si="4"/>
        <v>0</v>
      </c>
      <c r="N37" s="80"/>
      <c r="O37" s="80"/>
      <c r="P37" s="80"/>
      <c r="Q37" s="80"/>
      <c r="R37" s="80"/>
    </row>
    <row r="38" spans="1:21" s="85" customFormat="1" x14ac:dyDescent="0.25">
      <c r="A38" s="98">
        <f t="shared" ref="A38:A69" si="6">M38</f>
        <v>0</v>
      </c>
      <c r="B38" s="33" t="str">
        <f t="shared" si="5"/>
        <v/>
      </c>
      <c r="C38" s="34"/>
      <c r="D38" s="34"/>
      <c r="E38" s="34"/>
      <c r="F38" s="34"/>
      <c r="G38" s="80"/>
      <c r="H38" s="95">
        <v>33</v>
      </c>
      <c r="I38" s="96" t="str">
        <f t="shared" si="1"/>
        <v/>
      </c>
      <c r="J38" s="96" t="e">
        <f t="shared" si="2"/>
        <v>#NUM!</v>
      </c>
      <c r="K38" s="95" t="e">
        <f t="shared" si="3"/>
        <v>#NUM!</v>
      </c>
      <c r="L38" s="95"/>
      <c r="M38" s="97">
        <f t="shared" si="4"/>
        <v>0</v>
      </c>
      <c r="N38" s="80"/>
      <c r="O38" s="80"/>
      <c r="P38" s="80"/>
      <c r="Q38" s="80"/>
      <c r="R38" s="80"/>
    </row>
    <row r="39" spans="1:21" s="85" customFormat="1" x14ac:dyDescent="0.25">
      <c r="A39" s="98">
        <f t="shared" si="6"/>
        <v>0</v>
      </c>
      <c r="B39" s="39" t="str">
        <f t="shared" si="5"/>
        <v/>
      </c>
      <c r="C39" s="40"/>
      <c r="D39" s="40"/>
      <c r="E39" s="40"/>
      <c r="F39" s="40"/>
      <c r="G39" s="80"/>
      <c r="H39" s="99">
        <v>34</v>
      </c>
      <c r="I39" s="100" t="str">
        <f t="shared" si="1"/>
        <v/>
      </c>
      <c r="J39" s="100" t="e">
        <f t="shared" si="2"/>
        <v>#NUM!</v>
      </c>
      <c r="K39" s="99" t="e">
        <f t="shared" si="3"/>
        <v>#NUM!</v>
      </c>
      <c r="L39" s="99"/>
      <c r="M39" s="101">
        <f t="shared" si="4"/>
        <v>0</v>
      </c>
      <c r="N39" s="80"/>
      <c r="O39" s="80"/>
      <c r="P39" s="80"/>
      <c r="Q39" s="80"/>
      <c r="R39" s="80"/>
    </row>
    <row r="40" spans="1:21" s="85" customFormat="1" x14ac:dyDescent="0.25">
      <c r="A40" s="98">
        <f t="shared" si="6"/>
        <v>0</v>
      </c>
      <c r="B40" s="33" t="str">
        <f t="shared" si="5"/>
        <v/>
      </c>
      <c r="C40" s="34"/>
      <c r="D40" s="34"/>
      <c r="E40" s="34"/>
      <c r="F40" s="34"/>
      <c r="G40" s="80"/>
      <c r="H40" s="95">
        <v>35</v>
      </c>
      <c r="I40" s="96" t="str">
        <f t="shared" si="1"/>
        <v/>
      </c>
      <c r="J40" s="96" t="e">
        <f t="shared" si="2"/>
        <v>#NUM!</v>
      </c>
      <c r="K40" s="95" t="e">
        <f t="shared" si="3"/>
        <v>#NUM!</v>
      </c>
      <c r="L40" s="95"/>
      <c r="M40" s="97">
        <f t="shared" si="4"/>
        <v>0</v>
      </c>
      <c r="N40" s="80"/>
      <c r="O40" s="80"/>
      <c r="P40" s="80"/>
      <c r="Q40" s="80"/>
      <c r="R40" s="80"/>
    </row>
    <row r="41" spans="1:21" s="85" customFormat="1" x14ac:dyDescent="0.25">
      <c r="A41" s="98">
        <f t="shared" si="6"/>
        <v>0</v>
      </c>
      <c r="B41" s="39" t="str">
        <f t="shared" si="5"/>
        <v/>
      </c>
      <c r="C41" s="40"/>
      <c r="D41" s="40"/>
      <c r="E41" s="40"/>
      <c r="F41" s="40"/>
      <c r="G41" s="80"/>
      <c r="H41" s="99">
        <v>36</v>
      </c>
      <c r="I41" s="100" t="str">
        <f t="shared" si="1"/>
        <v/>
      </c>
      <c r="J41" s="100" t="e">
        <f t="shared" si="2"/>
        <v>#NUM!</v>
      </c>
      <c r="K41" s="99" t="e">
        <f t="shared" si="3"/>
        <v>#NUM!</v>
      </c>
      <c r="L41" s="99"/>
      <c r="M41" s="101">
        <f t="shared" si="4"/>
        <v>0</v>
      </c>
      <c r="N41" s="80"/>
      <c r="O41" s="80"/>
      <c r="P41" s="80"/>
      <c r="Q41" s="80"/>
      <c r="R41" s="80"/>
      <c r="S41" s="111"/>
    </row>
    <row r="42" spans="1:21" s="85" customFormat="1" x14ac:dyDescent="0.25">
      <c r="A42" s="98">
        <f t="shared" si="6"/>
        <v>0</v>
      </c>
      <c r="B42" s="33" t="str">
        <f t="shared" ref="B42:B65" si="7">IF(H42&gt;$H$2,"",(ROW()-5))</f>
        <v/>
      </c>
      <c r="C42" s="34"/>
      <c r="D42" s="34"/>
      <c r="E42" s="34"/>
      <c r="F42" s="34"/>
      <c r="G42" s="80"/>
      <c r="H42" s="95">
        <v>37</v>
      </c>
      <c r="I42" s="96" t="str">
        <f t="shared" si="1"/>
        <v/>
      </c>
      <c r="J42" s="96" t="e">
        <f t="shared" si="2"/>
        <v>#NUM!</v>
      </c>
      <c r="K42" s="95" t="e">
        <f t="shared" si="3"/>
        <v>#NUM!</v>
      </c>
      <c r="L42" s="95"/>
      <c r="M42" s="97">
        <f t="shared" si="4"/>
        <v>0</v>
      </c>
      <c r="N42" s="80"/>
      <c r="O42" s="80"/>
      <c r="P42" s="80"/>
      <c r="Q42" s="80"/>
      <c r="R42" s="80"/>
    </row>
    <row r="43" spans="1:21" s="85" customFormat="1" x14ac:dyDescent="0.25">
      <c r="A43" s="98">
        <f t="shared" si="6"/>
        <v>0</v>
      </c>
      <c r="B43" s="39" t="str">
        <f t="shared" si="7"/>
        <v/>
      </c>
      <c r="C43" s="40"/>
      <c r="D43" s="40"/>
      <c r="E43" s="40"/>
      <c r="F43" s="40"/>
      <c r="G43" s="80"/>
      <c r="H43" s="99">
        <v>38</v>
      </c>
      <c r="I43" s="100" t="str">
        <f t="shared" si="1"/>
        <v/>
      </c>
      <c r="J43" s="100" t="e">
        <f t="shared" si="2"/>
        <v>#NUM!</v>
      </c>
      <c r="K43" s="99" t="e">
        <f t="shared" si="3"/>
        <v>#NUM!</v>
      </c>
      <c r="L43" s="99"/>
      <c r="M43" s="101">
        <f t="shared" si="4"/>
        <v>0</v>
      </c>
      <c r="N43" s="80"/>
      <c r="O43" s="80"/>
      <c r="P43" s="80"/>
      <c r="Q43" s="80"/>
      <c r="R43" s="80"/>
    </row>
    <row r="44" spans="1:21" s="85" customFormat="1" x14ac:dyDescent="0.25">
      <c r="A44" s="98">
        <f t="shared" si="6"/>
        <v>0</v>
      </c>
      <c r="B44" s="33" t="str">
        <f t="shared" si="7"/>
        <v/>
      </c>
      <c r="C44" s="34"/>
      <c r="D44" s="34"/>
      <c r="E44" s="34"/>
      <c r="F44" s="34"/>
      <c r="G44" s="80"/>
      <c r="H44" s="95">
        <v>39</v>
      </c>
      <c r="I44" s="96" t="str">
        <f t="shared" si="1"/>
        <v/>
      </c>
      <c r="J44" s="96" t="e">
        <f t="shared" si="2"/>
        <v>#NUM!</v>
      </c>
      <c r="K44" s="95" t="e">
        <f t="shared" si="3"/>
        <v>#NUM!</v>
      </c>
      <c r="L44" s="95"/>
      <c r="M44" s="97">
        <f t="shared" si="4"/>
        <v>0</v>
      </c>
      <c r="N44" s="80"/>
      <c r="O44" s="80"/>
      <c r="P44" s="80"/>
      <c r="Q44" s="80"/>
      <c r="R44" s="80"/>
    </row>
    <row r="45" spans="1:21" s="85" customFormat="1" x14ac:dyDescent="0.25">
      <c r="A45" s="98">
        <f t="shared" si="6"/>
        <v>0</v>
      </c>
      <c r="B45" s="39" t="str">
        <f t="shared" si="7"/>
        <v/>
      </c>
      <c r="C45" s="40"/>
      <c r="D45" s="40"/>
      <c r="E45" s="40"/>
      <c r="F45" s="40"/>
      <c r="G45" s="80"/>
      <c r="H45" s="99">
        <v>40</v>
      </c>
      <c r="I45" s="100" t="str">
        <f t="shared" si="1"/>
        <v/>
      </c>
      <c r="J45" s="100" t="e">
        <f t="shared" si="2"/>
        <v>#NUM!</v>
      </c>
      <c r="K45" s="99" t="e">
        <f t="shared" si="3"/>
        <v>#NUM!</v>
      </c>
      <c r="L45" s="99"/>
      <c r="M45" s="101">
        <f t="shared" si="4"/>
        <v>0</v>
      </c>
      <c r="N45" s="80"/>
      <c r="O45" s="80"/>
      <c r="P45" s="80"/>
      <c r="Q45" s="80"/>
      <c r="R45" s="80"/>
    </row>
    <row r="46" spans="1:21" s="85" customFormat="1" x14ac:dyDescent="0.25">
      <c r="A46" s="98">
        <f t="shared" si="6"/>
        <v>0</v>
      </c>
      <c r="B46" s="33" t="str">
        <f t="shared" si="7"/>
        <v/>
      </c>
      <c r="C46" s="34"/>
      <c r="D46" s="34"/>
      <c r="E46" s="34"/>
      <c r="F46" s="34"/>
      <c r="G46" s="80"/>
      <c r="H46" s="95">
        <v>41</v>
      </c>
      <c r="I46" s="96" t="str">
        <f t="shared" si="1"/>
        <v/>
      </c>
      <c r="J46" s="96" t="e">
        <f t="shared" si="2"/>
        <v>#NUM!</v>
      </c>
      <c r="K46" s="95" t="e">
        <f t="shared" si="3"/>
        <v>#NUM!</v>
      </c>
      <c r="L46" s="95"/>
      <c r="M46" s="97">
        <f t="shared" si="4"/>
        <v>0</v>
      </c>
      <c r="N46" s="80"/>
      <c r="O46" s="80"/>
      <c r="P46" s="80"/>
      <c r="Q46" s="80"/>
      <c r="R46" s="80" t="e">
        <f>LOG($H$2,2)</f>
        <v>#NUM!</v>
      </c>
      <c r="T46" s="85">
        <f>LOG(H38,2)</f>
        <v>5.0443941193584534</v>
      </c>
      <c r="U46" s="85" t="e">
        <f>R46-T46</f>
        <v>#NUM!</v>
      </c>
    </row>
    <row r="47" spans="1:21" s="85" customFormat="1" x14ac:dyDescent="0.25">
      <c r="A47" s="98">
        <f t="shared" si="6"/>
        <v>0</v>
      </c>
      <c r="B47" s="39" t="str">
        <f t="shared" si="7"/>
        <v/>
      </c>
      <c r="C47" s="40"/>
      <c r="D47" s="40"/>
      <c r="E47" s="40"/>
      <c r="F47" s="40"/>
      <c r="G47" s="80"/>
      <c r="H47" s="99">
        <v>42</v>
      </c>
      <c r="I47" s="100" t="str">
        <f t="shared" si="1"/>
        <v/>
      </c>
      <c r="J47" s="100" t="e">
        <f t="shared" si="2"/>
        <v>#NUM!</v>
      </c>
      <c r="K47" s="99" t="e">
        <f t="shared" si="3"/>
        <v>#NUM!</v>
      </c>
      <c r="L47" s="99"/>
      <c r="M47" s="101">
        <f t="shared" si="4"/>
        <v>0</v>
      </c>
      <c r="N47" s="80"/>
      <c r="O47" s="80"/>
      <c r="P47" s="80"/>
      <c r="Q47" s="80"/>
      <c r="R47" s="80"/>
    </row>
    <row r="48" spans="1:21" s="85" customFormat="1" x14ac:dyDescent="0.25">
      <c r="A48" s="98">
        <f t="shared" si="6"/>
        <v>0</v>
      </c>
      <c r="B48" s="33" t="str">
        <f t="shared" si="7"/>
        <v/>
      </c>
      <c r="C48" s="34"/>
      <c r="D48" s="34"/>
      <c r="E48" s="34"/>
      <c r="F48" s="34"/>
      <c r="G48" s="80"/>
      <c r="H48" s="95">
        <v>43</v>
      </c>
      <c r="I48" s="96" t="str">
        <f t="shared" si="1"/>
        <v/>
      </c>
      <c r="J48" s="96" t="e">
        <f t="shared" si="2"/>
        <v>#NUM!</v>
      </c>
      <c r="K48" s="95" t="e">
        <f t="shared" si="3"/>
        <v>#NUM!</v>
      </c>
      <c r="L48" s="95"/>
      <c r="M48" s="97">
        <f t="shared" si="4"/>
        <v>0</v>
      </c>
      <c r="N48" s="80"/>
      <c r="O48" s="80"/>
      <c r="P48" s="80"/>
      <c r="Q48" s="80"/>
      <c r="R48" s="80"/>
    </row>
    <row r="49" spans="1:38" s="80" customFormat="1" x14ac:dyDescent="0.25">
      <c r="A49" s="98">
        <f t="shared" si="6"/>
        <v>0</v>
      </c>
      <c r="B49" s="39" t="str">
        <f t="shared" si="7"/>
        <v/>
      </c>
      <c r="C49" s="40"/>
      <c r="D49" s="40"/>
      <c r="E49" s="40"/>
      <c r="F49" s="40"/>
      <c r="H49" s="99">
        <v>44</v>
      </c>
      <c r="I49" s="100" t="str">
        <f t="shared" si="1"/>
        <v/>
      </c>
      <c r="J49" s="100" t="e">
        <f t="shared" si="2"/>
        <v>#NUM!</v>
      </c>
      <c r="K49" s="99" t="e">
        <f t="shared" si="3"/>
        <v>#NUM!</v>
      </c>
      <c r="L49" s="99"/>
      <c r="M49" s="101">
        <f t="shared" si="4"/>
        <v>0</v>
      </c>
      <c r="S49" s="85"/>
      <c r="T49" s="85"/>
      <c r="U49" s="85"/>
      <c r="V49" s="85"/>
      <c r="W49" s="85"/>
      <c r="X49" s="85"/>
      <c r="Y49" s="85"/>
      <c r="Z49" s="85"/>
      <c r="AA49" s="85"/>
      <c r="AB49" s="85"/>
      <c r="AC49" s="85"/>
      <c r="AD49" s="85"/>
      <c r="AE49" s="85"/>
      <c r="AF49" s="85"/>
      <c r="AG49" s="85"/>
      <c r="AH49" s="85"/>
      <c r="AI49" s="85"/>
      <c r="AJ49" s="85"/>
      <c r="AK49" s="85"/>
      <c r="AL49" s="85"/>
    </row>
    <row r="50" spans="1:38" s="80" customFormat="1" x14ac:dyDescent="0.25">
      <c r="A50" s="98">
        <f t="shared" si="6"/>
        <v>0</v>
      </c>
      <c r="B50" s="33" t="str">
        <f t="shared" si="7"/>
        <v/>
      </c>
      <c r="C50" s="34"/>
      <c r="D50" s="34"/>
      <c r="E50" s="34"/>
      <c r="F50" s="34"/>
      <c r="H50" s="95">
        <v>45</v>
      </c>
      <c r="I50" s="96" t="str">
        <f t="shared" si="1"/>
        <v/>
      </c>
      <c r="J50" s="96" t="e">
        <f t="shared" si="2"/>
        <v>#NUM!</v>
      </c>
      <c r="K50" s="95" t="e">
        <f t="shared" si="3"/>
        <v>#NUM!</v>
      </c>
      <c r="L50" s="95"/>
      <c r="M50" s="97">
        <f t="shared" si="4"/>
        <v>0</v>
      </c>
      <c r="S50" s="85"/>
      <c r="T50" s="85"/>
      <c r="U50" s="85"/>
      <c r="V50" s="85"/>
      <c r="W50" s="85"/>
      <c r="X50" s="85"/>
      <c r="Y50" s="85"/>
      <c r="Z50" s="85"/>
      <c r="AA50" s="85"/>
      <c r="AB50" s="85"/>
      <c r="AC50" s="85"/>
      <c r="AD50" s="85"/>
      <c r="AE50" s="85"/>
      <c r="AF50" s="85"/>
      <c r="AG50" s="85"/>
      <c r="AH50" s="85"/>
      <c r="AI50" s="85"/>
      <c r="AJ50" s="85"/>
      <c r="AK50" s="85"/>
      <c r="AL50" s="85"/>
    </row>
    <row r="51" spans="1:38" s="80" customFormat="1" x14ac:dyDescent="0.25">
      <c r="A51" s="98">
        <f t="shared" si="6"/>
        <v>0</v>
      </c>
      <c r="B51" s="39" t="str">
        <f t="shared" si="7"/>
        <v/>
      </c>
      <c r="C51" s="40"/>
      <c r="D51" s="40"/>
      <c r="E51" s="40"/>
      <c r="F51" s="40"/>
      <c r="H51" s="99">
        <v>46</v>
      </c>
      <c r="I51" s="100" t="str">
        <f t="shared" si="1"/>
        <v/>
      </c>
      <c r="J51" s="100" t="e">
        <f t="shared" si="2"/>
        <v>#NUM!</v>
      </c>
      <c r="K51" s="99" t="e">
        <f t="shared" si="3"/>
        <v>#NUM!</v>
      </c>
      <c r="L51" s="99"/>
      <c r="M51" s="101">
        <f t="shared" si="4"/>
        <v>0</v>
      </c>
      <c r="S51" s="85"/>
      <c r="T51" s="85"/>
      <c r="U51" s="85"/>
      <c r="V51" s="85"/>
      <c r="W51" s="85"/>
      <c r="X51" s="85"/>
      <c r="Y51" s="85"/>
      <c r="Z51" s="85"/>
      <c r="AA51" s="85"/>
      <c r="AB51" s="85"/>
      <c r="AC51" s="85"/>
      <c r="AD51" s="85"/>
      <c r="AE51" s="85"/>
      <c r="AF51" s="85"/>
      <c r="AG51" s="85"/>
      <c r="AH51" s="85"/>
      <c r="AI51" s="85"/>
      <c r="AJ51" s="85"/>
      <c r="AK51" s="85"/>
      <c r="AL51" s="85"/>
    </row>
    <row r="52" spans="1:38" s="80" customFormat="1" x14ac:dyDescent="0.25">
      <c r="A52" s="98">
        <f t="shared" si="6"/>
        <v>0</v>
      </c>
      <c r="B52" s="33" t="str">
        <f t="shared" si="7"/>
        <v/>
      </c>
      <c r="C52" s="34"/>
      <c r="D52" s="34"/>
      <c r="E52" s="34"/>
      <c r="F52" s="34"/>
      <c r="H52" s="95">
        <v>47</v>
      </c>
      <c r="I52" s="96" t="str">
        <f t="shared" si="1"/>
        <v/>
      </c>
      <c r="J52" s="96" t="e">
        <f t="shared" si="2"/>
        <v>#NUM!</v>
      </c>
      <c r="K52" s="95" t="e">
        <f t="shared" si="3"/>
        <v>#NUM!</v>
      </c>
      <c r="L52" s="95"/>
      <c r="M52" s="97">
        <f t="shared" si="4"/>
        <v>0</v>
      </c>
      <c r="S52" s="85"/>
      <c r="T52" s="85"/>
      <c r="U52" s="85"/>
      <c r="V52" s="85"/>
      <c r="W52" s="85"/>
      <c r="X52" s="85"/>
      <c r="Y52" s="85"/>
      <c r="Z52" s="85"/>
      <c r="AA52" s="85"/>
      <c r="AB52" s="85"/>
      <c r="AC52" s="85"/>
      <c r="AD52" s="85"/>
      <c r="AE52" s="85"/>
      <c r="AF52" s="85"/>
      <c r="AG52" s="85"/>
      <c r="AH52" s="85"/>
      <c r="AI52" s="85"/>
      <c r="AJ52" s="85"/>
      <c r="AK52" s="85"/>
      <c r="AL52" s="85"/>
    </row>
    <row r="53" spans="1:38" s="80" customFormat="1" x14ac:dyDescent="0.25">
      <c r="A53" s="98">
        <f t="shared" si="6"/>
        <v>0</v>
      </c>
      <c r="B53" s="39" t="str">
        <f t="shared" si="7"/>
        <v/>
      </c>
      <c r="C53" s="40"/>
      <c r="D53" s="40"/>
      <c r="E53" s="40"/>
      <c r="F53" s="40"/>
      <c r="H53" s="99">
        <v>48</v>
      </c>
      <c r="I53" s="100" t="str">
        <f t="shared" si="1"/>
        <v/>
      </c>
      <c r="J53" s="100" t="e">
        <f t="shared" si="2"/>
        <v>#NUM!</v>
      </c>
      <c r="K53" s="99" t="e">
        <f t="shared" si="3"/>
        <v>#NUM!</v>
      </c>
      <c r="L53" s="99"/>
      <c r="M53" s="101">
        <f t="shared" si="4"/>
        <v>0</v>
      </c>
      <c r="S53" s="85"/>
      <c r="T53" s="85"/>
      <c r="U53" s="85"/>
      <c r="V53" s="85"/>
      <c r="W53" s="85"/>
      <c r="X53" s="85"/>
      <c r="Y53" s="85"/>
      <c r="Z53" s="85"/>
      <c r="AA53" s="85"/>
      <c r="AB53" s="85"/>
      <c r="AC53" s="85"/>
      <c r="AD53" s="85"/>
      <c r="AE53" s="85"/>
      <c r="AF53" s="85"/>
      <c r="AG53" s="85"/>
      <c r="AH53" s="85"/>
      <c r="AI53" s="85"/>
      <c r="AJ53" s="85"/>
      <c r="AK53" s="85"/>
      <c r="AL53" s="85"/>
    </row>
    <row r="54" spans="1:38" s="80" customFormat="1" x14ac:dyDescent="0.25">
      <c r="A54" s="98">
        <f t="shared" si="6"/>
        <v>0</v>
      </c>
      <c r="B54" s="33" t="str">
        <f t="shared" si="7"/>
        <v/>
      </c>
      <c r="C54" s="34"/>
      <c r="D54" s="34"/>
      <c r="E54" s="34"/>
      <c r="F54" s="34"/>
      <c r="H54" s="95">
        <v>49</v>
      </c>
      <c r="I54" s="96" t="str">
        <f t="shared" si="1"/>
        <v/>
      </c>
      <c r="J54" s="96" t="e">
        <f t="shared" si="2"/>
        <v>#NUM!</v>
      </c>
      <c r="K54" s="95" t="e">
        <f t="shared" si="3"/>
        <v>#NUM!</v>
      </c>
      <c r="L54" s="95"/>
      <c r="M54" s="97">
        <f t="shared" si="4"/>
        <v>0</v>
      </c>
      <c r="S54" s="85"/>
      <c r="T54" s="85"/>
      <c r="U54" s="85"/>
      <c r="V54" s="85"/>
      <c r="W54" s="85"/>
      <c r="X54" s="85"/>
      <c r="Y54" s="85"/>
      <c r="Z54" s="85"/>
      <c r="AA54" s="85"/>
      <c r="AB54" s="85"/>
      <c r="AC54" s="85"/>
      <c r="AD54" s="85"/>
      <c r="AE54" s="85"/>
      <c r="AF54" s="85"/>
      <c r="AG54" s="85"/>
      <c r="AH54" s="85"/>
      <c r="AI54" s="85"/>
      <c r="AJ54" s="85"/>
      <c r="AK54" s="85"/>
      <c r="AL54" s="85"/>
    </row>
    <row r="55" spans="1:38" s="80" customFormat="1" x14ac:dyDescent="0.25">
      <c r="A55" s="98">
        <f t="shared" si="6"/>
        <v>0</v>
      </c>
      <c r="B55" s="39" t="str">
        <f t="shared" si="7"/>
        <v/>
      </c>
      <c r="C55" s="40"/>
      <c r="D55" s="40"/>
      <c r="E55" s="40"/>
      <c r="F55" s="40"/>
      <c r="H55" s="99">
        <v>50</v>
      </c>
      <c r="I55" s="100" t="str">
        <f t="shared" si="1"/>
        <v/>
      </c>
      <c r="J55" s="100" t="e">
        <f t="shared" si="2"/>
        <v>#NUM!</v>
      </c>
      <c r="K55" s="99" t="e">
        <f t="shared" si="3"/>
        <v>#NUM!</v>
      </c>
      <c r="L55" s="99"/>
      <c r="M55" s="101">
        <f t="shared" si="4"/>
        <v>0</v>
      </c>
      <c r="S55" s="85"/>
      <c r="T55" s="85"/>
      <c r="U55" s="85"/>
      <c r="V55" s="85"/>
      <c r="W55" s="85"/>
      <c r="X55" s="85"/>
      <c r="Y55" s="85"/>
      <c r="Z55" s="85"/>
      <c r="AA55" s="85"/>
      <c r="AB55" s="85"/>
      <c r="AC55" s="85"/>
      <c r="AD55" s="85"/>
      <c r="AE55" s="85"/>
      <c r="AF55" s="85"/>
      <c r="AG55" s="85"/>
      <c r="AH55" s="85"/>
      <c r="AI55" s="85"/>
      <c r="AJ55" s="85"/>
      <c r="AK55" s="85"/>
      <c r="AL55" s="85"/>
    </row>
    <row r="56" spans="1:38" s="80" customFormat="1" x14ac:dyDescent="0.25">
      <c r="A56" s="98">
        <f t="shared" si="6"/>
        <v>0</v>
      </c>
      <c r="B56" s="33" t="str">
        <f t="shared" si="7"/>
        <v/>
      </c>
      <c r="C56" s="34"/>
      <c r="D56" s="34"/>
      <c r="E56" s="34"/>
      <c r="F56" s="34"/>
      <c r="H56" s="95">
        <v>51</v>
      </c>
      <c r="I56" s="96" t="str">
        <f t="shared" si="1"/>
        <v/>
      </c>
      <c r="J56" s="96" t="e">
        <f t="shared" si="2"/>
        <v>#NUM!</v>
      </c>
      <c r="K56" s="95" t="e">
        <f t="shared" si="3"/>
        <v>#NUM!</v>
      </c>
      <c r="L56" s="95"/>
      <c r="M56" s="97">
        <f t="shared" si="4"/>
        <v>0</v>
      </c>
      <c r="S56" s="85"/>
      <c r="T56" s="85"/>
      <c r="U56" s="85"/>
      <c r="V56" s="85"/>
      <c r="W56" s="85"/>
      <c r="X56" s="85"/>
      <c r="Y56" s="85"/>
      <c r="Z56" s="85"/>
      <c r="AA56" s="85"/>
      <c r="AB56" s="85"/>
      <c r="AC56" s="85"/>
      <c r="AD56" s="85"/>
      <c r="AE56" s="85"/>
      <c r="AF56" s="85"/>
      <c r="AG56" s="85"/>
      <c r="AH56" s="85"/>
      <c r="AI56" s="85"/>
      <c r="AJ56" s="85"/>
      <c r="AK56" s="85"/>
      <c r="AL56" s="85"/>
    </row>
    <row r="57" spans="1:38" s="80" customFormat="1" x14ac:dyDescent="0.25">
      <c r="A57" s="98">
        <f t="shared" si="6"/>
        <v>0</v>
      </c>
      <c r="B57" s="39" t="str">
        <f t="shared" si="7"/>
        <v/>
      </c>
      <c r="C57" s="40"/>
      <c r="D57" s="40"/>
      <c r="E57" s="40"/>
      <c r="F57" s="40"/>
      <c r="H57" s="99">
        <v>52</v>
      </c>
      <c r="I57" s="100" t="str">
        <f t="shared" si="1"/>
        <v/>
      </c>
      <c r="J57" s="100" t="e">
        <f t="shared" si="2"/>
        <v>#NUM!</v>
      </c>
      <c r="K57" s="99" t="e">
        <f t="shared" si="3"/>
        <v>#NUM!</v>
      </c>
      <c r="L57" s="99"/>
      <c r="M57" s="101">
        <f t="shared" si="4"/>
        <v>0</v>
      </c>
      <c r="S57" s="85"/>
      <c r="T57" s="85"/>
      <c r="U57" s="85"/>
      <c r="V57" s="85"/>
      <c r="W57" s="85"/>
      <c r="X57" s="85"/>
      <c r="Y57" s="85"/>
      <c r="Z57" s="85"/>
      <c r="AA57" s="85"/>
      <c r="AB57" s="85"/>
      <c r="AC57" s="85"/>
      <c r="AD57" s="85"/>
      <c r="AE57" s="85"/>
      <c r="AF57" s="85"/>
      <c r="AG57" s="85"/>
      <c r="AH57" s="85"/>
      <c r="AI57" s="85"/>
      <c r="AJ57" s="85"/>
      <c r="AK57" s="85"/>
      <c r="AL57" s="85"/>
    </row>
    <row r="58" spans="1:38" s="80" customFormat="1" x14ac:dyDescent="0.25">
      <c r="A58" s="98">
        <f t="shared" si="6"/>
        <v>0</v>
      </c>
      <c r="B58" s="33" t="str">
        <f t="shared" si="7"/>
        <v/>
      </c>
      <c r="C58" s="34"/>
      <c r="D58" s="34"/>
      <c r="E58" s="34"/>
      <c r="F58" s="34"/>
      <c r="H58" s="95">
        <v>53</v>
      </c>
      <c r="I58" s="96" t="str">
        <f t="shared" si="1"/>
        <v/>
      </c>
      <c r="J58" s="96" t="e">
        <f t="shared" si="2"/>
        <v>#NUM!</v>
      </c>
      <c r="K58" s="95" t="e">
        <f t="shared" si="3"/>
        <v>#NUM!</v>
      </c>
      <c r="L58" s="95"/>
      <c r="M58" s="97">
        <f t="shared" si="4"/>
        <v>0</v>
      </c>
      <c r="S58" s="85"/>
      <c r="T58" s="85"/>
      <c r="U58" s="85"/>
      <c r="V58" s="85"/>
      <c r="W58" s="85"/>
      <c r="X58" s="85"/>
      <c r="Y58" s="85"/>
      <c r="Z58" s="85"/>
      <c r="AA58" s="85"/>
      <c r="AB58" s="85"/>
      <c r="AC58" s="85"/>
      <c r="AD58" s="85"/>
      <c r="AE58" s="85"/>
      <c r="AF58" s="85"/>
      <c r="AG58" s="85"/>
      <c r="AH58" s="85"/>
      <c r="AI58" s="85"/>
      <c r="AJ58" s="85"/>
      <c r="AK58" s="85"/>
      <c r="AL58" s="85"/>
    </row>
    <row r="59" spans="1:38" s="80" customFormat="1" x14ac:dyDescent="0.25">
      <c r="A59" s="98">
        <f t="shared" si="6"/>
        <v>0</v>
      </c>
      <c r="B59" s="39" t="str">
        <f t="shared" si="7"/>
        <v/>
      </c>
      <c r="C59" s="40"/>
      <c r="D59" s="40"/>
      <c r="E59" s="40"/>
      <c r="F59" s="40"/>
      <c r="H59" s="99">
        <v>54</v>
      </c>
      <c r="I59" s="100" t="str">
        <f t="shared" si="1"/>
        <v/>
      </c>
      <c r="J59" s="100" t="e">
        <f t="shared" si="2"/>
        <v>#NUM!</v>
      </c>
      <c r="K59" s="99" t="e">
        <f t="shared" si="3"/>
        <v>#NUM!</v>
      </c>
      <c r="L59" s="99"/>
      <c r="M59" s="101">
        <f t="shared" si="4"/>
        <v>0</v>
      </c>
      <c r="S59" s="85"/>
      <c r="T59" s="85"/>
      <c r="U59" s="85"/>
      <c r="V59" s="85"/>
      <c r="W59" s="85"/>
      <c r="X59" s="85"/>
      <c r="Y59" s="85"/>
      <c r="Z59" s="85"/>
      <c r="AA59" s="85"/>
      <c r="AB59" s="85"/>
      <c r="AC59" s="85"/>
      <c r="AD59" s="85"/>
      <c r="AE59" s="85"/>
      <c r="AF59" s="85"/>
      <c r="AG59" s="85"/>
      <c r="AH59" s="85"/>
      <c r="AI59" s="85"/>
      <c r="AJ59" s="85"/>
      <c r="AK59" s="85"/>
      <c r="AL59" s="85"/>
    </row>
    <row r="60" spans="1:38" s="80" customFormat="1" x14ac:dyDescent="0.25">
      <c r="A60" s="98">
        <f t="shared" si="6"/>
        <v>0</v>
      </c>
      <c r="B60" s="33" t="str">
        <f t="shared" si="7"/>
        <v/>
      </c>
      <c r="C60" s="34"/>
      <c r="D60" s="34"/>
      <c r="E60" s="34"/>
      <c r="F60" s="34"/>
      <c r="H60" s="95">
        <v>55</v>
      </c>
      <c r="I60" s="96" t="str">
        <f t="shared" si="1"/>
        <v/>
      </c>
      <c r="J60" s="96" t="e">
        <f t="shared" si="2"/>
        <v>#NUM!</v>
      </c>
      <c r="K60" s="95" t="e">
        <f t="shared" si="3"/>
        <v>#NUM!</v>
      </c>
      <c r="L60" s="95"/>
      <c r="M60" s="97">
        <f t="shared" si="4"/>
        <v>0</v>
      </c>
      <c r="S60" s="85"/>
      <c r="T60" s="85"/>
      <c r="U60" s="85"/>
      <c r="V60" s="85"/>
      <c r="W60" s="85"/>
      <c r="X60" s="85"/>
      <c r="Y60" s="85"/>
      <c r="Z60" s="85"/>
      <c r="AA60" s="85"/>
      <c r="AB60" s="85"/>
      <c r="AC60" s="85"/>
      <c r="AD60" s="85"/>
      <c r="AE60" s="85"/>
      <c r="AF60" s="85"/>
      <c r="AG60" s="85"/>
      <c r="AH60" s="85"/>
      <c r="AI60" s="85"/>
      <c r="AJ60" s="85"/>
      <c r="AK60" s="85"/>
      <c r="AL60" s="85"/>
    </row>
    <row r="61" spans="1:38" s="80" customFormat="1" x14ac:dyDescent="0.25">
      <c r="A61" s="98">
        <f t="shared" si="6"/>
        <v>0</v>
      </c>
      <c r="B61" s="39" t="str">
        <f t="shared" si="7"/>
        <v/>
      </c>
      <c r="C61" s="40"/>
      <c r="D61" s="40"/>
      <c r="E61" s="40"/>
      <c r="F61" s="40"/>
      <c r="H61" s="99">
        <v>56</v>
      </c>
      <c r="I61" s="100" t="str">
        <f t="shared" si="1"/>
        <v/>
      </c>
      <c r="J61" s="100" t="e">
        <f t="shared" si="2"/>
        <v>#NUM!</v>
      </c>
      <c r="K61" s="99" t="e">
        <f t="shared" si="3"/>
        <v>#NUM!</v>
      </c>
      <c r="L61" s="99"/>
      <c r="M61" s="101">
        <f t="shared" si="4"/>
        <v>0</v>
      </c>
      <c r="S61" s="85"/>
      <c r="T61" s="85"/>
      <c r="U61" s="85"/>
      <c r="V61" s="85"/>
      <c r="W61" s="85"/>
      <c r="X61" s="85"/>
      <c r="Y61" s="85"/>
      <c r="Z61" s="85"/>
      <c r="AA61" s="85"/>
      <c r="AB61" s="85"/>
      <c r="AC61" s="85"/>
      <c r="AD61" s="85"/>
      <c r="AE61" s="85"/>
      <c r="AF61" s="85"/>
      <c r="AG61" s="85"/>
      <c r="AH61" s="85"/>
      <c r="AI61" s="85"/>
      <c r="AJ61" s="85"/>
      <c r="AK61" s="85"/>
      <c r="AL61" s="85"/>
    </row>
    <row r="62" spans="1:38" s="80" customFormat="1" x14ac:dyDescent="0.25">
      <c r="A62" s="98">
        <f t="shared" si="6"/>
        <v>0</v>
      </c>
      <c r="B62" s="33" t="str">
        <f t="shared" si="7"/>
        <v/>
      </c>
      <c r="C62" s="34"/>
      <c r="D62" s="34"/>
      <c r="E62" s="34"/>
      <c r="F62" s="34"/>
      <c r="H62" s="95">
        <v>57</v>
      </c>
      <c r="I62" s="96" t="str">
        <f t="shared" si="1"/>
        <v/>
      </c>
      <c r="J62" s="96" t="e">
        <f t="shared" si="2"/>
        <v>#NUM!</v>
      </c>
      <c r="K62" s="95" t="e">
        <f t="shared" si="3"/>
        <v>#NUM!</v>
      </c>
      <c r="L62" s="95"/>
      <c r="M62" s="97">
        <f t="shared" si="4"/>
        <v>0</v>
      </c>
      <c r="S62" s="85"/>
      <c r="T62" s="85"/>
      <c r="U62" s="85"/>
      <c r="V62" s="85"/>
      <c r="W62" s="85"/>
      <c r="X62" s="85"/>
      <c r="Y62" s="85"/>
      <c r="Z62" s="85"/>
      <c r="AA62" s="85"/>
      <c r="AB62" s="85"/>
      <c r="AC62" s="85"/>
      <c r="AD62" s="85"/>
      <c r="AE62" s="85"/>
      <c r="AF62" s="85"/>
      <c r="AG62" s="85"/>
      <c r="AH62" s="85"/>
      <c r="AI62" s="85"/>
      <c r="AJ62" s="85"/>
      <c r="AK62" s="85"/>
      <c r="AL62" s="85"/>
    </row>
    <row r="63" spans="1:38" s="80" customFormat="1" x14ac:dyDescent="0.25">
      <c r="A63" s="98">
        <f t="shared" si="6"/>
        <v>0</v>
      </c>
      <c r="B63" s="39" t="str">
        <f t="shared" si="7"/>
        <v/>
      </c>
      <c r="C63" s="40"/>
      <c r="D63" s="40"/>
      <c r="E63" s="40"/>
      <c r="F63" s="40"/>
      <c r="H63" s="99">
        <v>58</v>
      </c>
      <c r="I63" s="100" t="str">
        <f t="shared" si="1"/>
        <v/>
      </c>
      <c r="J63" s="100" t="e">
        <f t="shared" si="2"/>
        <v>#NUM!</v>
      </c>
      <c r="K63" s="99" t="e">
        <f t="shared" si="3"/>
        <v>#NUM!</v>
      </c>
      <c r="L63" s="99"/>
      <c r="M63" s="101">
        <f t="shared" si="4"/>
        <v>0</v>
      </c>
      <c r="S63" s="85"/>
      <c r="T63" s="85"/>
      <c r="U63" s="85"/>
      <c r="V63" s="85"/>
      <c r="W63" s="85"/>
      <c r="X63" s="85"/>
      <c r="Y63" s="85"/>
      <c r="Z63" s="85"/>
      <c r="AA63" s="85"/>
      <c r="AB63" s="85"/>
      <c r="AC63" s="85"/>
      <c r="AD63" s="85"/>
      <c r="AE63" s="85"/>
      <c r="AF63" s="85"/>
      <c r="AG63" s="85"/>
      <c r="AH63" s="85"/>
      <c r="AI63" s="85"/>
      <c r="AJ63" s="85"/>
      <c r="AK63" s="85"/>
      <c r="AL63" s="85"/>
    </row>
    <row r="64" spans="1:38" s="80" customFormat="1" x14ac:dyDescent="0.25">
      <c r="A64" s="98">
        <f t="shared" si="6"/>
        <v>0</v>
      </c>
      <c r="B64" s="33" t="str">
        <f t="shared" si="7"/>
        <v/>
      </c>
      <c r="C64" s="34"/>
      <c r="D64" s="34"/>
      <c r="E64" s="34"/>
      <c r="F64" s="34"/>
      <c r="H64" s="95">
        <v>59</v>
      </c>
      <c r="I64" s="96" t="str">
        <f t="shared" si="1"/>
        <v/>
      </c>
      <c r="J64" s="96" t="e">
        <f t="shared" si="2"/>
        <v>#NUM!</v>
      </c>
      <c r="K64" s="95" t="e">
        <f t="shared" si="3"/>
        <v>#NUM!</v>
      </c>
      <c r="L64" s="95"/>
      <c r="M64" s="97">
        <f t="shared" si="4"/>
        <v>0</v>
      </c>
      <c r="S64" s="85"/>
      <c r="T64" s="85"/>
      <c r="U64" s="85"/>
      <c r="V64" s="85"/>
      <c r="W64" s="85"/>
      <c r="X64" s="85"/>
      <c r="Y64" s="85"/>
      <c r="Z64" s="85"/>
      <c r="AA64" s="85"/>
      <c r="AB64" s="85"/>
      <c r="AC64" s="85"/>
      <c r="AD64" s="85"/>
      <c r="AE64" s="85"/>
      <c r="AF64" s="85"/>
      <c r="AG64" s="85"/>
      <c r="AH64" s="85"/>
      <c r="AI64" s="85"/>
      <c r="AJ64" s="85"/>
      <c r="AK64" s="85"/>
      <c r="AL64" s="85"/>
    </row>
    <row r="65" spans="1:38" s="80" customFormat="1" x14ac:dyDescent="0.25">
      <c r="A65" s="98">
        <f t="shared" si="6"/>
        <v>0</v>
      </c>
      <c r="B65" s="39" t="str">
        <f t="shared" si="7"/>
        <v/>
      </c>
      <c r="C65" s="40"/>
      <c r="D65" s="40"/>
      <c r="E65" s="40"/>
      <c r="F65" s="40"/>
      <c r="H65" s="99">
        <v>60</v>
      </c>
      <c r="I65" s="100" t="str">
        <f t="shared" si="1"/>
        <v/>
      </c>
      <c r="J65" s="100" t="e">
        <f t="shared" si="2"/>
        <v>#NUM!</v>
      </c>
      <c r="K65" s="99" t="e">
        <f t="shared" si="3"/>
        <v>#NUM!</v>
      </c>
      <c r="L65" s="99"/>
      <c r="M65" s="101">
        <f t="shared" si="4"/>
        <v>0</v>
      </c>
      <c r="S65" s="85"/>
      <c r="T65" s="85"/>
      <c r="U65" s="85"/>
      <c r="V65" s="85"/>
      <c r="W65" s="85"/>
      <c r="X65" s="85"/>
      <c r="Y65" s="85"/>
      <c r="Z65" s="85"/>
      <c r="AA65" s="85"/>
      <c r="AB65" s="85"/>
      <c r="AC65" s="85"/>
      <c r="AD65" s="85"/>
      <c r="AE65" s="85"/>
      <c r="AF65" s="85"/>
      <c r="AG65" s="85"/>
      <c r="AH65" s="85"/>
      <c r="AI65" s="85"/>
      <c r="AJ65" s="85"/>
      <c r="AK65" s="85"/>
      <c r="AL65" s="85"/>
    </row>
    <row r="66" spans="1:38" s="80" customFormat="1" x14ac:dyDescent="0.25">
      <c r="A66" s="98">
        <f t="shared" si="6"/>
        <v>0</v>
      </c>
      <c r="B66" s="33"/>
      <c r="C66" s="115"/>
      <c r="D66" s="115"/>
      <c r="E66" s="115"/>
      <c r="F66" s="115"/>
      <c r="H66" s="95">
        <v>61</v>
      </c>
      <c r="I66" s="96" t="str">
        <f t="shared" si="1"/>
        <v/>
      </c>
      <c r="J66" s="96" t="e">
        <f t="shared" si="2"/>
        <v>#NUM!</v>
      </c>
      <c r="K66" s="95" t="e">
        <f t="shared" si="3"/>
        <v>#NUM!</v>
      </c>
      <c r="L66" s="95"/>
      <c r="M66" s="97">
        <f t="shared" si="4"/>
        <v>0</v>
      </c>
      <c r="S66" s="85"/>
      <c r="T66" s="85"/>
      <c r="U66" s="85"/>
      <c r="V66" s="85"/>
      <c r="W66" s="85"/>
      <c r="X66" s="85"/>
      <c r="Y66" s="85"/>
      <c r="Z66" s="85"/>
      <c r="AA66" s="85"/>
      <c r="AB66" s="85"/>
      <c r="AC66" s="85"/>
      <c r="AD66" s="85"/>
      <c r="AE66" s="85"/>
      <c r="AF66" s="85"/>
      <c r="AG66" s="85"/>
      <c r="AH66" s="85"/>
      <c r="AI66" s="85"/>
      <c r="AJ66" s="85"/>
      <c r="AK66" s="85"/>
      <c r="AL66" s="85"/>
    </row>
    <row r="67" spans="1:38" s="80" customFormat="1" x14ac:dyDescent="0.25">
      <c r="A67" s="98">
        <f t="shared" si="6"/>
        <v>0</v>
      </c>
      <c r="B67" s="39"/>
      <c r="C67" s="115"/>
      <c r="D67" s="115"/>
      <c r="E67" s="115"/>
      <c r="F67" s="115"/>
      <c r="H67" s="95">
        <v>62</v>
      </c>
      <c r="I67" s="96" t="str">
        <f t="shared" si="1"/>
        <v/>
      </c>
      <c r="J67" s="96" t="e">
        <f t="shared" si="2"/>
        <v>#NUM!</v>
      </c>
      <c r="K67" s="95" t="e">
        <f t="shared" si="3"/>
        <v>#NUM!</v>
      </c>
      <c r="L67" s="95"/>
      <c r="M67" s="97">
        <f t="shared" si="4"/>
        <v>0</v>
      </c>
      <c r="S67" s="85"/>
      <c r="T67" s="85"/>
      <c r="U67" s="85"/>
      <c r="V67" s="85"/>
      <c r="W67" s="85"/>
      <c r="X67" s="85"/>
      <c r="Y67" s="85"/>
      <c r="Z67" s="85"/>
      <c r="AA67" s="85"/>
      <c r="AB67" s="85"/>
      <c r="AC67" s="85"/>
      <c r="AD67" s="85"/>
      <c r="AE67" s="85"/>
      <c r="AF67" s="85"/>
      <c r="AG67" s="85"/>
      <c r="AH67" s="85"/>
      <c r="AI67" s="85"/>
      <c r="AJ67" s="85"/>
      <c r="AK67" s="85"/>
      <c r="AL67" s="85"/>
    </row>
    <row r="68" spans="1:38" s="80" customFormat="1" x14ac:dyDescent="0.25">
      <c r="A68" s="98">
        <f t="shared" si="6"/>
        <v>0</v>
      </c>
      <c r="B68" s="33"/>
      <c r="C68" s="115"/>
      <c r="D68" s="115"/>
      <c r="E68" s="115"/>
      <c r="F68" s="115"/>
      <c r="H68" s="95">
        <v>63</v>
      </c>
      <c r="I68" s="96" t="str">
        <f t="shared" si="1"/>
        <v/>
      </c>
      <c r="J68" s="96" t="e">
        <f t="shared" si="2"/>
        <v>#NUM!</v>
      </c>
      <c r="K68" s="95" t="e">
        <f t="shared" si="3"/>
        <v>#NUM!</v>
      </c>
      <c r="L68" s="95"/>
      <c r="M68" s="97">
        <f t="shared" si="4"/>
        <v>0</v>
      </c>
      <c r="S68" s="85"/>
      <c r="T68" s="85"/>
      <c r="U68" s="85"/>
      <c r="V68" s="85"/>
      <c r="W68" s="85"/>
      <c r="X68" s="85"/>
      <c r="Y68" s="85"/>
      <c r="Z68" s="85"/>
      <c r="AA68" s="85"/>
      <c r="AB68" s="85"/>
      <c r="AC68" s="85"/>
      <c r="AD68" s="85"/>
      <c r="AE68" s="85"/>
      <c r="AF68" s="85"/>
      <c r="AG68" s="85"/>
      <c r="AH68" s="85"/>
      <c r="AI68" s="85"/>
      <c r="AJ68" s="85"/>
      <c r="AK68" s="85"/>
      <c r="AL68" s="85"/>
    </row>
    <row r="69" spans="1:38" s="80" customFormat="1" x14ac:dyDescent="0.25">
      <c r="A69" s="98">
        <f t="shared" si="6"/>
        <v>0</v>
      </c>
      <c r="B69" s="39"/>
      <c r="C69" s="115"/>
      <c r="D69" s="115"/>
      <c r="E69" s="115"/>
      <c r="F69" s="115"/>
      <c r="H69" s="95">
        <v>64</v>
      </c>
      <c r="I69" s="96" t="str">
        <f t="shared" si="1"/>
        <v/>
      </c>
      <c r="J69" s="96" t="e">
        <f t="shared" si="2"/>
        <v>#NUM!</v>
      </c>
      <c r="K69" s="95" t="e">
        <f t="shared" si="3"/>
        <v>#NUM!</v>
      </c>
      <c r="L69" s="95"/>
      <c r="M69" s="97">
        <f t="shared" si="4"/>
        <v>0</v>
      </c>
      <c r="S69" s="85"/>
      <c r="T69" s="85"/>
      <c r="U69" s="85"/>
      <c r="V69" s="85"/>
      <c r="W69" s="85"/>
      <c r="X69" s="85"/>
      <c r="Y69" s="85"/>
      <c r="Z69" s="85"/>
      <c r="AA69" s="85"/>
      <c r="AB69" s="85"/>
      <c r="AC69" s="85"/>
      <c r="AD69" s="85"/>
      <c r="AE69" s="85"/>
      <c r="AF69" s="85"/>
      <c r="AG69" s="85"/>
      <c r="AH69" s="85"/>
      <c r="AI69" s="85"/>
      <c r="AJ69" s="85"/>
      <c r="AK69" s="85"/>
      <c r="AL69" s="85"/>
    </row>
    <row r="70" spans="1:38" s="80" customFormat="1" x14ac:dyDescent="0.25">
      <c r="A70" s="98">
        <f t="shared" ref="A70:A79" si="8">M70</f>
        <v>0</v>
      </c>
      <c r="B70" s="115"/>
      <c r="C70" s="115"/>
      <c r="D70" s="115"/>
      <c r="E70" s="115"/>
      <c r="F70" s="115"/>
      <c r="H70" s="95">
        <v>65</v>
      </c>
      <c r="I70" s="96" t="str">
        <f t="shared" ref="I70:I133" si="9">IF(H70&lt;$H$2+1,($I$2-($I$2-1)*(LOG(H70)/LOG($H$2))),"")</f>
        <v/>
      </c>
      <c r="J70" s="96" t="e">
        <f t="shared" ref="J70:J133" si="10">INT(LOG($H$2,2))-ROUNDUP(LOG(H70,2),0)+IF(OR($H$2=1,$H$2=2,$H$2=4,$H$2=8,$H$2=16,$H$2=32,$H$2=64,$H$2=128,$H$2=256),0,1)</f>
        <v>#NUM!</v>
      </c>
      <c r="K70" s="95" t="e">
        <f t="shared" ref="K70:K133" si="11">J70*$J$2</f>
        <v>#NUM!</v>
      </c>
      <c r="L70" s="95"/>
      <c r="M70" s="97">
        <f t="shared" ref="M70:M133" si="12">IF(I70&lt;&gt;"",K70+I70+L70,0)</f>
        <v>0</v>
      </c>
      <c r="S70" s="85"/>
      <c r="T70" s="85"/>
      <c r="U70" s="85"/>
      <c r="V70" s="85"/>
      <c r="W70" s="85"/>
      <c r="X70" s="85"/>
      <c r="Y70" s="85"/>
      <c r="Z70" s="85"/>
      <c r="AA70" s="85"/>
      <c r="AB70" s="85"/>
      <c r="AC70" s="85"/>
      <c r="AD70" s="85"/>
      <c r="AE70" s="85"/>
      <c r="AF70" s="85"/>
      <c r="AG70" s="85"/>
      <c r="AH70" s="85"/>
      <c r="AI70" s="85"/>
      <c r="AJ70" s="85"/>
      <c r="AK70" s="85"/>
      <c r="AL70" s="85"/>
    </row>
    <row r="71" spans="1:38" s="80" customFormat="1" x14ac:dyDescent="0.25">
      <c r="A71" s="98">
        <f t="shared" si="8"/>
        <v>0</v>
      </c>
      <c r="B71" s="115"/>
      <c r="C71" s="115"/>
      <c r="D71" s="115"/>
      <c r="E71" s="115"/>
      <c r="F71" s="115"/>
      <c r="H71" s="95">
        <v>66</v>
      </c>
      <c r="I71" s="96" t="str">
        <f t="shared" si="9"/>
        <v/>
      </c>
      <c r="J71" s="96" t="e">
        <f t="shared" si="10"/>
        <v>#NUM!</v>
      </c>
      <c r="K71" s="95" t="e">
        <f t="shared" si="11"/>
        <v>#NUM!</v>
      </c>
      <c r="L71" s="95"/>
      <c r="M71" s="97">
        <f t="shared" si="12"/>
        <v>0</v>
      </c>
      <c r="S71" s="85"/>
      <c r="T71" s="85"/>
      <c r="U71" s="85"/>
      <c r="V71" s="85"/>
      <c r="W71" s="85"/>
      <c r="X71" s="85"/>
      <c r="Y71" s="85"/>
      <c r="Z71" s="85"/>
      <c r="AA71" s="85"/>
      <c r="AB71" s="85"/>
      <c r="AC71" s="85"/>
      <c r="AD71" s="85"/>
      <c r="AE71" s="85"/>
      <c r="AF71" s="85"/>
      <c r="AG71" s="85"/>
      <c r="AH71" s="85"/>
      <c r="AI71" s="85"/>
      <c r="AJ71" s="85"/>
      <c r="AK71" s="85"/>
      <c r="AL71" s="85"/>
    </row>
    <row r="72" spans="1:38" s="80" customFormat="1" x14ac:dyDescent="0.25">
      <c r="A72" s="98">
        <f t="shared" si="8"/>
        <v>0</v>
      </c>
      <c r="B72" s="115"/>
      <c r="C72" s="115"/>
      <c r="D72" s="115"/>
      <c r="E72" s="115"/>
      <c r="F72" s="115"/>
      <c r="H72" s="95">
        <v>67</v>
      </c>
      <c r="I72" s="96" t="str">
        <f t="shared" si="9"/>
        <v/>
      </c>
      <c r="J72" s="96" t="e">
        <f t="shared" si="10"/>
        <v>#NUM!</v>
      </c>
      <c r="K72" s="95" t="e">
        <f t="shared" si="11"/>
        <v>#NUM!</v>
      </c>
      <c r="L72" s="95"/>
      <c r="M72" s="97">
        <f t="shared" si="12"/>
        <v>0</v>
      </c>
      <c r="S72" s="85"/>
      <c r="T72" s="85"/>
      <c r="U72" s="85"/>
      <c r="V72" s="85"/>
      <c r="W72" s="85"/>
      <c r="X72" s="85"/>
      <c r="Y72" s="85"/>
      <c r="Z72" s="85"/>
      <c r="AA72" s="85"/>
      <c r="AB72" s="85"/>
      <c r="AC72" s="85"/>
      <c r="AD72" s="85"/>
      <c r="AE72" s="85"/>
      <c r="AF72" s="85"/>
      <c r="AG72" s="85"/>
      <c r="AH72" s="85"/>
      <c r="AI72" s="85"/>
      <c r="AJ72" s="85"/>
      <c r="AK72" s="85"/>
      <c r="AL72" s="85"/>
    </row>
    <row r="73" spans="1:38" s="80" customFormat="1" x14ac:dyDescent="0.25">
      <c r="A73" s="98">
        <f t="shared" si="8"/>
        <v>0</v>
      </c>
      <c r="B73" s="115"/>
      <c r="C73" s="115"/>
      <c r="D73" s="115"/>
      <c r="E73" s="115"/>
      <c r="F73" s="115"/>
      <c r="H73" s="95">
        <v>68</v>
      </c>
      <c r="I73" s="96" t="str">
        <f t="shared" si="9"/>
        <v/>
      </c>
      <c r="J73" s="96" t="e">
        <f t="shared" si="10"/>
        <v>#NUM!</v>
      </c>
      <c r="K73" s="95" t="e">
        <f t="shared" si="11"/>
        <v>#NUM!</v>
      </c>
      <c r="L73" s="95"/>
      <c r="M73" s="97">
        <f t="shared" si="12"/>
        <v>0</v>
      </c>
      <c r="S73" s="85"/>
      <c r="T73" s="85"/>
      <c r="U73" s="85"/>
      <c r="V73" s="85"/>
      <c r="W73" s="85"/>
      <c r="X73" s="85"/>
      <c r="Y73" s="85"/>
      <c r="Z73" s="85"/>
      <c r="AA73" s="85"/>
      <c r="AB73" s="85"/>
      <c r="AC73" s="85"/>
      <c r="AD73" s="85"/>
      <c r="AE73" s="85"/>
      <c r="AF73" s="85"/>
      <c r="AG73" s="85"/>
      <c r="AH73" s="85"/>
      <c r="AI73" s="85"/>
      <c r="AJ73" s="85"/>
      <c r="AK73" s="85"/>
      <c r="AL73" s="85"/>
    </row>
    <row r="74" spans="1:38" s="80" customFormat="1" x14ac:dyDescent="0.25">
      <c r="A74" s="98">
        <f t="shared" si="8"/>
        <v>0</v>
      </c>
      <c r="B74" s="115"/>
      <c r="C74" s="115"/>
      <c r="D74" s="115"/>
      <c r="E74" s="115"/>
      <c r="F74" s="115"/>
      <c r="H74" s="95">
        <v>69</v>
      </c>
      <c r="I74" s="96" t="str">
        <f t="shared" si="9"/>
        <v/>
      </c>
      <c r="J74" s="96" t="e">
        <f t="shared" si="10"/>
        <v>#NUM!</v>
      </c>
      <c r="K74" s="95" t="e">
        <f t="shared" si="11"/>
        <v>#NUM!</v>
      </c>
      <c r="L74" s="95"/>
      <c r="M74" s="97">
        <f t="shared" si="12"/>
        <v>0</v>
      </c>
      <c r="S74" s="85"/>
      <c r="T74" s="85"/>
      <c r="U74" s="85"/>
      <c r="V74" s="85"/>
      <c r="W74" s="85"/>
      <c r="X74" s="85"/>
      <c r="Y74" s="85"/>
      <c r="Z74" s="85"/>
      <c r="AA74" s="85"/>
      <c r="AB74" s="85"/>
      <c r="AC74" s="85"/>
      <c r="AD74" s="85"/>
      <c r="AE74" s="85"/>
      <c r="AF74" s="85"/>
      <c r="AG74" s="85"/>
      <c r="AH74" s="85"/>
      <c r="AI74" s="85"/>
      <c r="AJ74" s="85"/>
      <c r="AK74" s="85"/>
      <c r="AL74" s="85"/>
    </row>
    <row r="75" spans="1:38" s="80" customFormat="1" x14ac:dyDescent="0.25">
      <c r="A75" s="98">
        <f t="shared" si="8"/>
        <v>0</v>
      </c>
      <c r="B75" s="115"/>
      <c r="C75" s="115"/>
      <c r="D75" s="115"/>
      <c r="E75" s="115"/>
      <c r="F75" s="115"/>
      <c r="H75" s="95">
        <v>70</v>
      </c>
      <c r="I75" s="96" t="str">
        <f t="shared" si="9"/>
        <v/>
      </c>
      <c r="J75" s="96" t="e">
        <f t="shared" si="10"/>
        <v>#NUM!</v>
      </c>
      <c r="K75" s="95" t="e">
        <f t="shared" si="11"/>
        <v>#NUM!</v>
      </c>
      <c r="L75" s="95"/>
      <c r="M75" s="97">
        <f t="shared" si="12"/>
        <v>0</v>
      </c>
      <c r="S75" s="85"/>
      <c r="T75" s="85"/>
      <c r="U75" s="85"/>
      <c r="V75" s="85"/>
      <c r="W75" s="85"/>
      <c r="X75" s="85"/>
      <c r="Y75" s="85"/>
      <c r="Z75" s="85"/>
      <c r="AA75" s="85"/>
      <c r="AB75" s="85"/>
      <c r="AC75" s="85"/>
      <c r="AD75" s="85"/>
      <c r="AE75" s="85"/>
      <c r="AF75" s="85"/>
      <c r="AG75" s="85"/>
      <c r="AH75" s="85"/>
      <c r="AI75" s="85"/>
      <c r="AJ75" s="85"/>
      <c r="AK75" s="85"/>
      <c r="AL75" s="85"/>
    </row>
    <row r="76" spans="1:38" s="80" customFormat="1" x14ac:dyDescent="0.25">
      <c r="A76" s="98">
        <f t="shared" si="8"/>
        <v>0</v>
      </c>
      <c r="B76" s="115"/>
      <c r="C76" s="115"/>
      <c r="D76" s="115"/>
      <c r="E76" s="115"/>
      <c r="F76" s="115"/>
      <c r="H76" s="95">
        <v>71</v>
      </c>
      <c r="I76" s="96" t="str">
        <f t="shared" si="9"/>
        <v/>
      </c>
      <c r="J76" s="96" t="e">
        <f t="shared" si="10"/>
        <v>#NUM!</v>
      </c>
      <c r="K76" s="95" t="e">
        <f t="shared" si="11"/>
        <v>#NUM!</v>
      </c>
      <c r="L76" s="95"/>
      <c r="M76" s="97">
        <f t="shared" si="12"/>
        <v>0</v>
      </c>
      <c r="S76" s="85"/>
      <c r="T76" s="85"/>
      <c r="U76" s="85"/>
      <c r="V76" s="85"/>
      <c r="W76" s="85"/>
      <c r="X76" s="85"/>
      <c r="Y76" s="85"/>
      <c r="Z76" s="85"/>
      <c r="AA76" s="85"/>
      <c r="AB76" s="85"/>
      <c r="AC76" s="85"/>
      <c r="AD76" s="85"/>
      <c r="AE76" s="85"/>
      <c r="AF76" s="85"/>
      <c r="AG76" s="85"/>
      <c r="AH76" s="85"/>
      <c r="AI76" s="85"/>
      <c r="AJ76" s="85"/>
      <c r="AK76" s="85"/>
      <c r="AL76" s="85"/>
    </row>
    <row r="77" spans="1:38" s="80" customFormat="1" x14ac:dyDescent="0.25">
      <c r="A77" s="98">
        <f t="shared" si="8"/>
        <v>0</v>
      </c>
      <c r="B77" s="115"/>
      <c r="C77" s="115"/>
      <c r="D77" s="115"/>
      <c r="E77" s="115"/>
      <c r="F77" s="115"/>
      <c r="H77" s="95">
        <v>72</v>
      </c>
      <c r="I77" s="96" t="str">
        <f t="shared" si="9"/>
        <v/>
      </c>
      <c r="J77" s="96" t="e">
        <f t="shared" si="10"/>
        <v>#NUM!</v>
      </c>
      <c r="K77" s="95" t="e">
        <f t="shared" si="11"/>
        <v>#NUM!</v>
      </c>
      <c r="L77" s="95"/>
      <c r="M77" s="97">
        <f t="shared" si="12"/>
        <v>0</v>
      </c>
      <c r="S77" s="85"/>
      <c r="T77" s="85"/>
      <c r="U77" s="85"/>
      <c r="V77" s="85"/>
      <c r="W77" s="85"/>
      <c r="X77" s="85"/>
      <c r="Y77" s="85"/>
      <c r="Z77" s="85"/>
      <c r="AA77" s="85"/>
      <c r="AB77" s="85"/>
      <c r="AC77" s="85"/>
      <c r="AD77" s="85"/>
      <c r="AE77" s="85"/>
      <c r="AF77" s="85"/>
      <c r="AG77" s="85"/>
      <c r="AH77" s="85"/>
      <c r="AI77" s="85"/>
      <c r="AJ77" s="85"/>
      <c r="AK77" s="85"/>
      <c r="AL77" s="85"/>
    </row>
    <row r="78" spans="1:38" s="80" customFormat="1" x14ac:dyDescent="0.25">
      <c r="A78" s="98">
        <f t="shared" si="8"/>
        <v>0</v>
      </c>
      <c r="B78" s="115"/>
      <c r="C78" s="115"/>
      <c r="D78" s="115"/>
      <c r="E78" s="115"/>
      <c r="F78" s="115"/>
      <c r="H78" s="95">
        <v>73</v>
      </c>
      <c r="I78" s="96" t="str">
        <f t="shared" si="9"/>
        <v/>
      </c>
      <c r="J78" s="96" t="e">
        <f t="shared" si="10"/>
        <v>#NUM!</v>
      </c>
      <c r="K78" s="95" t="e">
        <f t="shared" si="11"/>
        <v>#NUM!</v>
      </c>
      <c r="L78" s="95"/>
      <c r="M78" s="97">
        <f t="shared" si="12"/>
        <v>0</v>
      </c>
      <c r="S78" s="85"/>
      <c r="T78" s="85"/>
      <c r="U78" s="85"/>
      <c r="V78" s="85"/>
      <c r="W78" s="85"/>
      <c r="X78" s="85"/>
      <c r="Y78" s="85"/>
      <c r="Z78" s="85"/>
      <c r="AA78" s="85"/>
      <c r="AB78" s="85"/>
      <c r="AC78" s="85"/>
      <c r="AD78" s="85"/>
      <c r="AE78" s="85"/>
      <c r="AF78" s="85"/>
      <c r="AG78" s="85"/>
      <c r="AH78" s="85"/>
      <c r="AI78" s="85"/>
      <c r="AJ78" s="85"/>
      <c r="AK78" s="85"/>
      <c r="AL78" s="85"/>
    </row>
    <row r="79" spans="1:38" s="80" customFormat="1" x14ac:dyDescent="0.25">
      <c r="A79" s="98">
        <f t="shared" si="8"/>
        <v>0</v>
      </c>
      <c r="B79" s="115"/>
      <c r="C79" s="115"/>
      <c r="D79" s="115"/>
      <c r="E79" s="115"/>
      <c r="F79" s="115"/>
      <c r="H79" s="95">
        <v>74</v>
      </c>
      <c r="I79" s="96" t="str">
        <f t="shared" si="9"/>
        <v/>
      </c>
      <c r="J79" s="96" t="e">
        <f t="shared" si="10"/>
        <v>#NUM!</v>
      </c>
      <c r="K79" s="95" t="e">
        <f t="shared" si="11"/>
        <v>#NUM!</v>
      </c>
      <c r="L79" s="95"/>
      <c r="M79" s="97">
        <f t="shared" si="12"/>
        <v>0</v>
      </c>
      <c r="S79" s="85"/>
      <c r="T79" s="85"/>
      <c r="U79" s="85"/>
      <c r="V79" s="85"/>
      <c r="W79" s="85"/>
      <c r="X79" s="85"/>
      <c r="Y79" s="85"/>
      <c r="Z79" s="85"/>
      <c r="AA79" s="85"/>
      <c r="AB79" s="85"/>
      <c r="AC79" s="85"/>
      <c r="AD79" s="85"/>
      <c r="AE79" s="85"/>
      <c r="AF79" s="85"/>
      <c r="AG79" s="85"/>
      <c r="AH79" s="85"/>
      <c r="AI79" s="85"/>
      <c r="AJ79" s="85"/>
      <c r="AK79" s="85"/>
      <c r="AL79" s="85"/>
    </row>
    <row r="80" spans="1:38" s="80" customFormat="1" x14ac:dyDescent="0.25">
      <c r="A80" s="94"/>
      <c r="B80" s="115"/>
      <c r="C80" s="115"/>
      <c r="D80" s="115"/>
      <c r="E80" s="115"/>
      <c r="F80" s="115"/>
      <c r="H80" s="95">
        <v>75</v>
      </c>
      <c r="I80" s="96" t="str">
        <f t="shared" si="9"/>
        <v/>
      </c>
      <c r="J80" s="96" t="e">
        <f t="shared" si="10"/>
        <v>#NUM!</v>
      </c>
      <c r="K80" s="95" t="e">
        <f t="shared" si="11"/>
        <v>#NUM!</v>
      </c>
      <c r="L80" s="95"/>
      <c r="M80" s="97">
        <f t="shared" si="12"/>
        <v>0</v>
      </c>
      <c r="S80" s="85"/>
      <c r="T80" s="85"/>
      <c r="U80" s="85"/>
      <c r="V80" s="85"/>
      <c r="W80" s="85"/>
      <c r="X80" s="85"/>
      <c r="Y80" s="85"/>
      <c r="Z80" s="85"/>
      <c r="AA80" s="85"/>
      <c r="AB80" s="85"/>
      <c r="AC80" s="85"/>
      <c r="AD80" s="85"/>
      <c r="AE80" s="85"/>
      <c r="AF80" s="85"/>
      <c r="AG80" s="85"/>
      <c r="AH80" s="85"/>
      <c r="AI80" s="85"/>
      <c r="AJ80" s="85"/>
      <c r="AK80" s="85"/>
      <c r="AL80" s="85"/>
    </row>
    <row r="81" spans="1:38" s="80" customFormat="1" x14ac:dyDescent="0.25">
      <c r="A81" s="116"/>
      <c r="B81" s="115"/>
      <c r="C81" s="115"/>
      <c r="D81" s="115"/>
      <c r="E81" s="115"/>
      <c r="F81" s="115"/>
      <c r="H81" s="95">
        <v>76</v>
      </c>
      <c r="I81" s="96" t="str">
        <f t="shared" si="9"/>
        <v/>
      </c>
      <c r="J81" s="96" t="e">
        <f t="shared" si="10"/>
        <v>#NUM!</v>
      </c>
      <c r="K81" s="95" t="e">
        <f t="shared" si="11"/>
        <v>#NUM!</v>
      </c>
      <c r="L81" s="95"/>
      <c r="M81" s="97">
        <f t="shared" si="12"/>
        <v>0</v>
      </c>
      <c r="S81" s="85"/>
      <c r="T81" s="85"/>
      <c r="U81" s="85"/>
      <c r="V81" s="85"/>
      <c r="W81" s="85"/>
      <c r="X81" s="85"/>
      <c r="Y81" s="85"/>
      <c r="Z81" s="85"/>
      <c r="AA81" s="85"/>
      <c r="AB81" s="85"/>
      <c r="AC81" s="85"/>
      <c r="AD81" s="85"/>
      <c r="AE81" s="85"/>
      <c r="AF81" s="85"/>
      <c r="AG81" s="85"/>
      <c r="AH81" s="85"/>
      <c r="AI81" s="85"/>
      <c r="AJ81" s="85"/>
      <c r="AK81" s="85"/>
      <c r="AL81" s="85"/>
    </row>
    <row r="82" spans="1:38" s="80" customFormat="1" x14ac:dyDescent="0.25">
      <c r="A82" s="116"/>
      <c r="B82" s="115"/>
      <c r="C82" s="115"/>
      <c r="D82" s="115"/>
      <c r="E82" s="115"/>
      <c r="F82" s="115"/>
      <c r="H82" s="95">
        <v>77</v>
      </c>
      <c r="I82" s="96" t="str">
        <f t="shared" si="9"/>
        <v/>
      </c>
      <c r="J82" s="96" t="e">
        <f t="shared" si="10"/>
        <v>#NUM!</v>
      </c>
      <c r="K82" s="95" t="e">
        <f t="shared" si="11"/>
        <v>#NUM!</v>
      </c>
      <c r="L82" s="95"/>
      <c r="M82" s="97">
        <f t="shared" si="12"/>
        <v>0</v>
      </c>
      <c r="S82" s="85"/>
      <c r="T82" s="85"/>
      <c r="U82" s="85"/>
      <c r="V82" s="85"/>
      <c r="W82" s="85"/>
      <c r="X82" s="85"/>
      <c r="Y82" s="85"/>
      <c r="Z82" s="85"/>
      <c r="AA82" s="85"/>
      <c r="AB82" s="85"/>
      <c r="AC82" s="85"/>
      <c r="AD82" s="85"/>
      <c r="AE82" s="85"/>
      <c r="AF82" s="85"/>
      <c r="AG82" s="85"/>
      <c r="AH82" s="85"/>
      <c r="AI82" s="85"/>
      <c r="AJ82" s="85"/>
      <c r="AK82" s="85"/>
      <c r="AL82" s="85"/>
    </row>
    <row r="83" spans="1:38" s="80" customFormat="1" x14ac:dyDescent="0.25">
      <c r="A83" s="116"/>
      <c r="B83" s="115"/>
      <c r="C83" s="115"/>
      <c r="D83" s="115"/>
      <c r="E83" s="115"/>
      <c r="F83" s="115"/>
      <c r="H83" s="95">
        <v>78</v>
      </c>
      <c r="I83" s="96" t="str">
        <f t="shared" si="9"/>
        <v/>
      </c>
      <c r="J83" s="96" t="e">
        <f t="shared" si="10"/>
        <v>#NUM!</v>
      </c>
      <c r="K83" s="95" t="e">
        <f t="shared" si="11"/>
        <v>#NUM!</v>
      </c>
      <c r="L83" s="95"/>
      <c r="M83" s="97">
        <f t="shared" si="12"/>
        <v>0</v>
      </c>
      <c r="S83" s="85"/>
      <c r="T83" s="85"/>
      <c r="U83" s="85"/>
      <c r="V83" s="85"/>
      <c r="W83" s="85"/>
      <c r="X83" s="85"/>
      <c r="Y83" s="85"/>
      <c r="Z83" s="85"/>
      <c r="AA83" s="85"/>
      <c r="AB83" s="85"/>
      <c r="AC83" s="85"/>
      <c r="AD83" s="85"/>
      <c r="AE83" s="85"/>
      <c r="AF83" s="85"/>
      <c r="AG83" s="85"/>
      <c r="AH83" s="85"/>
      <c r="AI83" s="85"/>
      <c r="AJ83" s="85"/>
      <c r="AK83" s="85"/>
      <c r="AL83" s="85"/>
    </row>
    <row r="84" spans="1:38" s="80" customFormat="1" x14ac:dyDescent="0.25">
      <c r="A84" s="116"/>
      <c r="B84" s="115"/>
      <c r="C84" s="115"/>
      <c r="D84" s="115"/>
      <c r="E84" s="115"/>
      <c r="F84" s="115"/>
      <c r="H84" s="95">
        <v>79</v>
      </c>
      <c r="I84" s="96" t="str">
        <f t="shared" si="9"/>
        <v/>
      </c>
      <c r="J84" s="96" t="e">
        <f t="shared" si="10"/>
        <v>#NUM!</v>
      </c>
      <c r="K84" s="95" t="e">
        <f t="shared" si="11"/>
        <v>#NUM!</v>
      </c>
      <c r="L84" s="95"/>
      <c r="M84" s="97">
        <f t="shared" si="12"/>
        <v>0</v>
      </c>
      <c r="S84" s="85"/>
      <c r="T84" s="85"/>
      <c r="U84" s="85"/>
      <c r="V84" s="85"/>
      <c r="W84" s="85"/>
      <c r="X84" s="85"/>
      <c r="Y84" s="85"/>
      <c r="Z84" s="85"/>
      <c r="AA84" s="85"/>
      <c r="AB84" s="85"/>
      <c r="AC84" s="85"/>
      <c r="AD84" s="85"/>
      <c r="AE84" s="85"/>
      <c r="AF84" s="85"/>
      <c r="AG84" s="85"/>
      <c r="AH84" s="85"/>
      <c r="AI84" s="85"/>
      <c r="AJ84" s="85"/>
      <c r="AK84" s="85"/>
      <c r="AL84" s="85"/>
    </row>
    <row r="85" spans="1:38" s="80" customFormat="1" x14ac:dyDescent="0.25">
      <c r="A85" s="116"/>
      <c r="B85" s="115"/>
      <c r="C85" s="115"/>
      <c r="D85" s="115"/>
      <c r="E85" s="115"/>
      <c r="F85" s="115"/>
      <c r="H85" s="95">
        <v>80</v>
      </c>
      <c r="I85" s="96" t="str">
        <f t="shared" si="9"/>
        <v/>
      </c>
      <c r="J85" s="96" t="e">
        <f t="shared" si="10"/>
        <v>#NUM!</v>
      </c>
      <c r="K85" s="95" t="e">
        <f t="shared" si="11"/>
        <v>#NUM!</v>
      </c>
      <c r="L85" s="95"/>
      <c r="M85" s="97">
        <f t="shared" si="12"/>
        <v>0</v>
      </c>
      <c r="S85" s="85"/>
      <c r="T85" s="85"/>
      <c r="U85" s="85"/>
      <c r="V85" s="85"/>
      <c r="W85" s="85"/>
      <c r="X85" s="85"/>
      <c r="Y85" s="85"/>
      <c r="Z85" s="85"/>
      <c r="AA85" s="85"/>
      <c r="AB85" s="85"/>
      <c r="AC85" s="85"/>
      <c r="AD85" s="85"/>
      <c r="AE85" s="85"/>
      <c r="AF85" s="85"/>
      <c r="AG85" s="85"/>
      <c r="AH85" s="85"/>
      <c r="AI85" s="85"/>
      <c r="AJ85" s="85"/>
      <c r="AK85" s="85"/>
      <c r="AL85" s="85"/>
    </row>
    <row r="86" spans="1:38" s="80" customFormat="1" x14ac:dyDescent="0.25">
      <c r="A86" s="116"/>
      <c r="B86" s="115"/>
      <c r="C86" s="115"/>
      <c r="D86" s="115"/>
      <c r="E86" s="115"/>
      <c r="F86" s="115"/>
      <c r="H86" s="95">
        <v>81</v>
      </c>
      <c r="I86" s="96" t="str">
        <f t="shared" si="9"/>
        <v/>
      </c>
      <c r="J86" s="96" t="e">
        <f t="shared" si="10"/>
        <v>#NUM!</v>
      </c>
      <c r="K86" s="95" t="e">
        <f t="shared" si="11"/>
        <v>#NUM!</v>
      </c>
      <c r="L86" s="95"/>
      <c r="M86" s="97">
        <f t="shared" si="12"/>
        <v>0</v>
      </c>
      <c r="S86" s="85"/>
      <c r="T86" s="85"/>
      <c r="U86" s="85"/>
      <c r="V86" s="85"/>
      <c r="W86" s="85"/>
      <c r="X86" s="85"/>
      <c r="Y86" s="85"/>
      <c r="Z86" s="85"/>
      <c r="AA86" s="85"/>
      <c r="AB86" s="85"/>
      <c r="AC86" s="85"/>
      <c r="AD86" s="85"/>
      <c r="AE86" s="85"/>
      <c r="AF86" s="85"/>
      <c r="AG86" s="85"/>
      <c r="AH86" s="85"/>
      <c r="AI86" s="85"/>
      <c r="AJ86" s="85"/>
      <c r="AK86" s="85"/>
      <c r="AL86" s="85"/>
    </row>
    <row r="87" spans="1:38" s="80" customFormat="1" x14ac:dyDescent="0.25">
      <c r="A87" s="116"/>
      <c r="B87" s="115"/>
      <c r="C87" s="115"/>
      <c r="D87" s="115"/>
      <c r="E87" s="115"/>
      <c r="F87" s="115"/>
      <c r="H87" s="95">
        <v>82</v>
      </c>
      <c r="I87" s="96" t="str">
        <f t="shared" si="9"/>
        <v/>
      </c>
      <c r="J87" s="96" t="e">
        <f t="shared" si="10"/>
        <v>#NUM!</v>
      </c>
      <c r="K87" s="95" t="e">
        <f t="shared" si="11"/>
        <v>#NUM!</v>
      </c>
      <c r="L87" s="95"/>
      <c r="M87" s="97">
        <f t="shared" si="12"/>
        <v>0</v>
      </c>
      <c r="S87" s="85"/>
      <c r="T87" s="85"/>
      <c r="U87" s="85"/>
      <c r="V87" s="85"/>
      <c r="W87" s="85"/>
      <c r="X87" s="85"/>
      <c r="Y87" s="85"/>
      <c r="Z87" s="85"/>
      <c r="AA87" s="85"/>
      <c r="AB87" s="85"/>
      <c r="AC87" s="85"/>
      <c r="AD87" s="85"/>
      <c r="AE87" s="85"/>
      <c r="AF87" s="85"/>
      <c r="AG87" s="85"/>
      <c r="AH87" s="85"/>
      <c r="AI87" s="85"/>
      <c r="AJ87" s="85"/>
      <c r="AK87" s="85"/>
      <c r="AL87" s="85"/>
    </row>
    <row r="88" spans="1:38" s="80" customFormat="1" x14ac:dyDescent="0.25">
      <c r="A88" s="116"/>
      <c r="B88" s="115"/>
      <c r="C88" s="115"/>
      <c r="D88" s="115"/>
      <c r="E88" s="115"/>
      <c r="F88" s="115"/>
      <c r="H88" s="95">
        <v>83</v>
      </c>
      <c r="I88" s="96" t="str">
        <f t="shared" si="9"/>
        <v/>
      </c>
      <c r="J88" s="96" t="e">
        <f t="shared" si="10"/>
        <v>#NUM!</v>
      </c>
      <c r="K88" s="95" t="e">
        <f t="shared" si="11"/>
        <v>#NUM!</v>
      </c>
      <c r="L88" s="95"/>
      <c r="M88" s="97">
        <f t="shared" si="12"/>
        <v>0</v>
      </c>
      <c r="S88" s="85"/>
      <c r="T88" s="85"/>
      <c r="U88" s="85"/>
      <c r="V88" s="85"/>
      <c r="W88" s="85"/>
      <c r="X88" s="85"/>
      <c r="Y88" s="85"/>
      <c r="Z88" s="85"/>
      <c r="AA88" s="85"/>
      <c r="AB88" s="85"/>
      <c r="AC88" s="85"/>
      <c r="AD88" s="85"/>
      <c r="AE88" s="85"/>
      <c r="AF88" s="85"/>
      <c r="AG88" s="85"/>
      <c r="AH88" s="85"/>
      <c r="AI88" s="85"/>
      <c r="AJ88" s="85"/>
      <c r="AK88" s="85"/>
      <c r="AL88" s="85"/>
    </row>
    <row r="89" spans="1:38" s="80" customFormat="1" x14ac:dyDescent="0.25">
      <c r="A89" s="116"/>
      <c r="B89" s="115"/>
      <c r="C89" s="115"/>
      <c r="D89" s="115"/>
      <c r="E89" s="115"/>
      <c r="F89" s="115"/>
      <c r="H89" s="95">
        <v>84</v>
      </c>
      <c r="I89" s="96" t="str">
        <f t="shared" si="9"/>
        <v/>
      </c>
      <c r="J89" s="96" t="e">
        <f t="shared" si="10"/>
        <v>#NUM!</v>
      </c>
      <c r="K89" s="95" t="e">
        <f t="shared" si="11"/>
        <v>#NUM!</v>
      </c>
      <c r="L89" s="95"/>
      <c r="M89" s="97">
        <f t="shared" si="12"/>
        <v>0</v>
      </c>
      <c r="S89" s="85"/>
      <c r="T89" s="85"/>
      <c r="U89" s="85"/>
      <c r="V89" s="85"/>
      <c r="W89" s="85"/>
      <c r="X89" s="85"/>
      <c r="Y89" s="85"/>
      <c r="Z89" s="85"/>
      <c r="AA89" s="85"/>
      <c r="AB89" s="85"/>
      <c r="AC89" s="85"/>
      <c r="AD89" s="85"/>
      <c r="AE89" s="85"/>
      <c r="AF89" s="85"/>
      <c r="AG89" s="85"/>
      <c r="AH89" s="85"/>
      <c r="AI89" s="85"/>
      <c r="AJ89" s="85"/>
      <c r="AK89" s="85"/>
      <c r="AL89" s="85"/>
    </row>
    <row r="90" spans="1:38" s="80" customFormat="1" x14ac:dyDescent="0.25">
      <c r="A90" s="116"/>
      <c r="B90" s="115"/>
      <c r="C90" s="115"/>
      <c r="D90" s="115"/>
      <c r="E90" s="115"/>
      <c r="F90" s="115"/>
      <c r="H90" s="95">
        <v>85</v>
      </c>
      <c r="I90" s="96" t="str">
        <f t="shared" si="9"/>
        <v/>
      </c>
      <c r="J90" s="96" t="e">
        <f t="shared" si="10"/>
        <v>#NUM!</v>
      </c>
      <c r="K90" s="95" t="e">
        <f t="shared" si="11"/>
        <v>#NUM!</v>
      </c>
      <c r="L90" s="95"/>
      <c r="M90" s="97">
        <f t="shared" si="12"/>
        <v>0</v>
      </c>
      <c r="S90" s="85"/>
      <c r="T90" s="85"/>
      <c r="U90" s="85"/>
      <c r="V90" s="85"/>
      <c r="W90" s="85"/>
      <c r="X90" s="85"/>
      <c r="Y90" s="85"/>
      <c r="Z90" s="85"/>
      <c r="AA90" s="85"/>
      <c r="AB90" s="85"/>
      <c r="AC90" s="85"/>
      <c r="AD90" s="85"/>
      <c r="AE90" s="85"/>
      <c r="AF90" s="85"/>
      <c r="AG90" s="85"/>
      <c r="AH90" s="85"/>
      <c r="AI90" s="85"/>
      <c r="AJ90" s="85"/>
      <c r="AK90" s="85"/>
      <c r="AL90" s="85"/>
    </row>
    <row r="91" spans="1:38" s="80" customFormat="1" x14ac:dyDescent="0.25">
      <c r="A91" s="116"/>
      <c r="B91" s="115"/>
      <c r="C91" s="115"/>
      <c r="D91" s="115"/>
      <c r="E91" s="115"/>
      <c r="F91" s="115"/>
      <c r="H91" s="95">
        <v>86</v>
      </c>
      <c r="I91" s="96" t="str">
        <f t="shared" si="9"/>
        <v/>
      </c>
      <c r="J91" s="96" t="e">
        <f t="shared" si="10"/>
        <v>#NUM!</v>
      </c>
      <c r="K91" s="95" t="e">
        <f t="shared" si="11"/>
        <v>#NUM!</v>
      </c>
      <c r="L91" s="95"/>
      <c r="M91" s="97">
        <f t="shared" si="12"/>
        <v>0</v>
      </c>
      <c r="S91" s="85"/>
      <c r="T91" s="85"/>
      <c r="U91" s="85"/>
      <c r="V91" s="85"/>
      <c r="W91" s="85"/>
      <c r="X91" s="85"/>
      <c r="Y91" s="85"/>
      <c r="Z91" s="85"/>
      <c r="AA91" s="85"/>
      <c r="AB91" s="85"/>
      <c r="AC91" s="85"/>
      <c r="AD91" s="85"/>
      <c r="AE91" s="85"/>
      <c r="AF91" s="85"/>
      <c r="AG91" s="85"/>
      <c r="AH91" s="85"/>
      <c r="AI91" s="85"/>
      <c r="AJ91" s="85"/>
      <c r="AK91" s="85"/>
      <c r="AL91" s="85"/>
    </row>
    <row r="92" spans="1:38" s="80" customFormat="1" x14ac:dyDescent="0.25">
      <c r="A92" s="116"/>
      <c r="B92" s="115"/>
      <c r="C92" s="115"/>
      <c r="D92" s="115"/>
      <c r="E92" s="115"/>
      <c r="F92" s="115"/>
      <c r="H92" s="95">
        <v>87</v>
      </c>
      <c r="I92" s="96" t="str">
        <f t="shared" si="9"/>
        <v/>
      </c>
      <c r="J92" s="96" t="e">
        <f t="shared" si="10"/>
        <v>#NUM!</v>
      </c>
      <c r="K92" s="95" t="e">
        <f t="shared" si="11"/>
        <v>#NUM!</v>
      </c>
      <c r="L92" s="95"/>
      <c r="M92" s="97">
        <f t="shared" si="12"/>
        <v>0</v>
      </c>
      <c r="S92" s="85"/>
      <c r="T92" s="85"/>
      <c r="U92" s="85"/>
      <c r="V92" s="85"/>
      <c r="W92" s="85"/>
      <c r="X92" s="85"/>
      <c r="Y92" s="85"/>
      <c r="Z92" s="85"/>
      <c r="AA92" s="85"/>
      <c r="AB92" s="85"/>
      <c r="AC92" s="85"/>
      <c r="AD92" s="85"/>
      <c r="AE92" s="85"/>
      <c r="AF92" s="85"/>
      <c r="AG92" s="85"/>
      <c r="AH92" s="85"/>
      <c r="AI92" s="85"/>
      <c r="AJ92" s="85"/>
      <c r="AK92" s="85"/>
      <c r="AL92" s="85"/>
    </row>
    <row r="93" spans="1:38" s="80" customFormat="1" x14ac:dyDescent="0.25">
      <c r="A93" s="116"/>
      <c r="B93" s="115"/>
      <c r="C93" s="115"/>
      <c r="D93" s="115"/>
      <c r="E93" s="115"/>
      <c r="F93" s="115"/>
      <c r="H93" s="95">
        <v>88</v>
      </c>
      <c r="I93" s="96" t="str">
        <f t="shared" si="9"/>
        <v/>
      </c>
      <c r="J93" s="96" t="e">
        <f t="shared" si="10"/>
        <v>#NUM!</v>
      </c>
      <c r="K93" s="95" t="e">
        <f t="shared" si="11"/>
        <v>#NUM!</v>
      </c>
      <c r="L93" s="95"/>
      <c r="M93" s="97">
        <f t="shared" si="12"/>
        <v>0</v>
      </c>
      <c r="S93" s="85"/>
      <c r="T93" s="85"/>
      <c r="U93" s="85"/>
      <c r="V93" s="85"/>
      <c r="W93" s="85"/>
      <c r="X93" s="85"/>
      <c r="Y93" s="85"/>
      <c r="Z93" s="85"/>
      <c r="AA93" s="85"/>
      <c r="AB93" s="85"/>
      <c r="AC93" s="85"/>
      <c r="AD93" s="85"/>
      <c r="AE93" s="85"/>
      <c r="AF93" s="85"/>
      <c r="AG93" s="85"/>
      <c r="AH93" s="85"/>
      <c r="AI93" s="85"/>
      <c r="AJ93" s="85"/>
      <c r="AK93" s="85"/>
      <c r="AL93" s="85"/>
    </row>
    <row r="94" spans="1:38" s="80" customFormat="1" x14ac:dyDescent="0.25">
      <c r="A94" s="116"/>
      <c r="B94" s="115"/>
      <c r="C94" s="115"/>
      <c r="D94" s="115"/>
      <c r="E94" s="115"/>
      <c r="F94" s="115"/>
      <c r="H94" s="95">
        <v>89</v>
      </c>
      <c r="I94" s="96" t="str">
        <f t="shared" si="9"/>
        <v/>
      </c>
      <c r="J94" s="96" t="e">
        <f t="shared" si="10"/>
        <v>#NUM!</v>
      </c>
      <c r="K94" s="95" t="e">
        <f t="shared" si="11"/>
        <v>#NUM!</v>
      </c>
      <c r="L94" s="95"/>
      <c r="M94" s="97">
        <f t="shared" si="12"/>
        <v>0</v>
      </c>
      <c r="S94" s="85"/>
      <c r="T94" s="85"/>
      <c r="U94" s="85"/>
      <c r="V94" s="85"/>
      <c r="W94" s="85"/>
      <c r="X94" s="85"/>
      <c r="Y94" s="85"/>
      <c r="Z94" s="85"/>
      <c r="AA94" s="85"/>
      <c r="AB94" s="85"/>
      <c r="AC94" s="85"/>
      <c r="AD94" s="85"/>
      <c r="AE94" s="85"/>
      <c r="AF94" s="85"/>
      <c r="AG94" s="85"/>
      <c r="AH94" s="85"/>
      <c r="AI94" s="85"/>
      <c r="AJ94" s="85"/>
      <c r="AK94" s="85"/>
      <c r="AL94" s="85"/>
    </row>
    <row r="95" spans="1:38" s="80" customFormat="1" x14ac:dyDescent="0.25">
      <c r="A95" s="116"/>
      <c r="B95" s="115"/>
      <c r="C95" s="115"/>
      <c r="D95" s="115"/>
      <c r="E95" s="115"/>
      <c r="F95" s="115"/>
      <c r="H95" s="95">
        <v>90</v>
      </c>
      <c r="I95" s="96" t="str">
        <f t="shared" si="9"/>
        <v/>
      </c>
      <c r="J95" s="96" t="e">
        <f t="shared" si="10"/>
        <v>#NUM!</v>
      </c>
      <c r="K95" s="95" t="e">
        <f t="shared" si="11"/>
        <v>#NUM!</v>
      </c>
      <c r="L95" s="95"/>
      <c r="M95" s="97">
        <f t="shared" si="12"/>
        <v>0</v>
      </c>
      <c r="S95" s="85"/>
      <c r="T95" s="85"/>
      <c r="U95" s="85"/>
      <c r="V95" s="85"/>
      <c r="W95" s="85"/>
      <c r="X95" s="85"/>
      <c r="Y95" s="85"/>
      <c r="Z95" s="85"/>
      <c r="AA95" s="85"/>
      <c r="AB95" s="85"/>
      <c r="AC95" s="85"/>
      <c r="AD95" s="85"/>
      <c r="AE95" s="85"/>
      <c r="AF95" s="85"/>
      <c r="AG95" s="85"/>
      <c r="AH95" s="85"/>
      <c r="AI95" s="85"/>
      <c r="AJ95" s="85"/>
      <c r="AK95" s="85"/>
      <c r="AL95" s="85"/>
    </row>
    <row r="96" spans="1:38" s="80" customFormat="1" x14ac:dyDescent="0.25">
      <c r="A96" s="116"/>
      <c r="B96" s="115"/>
      <c r="C96" s="115"/>
      <c r="D96" s="115"/>
      <c r="E96" s="115"/>
      <c r="F96" s="115"/>
      <c r="H96" s="95">
        <v>91</v>
      </c>
      <c r="I96" s="96" t="str">
        <f t="shared" si="9"/>
        <v/>
      </c>
      <c r="J96" s="96" t="e">
        <f t="shared" si="10"/>
        <v>#NUM!</v>
      </c>
      <c r="K96" s="95" t="e">
        <f t="shared" si="11"/>
        <v>#NUM!</v>
      </c>
      <c r="L96" s="95"/>
      <c r="M96" s="97">
        <f t="shared" si="12"/>
        <v>0</v>
      </c>
      <c r="S96" s="85"/>
      <c r="T96" s="85"/>
      <c r="U96" s="85"/>
      <c r="V96" s="85"/>
      <c r="W96" s="85"/>
      <c r="X96" s="85"/>
      <c r="Y96" s="85"/>
      <c r="Z96" s="85"/>
      <c r="AA96" s="85"/>
      <c r="AB96" s="85"/>
      <c r="AC96" s="85"/>
      <c r="AD96" s="85"/>
      <c r="AE96" s="85"/>
      <c r="AF96" s="85"/>
      <c r="AG96" s="85"/>
      <c r="AH96" s="85"/>
      <c r="AI96" s="85"/>
      <c r="AJ96" s="85"/>
      <c r="AK96" s="85"/>
      <c r="AL96" s="85"/>
    </row>
    <row r="97" spans="1:38" s="80" customFormat="1" x14ac:dyDescent="0.25">
      <c r="A97" s="116"/>
      <c r="B97" s="115"/>
      <c r="C97" s="115"/>
      <c r="D97" s="115"/>
      <c r="E97" s="115"/>
      <c r="F97" s="115"/>
      <c r="H97" s="95">
        <v>92</v>
      </c>
      <c r="I97" s="96" t="str">
        <f t="shared" si="9"/>
        <v/>
      </c>
      <c r="J97" s="96" t="e">
        <f t="shared" si="10"/>
        <v>#NUM!</v>
      </c>
      <c r="K97" s="95" t="e">
        <f t="shared" si="11"/>
        <v>#NUM!</v>
      </c>
      <c r="L97" s="95"/>
      <c r="M97" s="97">
        <f t="shared" si="12"/>
        <v>0</v>
      </c>
      <c r="S97" s="85"/>
      <c r="T97" s="85"/>
      <c r="U97" s="85"/>
      <c r="V97" s="85"/>
      <c r="W97" s="85"/>
      <c r="X97" s="85"/>
      <c r="Y97" s="85"/>
      <c r="Z97" s="85"/>
      <c r="AA97" s="85"/>
      <c r="AB97" s="85"/>
      <c r="AC97" s="85"/>
      <c r="AD97" s="85"/>
      <c r="AE97" s="85"/>
      <c r="AF97" s="85"/>
      <c r="AG97" s="85"/>
      <c r="AH97" s="85"/>
      <c r="AI97" s="85"/>
      <c r="AJ97" s="85"/>
      <c r="AK97" s="85"/>
      <c r="AL97" s="85"/>
    </row>
    <row r="98" spans="1:38" s="80" customFormat="1" x14ac:dyDescent="0.25">
      <c r="A98" s="116"/>
      <c r="B98" s="115"/>
      <c r="C98" s="115"/>
      <c r="D98" s="115"/>
      <c r="E98" s="115"/>
      <c r="F98" s="115"/>
      <c r="H98" s="95">
        <v>93</v>
      </c>
      <c r="I98" s="96" t="str">
        <f t="shared" si="9"/>
        <v/>
      </c>
      <c r="J98" s="96" t="e">
        <f t="shared" si="10"/>
        <v>#NUM!</v>
      </c>
      <c r="K98" s="95" t="e">
        <f t="shared" si="11"/>
        <v>#NUM!</v>
      </c>
      <c r="L98" s="95"/>
      <c r="M98" s="97">
        <f t="shared" si="12"/>
        <v>0</v>
      </c>
      <c r="S98" s="85"/>
      <c r="T98" s="85"/>
      <c r="U98" s="85"/>
      <c r="V98" s="85"/>
      <c r="W98" s="85"/>
      <c r="X98" s="85"/>
      <c r="Y98" s="85"/>
      <c r="Z98" s="85"/>
      <c r="AA98" s="85"/>
      <c r="AB98" s="85"/>
      <c r="AC98" s="85"/>
      <c r="AD98" s="85"/>
      <c r="AE98" s="85"/>
      <c r="AF98" s="85"/>
      <c r="AG98" s="85"/>
      <c r="AH98" s="85"/>
      <c r="AI98" s="85"/>
      <c r="AJ98" s="85"/>
      <c r="AK98" s="85"/>
      <c r="AL98" s="85"/>
    </row>
    <row r="99" spans="1:38" s="80" customFormat="1" x14ac:dyDescent="0.25">
      <c r="A99" s="116"/>
      <c r="B99" s="115"/>
      <c r="C99" s="115"/>
      <c r="D99" s="115"/>
      <c r="E99" s="115"/>
      <c r="F99" s="115"/>
      <c r="H99" s="95">
        <v>94</v>
      </c>
      <c r="I99" s="96" t="str">
        <f t="shared" si="9"/>
        <v/>
      </c>
      <c r="J99" s="96" t="e">
        <f t="shared" si="10"/>
        <v>#NUM!</v>
      </c>
      <c r="K99" s="95" t="e">
        <f t="shared" si="11"/>
        <v>#NUM!</v>
      </c>
      <c r="L99" s="95"/>
      <c r="M99" s="97">
        <f t="shared" si="12"/>
        <v>0</v>
      </c>
      <c r="S99" s="85"/>
      <c r="T99" s="85"/>
      <c r="U99" s="85"/>
      <c r="V99" s="85"/>
      <c r="W99" s="85"/>
      <c r="X99" s="85"/>
      <c r="Y99" s="85"/>
      <c r="Z99" s="85"/>
      <c r="AA99" s="85"/>
      <c r="AB99" s="85"/>
      <c r="AC99" s="85"/>
      <c r="AD99" s="85"/>
      <c r="AE99" s="85"/>
      <c r="AF99" s="85"/>
      <c r="AG99" s="85"/>
      <c r="AH99" s="85"/>
      <c r="AI99" s="85"/>
      <c r="AJ99" s="85"/>
      <c r="AK99" s="85"/>
      <c r="AL99" s="85"/>
    </row>
    <row r="100" spans="1:38" s="80" customFormat="1" x14ac:dyDescent="0.25">
      <c r="A100" s="116"/>
      <c r="B100" s="115"/>
      <c r="C100" s="115"/>
      <c r="D100" s="115"/>
      <c r="E100" s="115"/>
      <c r="F100" s="115"/>
      <c r="H100" s="95">
        <v>95</v>
      </c>
      <c r="I100" s="96" t="str">
        <f t="shared" si="9"/>
        <v/>
      </c>
      <c r="J100" s="96" t="e">
        <f t="shared" si="10"/>
        <v>#NUM!</v>
      </c>
      <c r="K100" s="95" t="e">
        <f t="shared" si="11"/>
        <v>#NUM!</v>
      </c>
      <c r="L100" s="95"/>
      <c r="M100" s="97">
        <f t="shared" si="12"/>
        <v>0</v>
      </c>
      <c r="S100" s="85"/>
      <c r="T100" s="85"/>
      <c r="U100" s="85"/>
      <c r="V100" s="85"/>
      <c r="W100" s="85"/>
      <c r="X100" s="85"/>
      <c r="Y100" s="85"/>
      <c r="Z100" s="85"/>
      <c r="AA100" s="85"/>
      <c r="AB100" s="85"/>
      <c r="AC100" s="85"/>
      <c r="AD100" s="85"/>
      <c r="AE100" s="85"/>
      <c r="AF100" s="85"/>
      <c r="AG100" s="85"/>
      <c r="AH100" s="85"/>
      <c r="AI100" s="85"/>
      <c r="AJ100" s="85"/>
      <c r="AK100" s="85"/>
      <c r="AL100" s="85"/>
    </row>
    <row r="101" spans="1:38" s="80" customFormat="1" x14ac:dyDescent="0.25">
      <c r="A101" s="116"/>
      <c r="B101" s="115"/>
      <c r="C101" s="115"/>
      <c r="D101" s="115"/>
      <c r="E101" s="115"/>
      <c r="F101" s="115"/>
      <c r="H101" s="95">
        <v>96</v>
      </c>
      <c r="I101" s="96" t="str">
        <f t="shared" si="9"/>
        <v/>
      </c>
      <c r="J101" s="96" t="e">
        <f t="shared" si="10"/>
        <v>#NUM!</v>
      </c>
      <c r="K101" s="95" t="e">
        <f t="shared" si="11"/>
        <v>#NUM!</v>
      </c>
      <c r="L101" s="95"/>
      <c r="M101" s="97">
        <f t="shared" si="12"/>
        <v>0</v>
      </c>
      <c r="S101" s="85"/>
      <c r="T101" s="85"/>
      <c r="U101" s="85"/>
      <c r="V101" s="85"/>
      <c r="W101" s="85"/>
      <c r="X101" s="85"/>
      <c r="Y101" s="85"/>
      <c r="Z101" s="85"/>
      <c r="AA101" s="85"/>
      <c r="AB101" s="85"/>
      <c r="AC101" s="85"/>
      <c r="AD101" s="85"/>
      <c r="AE101" s="85"/>
      <c r="AF101" s="85"/>
      <c r="AG101" s="85"/>
      <c r="AH101" s="85"/>
      <c r="AI101" s="85"/>
      <c r="AJ101" s="85"/>
      <c r="AK101" s="85"/>
      <c r="AL101" s="85"/>
    </row>
    <row r="102" spans="1:38" s="80" customFormat="1" x14ac:dyDescent="0.25">
      <c r="A102" s="116"/>
      <c r="B102" s="115"/>
      <c r="C102" s="115"/>
      <c r="D102" s="115"/>
      <c r="E102" s="115"/>
      <c r="F102" s="115"/>
      <c r="H102" s="95">
        <v>97</v>
      </c>
      <c r="I102" s="96" t="str">
        <f t="shared" si="9"/>
        <v/>
      </c>
      <c r="J102" s="96" t="e">
        <f t="shared" si="10"/>
        <v>#NUM!</v>
      </c>
      <c r="K102" s="95" t="e">
        <f t="shared" si="11"/>
        <v>#NUM!</v>
      </c>
      <c r="L102" s="95"/>
      <c r="M102" s="97">
        <f t="shared" si="12"/>
        <v>0</v>
      </c>
      <c r="S102" s="85"/>
      <c r="T102" s="85"/>
      <c r="U102" s="85"/>
      <c r="V102" s="85"/>
      <c r="W102" s="85"/>
      <c r="X102" s="85"/>
      <c r="Y102" s="85"/>
      <c r="Z102" s="85"/>
      <c r="AA102" s="85"/>
      <c r="AB102" s="85"/>
      <c r="AC102" s="85"/>
      <c r="AD102" s="85"/>
      <c r="AE102" s="85"/>
      <c r="AF102" s="85"/>
      <c r="AG102" s="85"/>
      <c r="AH102" s="85"/>
      <c r="AI102" s="85"/>
      <c r="AJ102" s="85"/>
      <c r="AK102" s="85"/>
      <c r="AL102" s="85"/>
    </row>
    <row r="103" spans="1:38" s="80" customFormat="1" x14ac:dyDescent="0.25">
      <c r="A103" s="116"/>
      <c r="B103" s="115"/>
      <c r="C103" s="115"/>
      <c r="D103" s="115"/>
      <c r="E103" s="115"/>
      <c r="F103" s="115"/>
      <c r="H103" s="95">
        <v>98</v>
      </c>
      <c r="I103" s="96" t="str">
        <f t="shared" si="9"/>
        <v/>
      </c>
      <c r="J103" s="96" t="e">
        <f t="shared" si="10"/>
        <v>#NUM!</v>
      </c>
      <c r="K103" s="95" t="e">
        <f t="shared" si="11"/>
        <v>#NUM!</v>
      </c>
      <c r="L103" s="95"/>
      <c r="M103" s="97">
        <f t="shared" si="12"/>
        <v>0</v>
      </c>
      <c r="S103" s="85"/>
      <c r="T103" s="85"/>
      <c r="U103" s="85"/>
      <c r="V103" s="85"/>
      <c r="W103" s="85"/>
      <c r="X103" s="85"/>
      <c r="Y103" s="85"/>
      <c r="Z103" s="85"/>
      <c r="AA103" s="85"/>
      <c r="AB103" s="85"/>
      <c r="AC103" s="85"/>
      <c r="AD103" s="85"/>
      <c r="AE103" s="85"/>
      <c r="AF103" s="85"/>
      <c r="AG103" s="85"/>
      <c r="AH103" s="85"/>
      <c r="AI103" s="85"/>
      <c r="AJ103" s="85"/>
      <c r="AK103" s="85"/>
      <c r="AL103" s="85"/>
    </row>
    <row r="104" spans="1:38" s="80" customFormat="1" x14ac:dyDescent="0.25">
      <c r="A104" s="116"/>
      <c r="B104" s="115"/>
      <c r="C104" s="115"/>
      <c r="D104" s="115"/>
      <c r="E104" s="115"/>
      <c r="F104" s="115"/>
      <c r="H104" s="95">
        <v>99</v>
      </c>
      <c r="I104" s="96" t="str">
        <f t="shared" si="9"/>
        <v/>
      </c>
      <c r="J104" s="96" t="e">
        <f t="shared" si="10"/>
        <v>#NUM!</v>
      </c>
      <c r="K104" s="95" t="e">
        <f t="shared" si="11"/>
        <v>#NUM!</v>
      </c>
      <c r="L104" s="95"/>
      <c r="M104" s="97">
        <f t="shared" si="12"/>
        <v>0</v>
      </c>
      <c r="S104" s="85"/>
      <c r="T104" s="85"/>
      <c r="U104" s="85"/>
      <c r="V104" s="85"/>
      <c r="W104" s="85"/>
      <c r="X104" s="85"/>
      <c r="Y104" s="85"/>
      <c r="Z104" s="85"/>
      <c r="AA104" s="85"/>
      <c r="AB104" s="85"/>
      <c r="AC104" s="85"/>
      <c r="AD104" s="85"/>
      <c r="AE104" s="85"/>
      <c r="AF104" s="85"/>
      <c r="AG104" s="85"/>
      <c r="AH104" s="85"/>
      <c r="AI104" s="85"/>
      <c r="AJ104" s="85"/>
      <c r="AK104" s="85"/>
      <c r="AL104" s="85"/>
    </row>
    <row r="105" spans="1:38" s="80" customFormat="1" x14ac:dyDescent="0.25">
      <c r="A105" s="116"/>
      <c r="B105" s="115"/>
      <c r="C105" s="115"/>
      <c r="D105" s="115"/>
      <c r="E105" s="115"/>
      <c r="F105" s="115"/>
      <c r="H105" s="95">
        <v>100</v>
      </c>
      <c r="I105" s="96" t="str">
        <f t="shared" si="9"/>
        <v/>
      </c>
      <c r="J105" s="96" t="e">
        <f t="shared" si="10"/>
        <v>#NUM!</v>
      </c>
      <c r="K105" s="95" t="e">
        <f t="shared" si="11"/>
        <v>#NUM!</v>
      </c>
      <c r="L105" s="95"/>
      <c r="M105" s="97">
        <f t="shared" si="12"/>
        <v>0</v>
      </c>
      <c r="S105" s="85"/>
      <c r="T105" s="85"/>
      <c r="U105" s="85"/>
      <c r="V105" s="85"/>
      <c r="W105" s="85"/>
      <c r="X105" s="85"/>
      <c r="Y105" s="85"/>
      <c r="Z105" s="85"/>
      <c r="AA105" s="85"/>
      <c r="AB105" s="85"/>
      <c r="AC105" s="85"/>
      <c r="AD105" s="85"/>
      <c r="AE105" s="85"/>
      <c r="AF105" s="85"/>
      <c r="AG105" s="85"/>
      <c r="AH105" s="85"/>
      <c r="AI105" s="85"/>
      <c r="AJ105" s="85"/>
      <c r="AK105" s="85"/>
      <c r="AL105" s="85"/>
    </row>
    <row r="106" spans="1:38" s="80" customFormat="1" x14ac:dyDescent="0.25">
      <c r="A106" s="116"/>
      <c r="B106" s="115"/>
      <c r="C106" s="115"/>
      <c r="D106" s="115"/>
      <c r="E106" s="115"/>
      <c r="F106" s="115"/>
      <c r="H106" s="95">
        <v>101</v>
      </c>
      <c r="I106" s="96" t="str">
        <f t="shared" si="9"/>
        <v/>
      </c>
      <c r="J106" s="96" t="e">
        <f t="shared" si="10"/>
        <v>#NUM!</v>
      </c>
      <c r="K106" s="95" t="e">
        <f t="shared" si="11"/>
        <v>#NUM!</v>
      </c>
      <c r="L106" s="95"/>
      <c r="M106" s="97">
        <f t="shared" si="12"/>
        <v>0</v>
      </c>
      <c r="S106" s="85"/>
      <c r="T106" s="85"/>
      <c r="U106" s="85"/>
      <c r="V106" s="85"/>
      <c r="W106" s="85"/>
      <c r="X106" s="85"/>
      <c r="Y106" s="85"/>
      <c r="Z106" s="85"/>
      <c r="AA106" s="85"/>
      <c r="AB106" s="85"/>
      <c r="AC106" s="85"/>
      <c r="AD106" s="85"/>
      <c r="AE106" s="85"/>
      <c r="AF106" s="85"/>
      <c r="AG106" s="85"/>
      <c r="AH106" s="85"/>
      <c r="AI106" s="85"/>
      <c r="AJ106" s="85"/>
      <c r="AK106" s="85"/>
      <c r="AL106" s="85"/>
    </row>
    <row r="107" spans="1:38" s="80" customFormat="1" x14ac:dyDescent="0.25">
      <c r="A107" s="116"/>
      <c r="B107" s="115"/>
      <c r="C107" s="115"/>
      <c r="D107" s="115"/>
      <c r="E107" s="115"/>
      <c r="F107" s="115"/>
      <c r="H107" s="95">
        <v>102</v>
      </c>
      <c r="I107" s="96" t="str">
        <f t="shared" si="9"/>
        <v/>
      </c>
      <c r="J107" s="96" t="e">
        <f t="shared" si="10"/>
        <v>#NUM!</v>
      </c>
      <c r="K107" s="95" t="e">
        <f t="shared" si="11"/>
        <v>#NUM!</v>
      </c>
      <c r="L107" s="95"/>
      <c r="M107" s="97">
        <f t="shared" si="12"/>
        <v>0</v>
      </c>
      <c r="S107" s="85"/>
      <c r="T107" s="85"/>
      <c r="U107" s="85"/>
      <c r="V107" s="85"/>
      <c r="W107" s="85"/>
      <c r="X107" s="85"/>
      <c r="Y107" s="85"/>
      <c r="Z107" s="85"/>
      <c r="AA107" s="85"/>
      <c r="AB107" s="85"/>
      <c r="AC107" s="85"/>
      <c r="AD107" s="85"/>
      <c r="AE107" s="85"/>
      <c r="AF107" s="85"/>
      <c r="AG107" s="85"/>
      <c r="AH107" s="85"/>
      <c r="AI107" s="85"/>
      <c r="AJ107" s="85"/>
      <c r="AK107" s="85"/>
      <c r="AL107" s="85"/>
    </row>
    <row r="108" spans="1:38" s="80" customFormat="1" x14ac:dyDescent="0.25">
      <c r="A108" s="116"/>
      <c r="B108" s="115"/>
      <c r="C108" s="115"/>
      <c r="D108" s="115"/>
      <c r="E108" s="115"/>
      <c r="F108" s="115"/>
      <c r="H108" s="95">
        <v>103</v>
      </c>
      <c r="I108" s="96" t="str">
        <f t="shared" si="9"/>
        <v/>
      </c>
      <c r="J108" s="96" t="e">
        <f t="shared" si="10"/>
        <v>#NUM!</v>
      </c>
      <c r="K108" s="95" t="e">
        <f t="shared" si="11"/>
        <v>#NUM!</v>
      </c>
      <c r="L108" s="95"/>
      <c r="M108" s="97">
        <f t="shared" si="12"/>
        <v>0</v>
      </c>
      <c r="S108" s="85"/>
      <c r="T108" s="85"/>
      <c r="U108" s="85"/>
      <c r="V108" s="85"/>
      <c r="W108" s="85"/>
      <c r="X108" s="85"/>
      <c r="Y108" s="85"/>
      <c r="Z108" s="85"/>
      <c r="AA108" s="85"/>
      <c r="AB108" s="85"/>
      <c r="AC108" s="85"/>
      <c r="AD108" s="85"/>
      <c r="AE108" s="85"/>
      <c r="AF108" s="85"/>
      <c r="AG108" s="85"/>
      <c r="AH108" s="85"/>
      <c r="AI108" s="85"/>
      <c r="AJ108" s="85"/>
      <c r="AK108" s="85"/>
      <c r="AL108" s="85"/>
    </row>
    <row r="109" spans="1:38" s="80" customFormat="1" x14ac:dyDescent="0.25">
      <c r="A109" s="116"/>
      <c r="B109" s="115"/>
      <c r="C109" s="115"/>
      <c r="D109" s="115"/>
      <c r="E109" s="115"/>
      <c r="F109" s="115"/>
      <c r="H109" s="95">
        <v>104</v>
      </c>
      <c r="I109" s="96" t="str">
        <f t="shared" si="9"/>
        <v/>
      </c>
      <c r="J109" s="96" t="e">
        <f t="shared" si="10"/>
        <v>#NUM!</v>
      </c>
      <c r="K109" s="95" t="e">
        <f t="shared" si="11"/>
        <v>#NUM!</v>
      </c>
      <c r="L109" s="95"/>
      <c r="M109" s="97">
        <f t="shared" si="12"/>
        <v>0</v>
      </c>
      <c r="S109" s="85"/>
      <c r="T109" s="85"/>
      <c r="U109" s="85"/>
      <c r="V109" s="85"/>
      <c r="W109" s="85"/>
      <c r="X109" s="85"/>
      <c r="Y109" s="85"/>
      <c r="Z109" s="85"/>
      <c r="AA109" s="85"/>
      <c r="AB109" s="85"/>
      <c r="AC109" s="85"/>
      <c r="AD109" s="85"/>
      <c r="AE109" s="85"/>
      <c r="AF109" s="85"/>
      <c r="AG109" s="85"/>
      <c r="AH109" s="85"/>
      <c r="AI109" s="85"/>
      <c r="AJ109" s="85"/>
      <c r="AK109" s="85"/>
      <c r="AL109" s="85"/>
    </row>
    <row r="110" spans="1:38" s="80" customFormat="1" x14ac:dyDescent="0.25">
      <c r="A110" s="116"/>
      <c r="B110" s="115"/>
      <c r="C110" s="115"/>
      <c r="D110" s="115"/>
      <c r="E110" s="115"/>
      <c r="F110" s="115"/>
      <c r="H110" s="95">
        <v>105</v>
      </c>
      <c r="I110" s="96" t="str">
        <f t="shared" si="9"/>
        <v/>
      </c>
      <c r="J110" s="96" t="e">
        <f t="shared" si="10"/>
        <v>#NUM!</v>
      </c>
      <c r="K110" s="95" t="e">
        <f t="shared" si="11"/>
        <v>#NUM!</v>
      </c>
      <c r="L110" s="95"/>
      <c r="M110" s="97">
        <f t="shared" si="12"/>
        <v>0</v>
      </c>
      <c r="S110" s="85"/>
      <c r="T110" s="85"/>
      <c r="U110" s="85"/>
      <c r="V110" s="85"/>
      <c r="W110" s="85"/>
      <c r="X110" s="85"/>
      <c r="Y110" s="85"/>
      <c r="Z110" s="85"/>
      <c r="AA110" s="85"/>
      <c r="AB110" s="85"/>
      <c r="AC110" s="85"/>
      <c r="AD110" s="85"/>
      <c r="AE110" s="85"/>
      <c r="AF110" s="85"/>
      <c r="AG110" s="85"/>
      <c r="AH110" s="85"/>
      <c r="AI110" s="85"/>
      <c r="AJ110" s="85"/>
      <c r="AK110" s="85"/>
      <c r="AL110" s="85"/>
    </row>
    <row r="111" spans="1:38" s="80" customFormat="1" x14ac:dyDescent="0.25">
      <c r="A111" s="116"/>
      <c r="B111" s="115"/>
      <c r="C111" s="115"/>
      <c r="D111" s="115"/>
      <c r="E111" s="115"/>
      <c r="F111" s="115"/>
      <c r="H111" s="95">
        <v>106</v>
      </c>
      <c r="I111" s="96" t="str">
        <f t="shared" si="9"/>
        <v/>
      </c>
      <c r="J111" s="96" t="e">
        <f t="shared" si="10"/>
        <v>#NUM!</v>
      </c>
      <c r="K111" s="95" t="e">
        <f t="shared" si="11"/>
        <v>#NUM!</v>
      </c>
      <c r="L111" s="95"/>
      <c r="M111" s="97">
        <f t="shared" si="12"/>
        <v>0</v>
      </c>
      <c r="S111" s="85"/>
      <c r="T111" s="85"/>
      <c r="U111" s="85"/>
      <c r="V111" s="85"/>
      <c r="W111" s="85"/>
      <c r="X111" s="85"/>
      <c r="Y111" s="85"/>
      <c r="Z111" s="85"/>
      <c r="AA111" s="85"/>
      <c r="AB111" s="85"/>
      <c r="AC111" s="85"/>
      <c r="AD111" s="85"/>
      <c r="AE111" s="85"/>
      <c r="AF111" s="85"/>
      <c r="AG111" s="85"/>
      <c r="AH111" s="85"/>
      <c r="AI111" s="85"/>
      <c r="AJ111" s="85"/>
      <c r="AK111" s="85"/>
      <c r="AL111" s="85"/>
    </row>
    <row r="112" spans="1:38" s="80" customFormat="1" x14ac:dyDescent="0.25">
      <c r="A112" s="116"/>
      <c r="B112" s="115"/>
      <c r="C112" s="115"/>
      <c r="D112" s="115"/>
      <c r="E112" s="115"/>
      <c r="F112" s="115"/>
      <c r="H112" s="95">
        <v>107</v>
      </c>
      <c r="I112" s="96" t="str">
        <f t="shared" si="9"/>
        <v/>
      </c>
      <c r="J112" s="96" t="e">
        <f t="shared" si="10"/>
        <v>#NUM!</v>
      </c>
      <c r="K112" s="95" t="e">
        <f t="shared" si="11"/>
        <v>#NUM!</v>
      </c>
      <c r="L112" s="95"/>
      <c r="M112" s="97">
        <f t="shared" si="12"/>
        <v>0</v>
      </c>
      <c r="S112" s="85"/>
      <c r="T112" s="85"/>
      <c r="U112" s="85"/>
      <c r="V112" s="85"/>
      <c r="W112" s="85"/>
      <c r="X112" s="85"/>
      <c r="Y112" s="85"/>
      <c r="Z112" s="85"/>
      <c r="AA112" s="85"/>
      <c r="AB112" s="85"/>
      <c r="AC112" s="85"/>
      <c r="AD112" s="85"/>
      <c r="AE112" s="85"/>
      <c r="AF112" s="85"/>
      <c r="AG112" s="85"/>
      <c r="AH112" s="85"/>
      <c r="AI112" s="85"/>
      <c r="AJ112" s="85"/>
      <c r="AK112" s="85"/>
      <c r="AL112" s="85"/>
    </row>
    <row r="113" spans="1:38" s="80" customFormat="1" x14ac:dyDescent="0.25">
      <c r="A113" s="116"/>
      <c r="B113" s="115"/>
      <c r="C113" s="115"/>
      <c r="D113" s="115"/>
      <c r="E113" s="115"/>
      <c r="F113" s="115"/>
      <c r="H113" s="95">
        <v>108</v>
      </c>
      <c r="I113" s="96" t="str">
        <f t="shared" si="9"/>
        <v/>
      </c>
      <c r="J113" s="96" t="e">
        <f t="shared" si="10"/>
        <v>#NUM!</v>
      </c>
      <c r="K113" s="95" t="e">
        <f t="shared" si="11"/>
        <v>#NUM!</v>
      </c>
      <c r="L113" s="95"/>
      <c r="M113" s="97">
        <f t="shared" si="12"/>
        <v>0</v>
      </c>
      <c r="S113" s="85"/>
      <c r="T113" s="85"/>
      <c r="U113" s="85"/>
      <c r="V113" s="85"/>
      <c r="W113" s="85"/>
      <c r="X113" s="85"/>
      <c r="Y113" s="85"/>
      <c r="Z113" s="85"/>
      <c r="AA113" s="85"/>
      <c r="AB113" s="85"/>
      <c r="AC113" s="85"/>
      <c r="AD113" s="85"/>
      <c r="AE113" s="85"/>
      <c r="AF113" s="85"/>
      <c r="AG113" s="85"/>
      <c r="AH113" s="85"/>
      <c r="AI113" s="85"/>
      <c r="AJ113" s="85"/>
      <c r="AK113" s="85"/>
      <c r="AL113" s="85"/>
    </row>
    <row r="114" spans="1:38" s="80" customFormat="1" x14ac:dyDescent="0.25">
      <c r="A114" s="116"/>
      <c r="B114" s="115"/>
      <c r="C114" s="115"/>
      <c r="D114" s="115"/>
      <c r="E114" s="115"/>
      <c r="F114" s="115"/>
      <c r="H114" s="95">
        <v>109</v>
      </c>
      <c r="I114" s="96" t="str">
        <f t="shared" si="9"/>
        <v/>
      </c>
      <c r="J114" s="96" t="e">
        <f t="shared" si="10"/>
        <v>#NUM!</v>
      </c>
      <c r="K114" s="95" t="e">
        <f t="shared" si="11"/>
        <v>#NUM!</v>
      </c>
      <c r="L114" s="95"/>
      <c r="M114" s="97">
        <f t="shared" si="12"/>
        <v>0</v>
      </c>
      <c r="S114" s="85"/>
      <c r="T114" s="85"/>
      <c r="U114" s="85"/>
      <c r="V114" s="85"/>
      <c r="W114" s="85"/>
      <c r="X114" s="85"/>
      <c r="Y114" s="85"/>
      <c r="Z114" s="85"/>
      <c r="AA114" s="85"/>
      <c r="AB114" s="85"/>
      <c r="AC114" s="85"/>
      <c r="AD114" s="85"/>
      <c r="AE114" s="85"/>
      <c r="AF114" s="85"/>
      <c r="AG114" s="85"/>
      <c r="AH114" s="85"/>
      <c r="AI114" s="85"/>
      <c r="AJ114" s="85"/>
      <c r="AK114" s="85"/>
      <c r="AL114" s="85"/>
    </row>
    <row r="115" spans="1:38" s="80" customFormat="1" x14ac:dyDescent="0.25">
      <c r="A115" s="116"/>
      <c r="B115" s="115"/>
      <c r="C115" s="115"/>
      <c r="D115" s="115"/>
      <c r="E115" s="115"/>
      <c r="F115" s="115"/>
      <c r="H115" s="95">
        <v>110</v>
      </c>
      <c r="I115" s="96" t="str">
        <f t="shared" si="9"/>
        <v/>
      </c>
      <c r="J115" s="96" t="e">
        <f t="shared" si="10"/>
        <v>#NUM!</v>
      </c>
      <c r="K115" s="95" t="e">
        <f t="shared" si="11"/>
        <v>#NUM!</v>
      </c>
      <c r="L115" s="95"/>
      <c r="M115" s="97">
        <f t="shared" si="12"/>
        <v>0</v>
      </c>
      <c r="S115" s="85"/>
      <c r="T115" s="85"/>
      <c r="U115" s="85"/>
      <c r="V115" s="85"/>
      <c r="W115" s="85"/>
      <c r="X115" s="85"/>
      <c r="Y115" s="85"/>
      <c r="Z115" s="85"/>
      <c r="AA115" s="85"/>
      <c r="AB115" s="85"/>
      <c r="AC115" s="85"/>
      <c r="AD115" s="85"/>
      <c r="AE115" s="85"/>
      <c r="AF115" s="85"/>
      <c r="AG115" s="85"/>
      <c r="AH115" s="85"/>
      <c r="AI115" s="85"/>
      <c r="AJ115" s="85"/>
      <c r="AK115" s="85"/>
      <c r="AL115" s="85"/>
    </row>
    <row r="116" spans="1:38" s="80" customFormat="1" x14ac:dyDescent="0.25">
      <c r="A116" s="116"/>
      <c r="B116" s="115"/>
      <c r="C116" s="115"/>
      <c r="D116" s="115"/>
      <c r="E116" s="115"/>
      <c r="F116" s="115"/>
      <c r="H116" s="95">
        <v>111</v>
      </c>
      <c r="I116" s="96" t="str">
        <f t="shared" si="9"/>
        <v/>
      </c>
      <c r="J116" s="96" t="e">
        <f t="shared" si="10"/>
        <v>#NUM!</v>
      </c>
      <c r="K116" s="95" t="e">
        <f t="shared" si="11"/>
        <v>#NUM!</v>
      </c>
      <c r="L116" s="95"/>
      <c r="M116" s="97">
        <f t="shared" si="12"/>
        <v>0</v>
      </c>
      <c r="S116" s="85"/>
      <c r="T116" s="85"/>
      <c r="U116" s="85"/>
      <c r="V116" s="85"/>
      <c r="W116" s="85"/>
      <c r="X116" s="85"/>
      <c r="Y116" s="85"/>
      <c r="Z116" s="85"/>
      <c r="AA116" s="85"/>
      <c r="AB116" s="85"/>
      <c r="AC116" s="85"/>
      <c r="AD116" s="85"/>
      <c r="AE116" s="85"/>
      <c r="AF116" s="85"/>
      <c r="AG116" s="85"/>
      <c r="AH116" s="85"/>
      <c r="AI116" s="85"/>
      <c r="AJ116" s="85"/>
      <c r="AK116" s="85"/>
      <c r="AL116" s="85"/>
    </row>
    <row r="117" spans="1:38" s="80" customFormat="1" x14ac:dyDescent="0.25">
      <c r="A117" s="116"/>
      <c r="B117" s="115"/>
      <c r="C117" s="115"/>
      <c r="D117" s="115"/>
      <c r="E117" s="115"/>
      <c r="F117" s="115"/>
      <c r="H117" s="95">
        <v>112</v>
      </c>
      <c r="I117" s="96" t="str">
        <f t="shared" si="9"/>
        <v/>
      </c>
      <c r="J117" s="96" t="e">
        <f t="shared" si="10"/>
        <v>#NUM!</v>
      </c>
      <c r="K117" s="95" t="e">
        <f t="shared" si="11"/>
        <v>#NUM!</v>
      </c>
      <c r="L117" s="95"/>
      <c r="M117" s="97">
        <f t="shared" si="12"/>
        <v>0</v>
      </c>
      <c r="S117" s="85"/>
      <c r="T117" s="85"/>
      <c r="U117" s="85"/>
      <c r="V117" s="85"/>
      <c r="W117" s="85"/>
      <c r="X117" s="85"/>
      <c r="Y117" s="85"/>
      <c r="Z117" s="85"/>
      <c r="AA117" s="85"/>
      <c r="AB117" s="85"/>
      <c r="AC117" s="85"/>
      <c r="AD117" s="85"/>
      <c r="AE117" s="85"/>
      <c r="AF117" s="85"/>
      <c r="AG117" s="85"/>
      <c r="AH117" s="85"/>
      <c r="AI117" s="85"/>
      <c r="AJ117" s="85"/>
      <c r="AK117" s="85"/>
      <c r="AL117" s="85"/>
    </row>
    <row r="118" spans="1:38" s="80" customFormat="1" x14ac:dyDescent="0.25">
      <c r="A118" s="116"/>
      <c r="B118" s="115"/>
      <c r="C118" s="115"/>
      <c r="D118" s="115"/>
      <c r="E118" s="115"/>
      <c r="F118" s="115"/>
      <c r="H118" s="95">
        <v>113</v>
      </c>
      <c r="I118" s="96" t="str">
        <f t="shared" si="9"/>
        <v/>
      </c>
      <c r="J118" s="96" t="e">
        <f t="shared" si="10"/>
        <v>#NUM!</v>
      </c>
      <c r="K118" s="95" t="e">
        <f t="shared" si="11"/>
        <v>#NUM!</v>
      </c>
      <c r="L118" s="95"/>
      <c r="M118" s="97">
        <f t="shared" si="12"/>
        <v>0</v>
      </c>
      <c r="S118" s="85"/>
      <c r="T118" s="85"/>
      <c r="U118" s="85"/>
      <c r="V118" s="85"/>
      <c r="W118" s="85"/>
      <c r="X118" s="85"/>
      <c r="Y118" s="85"/>
      <c r="Z118" s="85"/>
      <c r="AA118" s="85"/>
      <c r="AB118" s="85"/>
      <c r="AC118" s="85"/>
      <c r="AD118" s="85"/>
      <c r="AE118" s="85"/>
      <c r="AF118" s="85"/>
      <c r="AG118" s="85"/>
      <c r="AH118" s="85"/>
      <c r="AI118" s="85"/>
      <c r="AJ118" s="85"/>
      <c r="AK118" s="85"/>
      <c r="AL118" s="85"/>
    </row>
    <row r="119" spans="1:38" s="80" customFormat="1" x14ac:dyDescent="0.25">
      <c r="A119" s="116"/>
      <c r="B119" s="115"/>
      <c r="C119" s="115"/>
      <c r="D119" s="115"/>
      <c r="E119" s="115"/>
      <c r="F119" s="115"/>
      <c r="H119" s="95">
        <v>114</v>
      </c>
      <c r="I119" s="96" t="str">
        <f t="shared" si="9"/>
        <v/>
      </c>
      <c r="J119" s="96" t="e">
        <f t="shared" si="10"/>
        <v>#NUM!</v>
      </c>
      <c r="K119" s="95" t="e">
        <f t="shared" si="11"/>
        <v>#NUM!</v>
      </c>
      <c r="L119" s="95"/>
      <c r="M119" s="97">
        <f t="shared" si="12"/>
        <v>0</v>
      </c>
      <c r="S119" s="85"/>
      <c r="T119" s="85"/>
      <c r="U119" s="85"/>
      <c r="V119" s="85"/>
      <c r="W119" s="85"/>
      <c r="X119" s="85"/>
      <c r="Y119" s="85"/>
      <c r="Z119" s="85"/>
      <c r="AA119" s="85"/>
      <c r="AB119" s="85"/>
      <c r="AC119" s="85"/>
      <c r="AD119" s="85"/>
      <c r="AE119" s="85"/>
      <c r="AF119" s="85"/>
      <c r="AG119" s="85"/>
      <c r="AH119" s="85"/>
      <c r="AI119" s="85"/>
      <c r="AJ119" s="85"/>
      <c r="AK119" s="85"/>
      <c r="AL119" s="85"/>
    </row>
    <row r="120" spans="1:38" s="80" customFormat="1" x14ac:dyDescent="0.25">
      <c r="A120" s="116"/>
      <c r="B120" s="115"/>
      <c r="C120" s="115"/>
      <c r="D120" s="115"/>
      <c r="E120" s="115"/>
      <c r="F120" s="115"/>
      <c r="H120" s="95">
        <v>115</v>
      </c>
      <c r="I120" s="96" t="str">
        <f t="shared" si="9"/>
        <v/>
      </c>
      <c r="J120" s="96" t="e">
        <f t="shared" si="10"/>
        <v>#NUM!</v>
      </c>
      <c r="K120" s="95" t="e">
        <f t="shared" si="11"/>
        <v>#NUM!</v>
      </c>
      <c r="L120" s="95"/>
      <c r="M120" s="97">
        <f t="shared" si="12"/>
        <v>0</v>
      </c>
      <c r="S120" s="85"/>
      <c r="T120" s="85"/>
      <c r="U120" s="85"/>
      <c r="V120" s="85"/>
      <c r="W120" s="85"/>
      <c r="X120" s="85"/>
      <c r="Y120" s="85"/>
      <c r="Z120" s="85"/>
      <c r="AA120" s="85"/>
      <c r="AB120" s="85"/>
      <c r="AC120" s="85"/>
      <c r="AD120" s="85"/>
      <c r="AE120" s="85"/>
      <c r="AF120" s="85"/>
      <c r="AG120" s="85"/>
      <c r="AH120" s="85"/>
      <c r="AI120" s="85"/>
      <c r="AJ120" s="85"/>
      <c r="AK120" s="85"/>
      <c r="AL120" s="85"/>
    </row>
    <row r="121" spans="1:38" s="80" customFormat="1" x14ac:dyDescent="0.25">
      <c r="A121" s="116"/>
      <c r="B121" s="115"/>
      <c r="C121" s="115"/>
      <c r="D121" s="115"/>
      <c r="E121" s="115"/>
      <c r="F121" s="115"/>
      <c r="H121" s="95">
        <v>116</v>
      </c>
      <c r="I121" s="96" t="str">
        <f t="shared" si="9"/>
        <v/>
      </c>
      <c r="J121" s="96" t="e">
        <f t="shared" si="10"/>
        <v>#NUM!</v>
      </c>
      <c r="K121" s="95" t="e">
        <f t="shared" si="11"/>
        <v>#NUM!</v>
      </c>
      <c r="L121" s="95"/>
      <c r="M121" s="97">
        <f t="shared" si="12"/>
        <v>0</v>
      </c>
      <c r="S121" s="85"/>
      <c r="T121" s="85"/>
      <c r="U121" s="85"/>
      <c r="V121" s="85"/>
      <c r="W121" s="85"/>
      <c r="X121" s="85"/>
      <c r="Y121" s="85"/>
      <c r="Z121" s="85"/>
      <c r="AA121" s="85"/>
      <c r="AB121" s="85"/>
      <c r="AC121" s="85"/>
      <c r="AD121" s="85"/>
      <c r="AE121" s="85"/>
      <c r="AF121" s="85"/>
      <c r="AG121" s="85"/>
      <c r="AH121" s="85"/>
      <c r="AI121" s="85"/>
      <c r="AJ121" s="85"/>
      <c r="AK121" s="85"/>
      <c r="AL121" s="85"/>
    </row>
    <row r="122" spans="1:38" s="80" customFormat="1" x14ac:dyDescent="0.25">
      <c r="A122" s="116"/>
      <c r="B122" s="115"/>
      <c r="C122" s="115"/>
      <c r="D122" s="115"/>
      <c r="E122" s="115"/>
      <c r="F122" s="115"/>
      <c r="H122" s="95">
        <v>117</v>
      </c>
      <c r="I122" s="96" t="str">
        <f t="shared" si="9"/>
        <v/>
      </c>
      <c r="J122" s="96" t="e">
        <f t="shared" si="10"/>
        <v>#NUM!</v>
      </c>
      <c r="K122" s="95" t="e">
        <f t="shared" si="11"/>
        <v>#NUM!</v>
      </c>
      <c r="L122" s="95"/>
      <c r="M122" s="97">
        <f t="shared" si="12"/>
        <v>0</v>
      </c>
      <c r="S122" s="85"/>
      <c r="T122" s="85"/>
      <c r="U122" s="85"/>
      <c r="V122" s="85"/>
      <c r="W122" s="85"/>
      <c r="X122" s="85"/>
      <c r="Y122" s="85"/>
      <c r="Z122" s="85"/>
      <c r="AA122" s="85"/>
      <c r="AB122" s="85"/>
      <c r="AC122" s="85"/>
      <c r="AD122" s="85"/>
      <c r="AE122" s="85"/>
      <c r="AF122" s="85"/>
      <c r="AG122" s="85"/>
      <c r="AH122" s="85"/>
      <c r="AI122" s="85"/>
      <c r="AJ122" s="85"/>
      <c r="AK122" s="85"/>
      <c r="AL122" s="85"/>
    </row>
    <row r="123" spans="1:38" s="80" customFormat="1" x14ac:dyDescent="0.25">
      <c r="A123" s="116"/>
      <c r="B123" s="115"/>
      <c r="C123" s="115"/>
      <c r="D123" s="115"/>
      <c r="E123" s="115"/>
      <c r="F123" s="115"/>
      <c r="H123" s="95">
        <v>118</v>
      </c>
      <c r="I123" s="96" t="str">
        <f t="shared" si="9"/>
        <v/>
      </c>
      <c r="J123" s="96" t="e">
        <f t="shared" si="10"/>
        <v>#NUM!</v>
      </c>
      <c r="K123" s="95" t="e">
        <f t="shared" si="11"/>
        <v>#NUM!</v>
      </c>
      <c r="L123" s="95"/>
      <c r="M123" s="97">
        <f t="shared" si="12"/>
        <v>0</v>
      </c>
      <c r="S123" s="85"/>
      <c r="T123" s="85"/>
      <c r="U123" s="85"/>
      <c r="V123" s="85"/>
      <c r="W123" s="85"/>
      <c r="X123" s="85"/>
      <c r="Y123" s="85"/>
      <c r="Z123" s="85"/>
      <c r="AA123" s="85"/>
      <c r="AB123" s="85"/>
      <c r="AC123" s="85"/>
      <c r="AD123" s="85"/>
      <c r="AE123" s="85"/>
      <c r="AF123" s="85"/>
      <c r="AG123" s="85"/>
      <c r="AH123" s="85"/>
      <c r="AI123" s="85"/>
      <c r="AJ123" s="85"/>
      <c r="AK123" s="85"/>
      <c r="AL123" s="85"/>
    </row>
    <row r="124" spans="1:38" s="80" customFormat="1" x14ac:dyDescent="0.25">
      <c r="A124" s="116"/>
      <c r="B124" s="115"/>
      <c r="C124" s="115"/>
      <c r="D124" s="115"/>
      <c r="E124" s="115"/>
      <c r="F124" s="115"/>
      <c r="H124" s="95">
        <v>119</v>
      </c>
      <c r="I124" s="96" t="str">
        <f t="shared" si="9"/>
        <v/>
      </c>
      <c r="J124" s="96" t="e">
        <f t="shared" si="10"/>
        <v>#NUM!</v>
      </c>
      <c r="K124" s="95" t="e">
        <f t="shared" si="11"/>
        <v>#NUM!</v>
      </c>
      <c r="L124" s="95"/>
      <c r="M124" s="97">
        <f t="shared" si="12"/>
        <v>0</v>
      </c>
      <c r="S124" s="85"/>
      <c r="T124" s="85"/>
      <c r="U124" s="85"/>
      <c r="V124" s="85"/>
      <c r="W124" s="85"/>
      <c r="X124" s="85"/>
      <c r="Y124" s="85"/>
      <c r="Z124" s="85"/>
      <c r="AA124" s="85"/>
      <c r="AB124" s="85"/>
      <c r="AC124" s="85"/>
      <c r="AD124" s="85"/>
      <c r="AE124" s="85"/>
      <c r="AF124" s="85"/>
      <c r="AG124" s="85"/>
      <c r="AH124" s="85"/>
      <c r="AI124" s="85"/>
      <c r="AJ124" s="85"/>
      <c r="AK124" s="85"/>
      <c r="AL124" s="85"/>
    </row>
    <row r="125" spans="1:38" s="80" customFormat="1" x14ac:dyDescent="0.25">
      <c r="A125" s="116"/>
      <c r="B125" s="115"/>
      <c r="C125" s="115"/>
      <c r="D125" s="115"/>
      <c r="E125" s="115"/>
      <c r="F125" s="115"/>
      <c r="H125" s="95">
        <v>120</v>
      </c>
      <c r="I125" s="96" t="str">
        <f t="shared" si="9"/>
        <v/>
      </c>
      <c r="J125" s="96" t="e">
        <f t="shared" si="10"/>
        <v>#NUM!</v>
      </c>
      <c r="K125" s="95" t="e">
        <f t="shared" si="11"/>
        <v>#NUM!</v>
      </c>
      <c r="L125" s="95"/>
      <c r="M125" s="97">
        <f t="shared" si="12"/>
        <v>0</v>
      </c>
      <c r="S125" s="85"/>
      <c r="T125" s="85"/>
      <c r="U125" s="85"/>
      <c r="V125" s="85"/>
      <c r="W125" s="85"/>
      <c r="X125" s="85"/>
      <c r="Y125" s="85"/>
      <c r="Z125" s="85"/>
      <c r="AA125" s="85"/>
      <c r="AB125" s="85"/>
      <c r="AC125" s="85"/>
      <c r="AD125" s="85"/>
      <c r="AE125" s="85"/>
      <c r="AF125" s="85"/>
      <c r="AG125" s="85"/>
      <c r="AH125" s="85"/>
      <c r="AI125" s="85"/>
      <c r="AJ125" s="85"/>
      <c r="AK125" s="85"/>
      <c r="AL125" s="85"/>
    </row>
    <row r="126" spans="1:38" s="80" customFormat="1" x14ac:dyDescent="0.25">
      <c r="A126" s="116"/>
      <c r="B126" s="115"/>
      <c r="C126" s="115"/>
      <c r="D126" s="115"/>
      <c r="E126" s="115"/>
      <c r="F126" s="115"/>
      <c r="H126" s="95">
        <v>121</v>
      </c>
      <c r="I126" s="96" t="str">
        <f t="shared" si="9"/>
        <v/>
      </c>
      <c r="J126" s="96" t="e">
        <f t="shared" si="10"/>
        <v>#NUM!</v>
      </c>
      <c r="K126" s="95" t="e">
        <f t="shared" si="11"/>
        <v>#NUM!</v>
      </c>
      <c r="L126" s="95"/>
      <c r="M126" s="97">
        <f t="shared" si="12"/>
        <v>0</v>
      </c>
      <c r="S126" s="85"/>
      <c r="T126" s="85"/>
      <c r="U126" s="85"/>
      <c r="V126" s="85"/>
      <c r="W126" s="85"/>
      <c r="X126" s="85"/>
      <c r="Y126" s="85"/>
      <c r="Z126" s="85"/>
      <c r="AA126" s="85"/>
      <c r="AB126" s="85"/>
      <c r="AC126" s="85"/>
      <c r="AD126" s="85"/>
      <c r="AE126" s="85"/>
      <c r="AF126" s="85"/>
      <c r="AG126" s="85"/>
      <c r="AH126" s="85"/>
      <c r="AI126" s="85"/>
      <c r="AJ126" s="85"/>
      <c r="AK126" s="85"/>
      <c r="AL126" s="85"/>
    </row>
    <row r="127" spans="1:38" s="80" customFormat="1" x14ac:dyDescent="0.25">
      <c r="A127" s="116"/>
      <c r="B127" s="115"/>
      <c r="C127" s="115"/>
      <c r="D127" s="115"/>
      <c r="E127" s="115"/>
      <c r="F127" s="115"/>
      <c r="H127" s="95">
        <v>122</v>
      </c>
      <c r="I127" s="96" t="str">
        <f t="shared" si="9"/>
        <v/>
      </c>
      <c r="J127" s="96" t="e">
        <f t="shared" si="10"/>
        <v>#NUM!</v>
      </c>
      <c r="K127" s="95" t="e">
        <f t="shared" si="11"/>
        <v>#NUM!</v>
      </c>
      <c r="L127" s="95"/>
      <c r="M127" s="97">
        <f t="shared" si="12"/>
        <v>0</v>
      </c>
      <c r="S127" s="85"/>
      <c r="T127" s="85"/>
      <c r="U127" s="85"/>
      <c r="V127" s="85"/>
      <c r="W127" s="85"/>
      <c r="X127" s="85"/>
      <c r="Y127" s="85"/>
      <c r="Z127" s="85"/>
      <c r="AA127" s="85"/>
      <c r="AB127" s="85"/>
      <c r="AC127" s="85"/>
      <c r="AD127" s="85"/>
      <c r="AE127" s="85"/>
      <c r="AF127" s="85"/>
      <c r="AG127" s="85"/>
      <c r="AH127" s="85"/>
      <c r="AI127" s="85"/>
      <c r="AJ127" s="85"/>
      <c r="AK127" s="85"/>
      <c r="AL127" s="85"/>
    </row>
    <row r="128" spans="1:38" s="80" customFormat="1" x14ac:dyDescent="0.25">
      <c r="A128" s="116"/>
      <c r="B128" s="115"/>
      <c r="C128" s="115"/>
      <c r="D128" s="115"/>
      <c r="E128" s="115"/>
      <c r="F128" s="115"/>
      <c r="H128" s="95">
        <v>123</v>
      </c>
      <c r="I128" s="96" t="str">
        <f t="shared" si="9"/>
        <v/>
      </c>
      <c r="J128" s="96" t="e">
        <f t="shared" si="10"/>
        <v>#NUM!</v>
      </c>
      <c r="K128" s="95" t="e">
        <f t="shared" si="11"/>
        <v>#NUM!</v>
      </c>
      <c r="L128" s="95"/>
      <c r="M128" s="97">
        <f t="shared" si="12"/>
        <v>0</v>
      </c>
      <c r="S128" s="85"/>
      <c r="T128" s="85"/>
      <c r="U128" s="85"/>
      <c r="V128" s="85"/>
      <c r="W128" s="85"/>
      <c r="X128" s="85"/>
      <c r="Y128" s="85"/>
      <c r="Z128" s="85"/>
      <c r="AA128" s="85"/>
      <c r="AB128" s="85"/>
      <c r="AC128" s="85"/>
      <c r="AD128" s="85"/>
      <c r="AE128" s="85"/>
      <c r="AF128" s="85"/>
      <c r="AG128" s="85"/>
      <c r="AH128" s="85"/>
      <c r="AI128" s="85"/>
      <c r="AJ128" s="85"/>
      <c r="AK128" s="85"/>
      <c r="AL128" s="85"/>
    </row>
    <row r="129" spans="1:38" s="80" customFormat="1" x14ac:dyDescent="0.25">
      <c r="A129" s="116"/>
      <c r="B129" s="115"/>
      <c r="C129" s="115"/>
      <c r="D129" s="115"/>
      <c r="E129" s="115"/>
      <c r="F129" s="115"/>
      <c r="H129" s="95">
        <v>124</v>
      </c>
      <c r="I129" s="96" t="str">
        <f t="shared" si="9"/>
        <v/>
      </c>
      <c r="J129" s="96" t="e">
        <f t="shared" si="10"/>
        <v>#NUM!</v>
      </c>
      <c r="K129" s="95" t="e">
        <f t="shared" si="11"/>
        <v>#NUM!</v>
      </c>
      <c r="L129" s="95"/>
      <c r="M129" s="97">
        <f t="shared" si="12"/>
        <v>0</v>
      </c>
      <c r="S129" s="85"/>
      <c r="T129" s="85"/>
      <c r="U129" s="85"/>
      <c r="V129" s="85"/>
      <c r="W129" s="85"/>
      <c r="X129" s="85"/>
      <c r="Y129" s="85"/>
      <c r="Z129" s="85"/>
      <c r="AA129" s="85"/>
      <c r="AB129" s="85"/>
      <c r="AC129" s="85"/>
      <c r="AD129" s="85"/>
      <c r="AE129" s="85"/>
      <c r="AF129" s="85"/>
      <c r="AG129" s="85"/>
      <c r="AH129" s="85"/>
      <c r="AI129" s="85"/>
      <c r="AJ129" s="85"/>
      <c r="AK129" s="85"/>
      <c r="AL129" s="85"/>
    </row>
    <row r="130" spans="1:38" s="80" customFormat="1" x14ac:dyDescent="0.25">
      <c r="A130" s="116"/>
      <c r="B130" s="115"/>
      <c r="C130" s="115"/>
      <c r="D130" s="115"/>
      <c r="E130" s="115"/>
      <c r="F130" s="115"/>
      <c r="H130" s="95">
        <v>125</v>
      </c>
      <c r="I130" s="96" t="str">
        <f t="shared" si="9"/>
        <v/>
      </c>
      <c r="J130" s="96" t="e">
        <f t="shared" si="10"/>
        <v>#NUM!</v>
      </c>
      <c r="K130" s="95" t="e">
        <f t="shared" si="11"/>
        <v>#NUM!</v>
      </c>
      <c r="L130" s="95"/>
      <c r="M130" s="97">
        <f t="shared" si="12"/>
        <v>0</v>
      </c>
      <c r="S130" s="85"/>
      <c r="T130" s="85"/>
      <c r="U130" s="85"/>
      <c r="V130" s="85"/>
      <c r="W130" s="85"/>
      <c r="X130" s="85"/>
      <c r="Y130" s="85"/>
      <c r="Z130" s="85"/>
      <c r="AA130" s="85"/>
      <c r="AB130" s="85"/>
      <c r="AC130" s="85"/>
      <c r="AD130" s="85"/>
      <c r="AE130" s="85"/>
      <c r="AF130" s="85"/>
      <c r="AG130" s="85"/>
      <c r="AH130" s="85"/>
      <c r="AI130" s="85"/>
      <c r="AJ130" s="85"/>
      <c r="AK130" s="85"/>
      <c r="AL130" s="85"/>
    </row>
    <row r="131" spans="1:38" s="80" customFormat="1" x14ac:dyDescent="0.25">
      <c r="A131" s="116"/>
      <c r="B131" s="115"/>
      <c r="C131" s="115"/>
      <c r="D131" s="115"/>
      <c r="E131" s="115"/>
      <c r="F131" s="115"/>
      <c r="H131" s="95">
        <v>126</v>
      </c>
      <c r="I131" s="96" t="str">
        <f t="shared" si="9"/>
        <v/>
      </c>
      <c r="J131" s="96" t="e">
        <f t="shared" si="10"/>
        <v>#NUM!</v>
      </c>
      <c r="K131" s="95" t="e">
        <f t="shared" si="11"/>
        <v>#NUM!</v>
      </c>
      <c r="L131" s="95"/>
      <c r="M131" s="97">
        <f t="shared" si="12"/>
        <v>0</v>
      </c>
      <c r="S131" s="85"/>
      <c r="T131" s="85"/>
      <c r="U131" s="85"/>
      <c r="V131" s="85"/>
      <c r="W131" s="85"/>
      <c r="X131" s="85"/>
      <c r="Y131" s="85"/>
      <c r="Z131" s="85"/>
      <c r="AA131" s="85"/>
      <c r="AB131" s="85"/>
      <c r="AC131" s="85"/>
      <c r="AD131" s="85"/>
      <c r="AE131" s="85"/>
      <c r="AF131" s="85"/>
      <c r="AG131" s="85"/>
      <c r="AH131" s="85"/>
      <c r="AI131" s="85"/>
      <c r="AJ131" s="85"/>
      <c r="AK131" s="85"/>
      <c r="AL131" s="85"/>
    </row>
    <row r="132" spans="1:38" s="80" customFormat="1" x14ac:dyDescent="0.25">
      <c r="A132" s="116"/>
      <c r="B132" s="115"/>
      <c r="C132" s="115"/>
      <c r="D132" s="115"/>
      <c r="E132" s="115"/>
      <c r="F132" s="115"/>
      <c r="H132" s="95">
        <v>127</v>
      </c>
      <c r="I132" s="96" t="str">
        <f t="shared" si="9"/>
        <v/>
      </c>
      <c r="J132" s="96" t="e">
        <f t="shared" si="10"/>
        <v>#NUM!</v>
      </c>
      <c r="K132" s="95" t="e">
        <f t="shared" si="11"/>
        <v>#NUM!</v>
      </c>
      <c r="L132" s="95"/>
      <c r="M132" s="97">
        <f t="shared" si="12"/>
        <v>0</v>
      </c>
      <c r="S132" s="85"/>
      <c r="T132" s="85"/>
      <c r="U132" s="85"/>
      <c r="V132" s="85"/>
      <c r="W132" s="85"/>
      <c r="X132" s="85"/>
      <c r="Y132" s="85"/>
      <c r="Z132" s="85"/>
      <c r="AA132" s="85"/>
      <c r="AB132" s="85"/>
      <c r="AC132" s="85"/>
      <c r="AD132" s="85"/>
      <c r="AE132" s="85"/>
      <c r="AF132" s="85"/>
      <c r="AG132" s="85"/>
      <c r="AH132" s="85"/>
      <c r="AI132" s="85"/>
      <c r="AJ132" s="85"/>
      <c r="AK132" s="85"/>
      <c r="AL132" s="85"/>
    </row>
    <row r="133" spans="1:38" s="80" customFormat="1" x14ac:dyDescent="0.25">
      <c r="A133" s="116"/>
      <c r="B133" s="115"/>
      <c r="C133" s="115"/>
      <c r="D133" s="115"/>
      <c r="E133" s="115"/>
      <c r="F133" s="115"/>
      <c r="H133" s="95">
        <v>128</v>
      </c>
      <c r="I133" s="96" t="str">
        <f t="shared" si="9"/>
        <v/>
      </c>
      <c r="J133" s="96" t="e">
        <f t="shared" si="10"/>
        <v>#NUM!</v>
      </c>
      <c r="K133" s="95" t="e">
        <f t="shared" si="11"/>
        <v>#NUM!</v>
      </c>
      <c r="L133" s="95"/>
      <c r="M133" s="97">
        <f t="shared" si="12"/>
        <v>0</v>
      </c>
      <c r="S133" s="85"/>
      <c r="T133" s="85"/>
      <c r="U133" s="85"/>
      <c r="V133" s="85"/>
      <c r="W133" s="85"/>
      <c r="X133" s="85"/>
      <c r="Y133" s="85"/>
      <c r="Z133" s="85"/>
      <c r="AA133" s="85"/>
      <c r="AB133" s="85"/>
      <c r="AC133" s="85"/>
      <c r="AD133" s="85"/>
      <c r="AE133" s="85"/>
      <c r="AF133" s="85"/>
      <c r="AG133" s="85"/>
      <c r="AH133" s="85"/>
      <c r="AI133" s="85"/>
      <c r="AJ133" s="85"/>
      <c r="AK133" s="85"/>
      <c r="AL133" s="85"/>
    </row>
    <row r="134" spans="1:38" s="80" customFormat="1" x14ac:dyDescent="0.25">
      <c r="A134" s="116"/>
      <c r="B134" s="115"/>
      <c r="C134" s="115"/>
      <c r="D134" s="115"/>
      <c r="E134" s="115"/>
      <c r="F134" s="115"/>
      <c r="H134" s="95">
        <v>129</v>
      </c>
      <c r="I134" s="96" t="str">
        <f t="shared" ref="I134:I197" si="13">IF(H134&lt;$H$2+1,($I$2-($I$2-1)*(LOG(H134)/LOG($H$2))),"")</f>
        <v/>
      </c>
      <c r="J134" s="96" t="e">
        <f t="shared" ref="J134:J197" si="14">INT(LOG($H$2,2))-ROUNDUP(LOG(H134,2),0)+IF(OR($H$2=1,$H$2=2,$H$2=4,$H$2=8,$H$2=16,$H$2=32,$H$2=64,$H$2=128,$H$2=256),0,1)</f>
        <v>#NUM!</v>
      </c>
      <c r="K134" s="95" t="e">
        <f t="shared" ref="K134:K197" si="15">J134*$J$2</f>
        <v>#NUM!</v>
      </c>
      <c r="L134" s="95"/>
      <c r="M134" s="97">
        <f t="shared" ref="M134:M197" si="16">IF(I134&lt;&gt;"",K134+I134+L134,0)</f>
        <v>0</v>
      </c>
      <c r="S134" s="85"/>
      <c r="T134" s="85"/>
      <c r="U134" s="85"/>
      <c r="V134" s="85"/>
      <c r="W134" s="85"/>
      <c r="X134" s="85"/>
      <c r="Y134" s="85"/>
      <c r="Z134" s="85"/>
      <c r="AA134" s="85"/>
      <c r="AB134" s="85"/>
      <c r="AC134" s="85"/>
      <c r="AD134" s="85"/>
      <c r="AE134" s="85"/>
      <c r="AF134" s="85"/>
      <c r="AG134" s="85"/>
      <c r="AH134" s="85"/>
      <c r="AI134" s="85"/>
      <c r="AJ134" s="85"/>
      <c r="AK134" s="85"/>
      <c r="AL134" s="85"/>
    </row>
    <row r="135" spans="1:38" s="80" customFormat="1" x14ac:dyDescent="0.25">
      <c r="A135" s="116"/>
      <c r="B135" s="115"/>
      <c r="C135" s="115"/>
      <c r="D135" s="115"/>
      <c r="E135" s="115"/>
      <c r="F135" s="115"/>
      <c r="H135" s="95">
        <v>130</v>
      </c>
      <c r="I135" s="96" t="str">
        <f t="shared" si="13"/>
        <v/>
      </c>
      <c r="J135" s="96" t="e">
        <f t="shared" si="14"/>
        <v>#NUM!</v>
      </c>
      <c r="K135" s="95" t="e">
        <f t="shared" si="15"/>
        <v>#NUM!</v>
      </c>
      <c r="L135" s="95"/>
      <c r="M135" s="97">
        <f t="shared" si="16"/>
        <v>0</v>
      </c>
      <c r="S135" s="85"/>
      <c r="T135" s="85"/>
      <c r="U135" s="85"/>
      <c r="V135" s="85"/>
      <c r="W135" s="85"/>
      <c r="X135" s="85"/>
      <c r="Y135" s="85"/>
      <c r="Z135" s="85"/>
      <c r="AA135" s="85"/>
      <c r="AB135" s="85"/>
      <c r="AC135" s="85"/>
      <c r="AD135" s="85"/>
      <c r="AE135" s="85"/>
      <c r="AF135" s="85"/>
      <c r="AG135" s="85"/>
      <c r="AH135" s="85"/>
      <c r="AI135" s="85"/>
      <c r="AJ135" s="85"/>
      <c r="AK135" s="85"/>
      <c r="AL135" s="85"/>
    </row>
    <row r="136" spans="1:38" s="80" customFormat="1" x14ac:dyDescent="0.25">
      <c r="A136" s="116"/>
      <c r="B136" s="115"/>
      <c r="C136" s="115"/>
      <c r="D136" s="115"/>
      <c r="E136" s="115"/>
      <c r="F136" s="115"/>
      <c r="H136" s="95">
        <v>131</v>
      </c>
      <c r="I136" s="96" t="str">
        <f t="shared" si="13"/>
        <v/>
      </c>
      <c r="J136" s="96" t="e">
        <f t="shared" si="14"/>
        <v>#NUM!</v>
      </c>
      <c r="K136" s="95" t="e">
        <f t="shared" si="15"/>
        <v>#NUM!</v>
      </c>
      <c r="L136" s="95"/>
      <c r="M136" s="97">
        <f t="shared" si="16"/>
        <v>0</v>
      </c>
      <c r="S136" s="85"/>
      <c r="T136" s="85"/>
      <c r="U136" s="85"/>
      <c r="V136" s="85"/>
      <c r="W136" s="85"/>
      <c r="X136" s="85"/>
      <c r="Y136" s="85"/>
      <c r="Z136" s="85"/>
      <c r="AA136" s="85"/>
      <c r="AB136" s="85"/>
      <c r="AC136" s="85"/>
      <c r="AD136" s="85"/>
      <c r="AE136" s="85"/>
      <c r="AF136" s="85"/>
      <c r="AG136" s="85"/>
      <c r="AH136" s="85"/>
      <c r="AI136" s="85"/>
      <c r="AJ136" s="85"/>
      <c r="AK136" s="85"/>
      <c r="AL136" s="85"/>
    </row>
    <row r="137" spans="1:38" s="80" customFormat="1" x14ac:dyDescent="0.25">
      <c r="A137" s="116"/>
      <c r="B137" s="115"/>
      <c r="C137" s="115"/>
      <c r="D137" s="115"/>
      <c r="E137" s="115"/>
      <c r="F137" s="115"/>
      <c r="H137" s="95">
        <v>132</v>
      </c>
      <c r="I137" s="96" t="str">
        <f t="shared" si="13"/>
        <v/>
      </c>
      <c r="J137" s="96" t="e">
        <f t="shared" si="14"/>
        <v>#NUM!</v>
      </c>
      <c r="K137" s="95" t="e">
        <f t="shared" si="15"/>
        <v>#NUM!</v>
      </c>
      <c r="L137" s="95"/>
      <c r="M137" s="97">
        <f t="shared" si="16"/>
        <v>0</v>
      </c>
      <c r="S137" s="85"/>
      <c r="T137" s="85"/>
      <c r="U137" s="85"/>
      <c r="V137" s="85"/>
      <c r="W137" s="85"/>
      <c r="X137" s="85"/>
      <c r="Y137" s="85"/>
      <c r="Z137" s="85"/>
      <c r="AA137" s="85"/>
      <c r="AB137" s="85"/>
      <c r="AC137" s="85"/>
      <c r="AD137" s="85"/>
      <c r="AE137" s="85"/>
      <c r="AF137" s="85"/>
      <c r="AG137" s="85"/>
      <c r="AH137" s="85"/>
      <c r="AI137" s="85"/>
      <c r="AJ137" s="85"/>
      <c r="AK137" s="85"/>
      <c r="AL137" s="85"/>
    </row>
    <row r="138" spans="1:38" s="80" customFormat="1" x14ac:dyDescent="0.25">
      <c r="A138" s="116"/>
      <c r="B138" s="115"/>
      <c r="C138" s="115"/>
      <c r="D138" s="115"/>
      <c r="E138" s="115"/>
      <c r="F138" s="115"/>
      <c r="H138" s="95">
        <v>133</v>
      </c>
      <c r="I138" s="96" t="str">
        <f t="shared" si="13"/>
        <v/>
      </c>
      <c r="J138" s="96" t="e">
        <f t="shared" si="14"/>
        <v>#NUM!</v>
      </c>
      <c r="K138" s="95" t="e">
        <f t="shared" si="15"/>
        <v>#NUM!</v>
      </c>
      <c r="L138" s="95"/>
      <c r="M138" s="97">
        <f t="shared" si="16"/>
        <v>0</v>
      </c>
      <c r="S138" s="85"/>
      <c r="T138" s="85"/>
      <c r="U138" s="85"/>
      <c r="V138" s="85"/>
      <c r="W138" s="85"/>
      <c r="X138" s="85"/>
      <c r="Y138" s="85"/>
      <c r="Z138" s="85"/>
      <c r="AA138" s="85"/>
      <c r="AB138" s="85"/>
      <c r="AC138" s="85"/>
      <c r="AD138" s="85"/>
      <c r="AE138" s="85"/>
      <c r="AF138" s="85"/>
      <c r="AG138" s="85"/>
      <c r="AH138" s="85"/>
      <c r="AI138" s="85"/>
      <c r="AJ138" s="85"/>
      <c r="AK138" s="85"/>
      <c r="AL138" s="85"/>
    </row>
    <row r="139" spans="1:38" s="80" customFormat="1" x14ac:dyDescent="0.25">
      <c r="A139" s="116"/>
      <c r="B139" s="115"/>
      <c r="C139" s="115"/>
      <c r="D139" s="115"/>
      <c r="E139" s="115"/>
      <c r="F139" s="115"/>
      <c r="H139" s="95">
        <v>134</v>
      </c>
      <c r="I139" s="96" t="str">
        <f t="shared" si="13"/>
        <v/>
      </c>
      <c r="J139" s="96" t="e">
        <f t="shared" si="14"/>
        <v>#NUM!</v>
      </c>
      <c r="K139" s="95" t="e">
        <f t="shared" si="15"/>
        <v>#NUM!</v>
      </c>
      <c r="L139" s="95"/>
      <c r="M139" s="97">
        <f t="shared" si="16"/>
        <v>0</v>
      </c>
      <c r="S139" s="85"/>
      <c r="T139" s="85"/>
      <c r="U139" s="85"/>
      <c r="V139" s="85"/>
      <c r="W139" s="85"/>
      <c r="X139" s="85"/>
      <c r="Y139" s="85"/>
      <c r="Z139" s="85"/>
      <c r="AA139" s="85"/>
      <c r="AB139" s="85"/>
      <c r="AC139" s="85"/>
      <c r="AD139" s="85"/>
      <c r="AE139" s="85"/>
      <c r="AF139" s="85"/>
      <c r="AG139" s="85"/>
      <c r="AH139" s="85"/>
      <c r="AI139" s="85"/>
      <c r="AJ139" s="85"/>
      <c r="AK139" s="85"/>
      <c r="AL139" s="85"/>
    </row>
    <row r="140" spans="1:38" s="80" customFormat="1" x14ac:dyDescent="0.25">
      <c r="A140" s="116"/>
      <c r="B140" s="115"/>
      <c r="C140" s="115"/>
      <c r="D140" s="115"/>
      <c r="E140" s="115"/>
      <c r="F140" s="115"/>
      <c r="H140" s="95">
        <v>135</v>
      </c>
      <c r="I140" s="96" t="str">
        <f t="shared" si="13"/>
        <v/>
      </c>
      <c r="J140" s="96" t="e">
        <f t="shared" si="14"/>
        <v>#NUM!</v>
      </c>
      <c r="K140" s="95" t="e">
        <f t="shared" si="15"/>
        <v>#NUM!</v>
      </c>
      <c r="L140" s="95"/>
      <c r="M140" s="97">
        <f t="shared" si="16"/>
        <v>0</v>
      </c>
      <c r="S140" s="85"/>
      <c r="T140" s="85"/>
      <c r="U140" s="85"/>
      <c r="V140" s="85"/>
      <c r="W140" s="85"/>
      <c r="X140" s="85"/>
      <c r="Y140" s="85"/>
      <c r="Z140" s="85"/>
      <c r="AA140" s="85"/>
      <c r="AB140" s="85"/>
      <c r="AC140" s="85"/>
      <c r="AD140" s="85"/>
      <c r="AE140" s="85"/>
      <c r="AF140" s="85"/>
      <c r="AG140" s="85"/>
      <c r="AH140" s="85"/>
      <c r="AI140" s="85"/>
      <c r="AJ140" s="85"/>
      <c r="AK140" s="85"/>
      <c r="AL140" s="85"/>
    </row>
    <row r="141" spans="1:38" s="80" customFormat="1" x14ac:dyDescent="0.25">
      <c r="A141" s="116"/>
      <c r="B141" s="115"/>
      <c r="C141" s="115"/>
      <c r="D141" s="115"/>
      <c r="E141" s="115"/>
      <c r="F141" s="115"/>
      <c r="H141" s="95">
        <v>136</v>
      </c>
      <c r="I141" s="96" t="str">
        <f t="shared" si="13"/>
        <v/>
      </c>
      <c r="J141" s="96" t="e">
        <f t="shared" si="14"/>
        <v>#NUM!</v>
      </c>
      <c r="K141" s="95" t="e">
        <f t="shared" si="15"/>
        <v>#NUM!</v>
      </c>
      <c r="L141" s="95"/>
      <c r="M141" s="97">
        <f t="shared" si="16"/>
        <v>0</v>
      </c>
      <c r="S141" s="85"/>
      <c r="T141" s="85"/>
      <c r="U141" s="85"/>
      <c r="V141" s="85"/>
      <c r="W141" s="85"/>
      <c r="X141" s="85"/>
      <c r="Y141" s="85"/>
      <c r="Z141" s="85"/>
      <c r="AA141" s="85"/>
      <c r="AB141" s="85"/>
      <c r="AC141" s="85"/>
      <c r="AD141" s="85"/>
      <c r="AE141" s="85"/>
      <c r="AF141" s="85"/>
      <c r="AG141" s="85"/>
      <c r="AH141" s="85"/>
      <c r="AI141" s="85"/>
      <c r="AJ141" s="85"/>
      <c r="AK141" s="85"/>
      <c r="AL141" s="85"/>
    </row>
    <row r="142" spans="1:38" s="80" customFormat="1" x14ac:dyDescent="0.25">
      <c r="A142" s="116"/>
      <c r="B142" s="115"/>
      <c r="C142" s="115"/>
      <c r="D142" s="115"/>
      <c r="E142" s="115"/>
      <c r="F142" s="115"/>
      <c r="H142" s="95">
        <v>137</v>
      </c>
      <c r="I142" s="96" t="str">
        <f t="shared" si="13"/>
        <v/>
      </c>
      <c r="J142" s="96" t="e">
        <f t="shared" si="14"/>
        <v>#NUM!</v>
      </c>
      <c r="K142" s="95" t="e">
        <f t="shared" si="15"/>
        <v>#NUM!</v>
      </c>
      <c r="L142" s="95"/>
      <c r="M142" s="97">
        <f t="shared" si="16"/>
        <v>0</v>
      </c>
      <c r="S142" s="85"/>
      <c r="T142" s="85"/>
      <c r="U142" s="85"/>
      <c r="V142" s="85"/>
      <c r="W142" s="85"/>
      <c r="X142" s="85"/>
      <c r="Y142" s="85"/>
      <c r="Z142" s="85"/>
      <c r="AA142" s="85"/>
      <c r="AB142" s="85"/>
      <c r="AC142" s="85"/>
      <c r="AD142" s="85"/>
      <c r="AE142" s="85"/>
      <c r="AF142" s="85"/>
      <c r="AG142" s="85"/>
      <c r="AH142" s="85"/>
      <c r="AI142" s="85"/>
      <c r="AJ142" s="85"/>
      <c r="AK142" s="85"/>
      <c r="AL142" s="85"/>
    </row>
    <row r="143" spans="1:38" s="80" customFormat="1" x14ac:dyDescent="0.25">
      <c r="A143" s="116"/>
      <c r="B143" s="115"/>
      <c r="C143" s="115"/>
      <c r="D143" s="115"/>
      <c r="E143" s="115"/>
      <c r="F143" s="115"/>
      <c r="H143" s="95">
        <v>138</v>
      </c>
      <c r="I143" s="96" t="str">
        <f t="shared" si="13"/>
        <v/>
      </c>
      <c r="J143" s="96" t="e">
        <f t="shared" si="14"/>
        <v>#NUM!</v>
      </c>
      <c r="K143" s="95" t="e">
        <f t="shared" si="15"/>
        <v>#NUM!</v>
      </c>
      <c r="L143" s="95"/>
      <c r="M143" s="97">
        <f t="shared" si="16"/>
        <v>0</v>
      </c>
      <c r="S143" s="85"/>
      <c r="T143" s="85"/>
      <c r="U143" s="85"/>
      <c r="V143" s="85"/>
      <c r="W143" s="85"/>
      <c r="X143" s="85"/>
      <c r="Y143" s="85"/>
      <c r="Z143" s="85"/>
      <c r="AA143" s="85"/>
      <c r="AB143" s="85"/>
      <c r="AC143" s="85"/>
      <c r="AD143" s="85"/>
      <c r="AE143" s="85"/>
      <c r="AF143" s="85"/>
      <c r="AG143" s="85"/>
      <c r="AH143" s="85"/>
      <c r="AI143" s="85"/>
      <c r="AJ143" s="85"/>
      <c r="AK143" s="85"/>
      <c r="AL143" s="85"/>
    </row>
    <row r="144" spans="1:38" s="80" customFormat="1" x14ac:dyDescent="0.25">
      <c r="A144" s="116"/>
      <c r="B144" s="115"/>
      <c r="C144" s="115"/>
      <c r="D144" s="115"/>
      <c r="E144" s="115"/>
      <c r="F144" s="115"/>
      <c r="H144" s="95">
        <v>139</v>
      </c>
      <c r="I144" s="96" t="str">
        <f t="shared" si="13"/>
        <v/>
      </c>
      <c r="J144" s="96" t="e">
        <f t="shared" si="14"/>
        <v>#NUM!</v>
      </c>
      <c r="K144" s="95" t="e">
        <f t="shared" si="15"/>
        <v>#NUM!</v>
      </c>
      <c r="L144" s="95"/>
      <c r="M144" s="97">
        <f t="shared" si="16"/>
        <v>0</v>
      </c>
      <c r="S144" s="85"/>
      <c r="T144" s="85"/>
      <c r="U144" s="85"/>
      <c r="V144" s="85"/>
      <c r="W144" s="85"/>
      <c r="X144" s="85"/>
      <c r="Y144" s="85"/>
      <c r="Z144" s="85"/>
      <c r="AA144" s="85"/>
      <c r="AB144" s="85"/>
      <c r="AC144" s="85"/>
      <c r="AD144" s="85"/>
      <c r="AE144" s="85"/>
      <c r="AF144" s="85"/>
      <c r="AG144" s="85"/>
      <c r="AH144" s="85"/>
      <c r="AI144" s="85"/>
      <c r="AJ144" s="85"/>
      <c r="AK144" s="85"/>
      <c r="AL144" s="85"/>
    </row>
    <row r="145" spans="1:38" s="80" customFormat="1" x14ac:dyDescent="0.25">
      <c r="A145" s="116"/>
      <c r="B145" s="115"/>
      <c r="C145" s="115"/>
      <c r="D145" s="115"/>
      <c r="E145" s="115"/>
      <c r="F145" s="115"/>
      <c r="H145" s="95">
        <v>140</v>
      </c>
      <c r="I145" s="96" t="str">
        <f t="shared" si="13"/>
        <v/>
      </c>
      <c r="J145" s="96" t="e">
        <f t="shared" si="14"/>
        <v>#NUM!</v>
      </c>
      <c r="K145" s="95" t="e">
        <f t="shared" si="15"/>
        <v>#NUM!</v>
      </c>
      <c r="L145" s="95"/>
      <c r="M145" s="97">
        <f t="shared" si="16"/>
        <v>0</v>
      </c>
      <c r="S145" s="85"/>
      <c r="T145" s="85"/>
      <c r="U145" s="85"/>
      <c r="V145" s="85"/>
      <c r="W145" s="85"/>
      <c r="X145" s="85"/>
      <c r="Y145" s="85"/>
      <c r="Z145" s="85"/>
      <c r="AA145" s="85"/>
      <c r="AB145" s="85"/>
      <c r="AC145" s="85"/>
      <c r="AD145" s="85"/>
      <c r="AE145" s="85"/>
      <c r="AF145" s="85"/>
      <c r="AG145" s="85"/>
      <c r="AH145" s="85"/>
      <c r="AI145" s="85"/>
      <c r="AJ145" s="85"/>
      <c r="AK145" s="85"/>
      <c r="AL145" s="85"/>
    </row>
    <row r="146" spans="1:38" s="80" customFormat="1" x14ac:dyDescent="0.25">
      <c r="A146" s="116"/>
      <c r="B146" s="115"/>
      <c r="C146" s="115"/>
      <c r="D146" s="115"/>
      <c r="E146" s="115"/>
      <c r="F146" s="115"/>
      <c r="H146" s="95">
        <v>141</v>
      </c>
      <c r="I146" s="96" t="str">
        <f t="shared" si="13"/>
        <v/>
      </c>
      <c r="J146" s="96" t="e">
        <f t="shared" si="14"/>
        <v>#NUM!</v>
      </c>
      <c r="K146" s="95" t="e">
        <f t="shared" si="15"/>
        <v>#NUM!</v>
      </c>
      <c r="L146" s="95"/>
      <c r="M146" s="97">
        <f t="shared" si="16"/>
        <v>0</v>
      </c>
      <c r="S146" s="85"/>
      <c r="T146" s="85"/>
      <c r="U146" s="85"/>
      <c r="V146" s="85"/>
      <c r="W146" s="85"/>
      <c r="X146" s="85"/>
      <c r="Y146" s="85"/>
      <c r="Z146" s="85"/>
      <c r="AA146" s="85"/>
      <c r="AB146" s="85"/>
      <c r="AC146" s="85"/>
      <c r="AD146" s="85"/>
      <c r="AE146" s="85"/>
      <c r="AF146" s="85"/>
      <c r="AG146" s="85"/>
      <c r="AH146" s="85"/>
      <c r="AI146" s="85"/>
      <c r="AJ146" s="85"/>
      <c r="AK146" s="85"/>
      <c r="AL146" s="85"/>
    </row>
    <row r="147" spans="1:38" s="80" customFormat="1" x14ac:dyDescent="0.25">
      <c r="A147" s="116"/>
      <c r="B147" s="115"/>
      <c r="C147" s="115"/>
      <c r="D147" s="115"/>
      <c r="E147" s="115"/>
      <c r="F147" s="115"/>
      <c r="H147" s="95">
        <v>142</v>
      </c>
      <c r="I147" s="96" t="str">
        <f t="shared" si="13"/>
        <v/>
      </c>
      <c r="J147" s="96" t="e">
        <f t="shared" si="14"/>
        <v>#NUM!</v>
      </c>
      <c r="K147" s="95" t="e">
        <f t="shared" si="15"/>
        <v>#NUM!</v>
      </c>
      <c r="L147" s="95"/>
      <c r="M147" s="97">
        <f t="shared" si="16"/>
        <v>0</v>
      </c>
      <c r="S147" s="85"/>
      <c r="T147" s="85"/>
      <c r="U147" s="85"/>
      <c r="V147" s="85"/>
      <c r="W147" s="85"/>
      <c r="X147" s="85"/>
      <c r="Y147" s="85"/>
      <c r="Z147" s="85"/>
      <c r="AA147" s="85"/>
      <c r="AB147" s="85"/>
      <c r="AC147" s="85"/>
      <c r="AD147" s="85"/>
      <c r="AE147" s="85"/>
      <c r="AF147" s="85"/>
      <c r="AG147" s="85"/>
      <c r="AH147" s="85"/>
      <c r="AI147" s="85"/>
      <c r="AJ147" s="85"/>
      <c r="AK147" s="85"/>
      <c r="AL147" s="85"/>
    </row>
    <row r="148" spans="1:38" s="80" customFormat="1" x14ac:dyDescent="0.25">
      <c r="A148" s="116"/>
      <c r="B148" s="115"/>
      <c r="C148" s="115"/>
      <c r="D148" s="115"/>
      <c r="E148" s="115"/>
      <c r="F148" s="115"/>
      <c r="H148" s="95">
        <v>143</v>
      </c>
      <c r="I148" s="96" t="str">
        <f t="shared" si="13"/>
        <v/>
      </c>
      <c r="J148" s="96" t="e">
        <f t="shared" si="14"/>
        <v>#NUM!</v>
      </c>
      <c r="K148" s="95" t="e">
        <f t="shared" si="15"/>
        <v>#NUM!</v>
      </c>
      <c r="L148" s="95"/>
      <c r="M148" s="97">
        <f t="shared" si="16"/>
        <v>0</v>
      </c>
      <c r="S148" s="85"/>
      <c r="T148" s="85"/>
      <c r="U148" s="85"/>
      <c r="V148" s="85"/>
      <c r="W148" s="85"/>
      <c r="X148" s="85"/>
      <c r="Y148" s="85"/>
      <c r="Z148" s="85"/>
      <c r="AA148" s="85"/>
      <c r="AB148" s="85"/>
      <c r="AC148" s="85"/>
      <c r="AD148" s="85"/>
      <c r="AE148" s="85"/>
      <c r="AF148" s="85"/>
      <c r="AG148" s="85"/>
      <c r="AH148" s="85"/>
      <c r="AI148" s="85"/>
      <c r="AJ148" s="85"/>
      <c r="AK148" s="85"/>
      <c r="AL148" s="85"/>
    </row>
    <row r="149" spans="1:38" s="80" customFormat="1" x14ac:dyDescent="0.25">
      <c r="A149" s="116"/>
      <c r="B149" s="115"/>
      <c r="C149" s="115"/>
      <c r="D149" s="115"/>
      <c r="E149" s="115"/>
      <c r="F149" s="115"/>
      <c r="H149" s="95">
        <v>144</v>
      </c>
      <c r="I149" s="96" t="str">
        <f t="shared" si="13"/>
        <v/>
      </c>
      <c r="J149" s="96" t="e">
        <f t="shared" si="14"/>
        <v>#NUM!</v>
      </c>
      <c r="K149" s="95" t="e">
        <f t="shared" si="15"/>
        <v>#NUM!</v>
      </c>
      <c r="L149" s="95"/>
      <c r="M149" s="97">
        <f t="shared" si="16"/>
        <v>0</v>
      </c>
      <c r="S149" s="85"/>
      <c r="T149" s="85"/>
      <c r="U149" s="85"/>
      <c r="V149" s="85"/>
      <c r="W149" s="85"/>
      <c r="X149" s="85"/>
      <c r="Y149" s="85"/>
      <c r="Z149" s="85"/>
      <c r="AA149" s="85"/>
      <c r="AB149" s="85"/>
      <c r="AC149" s="85"/>
      <c r="AD149" s="85"/>
      <c r="AE149" s="85"/>
      <c r="AF149" s="85"/>
      <c r="AG149" s="85"/>
      <c r="AH149" s="85"/>
      <c r="AI149" s="85"/>
      <c r="AJ149" s="85"/>
      <c r="AK149" s="85"/>
      <c r="AL149" s="85"/>
    </row>
    <row r="150" spans="1:38" s="80" customFormat="1" x14ac:dyDescent="0.25">
      <c r="A150" s="116"/>
      <c r="B150" s="115"/>
      <c r="C150" s="115"/>
      <c r="D150" s="115"/>
      <c r="E150" s="115"/>
      <c r="F150" s="115"/>
      <c r="H150" s="95">
        <v>145</v>
      </c>
      <c r="I150" s="96" t="str">
        <f t="shared" si="13"/>
        <v/>
      </c>
      <c r="J150" s="96" t="e">
        <f t="shared" si="14"/>
        <v>#NUM!</v>
      </c>
      <c r="K150" s="95" t="e">
        <f t="shared" si="15"/>
        <v>#NUM!</v>
      </c>
      <c r="L150" s="95"/>
      <c r="M150" s="97">
        <f t="shared" si="16"/>
        <v>0</v>
      </c>
      <c r="S150" s="85"/>
      <c r="T150" s="85"/>
      <c r="U150" s="85"/>
      <c r="V150" s="85"/>
      <c r="W150" s="85"/>
      <c r="X150" s="85"/>
      <c r="Y150" s="85"/>
      <c r="Z150" s="85"/>
      <c r="AA150" s="85"/>
      <c r="AB150" s="85"/>
      <c r="AC150" s="85"/>
      <c r="AD150" s="85"/>
      <c r="AE150" s="85"/>
      <c r="AF150" s="85"/>
      <c r="AG150" s="85"/>
      <c r="AH150" s="85"/>
      <c r="AI150" s="85"/>
      <c r="AJ150" s="85"/>
      <c r="AK150" s="85"/>
      <c r="AL150" s="85"/>
    </row>
    <row r="151" spans="1:38" s="80" customFormat="1" x14ac:dyDescent="0.25">
      <c r="A151" s="116"/>
      <c r="B151" s="115"/>
      <c r="C151" s="115"/>
      <c r="D151" s="115"/>
      <c r="E151" s="115"/>
      <c r="F151" s="115"/>
      <c r="H151" s="95">
        <v>146</v>
      </c>
      <c r="I151" s="96" t="str">
        <f t="shared" si="13"/>
        <v/>
      </c>
      <c r="J151" s="96" t="e">
        <f t="shared" si="14"/>
        <v>#NUM!</v>
      </c>
      <c r="K151" s="95" t="e">
        <f t="shared" si="15"/>
        <v>#NUM!</v>
      </c>
      <c r="L151" s="95"/>
      <c r="M151" s="97">
        <f t="shared" si="16"/>
        <v>0</v>
      </c>
      <c r="S151" s="85"/>
      <c r="T151" s="85"/>
      <c r="U151" s="85"/>
      <c r="V151" s="85"/>
      <c r="W151" s="85"/>
      <c r="X151" s="85"/>
      <c r="Y151" s="85"/>
      <c r="Z151" s="85"/>
      <c r="AA151" s="85"/>
      <c r="AB151" s="85"/>
      <c r="AC151" s="85"/>
      <c r="AD151" s="85"/>
      <c r="AE151" s="85"/>
      <c r="AF151" s="85"/>
      <c r="AG151" s="85"/>
      <c r="AH151" s="85"/>
      <c r="AI151" s="85"/>
      <c r="AJ151" s="85"/>
      <c r="AK151" s="85"/>
      <c r="AL151" s="85"/>
    </row>
    <row r="152" spans="1:38" s="80" customFormat="1" x14ac:dyDescent="0.25">
      <c r="A152" s="116"/>
      <c r="B152" s="115"/>
      <c r="C152" s="115"/>
      <c r="D152" s="115"/>
      <c r="E152" s="115"/>
      <c r="F152" s="115"/>
      <c r="H152" s="95">
        <v>147</v>
      </c>
      <c r="I152" s="96" t="str">
        <f t="shared" si="13"/>
        <v/>
      </c>
      <c r="J152" s="96" t="e">
        <f t="shared" si="14"/>
        <v>#NUM!</v>
      </c>
      <c r="K152" s="95" t="e">
        <f t="shared" si="15"/>
        <v>#NUM!</v>
      </c>
      <c r="L152" s="95"/>
      <c r="M152" s="97">
        <f t="shared" si="16"/>
        <v>0</v>
      </c>
      <c r="S152" s="85"/>
      <c r="T152" s="85"/>
      <c r="U152" s="85"/>
      <c r="V152" s="85"/>
      <c r="W152" s="85"/>
      <c r="X152" s="85"/>
      <c r="Y152" s="85"/>
      <c r="Z152" s="85"/>
      <c r="AA152" s="85"/>
      <c r="AB152" s="85"/>
      <c r="AC152" s="85"/>
      <c r="AD152" s="85"/>
      <c r="AE152" s="85"/>
      <c r="AF152" s="85"/>
      <c r="AG152" s="85"/>
      <c r="AH152" s="85"/>
      <c r="AI152" s="85"/>
      <c r="AJ152" s="85"/>
      <c r="AK152" s="85"/>
      <c r="AL152" s="85"/>
    </row>
    <row r="153" spans="1:38" s="80" customFormat="1" x14ac:dyDescent="0.25">
      <c r="A153" s="116"/>
      <c r="B153" s="115"/>
      <c r="C153" s="115"/>
      <c r="D153" s="115"/>
      <c r="E153" s="115"/>
      <c r="F153" s="115"/>
      <c r="H153" s="95">
        <v>148</v>
      </c>
      <c r="I153" s="96" t="str">
        <f t="shared" si="13"/>
        <v/>
      </c>
      <c r="J153" s="96" t="e">
        <f t="shared" si="14"/>
        <v>#NUM!</v>
      </c>
      <c r="K153" s="95" t="e">
        <f t="shared" si="15"/>
        <v>#NUM!</v>
      </c>
      <c r="L153" s="95"/>
      <c r="M153" s="97">
        <f t="shared" si="16"/>
        <v>0</v>
      </c>
      <c r="S153" s="85"/>
      <c r="T153" s="85"/>
      <c r="U153" s="85"/>
      <c r="V153" s="85"/>
      <c r="W153" s="85"/>
      <c r="X153" s="85"/>
      <c r="Y153" s="85"/>
      <c r="Z153" s="85"/>
      <c r="AA153" s="85"/>
      <c r="AB153" s="85"/>
      <c r="AC153" s="85"/>
      <c r="AD153" s="85"/>
      <c r="AE153" s="85"/>
      <c r="AF153" s="85"/>
      <c r="AG153" s="85"/>
      <c r="AH153" s="85"/>
      <c r="AI153" s="85"/>
      <c r="AJ153" s="85"/>
      <c r="AK153" s="85"/>
      <c r="AL153" s="85"/>
    </row>
    <row r="154" spans="1:38" s="80" customFormat="1" x14ac:dyDescent="0.25">
      <c r="A154" s="116"/>
      <c r="B154" s="115"/>
      <c r="C154" s="115"/>
      <c r="D154" s="115"/>
      <c r="E154" s="115"/>
      <c r="F154" s="115"/>
      <c r="H154" s="95">
        <v>149</v>
      </c>
      <c r="I154" s="96" t="str">
        <f t="shared" si="13"/>
        <v/>
      </c>
      <c r="J154" s="96" t="e">
        <f t="shared" si="14"/>
        <v>#NUM!</v>
      </c>
      <c r="K154" s="95" t="e">
        <f t="shared" si="15"/>
        <v>#NUM!</v>
      </c>
      <c r="L154" s="95"/>
      <c r="M154" s="97">
        <f t="shared" si="16"/>
        <v>0</v>
      </c>
      <c r="S154" s="85"/>
      <c r="T154" s="85"/>
      <c r="U154" s="85"/>
      <c r="V154" s="85"/>
      <c r="W154" s="85"/>
      <c r="X154" s="85"/>
      <c r="Y154" s="85"/>
      <c r="Z154" s="85"/>
      <c r="AA154" s="85"/>
      <c r="AB154" s="85"/>
      <c r="AC154" s="85"/>
      <c r="AD154" s="85"/>
      <c r="AE154" s="85"/>
      <c r="AF154" s="85"/>
      <c r="AG154" s="85"/>
      <c r="AH154" s="85"/>
      <c r="AI154" s="85"/>
      <c r="AJ154" s="85"/>
      <c r="AK154" s="85"/>
      <c r="AL154" s="85"/>
    </row>
    <row r="155" spans="1:38" s="80" customFormat="1" x14ac:dyDescent="0.25">
      <c r="A155" s="116"/>
      <c r="B155" s="115"/>
      <c r="C155" s="115"/>
      <c r="D155" s="115"/>
      <c r="E155" s="115"/>
      <c r="F155" s="115"/>
      <c r="H155" s="95">
        <v>150</v>
      </c>
      <c r="I155" s="96" t="str">
        <f t="shared" si="13"/>
        <v/>
      </c>
      <c r="J155" s="96" t="e">
        <f t="shared" si="14"/>
        <v>#NUM!</v>
      </c>
      <c r="K155" s="95" t="e">
        <f t="shared" si="15"/>
        <v>#NUM!</v>
      </c>
      <c r="L155" s="95"/>
      <c r="M155" s="97">
        <f t="shared" si="16"/>
        <v>0</v>
      </c>
      <c r="S155" s="85"/>
      <c r="T155" s="85"/>
      <c r="U155" s="85"/>
      <c r="V155" s="85"/>
      <c r="W155" s="85"/>
      <c r="X155" s="85"/>
      <c r="Y155" s="85"/>
      <c r="Z155" s="85"/>
      <c r="AA155" s="85"/>
      <c r="AB155" s="85"/>
      <c r="AC155" s="85"/>
      <c r="AD155" s="85"/>
      <c r="AE155" s="85"/>
      <c r="AF155" s="85"/>
      <c r="AG155" s="85"/>
      <c r="AH155" s="85"/>
      <c r="AI155" s="85"/>
      <c r="AJ155" s="85"/>
      <c r="AK155" s="85"/>
      <c r="AL155" s="85"/>
    </row>
    <row r="156" spans="1:38" s="80" customFormat="1" x14ac:dyDescent="0.25">
      <c r="A156" s="116"/>
      <c r="B156" s="115"/>
      <c r="C156" s="115"/>
      <c r="D156" s="115"/>
      <c r="E156" s="115"/>
      <c r="F156" s="115"/>
      <c r="H156" s="95">
        <v>151</v>
      </c>
      <c r="I156" s="96" t="str">
        <f t="shared" si="13"/>
        <v/>
      </c>
      <c r="J156" s="96" t="e">
        <f t="shared" si="14"/>
        <v>#NUM!</v>
      </c>
      <c r="K156" s="95" t="e">
        <f t="shared" si="15"/>
        <v>#NUM!</v>
      </c>
      <c r="L156" s="95"/>
      <c r="M156" s="97">
        <f t="shared" si="16"/>
        <v>0</v>
      </c>
      <c r="S156" s="85"/>
      <c r="T156" s="85"/>
      <c r="U156" s="85"/>
      <c r="V156" s="85"/>
      <c r="W156" s="85"/>
      <c r="X156" s="85"/>
      <c r="Y156" s="85"/>
      <c r="Z156" s="85"/>
      <c r="AA156" s="85"/>
      <c r="AB156" s="85"/>
      <c r="AC156" s="85"/>
      <c r="AD156" s="85"/>
      <c r="AE156" s="85"/>
      <c r="AF156" s="85"/>
      <c r="AG156" s="85"/>
      <c r="AH156" s="85"/>
      <c r="AI156" s="85"/>
      <c r="AJ156" s="85"/>
      <c r="AK156" s="85"/>
      <c r="AL156" s="85"/>
    </row>
    <row r="157" spans="1:38" s="80" customFormat="1" x14ac:dyDescent="0.25">
      <c r="A157" s="116"/>
      <c r="B157" s="115"/>
      <c r="C157" s="115"/>
      <c r="D157" s="115"/>
      <c r="E157" s="115"/>
      <c r="F157" s="115"/>
      <c r="H157" s="95">
        <v>152</v>
      </c>
      <c r="I157" s="96" t="str">
        <f t="shared" si="13"/>
        <v/>
      </c>
      <c r="J157" s="96" t="e">
        <f t="shared" si="14"/>
        <v>#NUM!</v>
      </c>
      <c r="K157" s="95" t="e">
        <f t="shared" si="15"/>
        <v>#NUM!</v>
      </c>
      <c r="L157" s="95"/>
      <c r="M157" s="97">
        <f t="shared" si="16"/>
        <v>0</v>
      </c>
      <c r="S157" s="85"/>
      <c r="T157" s="85"/>
      <c r="U157" s="85"/>
      <c r="V157" s="85"/>
      <c r="W157" s="85"/>
      <c r="X157" s="85"/>
      <c r="Y157" s="85"/>
      <c r="Z157" s="85"/>
      <c r="AA157" s="85"/>
      <c r="AB157" s="85"/>
      <c r="AC157" s="85"/>
      <c r="AD157" s="85"/>
      <c r="AE157" s="85"/>
      <c r="AF157" s="85"/>
      <c r="AG157" s="85"/>
      <c r="AH157" s="85"/>
      <c r="AI157" s="85"/>
      <c r="AJ157" s="85"/>
      <c r="AK157" s="85"/>
      <c r="AL157" s="85"/>
    </row>
    <row r="158" spans="1:38" s="80" customFormat="1" x14ac:dyDescent="0.25">
      <c r="A158" s="116"/>
      <c r="B158" s="115"/>
      <c r="C158" s="115"/>
      <c r="D158" s="115"/>
      <c r="E158" s="115"/>
      <c r="F158" s="115"/>
      <c r="H158" s="95">
        <v>153</v>
      </c>
      <c r="I158" s="96" t="str">
        <f t="shared" si="13"/>
        <v/>
      </c>
      <c r="J158" s="96" t="e">
        <f t="shared" si="14"/>
        <v>#NUM!</v>
      </c>
      <c r="K158" s="95" t="e">
        <f t="shared" si="15"/>
        <v>#NUM!</v>
      </c>
      <c r="L158" s="95"/>
      <c r="M158" s="97">
        <f t="shared" si="16"/>
        <v>0</v>
      </c>
      <c r="S158" s="85"/>
      <c r="T158" s="85"/>
      <c r="U158" s="85"/>
      <c r="V158" s="85"/>
      <c r="W158" s="85"/>
      <c r="X158" s="85"/>
      <c r="Y158" s="85"/>
      <c r="Z158" s="85"/>
      <c r="AA158" s="85"/>
      <c r="AB158" s="85"/>
      <c r="AC158" s="85"/>
      <c r="AD158" s="85"/>
      <c r="AE158" s="85"/>
      <c r="AF158" s="85"/>
      <c r="AG158" s="85"/>
      <c r="AH158" s="85"/>
      <c r="AI158" s="85"/>
      <c r="AJ158" s="85"/>
      <c r="AK158" s="85"/>
      <c r="AL158" s="85"/>
    </row>
    <row r="159" spans="1:38" s="80" customFormat="1" x14ac:dyDescent="0.25">
      <c r="A159" s="116"/>
      <c r="B159" s="115"/>
      <c r="C159" s="115"/>
      <c r="D159" s="115"/>
      <c r="E159" s="115"/>
      <c r="F159" s="115"/>
      <c r="H159" s="95">
        <v>154</v>
      </c>
      <c r="I159" s="96" t="str">
        <f t="shared" si="13"/>
        <v/>
      </c>
      <c r="J159" s="96" t="e">
        <f t="shared" si="14"/>
        <v>#NUM!</v>
      </c>
      <c r="K159" s="95" t="e">
        <f t="shared" si="15"/>
        <v>#NUM!</v>
      </c>
      <c r="L159" s="95"/>
      <c r="M159" s="97">
        <f t="shared" si="16"/>
        <v>0</v>
      </c>
      <c r="S159" s="85"/>
      <c r="T159" s="85"/>
      <c r="U159" s="85"/>
      <c r="V159" s="85"/>
      <c r="W159" s="85"/>
      <c r="X159" s="85"/>
      <c r="Y159" s="85"/>
      <c r="Z159" s="85"/>
      <c r="AA159" s="85"/>
      <c r="AB159" s="85"/>
      <c r="AC159" s="85"/>
      <c r="AD159" s="85"/>
      <c r="AE159" s="85"/>
      <c r="AF159" s="85"/>
      <c r="AG159" s="85"/>
      <c r="AH159" s="85"/>
      <c r="AI159" s="85"/>
      <c r="AJ159" s="85"/>
      <c r="AK159" s="85"/>
      <c r="AL159" s="85"/>
    </row>
    <row r="160" spans="1:38" s="80" customFormat="1" x14ac:dyDescent="0.25">
      <c r="A160" s="116"/>
      <c r="B160" s="115"/>
      <c r="C160" s="115"/>
      <c r="D160" s="115"/>
      <c r="E160" s="115"/>
      <c r="F160" s="115"/>
      <c r="H160" s="95">
        <v>155</v>
      </c>
      <c r="I160" s="96" t="str">
        <f t="shared" si="13"/>
        <v/>
      </c>
      <c r="J160" s="96" t="e">
        <f t="shared" si="14"/>
        <v>#NUM!</v>
      </c>
      <c r="K160" s="95" t="e">
        <f t="shared" si="15"/>
        <v>#NUM!</v>
      </c>
      <c r="L160" s="95"/>
      <c r="M160" s="97">
        <f t="shared" si="16"/>
        <v>0</v>
      </c>
      <c r="S160" s="85"/>
      <c r="T160" s="85"/>
      <c r="U160" s="85"/>
      <c r="V160" s="85"/>
      <c r="W160" s="85"/>
      <c r="X160" s="85"/>
      <c r="Y160" s="85"/>
      <c r="Z160" s="85"/>
      <c r="AA160" s="85"/>
      <c r="AB160" s="85"/>
      <c r="AC160" s="85"/>
      <c r="AD160" s="85"/>
      <c r="AE160" s="85"/>
      <c r="AF160" s="85"/>
      <c r="AG160" s="85"/>
      <c r="AH160" s="85"/>
      <c r="AI160" s="85"/>
      <c r="AJ160" s="85"/>
      <c r="AK160" s="85"/>
      <c r="AL160" s="85"/>
    </row>
    <row r="161" spans="1:38" s="80" customFormat="1" x14ac:dyDescent="0.25">
      <c r="A161" s="116"/>
      <c r="B161" s="115"/>
      <c r="C161" s="115"/>
      <c r="D161" s="115"/>
      <c r="E161" s="115"/>
      <c r="F161" s="115"/>
      <c r="H161" s="95">
        <v>156</v>
      </c>
      <c r="I161" s="96" t="str">
        <f t="shared" si="13"/>
        <v/>
      </c>
      <c r="J161" s="96" t="e">
        <f t="shared" si="14"/>
        <v>#NUM!</v>
      </c>
      <c r="K161" s="95" t="e">
        <f t="shared" si="15"/>
        <v>#NUM!</v>
      </c>
      <c r="L161" s="95"/>
      <c r="M161" s="97">
        <f t="shared" si="16"/>
        <v>0</v>
      </c>
      <c r="S161" s="85"/>
      <c r="T161" s="85"/>
      <c r="U161" s="85"/>
      <c r="V161" s="85"/>
      <c r="W161" s="85"/>
      <c r="X161" s="85"/>
      <c r="Y161" s="85"/>
      <c r="Z161" s="85"/>
      <c r="AA161" s="85"/>
      <c r="AB161" s="85"/>
      <c r="AC161" s="85"/>
      <c r="AD161" s="85"/>
      <c r="AE161" s="85"/>
      <c r="AF161" s="85"/>
      <c r="AG161" s="85"/>
      <c r="AH161" s="85"/>
      <c r="AI161" s="85"/>
      <c r="AJ161" s="85"/>
      <c r="AK161" s="85"/>
      <c r="AL161" s="85"/>
    </row>
    <row r="162" spans="1:38" s="80" customFormat="1" x14ac:dyDescent="0.25">
      <c r="A162" s="116"/>
      <c r="B162" s="115"/>
      <c r="C162" s="115"/>
      <c r="D162" s="115"/>
      <c r="E162" s="115"/>
      <c r="F162" s="115"/>
      <c r="H162" s="95">
        <v>157</v>
      </c>
      <c r="I162" s="96" t="str">
        <f t="shared" si="13"/>
        <v/>
      </c>
      <c r="J162" s="96" t="e">
        <f t="shared" si="14"/>
        <v>#NUM!</v>
      </c>
      <c r="K162" s="95" t="e">
        <f t="shared" si="15"/>
        <v>#NUM!</v>
      </c>
      <c r="L162" s="95"/>
      <c r="M162" s="97">
        <f t="shared" si="16"/>
        <v>0</v>
      </c>
      <c r="S162" s="85"/>
      <c r="T162" s="85"/>
      <c r="U162" s="85"/>
      <c r="V162" s="85"/>
      <c r="W162" s="85"/>
      <c r="X162" s="85"/>
      <c r="Y162" s="85"/>
      <c r="Z162" s="85"/>
      <c r="AA162" s="85"/>
      <c r="AB162" s="85"/>
      <c r="AC162" s="85"/>
      <c r="AD162" s="85"/>
      <c r="AE162" s="85"/>
      <c r="AF162" s="85"/>
      <c r="AG162" s="85"/>
      <c r="AH162" s="85"/>
      <c r="AI162" s="85"/>
      <c r="AJ162" s="85"/>
      <c r="AK162" s="85"/>
      <c r="AL162" s="85"/>
    </row>
    <row r="163" spans="1:38" s="80" customFormat="1" x14ac:dyDescent="0.25">
      <c r="A163" s="116"/>
      <c r="B163" s="115"/>
      <c r="C163" s="115"/>
      <c r="D163" s="115"/>
      <c r="E163" s="115"/>
      <c r="F163" s="115"/>
      <c r="H163" s="95">
        <v>158</v>
      </c>
      <c r="I163" s="96" t="str">
        <f t="shared" si="13"/>
        <v/>
      </c>
      <c r="J163" s="96" t="e">
        <f t="shared" si="14"/>
        <v>#NUM!</v>
      </c>
      <c r="K163" s="95" t="e">
        <f t="shared" si="15"/>
        <v>#NUM!</v>
      </c>
      <c r="L163" s="95"/>
      <c r="M163" s="97">
        <f t="shared" si="16"/>
        <v>0</v>
      </c>
      <c r="S163" s="85"/>
      <c r="T163" s="85"/>
      <c r="U163" s="85"/>
      <c r="V163" s="85"/>
      <c r="W163" s="85"/>
      <c r="X163" s="85"/>
      <c r="Y163" s="85"/>
      <c r="Z163" s="85"/>
      <c r="AA163" s="85"/>
      <c r="AB163" s="85"/>
      <c r="AC163" s="85"/>
      <c r="AD163" s="85"/>
      <c r="AE163" s="85"/>
      <c r="AF163" s="85"/>
      <c r="AG163" s="85"/>
      <c r="AH163" s="85"/>
      <c r="AI163" s="85"/>
      <c r="AJ163" s="85"/>
      <c r="AK163" s="85"/>
      <c r="AL163" s="85"/>
    </row>
    <row r="164" spans="1:38" s="80" customFormat="1" x14ac:dyDescent="0.25">
      <c r="A164" s="116"/>
      <c r="B164" s="115"/>
      <c r="C164" s="115"/>
      <c r="D164" s="115"/>
      <c r="E164" s="115"/>
      <c r="F164" s="115"/>
      <c r="H164" s="95">
        <v>159</v>
      </c>
      <c r="I164" s="96" t="str">
        <f t="shared" si="13"/>
        <v/>
      </c>
      <c r="J164" s="96" t="e">
        <f t="shared" si="14"/>
        <v>#NUM!</v>
      </c>
      <c r="K164" s="95" t="e">
        <f t="shared" si="15"/>
        <v>#NUM!</v>
      </c>
      <c r="L164" s="95"/>
      <c r="M164" s="97">
        <f t="shared" si="16"/>
        <v>0</v>
      </c>
      <c r="S164" s="85"/>
      <c r="T164" s="85"/>
      <c r="U164" s="85"/>
      <c r="V164" s="85"/>
      <c r="W164" s="85"/>
      <c r="X164" s="85"/>
      <c r="Y164" s="85"/>
      <c r="Z164" s="85"/>
      <c r="AA164" s="85"/>
      <c r="AB164" s="85"/>
      <c r="AC164" s="85"/>
      <c r="AD164" s="85"/>
      <c r="AE164" s="85"/>
      <c r="AF164" s="85"/>
      <c r="AG164" s="85"/>
      <c r="AH164" s="85"/>
      <c r="AI164" s="85"/>
      <c r="AJ164" s="85"/>
      <c r="AK164" s="85"/>
      <c r="AL164" s="85"/>
    </row>
    <row r="165" spans="1:38" s="80" customFormat="1" x14ac:dyDescent="0.25">
      <c r="A165" s="116"/>
      <c r="B165" s="115"/>
      <c r="C165" s="115"/>
      <c r="D165" s="115"/>
      <c r="E165" s="115"/>
      <c r="F165" s="115"/>
      <c r="H165" s="95">
        <v>160</v>
      </c>
      <c r="I165" s="96" t="str">
        <f t="shared" si="13"/>
        <v/>
      </c>
      <c r="J165" s="96" t="e">
        <f t="shared" si="14"/>
        <v>#NUM!</v>
      </c>
      <c r="K165" s="95" t="e">
        <f t="shared" si="15"/>
        <v>#NUM!</v>
      </c>
      <c r="L165" s="95"/>
      <c r="M165" s="97">
        <f t="shared" si="16"/>
        <v>0</v>
      </c>
      <c r="S165" s="85"/>
      <c r="T165" s="85"/>
      <c r="U165" s="85"/>
      <c r="V165" s="85"/>
      <c r="W165" s="85"/>
      <c r="X165" s="85"/>
      <c r="Y165" s="85"/>
      <c r="Z165" s="85"/>
      <c r="AA165" s="85"/>
      <c r="AB165" s="85"/>
      <c r="AC165" s="85"/>
      <c r="AD165" s="85"/>
      <c r="AE165" s="85"/>
      <c r="AF165" s="85"/>
      <c r="AG165" s="85"/>
      <c r="AH165" s="85"/>
      <c r="AI165" s="85"/>
      <c r="AJ165" s="85"/>
      <c r="AK165" s="85"/>
      <c r="AL165" s="85"/>
    </row>
    <row r="166" spans="1:38" s="80" customFormat="1" x14ac:dyDescent="0.25">
      <c r="A166" s="116"/>
      <c r="B166" s="115"/>
      <c r="C166" s="115"/>
      <c r="D166" s="115"/>
      <c r="E166" s="115"/>
      <c r="F166" s="115"/>
      <c r="H166" s="95">
        <v>161</v>
      </c>
      <c r="I166" s="96" t="str">
        <f t="shared" si="13"/>
        <v/>
      </c>
      <c r="J166" s="96" t="e">
        <f t="shared" si="14"/>
        <v>#NUM!</v>
      </c>
      <c r="K166" s="95" t="e">
        <f t="shared" si="15"/>
        <v>#NUM!</v>
      </c>
      <c r="L166" s="95"/>
      <c r="M166" s="97">
        <f t="shared" si="16"/>
        <v>0</v>
      </c>
      <c r="S166" s="85"/>
      <c r="T166" s="85"/>
      <c r="U166" s="85"/>
      <c r="V166" s="85"/>
      <c r="W166" s="85"/>
      <c r="X166" s="85"/>
      <c r="Y166" s="85"/>
      <c r="Z166" s="85"/>
      <c r="AA166" s="85"/>
      <c r="AB166" s="85"/>
      <c r="AC166" s="85"/>
      <c r="AD166" s="85"/>
      <c r="AE166" s="85"/>
      <c r="AF166" s="85"/>
      <c r="AG166" s="85"/>
      <c r="AH166" s="85"/>
      <c r="AI166" s="85"/>
      <c r="AJ166" s="85"/>
      <c r="AK166" s="85"/>
      <c r="AL166" s="85"/>
    </row>
    <row r="167" spans="1:38" s="80" customFormat="1" x14ac:dyDescent="0.25">
      <c r="A167" s="116"/>
      <c r="B167" s="115"/>
      <c r="C167" s="115"/>
      <c r="D167" s="115"/>
      <c r="E167" s="115"/>
      <c r="F167" s="115"/>
      <c r="H167" s="95">
        <v>162</v>
      </c>
      <c r="I167" s="96" t="str">
        <f t="shared" si="13"/>
        <v/>
      </c>
      <c r="J167" s="96" t="e">
        <f t="shared" si="14"/>
        <v>#NUM!</v>
      </c>
      <c r="K167" s="95" t="e">
        <f t="shared" si="15"/>
        <v>#NUM!</v>
      </c>
      <c r="L167" s="95"/>
      <c r="M167" s="97">
        <f t="shared" si="16"/>
        <v>0</v>
      </c>
      <c r="S167" s="85"/>
      <c r="T167" s="85"/>
      <c r="U167" s="85"/>
      <c r="V167" s="85"/>
      <c r="W167" s="85"/>
      <c r="X167" s="85"/>
      <c r="Y167" s="85"/>
      <c r="Z167" s="85"/>
      <c r="AA167" s="85"/>
      <c r="AB167" s="85"/>
      <c r="AC167" s="85"/>
      <c r="AD167" s="85"/>
      <c r="AE167" s="85"/>
      <c r="AF167" s="85"/>
      <c r="AG167" s="85"/>
      <c r="AH167" s="85"/>
      <c r="AI167" s="85"/>
      <c r="AJ167" s="85"/>
      <c r="AK167" s="85"/>
      <c r="AL167" s="85"/>
    </row>
    <row r="168" spans="1:38" s="80" customFormat="1" x14ac:dyDescent="0.25">
      <c r="A168" s="116"/>
      <c r="B168" s="115"/>
      <c r="C168" s="115"/>
      <c r="D168" s="115"/>
      <c r="E168" s="115"/>
      <c r="F168" s="115"/>
      <c r="H168" s="95">
        <v>163</v>
      </c>
      <c r="I168" s="96" t="str">
        <f t="shared" si="13"/>
        <v/>
      </c>
      <c r="J168" s="96" t="e">
        <f t="shared" si="14"/>
        <v>#NUM!</v>
      </c>
      <c r="K168" s="95" t="e">
        <f t="shared" si="15"/>
        <v>#NUM!</v>
      </c>
      <c r="L168" s="95"/>
      <c r="M168" s="97">
        <f t="shared" si="16"/>
        <v>0</v>
      </c>
      <c r="S168" s="85"/>
      <c r="T168" s="85"/>
      <c r="U168" s="85"/>
      <c r="V168" s="85"/>
      <c r="W168" s="85"/>
      <c r="X168" s="85"/>
      <c r="Y168" s="85"/>
      <c r="Z168" s="85"/>
      <c r="AA168" s="85"/>
      <c r="AB168" s="85"/>
      <c r="AC168" s="85"/>
      <c r="AD168" s="85"/>
      <c r="AE168" s="85"/>
      <c r="AF168" s="85"/>
      <c r="AG168" s="85"/>
      <c r="AH168" s="85"/>
      <c r="AI168" s="85"/>
      <c r="AJ168" s="85"/>
      <c r="AK168" s="85"/>
      <c r="AL168" s="85"/>
    </row>
    <row r="169" spans="1:38" s="80" customFormat="1" x14ac:dyDescent="0.25">
      <c r="A169" s="116"/>
      <c r="B169" s="115"/>
      <c r="C169" s="115" t="s">
        <v>40</v>
      </c>
      <c r="D169" s="115"/>
      <c r="E169" s="115"/>
      <c r="F169" s="115"/>
      <c r="H169" s="95">
        <v>164</v>
      </c>
      <c r="I169" s="96" t="str">
        <f t="shared" si="13"/>
        <v/>
      </c>
      <c r="J169" s="96" t="e">
        <f t="shared" si="14"/>
        <v>#NUM!</v>
      </c>
      <c r="K169" s="95" t="e">
        <f t="shared" si="15"/>
        <v>#NUM!</v>
      </c>
      <c r="L169" s="95"/>
      <c r="M169" s="97">
        <f t="shared" si="16"/>
        <v>0</v>
      </c>
      <c r="S169" s="85"/>
      <c r="T169" s="85"/>
      <c r="U169" s="85"/>
      <c r="V169" s="85"/>
      <c r="W169" s="85"/>
      <c r="X169" s="85"/>
      <c r="Y169" s="85"/>
      <c r="Z169" s="85"/>
      <c r="AA169" s="85"/>
      <c r="AB169" s="85"/>
      <c r="AC169" s="85"/>
      <c r="AD169" s="85"/>
      <c r="AE169" s="85"/>
      <c r="AF169" s="85"/>
      <c r="AG169" s="85"/>
      <c r="AH169" s="85"/>
      <c r="AI169" s="85"/>
      <c r="AJ169" s="85"/>
      <c r="AK169" s="85"/>
      <c r="AL169" s="85"/>
    </row>
    <row r="170" spans="1:38" s="80" customFormat="1" x14ac:dyDescent="0.25">
      <c r="A170" s="116"/>
      <c r="B170" s="115"/>
      <c r="C170" s="115"/>
      <c r="D170" s="115"/>
      <c r="E170" s="115"/>
      <c r="F170" s="115"/>
      <c r="H170" s="95">
        <v>165</v>
      </c>
      <c r="I170" s="96" t="str">
        <f t="shared" si="13"/>
        <v/>
      </c>
      <c r="J170" s="96" t="e">
        <f t="shared" si="14"/>
        <v>#NUM!</v>
      </c>
      <c r="K170" s="95" t="e">
        <f t="shared" si="15"/>
        <v>#NUM!</v>
      </c>
      <c r="L170" s="95"/>
      <c r="M170" s="97">
        <f t="shared" si="16"/>
        <v>0</v>
      </c>
      <c r="S170" s="85"/>
      <c r="T170" s="85"/>
      <c r="U170" s="85"/>
      <c r="V170" s="85"/>
      <c r="W170" s="85"/>
      <c r="X170" s="85"/>
      <c r="Y170" s="85"/>
      <c r="Z170" s="85"/>
      <c r="AA170" s="85"/>
      <c r="AB170" s="85"/>
      <c r="AC170" s="85"/>
      <c r="AD170" s="85"/>
      <c r="AE170" s="85"/>
      <c r="AF170" s="85"/>
      <c r="AG170" s="85"/>
      <c r="AH170" s="85"/>
      <c r="AI170" s="85"/>
      <c r="AJ170" s="85"/>
      <c r="AK170" s="85"/>
      <c r="AL170" s="85"/>
    </row>
    <row r="171" spans="1:38" s="80" customFormat="1" x14ac:dyDescent="0.25">
      <c r="A171" s="116"/>
      <c r="B171" s="115"/>
      <c r="C171" s="115"/>
      <c r="D171" s="115"/>
      <c r="E171" s="115"/>
      <c r="F171" s="115"/>
      <c r="H171" s="95">
        <v>166</v>
      </c>
      <c r="I171" s="96" t="str">
        <f t="shared" si="13"/>
        <v/>
      </c>
      <c r="J171" s="96" t="e">
        <f t="shared" si="14"/>
        <v>#NUM!</v>
      </c>
      <c r="K171" s="95" t="e">
        <f t="shared" si="15"/>
        <v>#NUM!</v>
      </c>
      <c r="L171" s="95"/>
      <c r="M171" s="97">
        <f t="shared" si="16"/>
        <v>0</v>
      </c>
      <c r="S171" s="85"/>
      <c r="T171" s="85"/>
      <c r="U171" s="85"/>
      <c r="V171" s="85"/>
      <c r="W171" s="85"/>
      <c r="X171" s="85"/>
      <c r="Y171" s="85"/>
      <c r="Z171" s="85"/>
      <c r="AA171" s="85"/>
      <c r="AB171" s="85"/>
      <c r="AC171" s="85"/>
      <c r="AD171" s="85"/>
      <c r="AE171" s="85"/>
      <c r="AF171" s="85"/>
      <c r="AG171" s="85"/>
      <c r="AH171" s="85"/>
      <c r="AI171" s="85"/>
      <c r="AJ171" s="85"/>
      <c r="AK171" s="85"/>
      <c r="AL171" s="85"/>
    </row>
    <row r="172" spans="1:38" s="80" customFormat="1" x14ac:dyDescent="0.25">
      <c r="A172" s="116"/>
      <c r="B172" s="115"/>
      <c r="C172" s="115"/>
      <c r="D172" s="115"/>
      <c r="E172" s="115"/>
      <c r="F172" s="115"/>
      <c r="H172" s="95">
        <v>167</v>
      </c>
      <c r="I172" s="96" t="str">
        <f t="shared" si="13"/>
        <v/>
      </c>
      <c r="J172" s="96" t="e">
        <f t="shared" si="14"/>
        <v>#NUM!</v>
      </c>
      <c r="K172" s="95" t="e">
        <f t="shared" si="15"/>
        <v>#NUM!</v>
      </c>
      <c r="L172" s="95"/>
      <c r="M172" s="97">
        <f t="shared" si="16"/>
        <v>0</v>
      </c>
      <c r="S172" s="85"/>
      <c r="T172" s="85"/>
      <c r="U172" s="85"/>
      <c r="V172" s="85"/>
      <c r="W172" s="85"/>
      <c r="X172" s="85"/>
      <c r="Y172" s="85"/>
      <c r="Z172" s="85"/>
      <c r="AA172" s="85"/>
      <c r="AB172" s="85"/>
      <c r="AC172" s="85"/>
      <c r="AD172" s="85"/>
      <c r="AE172" s="85"/>
      <c r="AF172" s="85"/>
      <c r="AG172" s="85"/>
      <c r="AH172" s="85"/>
      <c r="AI172" s="85"/>
      <c r="AJ172" s="85"/>
      <c r="AK172" s="85"/>
      <c r="AL172" s="85"/>
    </row>
    <row r="173" spans="1:38" s="80" customFormat="1" x14ac:dyDescent="0.25">
      <c r="A173" s="116"/>
      <c r="B173" s="115"/>
      <c r="C173" s="115"/>
      <c r="D173" s="115"/>
      <c r="E173" s="115"/>
      <c r="F173" s="115"/>
      <c r="H173" s="95">
        <v>168</v>
      </c>
      <c r="I173" s="96" t="str">
        <f t="shared" si="13"/>
        <v/>
      </c>
      <c r="J173" s="96" t="e">
        <f t="shared" si="14"/>
        <v>#NUM!</v>
      </c>
      <c r="K173" s="95" t="e">
        <f t="shared" si="15"/>
        <v>#NUM!</v>
      </c>
      <c r="L173" s="95"/>
      <c r="M173" s="97">
        <f t="shared" si="16"/>
        <v>0</v>
      </c>
      <c r="S173" s="85"/>
      <c r="T173" s="85"/>
      <c r="U173" s="85"/>
      <c r="V173" s="85"/>
      <c r="W173" s="85"/>
      <c r="X173" s="85"/>
      <c r="Y173" s="85"/>
      <c r="Z173" s="85"/>
      <c r="AA173" s="85"/>
      <c r="AB173" s="85"/>
      <c r="AC173" s="85"/>
      <c r="AD173" s="85"/>
      <c r="AE173" s="85"/>
      <c r="AF173" s="85"/>
      <c r="AG173" s="85"/>
      <c r="AH173" s="85"/>
      <c r="AI173" s="85"/>
      <c r="AJ173" s="85"/>
      <c r="AK173" s="85"/>
      <c r="AL173" s="85"/>
    </row>
    <row r="174" spans="1:38" s="80" customFormat="1" x14ac:dyDescent="0.25">
      <c r="A174" s="116"/>
      <c r="B174" s="115"/>
      <c r="C174" s="115"/>
      <c r="D174" s="115"/>
      <c r="E174" s="115"/>
      <c r="F174" s="115"/>
      <c r="H174" s="95">
        <v>169</v>
      </c>
      <c r="I174" s="96" t="str">
        <f t="shared" si="13"/>
        <v/>
      </c>
      <c r="J174" s="96" t="e">
        <f t="shared" si="14"/>
        <v>#NUM!</v>
      </c>
      <c r="K174" s="95" t="e">
        <f t="shared" si="15"/>
        <v>#NUM!</v>
      </c>
      <c r="L174" s="95"/>
      <c r="M174" s="97">
        <f t="shared" si="16"/>
        <v>0</v>
      </c>
      <c r="S174" s="85"/>
      <c r="T174" s="85"/>
      <c r="U174" s="85"/>
      <c r="V174" s="85"/>
      <c r="W174" s="85"/>
      <c r="X174" s="85"/>
      <c r="Y174" s="85"/>
      <c r="Z174" s="85"/>
      <c r="AA174" s="85"/>
      <c r="AB174" s="85"/>
      <c r="AC174" s="85"/>
      <c r="AD174" s="85"/>
      <c r="AE174" s="85"/>
      <c r="AF174" s="85"/>
      <c r="AG174" s="85"/>
      <c r="AH174" s="85"/>
      <c r="AI174" s="85"/>
      <c r="AJ174" s="85"/>
      <c r="AK174" s="85"/>
      <c r="AL174" s="85"/>
    </row>
    <row r="175" spans="1:38" s="80" customFormat="1" x14ac:dyDescent="0.25">
      <c r="A175" s="116"/>
      <c r="B175" s="115"/>
      <c r="C175" s="115"/>
      <c r="D175" s="115"/>
      <c r="E175" s="115"/>
      <c r="F175" s="115"/>
      <c r="H175" s="95">
        <v>170</v>
      </c>
      <c r="I175" s="96" t="str">
        <f t="shared" si="13"/>
        <v/>
      </c>
      <c r="J175" s="96" t="e">
        <f t="shared" si="14"/>
        <v>#NUM!</v>
      </c>
      <c r="K175" s="95" t="e">
        <f t="shared" si="15"/>
        <v>#NUM!</v>
      </c>
      <c r="L175" s="95"/>
      <c r="M175" s="97">
        <f t="shared" si="16"/>
        <v>0</v>
      </c>
      <c r="S175" s="85"/>
      <c r="T175" s="85"/>
      <c r="U175" s="85"/>
      <c r="V175" s="85"/>
      <c r="W175" s="85"/>
      <c r="X175" s="85"/>
      <c r="Y175" s="85"/>
      <c r="Z175" s="85"/>
      <c r="AA175" s="85"/>
      <c r="AB175" s="85"/>
      <c r="AC175" s="85"/>
      <c r="AD175" s="85"/>
      <c r="AE175" s="85"/>
      <c r="AF175" s="85"/>
      <c r="AG175" s="85"/>
      <c r="AH175" s="85"/>
      <c r="AI175" s="85"/>
      <c r="AJ175" s="85"/>
      <c r="AK175" s="85"/>
      <c r="AL175" s="85"/>
    </row>
    <row r="176" spans="1:38" s="80" customFormat="1" x14ac:dyDescent="0.25">
      <c r="A176" s="116"/>
      <c r="B176" s="115"/>
      <c r="C176" s="115"/>
      <c r="D176" s="115"/>
      <c r="E176" s="115"/>
      <c r="F176" s="115"/>
      <c r="H176" s="95">
        <v>171</v>
      </c>
      <c r="I176" s="96" t="str">
        <f t="shared" si="13"/>
        <v/>
      </c>
      <c r="J176" s="96" t="e">
        <f t="shared" si="14"/>
        <v>#NUM!</v>
      </c>
      <c r="K176" s="95" t="e">
        <f t="shared" si="15"/>
        <v>#NUM!</v>
      </c>
      <c r="L176" s="95"/>
      <c r="M176" s="97">
        <f t="shared" si="16"/>
        <v>0</v>
      </c>
      <c r="S176" s="85"/>
      <c r="T176" s="85"/>
      <c r="U176" s="85"/>
      <c r="V176" s="85"/>
      <c r="W176" s="85"/>
      <c r="X176" s="85"/>
      <c r="Y176" s="85"/>
      <c r="Z176" s="85"/>
      <c r="AA176" s="85"/>
      <c r="AB176" s="85"/>
      <c r="AC176" s="85"/>
      <c r="AD176" s="85"/>
      <c r="AE176" s="85"/>
      <c r="AF176" s="85"/>
      <c r="AG176" s="85"/>
      <c r="AH176" s="85"/>
      <c r="AI176" s="85"/>
      <c r="AJ176" s="85"/>
      <c r="AK176" s="85"/>
      <c r="AL176" s="85"/>
    </row>
    <row r="177" spans="1:38" s="80" customFormat="1" x14ac:dyDescent="0.25">
      <c r="A177" s="116"/>
      <c r="B177" s="115"/>
      <c r="C177" s="115"/>
      <c r="D177" s="115"/>
      <c r="E177" s="115"/>
      <c r="F177" s="115"/>
      <c r="H177" s="95">
        <v>172</v>
      </c>
      <c r="I177" s="96" t="str">
        <f t="shared" si="13"/>
        <v/>
      </c>
      <c r="J177" s="96" t="e">
        <f t="shared" si="14"/>
        <v>#NUM!</v>
      </c>
      <c r="K177" s="95" t="e">
        <f t="shared" si="15"/>
        <v>#NUM!</v>
      </c>
      <c r="L177" s="95"/>
      <c r="M177" s="97">
        <f t="shared" si="16"/>
        <v>0</v>
      </c>
      <c r="S177" s="85"/>
      <c r="T177" s="85"/>
      <c r="U177" s="85"/>
      <c r="V177" s="85"/>
      <c r="W177" s="85"/>
      <c r="X177" s="85"/>
      <c r="Y177" s="85"/>
      <c r="Z177" s="85"/>
      <c r="AA177" s="85"/>
      <c r="AB177" s="85"/>
      <c r="AC177" s="85"/>
      <c r="AD177" s="85"/>
      <c r="AE177" s="85"/>
      <c r="AF177" s="85"/>
      <c r="AG177" s="85"/>
      <c r="AH177" s="85"/>
      <c r="AI177" s="85"/>
      <c r="AJ177" s="85"/>
      <c r="AK177" s="85"/>
      <c r="AL177" s="85"/>
    </row>
    <row r="178" spans="1:38" s="80" customFormat="1" x14ac:dyDescent="0.25">
      <c r="A178" s="116"/>
      <c r="B178" s="115"/>
      <c r="C178" s="115"/>
      <c r="D178" s="115"/>
      <c r="E178" s="115"/>
      <c r="F178" s="115"/>
      <c r="H178" s="95">
        <v>173</v>
      </c>
      <c r="I178" s="96" t="str">
        <f t="shared" si="13"/>
        <v/>
      </c>
      <c r="J178" s="96" t="e">
        <f t="shared" si="14"/>
        <v>#NUM!</v>
      </c>
      <c r="K178" s="95" t="e">
        <f t="shared" si="15"/>
        <v>#NUM!</v>
      </c>
      <c r="L178" s="95"/>
      <c r="M178" s="97">
        <f t="shared" si="16"/>
        <v>0</v>
      </c>
      <c r="S178" s="85"/>
      <c r="T178" s="85"/>
      <c r="U178" s="85"/>
      <c r="V178" s="85"/>
      <c r="W178" s="85"/>
      <c r="X178" s="85"/>
      <c r="Y178" s="85"/>
      <c r="Z178" s="85"/>
      <c r="AA178" s="85"/>
      <c r="AB178" s="85"/>
      <c r="AC178" s="85"/>
      <c r="AD178" s="85"/>
      <c r="AE178" s="85"/>
      <c r="AF178" s="85"/>
      <c r="AG178" s="85"/>
      <c r="AH178" s="85"/>
      <c r="AI178" s="85"/>
      <c r="AJ178" s="85"/>
      <c r="AK178" s="85"/>
      <c r="AL178" s="85"/>
    </row>
    <row r="179" spans="1:38" s="80" customFormat="1" x14ac:dyDescent="0.25">
      <c r="A179" s="116"/>
      <c r="B179" s="115"/>
      <c r="C179" s="115"/>
      <c r="D179" s="115"/>
      <c r="E179" s="115"/>
      <c r="F179" s="115"/>
      <c r="H179" s="95">
        <v>174</v>
      </c>
      <c r="I179" s="96" t="str">
        <f t="shared" si="13"/>
        <v/>
      </c>
      <c r="J179" s="96" t="e">
        <f t="shared" si="14"/>
        <v>#NUM!</v>
      </c>
      <c r="K179" s="95" t="e">
        <f t="shared" si="15"/>
        <v>#NUM!</v>
      </c>
      <c r="L179" s="95"/>
      <c r="M179" s="97">
        <f t="shared" si="16"/>
        <v>0</v>
      </c>
      <c r="S179" s="85"/>
      <c r="T179" s="85"/>
      <c r="U179" s="85"/>
      <c r="V179" s="85"/>
      <c r="W179" s="85"/>
      <c r="X179" s="85"/>
      <c r="Y179" s="85"/>
      <c r="Z179" s="85"/>
      <c r="AA179" s="85"/>
      <c r="AB179" s="85"/>
      <c r="AC179" s="85"/>
      <c r="AD179" s="85"/>
      <c r="AE179" s="85"/>
      <c r="AF179" s="85"/>
      <c r="AG179" s="85"/>
      <c r="AH179" s="85"/>
      <c r="AI179" s="85"/>
      <c r="AJ179" s="85"/>
      <c r="AK179" s="85"/>
      <c r="AL179" s="85"/>
    </row>
    <row r="180" spans="1:38" s="80" customFormat="1" x14ac:dyDescent="0.25">
      <c r="A180" s="116"/>
      <c r="B180" s="115"/>
      <c r="C180" s="115"/>
      <c r="D180" s="115"/>
      <c r="E180" s="115"/>
      <c r="F180" s="115"/>
      <c r="H180" s="95">
        <v>175</v>
      </c>
      <c r="I180" s="96" t="str">
        <f t="shared" si="13"/>
        <v/>
      </c>
      <c r="J180" s="96" t="e">
        <f t="shared" si="14"/>
        <v>#NUM!</v>
      </c>
      <c r="K180" s="95" t="e">
        <f t="shared" si="15"/>
        <v>#NUM!</v>
      </c>
      <c r="L180" s="95"/>
      <c r="M180" s="97">
        <f t="shared" si="16"/>
        <v>0</v>
      </c>
      <c r="S180" s="85"/>
      <c r="T180" s="85"/>
      <c r="U180" s="85"/>
      <c r="V180" s="85"/>
      <c r="W180" s="85"/>
      <c r="X180" s="85"/>
      <c r="Y180" s="85"/>
      <c r="Z180" s="85"/>
      <c r="AA180" s="85"/>
      <c r="AB180" s="85"/>
      <c r="AC180" s="85"/>
      <c r="AD180" s="85"/>
      <c r="AE180" s="85"/>
      <c r="AF180" s="85"/>
      <c r="AG180" s="85"/>
      <c r="AH180" s="85"/>
      <c r="AI180" s="85"/>
      <c r="AJ180" s="85"/>
      <c r="AK180" s="85"/>
      <c r="AL180" s="85"/>
    </row>
    <row r="181" spans="1:38" s="80" customFormat="1" x14ac:dyDescent="0.25">
      <c r="A181" s="116"/>
      <c r="B181" s="115"/>
      <c r="C181" s="115"/>
      <c r="D181" s="115"/>
      <c r="E181" s="115"/>
      <c r="F181" s="115"/>
      <c r="H181" s="95">
        <v>176</v>
      </c>
      <c r="I181" s="96" t="str">
        <f t="shared" si="13"/>
        <v/>
      </c>
      <c r="J181" s="96" t="e">
        <f t="shared" si="14"/>
        <v>#NUM!</v>
      </c>
      <c r="K181" s="95" t="e">
        <f t="shared" si="15"/>
        <v>#NUM!</v>
      </c>
      <c r="L181" s="95"/>
      <c r="M181" s="97">
        <f t="shared" si="16"/>
        <v>0</v>
      </c>
      <c r="S181" s="85"/>
      <c r="T181" s="85"/>
      <c r="U181" s="85"/>
      <c r="V181" s="85"/>
      <c r="W181" s="85"/>
      <c r="X181" s="85"/>
      <c r="Y181" s="85"/>
      <c r="Z181" s="85"/>
      <c r="AA181" s="85"/>
      <c r="AB181" s="85"/>
      <c r="AC181" s="85"/>
      <c r="AD181" s="85"/>
      <c r="AE181" s="85"/>
      <c r="AF181" s="85"/>
      <c r="AG181" s="85"/>
      <c r="AH181" s="85"/>
      <c r="AI181" s="85"/>
      <c r="AJ181" s="85"/>
      <c r="AK181" s="85"/>
      <c r="AL181" s="85"/>
    </row>
    <row r="182" spans="1:38" s="80" customFormat="1" x14ac:dyDescent="0.25">
      <c r="A182" s="116"/>
      <c r="B182" s="115"/>
      <c r="C182" s="115"/>
      <c r="D182" s="115"/>
      <c r="E182" s="115"/>
      <c r="F182" s="115"/>
      <c r="H182" s="95">
        <v>177</v>
      </c>
      <c r="I182" s="96" t="str">
        <f t="shared" si="13"/>
        <v/>
      </c>
      <c r="J182" s="96" t="e">
        <f t="shared" si="14"/>
        <v>#NUM!</v>
      </c>
      <c r="K182" s="95" t="e">
        <f t="shared" si="15"/>
        <v>#NUM!</v>
      </c>
      <c r="L182" s="95"/>
      <c r="M182" s="97">
        <f t="shared" si="16"/>
        <v>0</v>
      </c>
      <c r="S182" s="85"/>
      <c r="T182" s="85"/>
      <c r="U182" s="85"/>
      <c r="V182" s="85"/>
      <c r="W182" s="85"/>
      <c r="X182" s="85"/>
      <c r="Y182" s="85"/>
      <c r="Z182" s="85"/>
      <c r="AA182" s="85"/>
      <c r="AB182" s="85"/>
      <c r="AC182" s="85"/>
      <c r="AD182" s="85"/>
      <c r="AE182" s="85"/>
      <c r="AF182" s="85"/>
      <c r="AG182" s="85"/>
      <c r="AH182" s="85"/>
      <c r="AI182" s="85"/>
      <c r="AJ182" s="85"/>
      <c r="AK182" s="85"/>
      <c r="AL182" s="85"/>
    </row>
    <row r="183" spans="1:38" s="80" customFormat="1" x14ac:dyDescent="0.25">
      <c r="A183" s="116"/>
      <c r="B183" s="115"/>
      <c r="C183" s="115"/>
      <c r="D183" s="115"/>
      <c r="E183" s="115"/>
      <c r="F183" s="115"/>
      <c r="H183" s="95">
        <v>178</v>
      </c>
      <c r="I183" s="96" t="str">
        <f t="shared" si="13"/>
        <v/>
      </c>
      <c r="J183" s="96" t="e">
        <f t="shared" si="14"/>
        <v>#NUM!</v>
      </c>
      <c r="K183" s="95" t="e">
        <f t="shared" si="15"/>
        <v>#NUM!</v>
      </c>
      <c r="L183" s="95"/>
      <c r="M183" s="97">
        <f t="shared" si="16"/>
        <v>0</v>
      </c>
      <c r="S183" s="85"/>
      <c r="T183" s="85"/>
      <c r="U183" s="85"/>
      <c r="V183" s="85"/>
      <c r="W183" s="85"/>
      <c r="X183" s="85"/>
      <c r="Y183" s="85"/>
      <c r="Z183" s="85"/>
      <c r="AA183" s="85"/>
      <c r="AB183" s="85"/>
      <c r="AC183" s="85"/>
      <c r="AD183" s="85"/>
      <c r="AE183" s="85"/>
      <c r="AF183" s="85"/>
      <c r="AG183" s="85"/>
      <c r="AH183" s="85"/>
      <c r="AI183" s="85"/>
      <c r="AJ183" s="85"/>
      <c r="AK183" s="85"/>
      <c r="AL183" s="85"/>
    </row>
    <row r="184" spans="1:38" s="80" customFormat="1" x14ac:dyDescent="0.25">
      <c r="A184" s="116"/>
      <c r="B184" s="115"/>
      <c r="C184" s="115"/>
      <c r="D184" s="115"/>
      <c r="E184" s="115"/>
      <c r="F184" s="115"/>
      <c r="H184" s="95">
        <v>179</v>
      </c>
      <c r="I184" s="96" t="str">
        <f t="shared" si="13"/>
        <v/>
      </c>
      <c r="J184" s="96" t="e">
        <f t="shared" si="14"/>
        <v>#NUM!</v>
      </c>
      <c r="K184" s="95" t="e">
        <f t="shared" si="15"/>
        <v>#NUM!</v>
      </c>
      <c r="L184" s="95"/>
      <c r="M184" s="97">
        <f t="shared" si="16"/>
        <v>0</v>
      </c>
      <c r="S184" s="85"/>
      <c r="T184" s="85"/>
      <c r="U184" s="85"/>
      <c r="V184" s="85"/>
      <c r="W184" s="85"/>
      <c r="X184" s="85"/>
      <c r="Y184" s="85"/>
      <c r="Z184" s="85"/>
      <c r="AA184" s="85"/>
      <c r="AB184" s="85"/>
      <c r="AC184" s="85"/>
      <c r="AD184" s="85"/>
      <c r="AE184" s="85"/>
      <c r="AF184" s="85"/>
      <c r="AG184" s="85"/>
      <c r="AH184" s="85"/>
      <c r="AI184" s="85"/>
      <c r="AJ184" s="85"/>
      <c r="AK184" s="85"/>
      <c r="AL184" s="85"/>
    </row>
    <row r="185" spans="1:38" s="80" customFormat="1" x14ac:dyDescent="0.25">
      <c r="A185" s="116"/>
      <c r="B185" s="115"/>
      <c r="C185" s="115"/>
      <c r="D185" s="115"/>
      <c r="E185" s="115"/>
      <c r="F185" s="115"/>
      <c r="H185" s="95">
        <v>180</v>
      </c>
      <c r="I185" s="96" t="str">
        <f t="shared" si="13"/>
        <v/>
      </c>
      <c r="J185" s="96" t="e">
        <f t="shared" si="14"/>
        <v>#NUM!</v>
      </c>
      <c r="K185" s="95" t="e">
        <f t="shared" si="15"/>
        <v>#NUM!</v>
      </c>
      <c r="L185" s="95"/>
      <c r="M185" s="97">
        <f t="shared" si="16"/>
        <v>0</v>
      </c>
      <c r="S185" s="85"/>
      <c r="T185" s="85"/>
      <c r="U185" s="85"/>
      <c r="V185" s="85"/>
      <c r="W185" s="85"/>
      <c r="X185" s="85"/>
      <c r="Y185" s="85"/>
      <c r="Z185" s="85"/>
      <c r="AA185" s="85"/>
      <c r="AB185" s="85"/>
      <c r="AC185" s="85"/>
      <c r="AD185" s="85"/>
      <c r="AE185" s="85"/>
      <c r="AF185" s="85"/>
      <c r="AG185" s="85"/>
      <c r="AH185" s="85"/>
      <c r="AI185" s="85"/>
      <c r="AJ185" s="85"/>
      <c r="AK185" s="85"/>
      <c r="AL185" s="85"/>
    </row>
    <row r="186" spans="1:38" s="80" customFormat="1" x14ac:dyDescent="0.25">
      <c r="A186" s="116"/>
      <c r="B186" s="115"/>
      <c r="C186" s="115"/>
      <c r="D186" s="115"/>
      <c r="E186" s="115"/>
      <c r="F186" s="115"/>
      <c r="H186" s="95">
        <v>181</v>
      </c>
      <c r="I186" s="96" t="str">
        <f t="shared" si="13"/>
        <v/>
      </c>
      <c r="J186" s="96" t="e">
        <f t="shared" si="14"/>
        <v>#NUM!</v>
      </c>
      <c r="K186" s="95" t="e">
        <f t="shared" si="15"/>
        <v>#NUM!</v>
      </c>
      <c r="L186" s="95"/>
      <c r="M186" s="97">
        <f t="shared" si="16"/>
        <v>0</v>
      </c>
      <c r="S186" s="85"/>
      <c r="T186" s="85"/>
      <c r="U186" s="85"/>
      <c r="V186" s="85"/>
      <c r="W186" s="85"/>
      <c r="X186" s="85"/>
      <c r="Y186" s="85"/>
      <c r="Z186" s="85"/>
      <c r="AA186" s="85"/>
      <c r="AB186" s="85"/>
      <c r="AC186" s="85"/>
      <c r="AD186" s="85"/>
      <c r="AE186" s="85"/>
      <c r="AF186" s="85"/>
      <c r="AG186" s="85"/>
      <c r="AH186" s="85"/>
      <c r="AI186" s="85"/>
      <c r="AJ186" s="85"/>
      <c r="AK186" s="85"/>
      <c r="AL186" s="85"/>
    </row>
    <row r="187" spans="1:38" s="80" customFormat="1" x14ac:dyDescent="0.25">
      <c r="A187" s="116"/>
      <c r="B187" s="115"/>
      <c r="C187" s="115"/>
      <c r="D187" s="115"/>
      <c r="E187" s="115"/>
      <c r="F187" s="115"/>
      <c r="H187" s="95">
        <v>182</v>
      </c>
      <c r="I187" s="96" t="str">
        <f t="shared" si="13"/>
        <v/>
      </c>
      <c r="J187" s="96" t="e">
        <f t="shared" si="14"/>
        <v>#NUM!</v>
      </c>
      <c r="K187" s="95" t="e">
        <f t="shared" si="15"/>
        <v>#NUM!</v>
      </c>
      <c r="L187" s="95"/>
      <c r="M187" s="97">
        <f t="shared" si="16"/>
        <v>0</v>
      </c>
      <c r="S187" s="85"/>
      <c r="T187" s="85"/>
      <c r="U187" s="85"/>
      <c r="V187" s="85"/>
      <c r="W187" s="85"/>
      <c r="X187" s="85"/>
      <c r="Y187" s="85"/>
      <c r="Z187" s="85"/>
      <c r="AA187" s="85"/>
      <c r="AB187" s="85"/>
      <c r="AC187" s="85"/>
      <c r="AD187" s="85"/>
      <c r="AE187" s="85"/>
      <c r="AF187" s="85"/>
      <c r="AG187" s="85"/>
      <c r="AH187" s="85"/>
      <c r="AI187" s="85"/>
      <c r="AJ187" s="85"/>
      <c r="AK187" s="85"/>
      <c r="AL187" s="85"/>
    </row>
    <row r="188" spans="1:38" s="80" customFormat="1" x14ac:dyDescent="0.25">
      <c r="A188" s="116"/>
      <c r="B188" s="115"/>
      <c r="C188" s="115"/>
      <c r="D188" s="115"/>
      <c r="E188" s="115"/>
      <c r="F188" s="115"/>
      <c r="H188" s="95">
        <v>183</v>
      </c>
      <c r="I188" s="96" t="str">
        <f t="shared" si="13"/>
        <v/>
      </c>
      <c r="J188" s="96" t="e">
        <f t="shared" si="14"/>
        <v>#NUM!</v>
      </c>
      <c r="K188" s="95" t="e">
        <f t="shared" si="15"/>
        <v>#NUM!</v>
      </c>
      <c r="L188" s="95"/>
      <c r="M188" s="97">
        <f t="shared" si="16"/>
        <v>0</v>
      </c>
      <c r="S188" s="85"/>
      <c r="T188" s="85"/>
      <c r="U188" s="85"/>
      <c r="V188" s="85"/>
      <c r="W188" s="85"/>
      <c r="X188" s="85"/>
      <c r="Y188" s="85"/>
      <c r="Z188" s="85"/>
      <c r="AA188" s="85"/>
      <c r="AB188" s="85"/>
      <c r="AC188" s="85"/>
      <c r="AD188" s="85"/>
      <c r="AE188" s="85"/>
      <c r="AF188" s="85"/>
      <c r="AG188" s="85"/>
      <c r="AH188" s="85"/>
      <c r="AI188" s="85"/>
      <c r="AJ188" s="85"/>
      <c r="AK188" s="85"/>
      <c r="AL188" s="85"/>
    </row>
    <row r="189" spans="1:38" s="80" customFormat="1" x14ac:dyDescent="0.25">
      <c r="A189" s="116"/>
      <c r="B189" s="115"/>
      <c r="C189" s="115"/>
      <c r="D189" s="115"/>
      <c r="E189" s="115"/>
      <c r="F189" s="115"/>
      <c r="H189" s="95">
        <v>184</v>
      </c>
      <c r="I189" s="96" t="str">
        <f t="shared" si="13"/>
        <v/>
      </c>
      <c r="J189" s="96" t="e">
        <f t="shared" si="14"/>
        <v>#NUM!</v>
      </c>
      <c r="K189" s="95" t="e">
        <f t="shared" si="15"/>
        <v>#NUM!</v>
      </c>
      <c r="L189" s="95"/>
      <c r="M189" s="97">
        <f t="shared" si="16"/>
        <v>0</v>
      </c>
      <c r="S189" s="85"/>
      <c r="T189" s="85"/>
      <c r="U189" s="85"/>
      <c r="V189" s="85"/>
      <c r="W189" s="85"/>
      <c r="X189" s="85"/>
      <c r="Y189" s="85"/>
      <c r="Z189" s="85"/>
      <c r="AA189" s="85"/>
      <c r="AB189" s="85"/>
      <c r="AC189" s="85"/>
      <c r="AD189" s="85"/>
      <c r="AE189" s="85"/>
      <c r="AF189" s="85"/>
      <c r="AG189" s="85"/>
      <c r="AH189" s="85"/>
      <c r="AI189" s="85"/>
      <c r="AJ189" s="85"/>
      <c r="AK189" s="85"/>
      <c r="AL189" s="85"/>
    </row>
    <row r="190" spans="1:38" s="80" customFormat="1" x14ac:dyDescent="0.25">
      <c r="A190" s="116"/>
      <c r="B190" s="115"/>
      <c r="C190" s="115"/>
      <c r="D190" s="115"/>
      <c r="E190" s="115"/>
      <c r="F190" s="115"/>
      <c r="H190" s="95">
        <v>185</v>
      </c>
      <c r="I190" s="96" t="str">
        <f t="shared" si="13"/>
        <v/>
      </c>
      <c r="J190" s="96" t="e">
        <f t="shared" si="14"/>
        <v>#NUM!</v>
      </c>
      <c r="K190" s="95" t="e">
        <f t="shared" si="15"/>
        <v>#NUM!</v>
      </c>
      <c r="L190" s="95"/>
      <c r="M190" s="97">
        <f t="shared" si="16"/>
        <v>0</v>
      </c>
      <c r="S190" s="85"/>
      <c r="T190" s="85"/>
      <c r="U190" s="85"/>
      <c r="V190" s="85"/>
      <c r="W190" s="85"/>
      <c r="X190" s="85"/>
      <c r="Y190" s="85"/>
      <c r="Z190" s="85"/>
      <c r="AA190" s="85"/>
      <c r="AB190" s="85"/>
      <c r="AC190" s="85"/>
      <c r="AD190" s="85"/>
      <c r="AE190" s="85"/>
      <c r="AF190" s="85"/>
      <c r="AG190" s="85"/>
      <c r="AH190" s="85"/>
      <c r="AI190" s="85"/>
      <c r="AJ190" s="85"/>
      <c r="AK190" s="85"/>
      <c r="AL190" s="85"/>
    </row>
    <row r="191" spans="1:38" s="80" customFormat="1" x14ac:dyDescent="0.25">
      <c r="A191" s="116"/>
      <c r="B191" s="115"/>
      <c r="C191" s="115"/>
      <c r="D191" s="115"/>
      <c r="E191" s="115"/>
      <c r="F191" s="115"/>
      <c r="H191" s="95">
        <v>186</v>
      </c>
      <c r="I191" s="96" t="str">
        <f t="shared" si="13"/>
        <v/>
      </c>
      <c r="J191" s="96" t="e">
        <f t="shared" si="14"/>
        <v>#NUM!</v>
      </c>
      <c r="K191" s="95" t="e">
        <f t="shared" si="15"/>
        <v>#NUM!</v>
      </c>
      <c r="L191" s="95"/>
      <c r="M191" s="97">
        <f t="shared" si="16"/>
        <v>0</v>
      </c>
      <c r="S191" s="85"/>
      <c r="T191" s="85"/>
      <c r="U191" s="85"/>
      <c r="V191" s="85"/>
      <c r="W191" s="85"/>
      <c r="X191" s="85"/>
      <c r="Y191" s="85"/>
      <c r="Z191" s="85"/>
      <c r="AA191" s="85"/>
      <c r="AB191" s="85"/>
      <c r="AC191" s="85"/>
      <c r="AD191" s="85"/>
      <c r="AE191" s="85"/>
      <c r="AF191" s="85"/>
      <c r="AG191" s="85"/>
      <c r="AH191" s="85"/>
      <c r="AI191" s="85"/>
      <c r="AJ191" s="85"/>
      <c r="AK191" s="85"/>
      <c r="AL191" s="85"/>
    </row>
    <row r="192" spans="1:38" s="80" customFormat="1" x14ac:dyDescent="0.25">
      <c r="A192" s="116"/>
      <c r="B192" s="115"/>
      <c r="C192" s="115"/>
      <c r="D192" s="115"/>
      <c r="E192" s="115"/>
      <c r="F192" s="115"/>
      <c r="H192" s="95">
        <v>187</v>
      </c>
      <c r="I192" s="96" t="str">
        <f t="shared" si="13"/>
        <v/>
      </c>
      <c r="J192" s="96" t="e">
        <f t="shared" si="14"/>
        <v>#NUM!</v>
      </c>
      <c r="K192" s="95" t="e">
        <f t="shared" si="15"/>
        <v>#NUM!</v>
      </c>
      <c r="L192" s="95"/>
      <c r="M192" s="97">
        <f t="shared" si="16"/>
        <v>0</v>
      </c>
      <c r="S192" s="85"/>
      <c r="T192" s="85"/>
      <c r="U192" s="85"/>
      <c r="V192" s="85"/>
      <c r="W192" s="85"/>
      <c r="X192" s="85"/>
      <c r="Y192" s="85"/>
      <c r="Z192" s="85"/>
      <c r="AA192" s="85"/>
      <c r="AB192" s="85"/>
      <c r="AC192" s="85"/>
      <c r="AD192" s="85"/>
      <c r="AE192" s="85"/>
      <c r="AF192" s="85"/>
      <c r="AG192" s="85"/>
      <c r="AH192" s="85"/>
      <c r="AI192" s="85"/>
      <c r="AJ192" s="85"/>
      <c r="AK192" s="85"/>
      <c r="AL192" s="85"/>
    </row>
    <row r="193" spans="1:38" s="80" customFormat="1" x14ac:dyDescent="0.25">
      <c r="A193" s="116"/>
      <c r="B193" s="115"/>
      <c r="C193" s="115"/>
      <c r="D193" s="115"/>
      <c r="E193" s="115"/>
      <c r="F193" s="115"/>
      <c r="H193" s="95">
        <v>188</v>
      </c>
      <c r="I193" s="96" t="str">
        <f t="shared" si="13"/>
        <v/>
      </c>
      <c r="J193" s="96" t="e">
        <f t="shared" si="14"/>
        <v>#NUM!</v>
      </c>
      <c r="K193" s="95" t="e">
        <f t="shared" si="15"/>
        <v>#NUM!</v>
      </c>
      <c r="L193" s="95"/>
      <c r="M193" s="97">
        <f t="shared" si="16"/>
        <v>0</v>
      </c>
      <c r="S193" s="85"/>
      <c r="T193" s="85"/>
      <c r="U193" s="85"/>
      <c r="V193" s="85"/>
      <c r="W193" s="85"/>
      <c r="X193" s="85"/>
      <c r="Y193" s="85"/>
      <c r="Z193" s="85"/>
      <c r="AA193" s="85"/>
      <c r="AB193" s="85"/>
      <c r="AC193" s="85"/>
      <c r="AD193" s="85"/>
      <c r="AE193" s="85"/>
      <c r="AF193" s="85"/>
      <c r="AG193" s="85"/>
      <c r="AH193" s="85"/>
      <c r="AI193" s="85"/>
      <c r="AJ193" s="85"/>
      <c r="AK193" s="85"/>
      <c r="AL193" s="85"/>
    </row>
    <row r="194" spans="1:38" s="80" customFormat="1" x14ac:dyDescent="0.25">
      <c r="A194" s="116"/>
      <c r="B194" s="115"/>
      <c r="C194" s="115"/>
      <c r="D194" s="115"/>
      <c r="E194" s="115"/>
      <c r="F194" s="115"/>
      <c r="H194" s="95">
        <v>189</v>
      </c>
      <c r="I194" s="96" t="str">
        <f t="shared" si="13"/>
        <v/>
      </c>
      <c r="J194" s="96" t="e">
        <f t="shared" si="14"/>
        <v>#NUM!</v>
      </c>
      <c r="K194" s="95" t="e">
        <f t="shared" si="15"/>
        <v>#NUM!</v>
      </c>
      <c r="L194" s="95"/>
      <c r="M194" s="97">
        <f t="shared" si="16"/>
        <v>0</v>
      </c>
      <c r="S194" s="85"/>
      <c r="T194" s="85"/>
      <c r="U194" s="85"/>
      <c r="V194" s="85"/>
      <c r="W194" s="85"/>
      <c r="X194" s="85"/>
      <c r="Y194" s="85"/>
      <c r="Z194" s="85"/>
      <c r="AA194" s="85"/>
      <c r="AB194" s="85"/>
      <c r="AC194" s="85"/>
      <c r="AD194" s="85"/>
      <c r="AE194" s="85"/>
      <c r="AF194" s="85"/>
      <c r="AG194" s="85"/>
      <c r="AH194" s="85"/>
      <c r="AI194" s="85"/>
      <c r="AJ194" s="85"/>
      <c r="AK194" s="85"/>
      <c r="AL194" s="85"/>
    </row>
    <row r="195" spans="1:38" s="80" customFormat="1" x14ac:dyDescent="0.25">
      <c r="A195" s="116"/>
      <c r="B195" s="115"/>
      <c r="C195" s="115"/>
      <c r="D195" s="115"/>
      <c r="E195" s="115"/>
      <c r="F195" s="115"/>
      <c r="H195" s="95">
        <v>190</v>
      </c>
      <c r="I195" s="96" t="str">
        <f t="shared" si="13"/>
        <v/>
      </c>
      <c r="J195" s="96" t="e">
        <f t="shared" si="14"/>
        <v>#NUM!</v>
      </c>
      <c r="K195" s="95" t="e">
        <f t="shared" si="15"/>
        <v>#NUM!</v>
      </c>
      <c r="L195" s="95"/>
      <c r="M195" s="97">
        <f t="shared" si="16"/>
        <v>0</v>
      </c>
      <c r="S195" s="85"/>
      <c r="T195" s="85"/>
      <c r="U195" s="85"/>
      <c r="V195" s="85"/>
      <c r="W195" s="85"/>
      <c r="X195" s="85"/>
      <c r="Y195" s="85"/>
      <c r="Z195" s="85"/>
      <c r="AA195" s="85"/>
      <c r="AB195" s="85"/>
      <c r="AC195" s="85"/>
      <c r="AD195" s="85"/>
      <c r="AE195" s="85"/>
      <c r="AF195" s="85"/>
      <c r="AG195" s="85"/>
      <c r="AH195" s="85"/>
      <c r="AI195" s="85"/>
      <c r="AJ195" s="85"/>
      <c r="AK195" s="85"/>
      <c r="AL195" s="85"/>
    </row>
    <row r="196" spans="1:38" s="80" customFormat="1" x14ac:dyDescent="0.25">
      <c r="A196" s="116"/>
      <c r="B196" s="115"/>
      <c r="C196" s="115"/>
      <c r="D196" s="115"/>
      <c r="E196" s="115"/>
      <c r="F196" s="115"/>
      <c r="H196" s="95">
        <v>191</v>
      </c>
      <c r="I196" s="96" t="str">
        <f t="shared" si="13"/>
        <v/>
      </c>
      <c r="J196" s="96" t="e">
        <f t="shared" si="14"/>
        <v>#NUM!</v>
      </c>
      <c r="K196" s="95" t="e">
        <f t="shared" si="15"/>
        <v>#NUM!</v>
      </c>
      <c r="L196" s="95"/>
      <c r="M196" s="97">
        <f t="shared" si="16"/>
        <v>0</v>
      </c>
      <c r="S196" s="85"/>
      <c r="T196" s="85"/>
      <c r="U196" s="85"/>
      <c r="V196" s="85"/>
      <c r="W196" s="85"/>
      <c r="X196" s="85"/>
      <c r="Y196" s="85"/>
      <c r="Z196" s="85"/>
      <c r="AA196" s="85"/>
      <c r="AB196" s="85"/>
      <c r="AC196" s="85"/>
      <c r="AD196" s="85"/>
      <c r="AE196" s="85"/>
      <c r="AF196" s="85"/>
      <c r="AG196" s="85"/>
      <c r="AH196" s="85"/>
      <c r="AI196" s="85"/>
      <c r="AJ196" s="85"/>
      <c r="AK196" s="85"/>
      <c r="AL196" s="85"/>
    </row>
    <row r="197" spans="1:38" s="80" customFormat="1" x14ac:dyDescent="0.25">
      <c r="A197" s="116"/>
      <c r="B197" s="115"/>
      <c r="C197" s="115"/>
      <c r="D197" s="115"/>
      <c r="E197" s="115"/>
      <c r="F197" s="115"/>
      <c r="H197" s="95">
        <v>192</v>
      </c>
      <c r="I197" s="96" t="str">
        <f t="shared" si="13"/>
        <v/>
      </c>
      <c r="J197" s="96" t="e">
        <f t="shared" si="14"/>
        <v>#NUM!</v>
      </c>
      <c r="K197" s="95" t="e">
        <f t="shared" si="15"/>
        <v>#NUM!</v>
      </c>
      <c r="L197" s="95"/>
      <c r="M197" s="97">
        <f t="shared" si="16"/>
        <v>0</v>
      </c>
      <c r="S197" s="85"/>
      <c r="T197" s="85"/>
      <c r="U197" s="85"/>
      <c r="V197" s="85"/>
      <c r="W197" s="85"/>
      <c r="X197" s="85"/>
      <c r="Y197" s="85"/>
      <c r="Z197" s="85"/>
      <c r="AA197" s="85"/>
      <c r="AB197" s="85"/>
      <c r="AC197" s="85"/>
      <c r="AD197" s="85"/>
      <c r="AE197" s="85"/>
      <c r="AF197" s="85"/>
      <c r="AG197" s="85"/>
      <c r="AH197" s="85"/>
      <c r="AI197" s="85"/>
      <c r="AJ197" s="85"/>
      <c r="AK197" s="85"/>
      <c r="AL197" s="85"/>
    </row>
    <row r="198" spans="1:38" s="80" customFormat="1" x14ac:dyDescent="0.25">
      <c r="A198" s="116"/>
      <c r="B198" s="115"/>
      <c r="C198" s="115"/>
      <c r="D198" s="115"/>
      <c r="E198" s="115"/>
      <c r="F198" s="115"/>
      <c r="H198" s="95">
        <v>193</v>
      </c>
      <c r="I198" s="96" t="str">
        <f t="shared" ref="I198:I261" si="17">IF(H198&lt;$H$2+1,($I$2-($I$2-1)*(LOG(H198)/LOG($H$2))),"")</f>
        <v/>
      </c>
      <c r="J198" s="96" t="e">
        <f t="shared" ref="J198:J261" si="18">INT(LOG($H$2,2))-ROUNDUP(LOG(H198,2),0)+IF(OR($H$2=1,$H$2=2,$H$2=4,$H$2=8,$H$2=16,$H$2=32,$H$2=64,$H$2=128,$H$2=256),0,1)</f>
        <v>#NUM!</v>
      </c>
      <c r="K198" s="95" t="e">
        <f t="shared" ref="K198:K261" si="19">J198*$J$2</f>
        <v>#NUM!</v>
      </c>
      <c r="L198" s="95"/>
      <c r="M198" s="97">
        <f t="shared" ref="M198:M261" si="20">IF(I198&lt;&gt;"",K198+I198+L198,0)</f>
        <v>0</v>
      </c>
      <c r="S198" s="85"/>
      <c r="T198" s="85"/>
      <c r="U198" s="85"/>
      <c r="V198" s="85"/>
      <c r="W198" s="85"/>
      <c r="X198" s="85"/>
      <c r="Y198" s="85"/>
      <c r="Z198" s="85"/>
      <c r="AA198" s="85"/>
      <c r="AB198" s="85"/>
      <c r="AC198" s="85"/>
      <c r="AD198" s="85"/>
      <c r="AE198" s="85"/>
      <c r="AF198" s="85"/>
      <c r="AG198" s="85"/>
      <c r="AH198" s="85"/>
      <c r="AI198" s="85"/>
      <c r="AJ198" s="85"/>
      <c r="AK198" s="85"/>
      <c r="AL198" s="85"/>
    </row>
    <row r="199" spans="1:38" s="80" customFormat="1" x14ac:dyDescent="0.25">
      <c r="A199" s="116"/>
      <c r="B199" s="115"/>
      <c r="C199" s="115"/>
      <c r="D199" s="115"/>
      <c r="E199" s="115"/>
      <c r="F199" s="115"/>
      <c r="H199" s="95">
        <v>194</v>
      </c>
      <c r="I199" s="96" t="str">
        <f t="shared" si="17"/>
        <v/>
      </c>
      <c r="J199" s="96" t="e">
        <f t="shared" si="18"/>
        <v>#NUM!</v>
      </c>
      <c r="K199" s="95" t="e">
        <f t="shared" si="19"/>
        <v>#NUM!</v>
      </c>
      <c r="L199" s="95"/>
      <c r="M199" s="97">
        <f t="shared" si="20"/>
        <v>0</v>
      </c>
      <c r="S199" s="85"/>
      <c r="T199" s="85"/>
      <c r="U199" s="85"/>
      <c r="V199" s="85"/>
      <c r="W199" s="85"/>
      <c r="X199" s="85"/>
      <c r="Y199" s="85"/>
      <c r="Z199" s="85"/>
      <c r="AA199" s="85"/>
      <c r="AB199" s="85"/>
      <c r="AC199" s="85"/>
      <c r="AD199" s="85"/>
      <c r="AE199" s="85"/>
      <c r="AF199" s="85"/>
      <c r="AG199" s="85"/>
      <c r="AH199" s="85"/>
      <c r="AI199" s="85"/>
      <c r="AJ199" s="85"/>
      <c r="AK199" s="85"/>
      <c r="AL199" s="85"/>
    </row>
    <row r="200" spans="1:38" s="80" customFormat="1" x14ac:dyDescent="0.25">
      <c r="A200" s="116"/>
      <c r="B200" s="115"/>
      <c r="C200" s="115"/>
      <c r="D200" s="115"/>
      <c r="E200" s="115"/>
      <c r="F200" s="115"/>
      <c r="H200" s="95">
        <v>195</v>
      </c>
      <c r="I200" s="96" t="str">
        <f t="shared" si="17"/>
        <v/>
      </c>
      <c r="J200" s="96" t="e">
        <f t="shared" si="18"/>
        <v>#NUM!</v>
      </c>
      <c r="K200" s="95" t="e">
        <f t="shared" si="19"/>
        <v>#NUM!</v>
      </c>
      <c r="L200" s="95"/>
      <c r="M200" s="97">
        <f t="shared" si="20"/>
        <v>0</v>
      </c>
      <c r="S200" s="85"/>
      <c r="T200" s="85"/>
      <c r="U200" s="85"/>
      <c r="V200" s="85"/>
      <c r="W200" s="85"/>
      <c r="X200" s="85"/>
      <c r="Y200" s="85"/>
      <c r="Z200" s="85"/>
      <c r="AA200" s="85"/>
      <c r="AB200" s="85"/>
      <c r="AC200" s="85"/>
      <c r="AD200" s="85"/>
      <c r="AE200" s="85"/>
      <c r="AF200" s="85"/>
      <c r="AG200" s="85"/>
      <c r="AH200" s="85"/>
      <c r="AI200" s="85"/>
      <c r="AJ200" s="85"/>
      <c r="AK200" s="85"/>
      <c r="AL200" s="85"/>
    </row>
    <row r="201" spans="1:38" s="80" customFormat="1" x14ac:dyDescent="0.25">
      <c r="A201" s="116"/>
      <c r="B201" s="115"/>
      <c r="C201" s="115"/>
      <c r="D201" s="115"/>
      <c r="E201" s="115"/>
      <c r="F201" s="115"/>
      <c r="H201" s="95">
        <v>196</v>
      </c>
      <c r="I201" s="96" t="str">
        <f t="shared" si="17"/>
        <v/>
      </c>
      <c r="J201" s="96" t="e">
        <f t="shared" si="18"/>
        <v>#NUM!</v>
      </c>
      <c r="K201" s="95" t="e">
        <f t="shared" si="19"/>
        <v>#NUM!</v>
      </c>
      <c r="L201" s="95"/>
      <c r="M201" s="97">
        <f t="shared" si="20"/>
        <v>0</v>
      </c>
      <c r="S201" s="85"/>
      <c r="T201" s="85"/>
      <c r="U201" s="85"/>
      <c r="V201" s="85"/>
      <c r="W201" s="85"/>
      <c r="X201" s="85"/>
      <c r="Y201" s="85"/>
      <c r="Z201" s="85"/>
      <c r="AA201" s="85"/>
      <c r="AB201" s="85"/>
      <c r="AC201" s="85"/>
      <c r="AD201" s="85"/>
      <c r="AE201" s="85"/>
      <c r="AF201" s="85"/>
      <c r="AG201" s="85"/>
      <c r="AH201" s="85"/>
      <c r="AI201" s="85"/>
      <c r="AJ201" s="85"/>
      <c r="AK201" s="85"/>
      <c r="AL201" s="85"/>
    </row>
    <row r="202" spans="1:38" s="80" customFormat="1" x14ac:dyDescent="0.25">
      <c r="A202" s="116"/>
      <c r="B202" s="115"/>
      <c r="C202" s="115"/>
      <c r="D202" s="115"/>
      <c r="E202" s="115"/>
      <c r="F202" s="115"/>
      <c r="H202" s="95">
        <v>197</v>
      </c>
      <c r="I202" s="96" t="str">
        <f t="shared" si="17"/>
        <v/>
      </c>
      <c r="J202" s="96" t="e">
        <f t="shared" si="18"/>
        <v>#NUM!</v>
      </c>
      <c r="K202" s="95" t="e">
        <f t="shared" si="19"/>
        <v>#NUM!</v>
      </c>
      <c r="L202" s="95"/>
      <c r="M202" s="97">
        <f t="shared" si="20"/>
        <v>0</v>
      </c>
      <c r="S202" s="85"/>
      <c r="T202" s="85"/>
      <c r="U202" s="85"/>
      <c r="V202" s="85"/>
      <c r="W202" s="85"/>
      <c r="X202" s="85"/>
      <c r="Y202" s="85"/>
      <c r="Z202" s="85"/>
      <c r="AA202" s="85"/>
      <c r="AB202" s="85"/>
      <c r="AC202" s="85"/>
      <c r="AD202" s="85"/>
      <c r="AE202" s="85"/>
      <c r="AF202" s="85"/>
      <c r="AG202" s="85"/>
      <c r="AH202" s="85"/>
      <c r="AI202" s="85"/>
      <c r="AJ202" s="85"/>
      <c r="AK202" s="85"/>
      <c r="AL202" s="85"/>
    </row>
    <row r="203" spans="1:38" s="80" customFormat="1" x14ac:dyDescent="0.25">
      <c r="A203" s="116"/>
      <c r="B203" s="115"/>
      <c r="C203" s="115"/>
      <c r="D203" s="115"/>
      <c r="E203" s="115"/>
      <c r="F203" s="115"/>
      <c r="H203" s="95">
        <v>198</v>
      </c>
      <c r="I203" s="96" t="str">
        <f t="shared" si="17"/>
        <v/>
      </c>
      <c r="J203" s="96" t="e">
        <f t="shared" si="18"/>
        <v>#NUM!</v>
      </c>
      <c r="K203" s="95" t="e">
        <f t="shared" si="19"/>
        <v>#NUM!</v>
      </c>
      <c r="L203" s="95"/>
      <c r="M203" s="97">
        <f t="shared" si="20"/>
        <v>0</v>
      </c>
      <c r="S203" s="85"/>
      <c r="T203" s="85"/>
      <c r="U203" s="85"/>
      <c r="V203" s="85"/>
      <c r="W203" s="85"/>
      <c r="X203" s="85"/>
      <c r="Y203" s="85"/>
      <c r="Z203" s="85"/>
      <c r="AA203" s="85"/>
      <c r="AB203" s="85"/>
      <c r="AC203" s="85"/>
      <c r="AD203" s="85"/>
      <c r="AE203" s="85"/>
      <c r="AF203" s="85"/>
      <c r="AG203" s="85"/>
      <c r="AH203" s="85"/>
      <c r="AI203" s="85"/>
      <c r="AJ203" s="85"/>
      <c r="AK203" s="85"/>
      <c r="AL203" s="85"/>
    </row>
    <row r="204" spans="1:38" s="80" customFormat="1" x14ac:dyDescent="0.25">
      <c r="A204" s="116"/>
      <c r="B204" s="115"/>
      <c r="C204" s="115"/>
      <c r="D204" s="115"/>
      <c r="E204" s="115"/>
      <c r="F204" s="115"/>
      <c r="H204" s="95">
        <v>199</v>
      </c>
      <c r="I204" s="96" t="str">
        <f t="shared" si="17"/>
        <v/>
      </c>
      <c r="J204" s="96" t="e">
        <f t="shared" si="18"/>
        <v>#NUM!</v>
      </c>
      <c r="K204" s="95" t="e">
        <f t="shared" si="19"/>
        <v>#NUM!</v>
      </c>
      <c r="L204" s="95"/>
      <c r="M204" s="97">
        <f t="shared" si="20"/>
        <v>0</v>
      </c>
      <c r="S204" s="85"/>
      <c r="T204" s="85"/>
      <c r="U204" s="85"/>
      <c r="V204" s="85"/>
      <c r="W204" s="85"/>
      <c r="X204" s="85"/>
      <c r="Y204" s="85"/>
      <c r="Z204" s="85"/>
      <c r="AA204" s="85"/>
      <c r="AB204" s="85"/>
      <c r="AC204" s="85"/>
      <c r="AD204" s="85"/>
      <c r="AE204" s="85"/>
      <c r="AF204" s="85"/>
      <c r="AG204" s="85"/>
      <c r="AH204" s="85"/>
      <c r="AI204" s="85"/>
      <c r="AJ204" s="85"/>
      <c r="AK204" s="85"/>
      <c r="AL204" s="85"/>
    </row>
    <row r="205" spans="1:38" s="80" customFormat="1" x14ac:dyDescent="0.25">
      <c r="A205" s="116"/>
      <c r="B205" s="115"/>
      <c r="C205" s="115"/>
      <c r="D205" s="115"/>
      <c r="E205" s="115"/>
      <c r="F205" s="115"/>
      <c r="H205" s="95">
        <v>200</v>
      </c>
      <c r="I205" s="96" t="str">
        <f t="shared" si="17"/>
        <v/>
      </c>
      <c r="J205" s="96" t="e">
        <f t="shared" si="18"/>
        <v>#NUM!</v>
      </c>
      <c r="K205" s="95" t="e">
        <f t="shared" si="19"/>
        <v>#NUM!</v>
      </c>
      <c r="L205" s="95"/>
      <c r="M205" s="97">
        <f t="shared" si="20"/>
        <v>0</v>
      </c>
      <c r="S205" s="85"/>
      <c r="T205" s="85"/>
      <c r="U205" s="85"/>
      <c r="V205" s="85"/>
      <c r="W205" s="85"/>
      <c r="X205" s="85"/>
      <c r="Y205" s="85"/>
      <c r="Z205" s="85"/>
      <c r="AA205" s="85"/>
      <c r="AB205" s="85"/>
      <c r="AC205" s="85"/>
      <c r="AD205" s="85"/>
      <c r="AE205" s="85"/>
      <c r="AF205" s="85"/>
      <c r="AG205" s="85"/>
      <c r="AH205" s="85"/>
      <c r="AI205" s="85"/>
      <c r="AJ205" s="85"/>
      <c r="AK205" s="85"/>
      <c r="AL205" s="85"/>
    </row>
    <row r="206" spans="1:38" s="80" customFormat="1" x14ac:dyDescent="0.25">
      <c r="A206" s="116"/>
      <c r="B206" s="115"/>
      <c r="C206" s="115"/>
      <c r="D206" s="115"/>
      <c r="E206" s="115"/>
      <c r="F206" s="115"/>
      <c r="H206" s="95">
        <v>201</v>
      </c>
      <c r="I206" s="96" t="str">
        <f t="shared" si="17"/>
        <v/>
      </c>
      <c r="J206" s="96" t="e">
        <f t="shared" si="18"/>
        <v>#NUM!</v>
      </c>
      <c r="K206" s="95" t="e">
        <f t="shared" si="19"/>
        <v>#NUM!</v>
      </c>
      <c r="L206" s="95"/>
      <c r="M206" s="97">
        <f t="shared" si="20"/>
        <v>0</v>
      </c>
      <c r="S206" s="85"/>
      <c r="T206" s="85"/>
      <c r="U206" s="85"/>
      <c r="V206" s="85"/>
      <c r="W206" s="85"/>
      <c r="X206" s="85"/>
      <c r="Y206" s="85"/>
      <c r="Z206" s="85"/>
      <c r="AA206" s="85"/>
      <c r="AB206" s="85"/>
      <c r="AC206" s="85"/>
      <c r="AD206" s="85"/>
      <c r="AE206" s="85"/>
      <c r="AF206" s="85"/>
      <c r="AG206" s="85"/>
      <c r="AH206" s="85"/>
      <c r="AI206" s="85"/>
      <c r="AJ206" s="85"/>
      <c r="AK206" s="85"/>
      <c r="AL206" s="85"/>
    </row>
    <row r="207" spans="1:38" s="80" customFormat="1" x14ac:dyDescent="0.25">
      <c r="A207" s="116"/>
      <c r="B207" s="115"/>
      <c r="C207" s="115"/>
      <c r="D207" s="115"/>
      <c r="E207" s="115"/>
      <c r="F207" s="115"/>
      <c r="H207" s="95">
        <v>202</v>
      </c>
      <c r="I207" s="96" t="str">
        <f t="shared" si="17"/>
        <v/>
      </c>
      <c r="J207" s="96" t="e">
        <f t="shared" si="18"/>
        <v>#NUM!</v>
      </c>
      <c r="K207" s="95" t="e">
        <f t="shared" si="19"/>
        <v>#NUM!</v>
      </c>
      <c r="L207" s="95"/>
      <c r="M207" s="97">
        <f t="shared" si="20"/>
        <v>0</v>
      </c>
      <c r="S207" s="85"/>
      <c r="T207" s="85"/>
      <c r="U207" s="85"/>
      <c r="V207" s="85"/>
      <c r="W207" s="85"/>
      <c r="X207" s="85"/>
      <c r="Y207" s="85"/>
      <c r="Z207" s="85"/>
      <c r="AA207" s="85"/>
      <c r="AB207" s="85"/>
      <c r="AC207" s="85"/>
      <c r="AD207" s="85"/>
      <c r="AE207" s="85"/>
      <c r="AF207" s="85"/>
      <c r="AG207" s="85"/>
      <c r="AH207" s="85"/>
      <c r="AI207" s="85"/>
      <c r="AJ207" s="85"/>
      <c r="AK207" s="85"/>
      <c r="AL207" s="85"/>
    </row>
    <row r="208" spans="1:38" s="80" customFormat="1" x14ac:dyDescent="0.25">
      <c r="A208" s="116"/>
      <c r="B208" s="115"/>
      <c r="C208" s="115"/>
      <c r="D208" s="115"/>
      <c r="E208" s="115"/>
      <c r="F208" s="115"/>
      <c r="H208" s="95">
        <v>203</v>
      </c>
      <c r="I208" s="96" t="str">
        <f t="shared" si="17"/>
        <v/>
      </c>
      <c r="J208" s="96" t="e">
        <f t="shared" si="18"/>
        <v>#NUM!</v>
      </c>
      <c r="K208" s="95" t="e">
        <f t="shared" si="19"/>
        <v>#NUM!</v>
      </c>
      <c r="L208" s="95"/>
      <c r="M208" s="97">
        <f t="shared" si="20"/>
        <v>0</v>
      </c>
      <c r="S208" s="85"/>
      <c r="T208" s="85"/>
      <c r="U208" s="85"/>
      <c r="V208" s="85"/>
      <c r="W208" s="85"/>
      <c r="X208" s="85"/>
      <c r="Y208" s="85"/>
      <c r="Z208" s="85"/>
      <c r="AA208" s="85"/>
      <c r="AB208" s="85"/>
      <c r="AC208" s="85"/>
      <c r="AD208" s="85"/>
      <c r="AE208" s="85"/>
      <c r="AF208" s="85"/>
      <c r="AG208" s="85"/>
      <c r="AH208" s="85"/>
      <c r="AI208" s="85"/>
      <c r="AJ208" s="85"/>
      <c r="AK208" s="85"/>
      <c r="AL208" s="85"/>
    </row>
    <row r="209" spans="1:38" s="80" customFormat="1" x14ac:dyDescent="0.25">
      <c r="A209" s="116"/>
      <c r="B209" s="115"/>
      <c r="C209" s="115"/>
      <c r="D209" s="115"/>
      <c r="E209" s="115"/>
      <c r="F209" s="115"/>
      <c r="H209" s="95">
        <v>204</v>
      </c>
      <c r="I209" s="96" t="str">
        <f t="shared" si="17"/>
        <v/>
      </c>
      <c r="J209" s="96" t="e">
        <f t="shared" si="18"/>
        <v>#NUM!</v>
      </c>
      <c r="K209" s="95" t="e">
        <f t="shared" si="19"/>
        <v>#NUM!</v>
      </c>
      <c r="L209" s="95"/>
      <c r="M209" s="97">
        <f t="shared" si="20"/>
        <v>0</v>
      </c>
      <c r="S209" s="85"/>
      <c r="T209" s="85"/>
      <c r="U209" s="85"/>
      <c r="V209" s="85"/>
      <c r="W209" s="85"/>
      <c r="X209" s="85"/>
      <c r="Y209" s="85"/>
      <c r="Z209" s="85"/>
      <c r="AA209" s="85"/>
      <c r="AB209" s="85"/>
      <c r="AC209" s="85"/>
      <c r="AD209" s="85"/>
      <c r="AE209" s="85"/>
      <c r="AF209" s="85"/>
      <c r="AG209" s="85"/>
      <c r="AH209" s="85"/>
      <c r="AI209" s="85"/>
      <c r="AJ209" s="85"/>
      <c r="AK209" s="85"/>
      <c r="AL209" s="85"/>
    </row>
    <row r="210" spans="1:38" s="80" customFormat="1" x14ac:dyDescent="0.25">
      <c r="A210" s="116"/>
      <c r="B210" s="115"/>
      <c r="C210" s="115"/>
      <c r="D210" s="115"/>
      <c r="E210" s="115"/>
      <c r="F210" s="115"/>
      <c r="H210" s="95">
        <v>205</v>
      </c>
      <c r="I210" s="96" t="str">
        <f t="shared" si="17"/>
        <v/>
      </c>
      <c r="J210" s="96" t="e">
        <f t="shared" si="18"/>
        <v>#NUM!</v>
      </c>
      <c r="K210" s="95" t="e">
        <f t="shared" si="19"/>
        <v>#NUM!</v>
      </c>
      <c r="L210" s="95"/>
      <c r="M210" s="97">
        <f t="shared" si="20"/>
        <v>0</v>
      </c>
      <c r="S210" s="85"/>
      <c r="T210" s="85"/>
      <c r="U210" s="85"/>
      <c r="V210" s="85"/>
      <c r="W210" s="85"/>
      <c r="X210" s="85"/>
      <c r="Y210" s="85"/>
      <c r="Z210" s="85"/>
      <c r="AA210" s="85"/>
      <c r="AB210" s="85"/>
      <c r="AC210" s="85"/>
      <c r="AD210" s="85"/>
      <c r="AE210" s="85"/>
      <c r="AF210" s="85"/>
      <c r="AG210" s="85"/>
      <c r="AH210" s="85"/>
      <c r="AI210" s="85"/>
      <c r="AJ210" s="85"/>
      <c r="AK210" s="85"/>
      <c r="AL210" s="85"/>
    </row>
    <row r="211" spans="1:38" s="80" customFormat="1" x14ac:dyDescent="0.25">
      <c r="A211" s="116"/>
      <c r="B211" s="115"/>
      <c r="C211" s="115"/>
      <c r="D211" s="115"/>
      <c r="E211" s="115"/>
      <c r="F211" s="115"/>
      <c r="H211" s="95">
        <v>206</v>
      </c>
      <c r="I211" s="96" t="str">
        <f t="shared" si="17"/>
        <v/>
      </c>
      <c r="J211" s="96" t="e">
        <f t="shared" si="18"/>
        <v>#NUM!</v>
      </c>
      <c r="K211" s="95" t="e">
        <f t="shared" si="19"/>
        <v>#NUM!</v>
      </c>
      <c r="L211" s="95"/>
      <c r="M211" s="97">
        <f t="shared" si="20"/>
        <v>0</v>
      </c>
      <c r="S211" s="85"/>
      <c r="T211" s="85"/>
      <c r="U211" s="85"/>
      <c r="V211" s="85"/>
      <c r="W211" s="85"/>
      <c r="X211" s="85"/>
      <c r="Y211" s="85"/>
      <c r="Z211" s="85"/>
      <c r="AA211" s="85"/>
      <c r="AB211" s="85"/>
      <c r="AC211" s="85"/>
      <c r="AD211" s="85"/>
      <c r="AE211" s="85"/>
      <c r="AF211" s="85"/>
      <c r="AG211" s="85"/>
      <c r="AH211" s="85"/>
      <c r="AI211" s="85"/>
      <c r="AJ211" s="85"/>
      <c r="AK211" s="85"/>
      <c r="AL211" s="85"/>
    </row>
    <row r="212" spans="1:38" s="80" customFormat="1" x14ac:dyDescent="0.25">
      <c r="A212" s="116"/>
      <c r="B212" s="115"/>
      <c r="C212" s="115"/>
      <c r="D212" s="115"/>
      <c r="E212" s="115"/>
      <c r="F212" s="115"/>
      <c r="H212" s="95">
        <v>207</v>
      </c>
      <c r="I212" s="96" t="str">
        <f t="shared" si="17"/>
        <v/>
      </c>
      <c r="J212" s="96" t="e">
        <f t="shared" si="18"/>
        <v>#NUM!</v>
      </c>
      <c r="K212" s="95" t="e">
        <f t="shared" si="19"/>
        <v>#NUM!</v>
      </c>
      <c r="L212" s="95"/>
      <c r="M212" s="97">
        <f t="shared" si="20"/>
        <v>0</v>
      </c>
      <c r="S212" s="85"/>
      <c r="T212" s="85"/>
      <c r="U212" s="85"/>
      <c r="V212" s="85"/>
      <c r="W212" s="85"/>
      <c r="X212" s="85"/>
      <c r="Y212" s="85"/>
      <c r="Z212" s="85"/>
      <c r="AA212" s="85"/>
      <c r="AB212" s="85"/>
      <c r="AC212" s="85"/>
      <c r="AD212" s="85"/>
      <c r="AE212" s="85"/>
      <c r="AF212" s="85"/>
      <c r="AG212" s="85"/>
      <c r="AH212" s="85"/>
      <c r="AI212" s="85"/>
      <c r="AJ212" s="85"/>
      <c r="AK212" s="85"/>
      <c r="AL212" s="85"/>
    </row>
    <row r="213" spans="1:38" s="80" customFormat="1" x14ac:dyDescent="0.25">
      <c r="A213" s="116"/>
      <c r="B213" s="115"/>
      <c r="C213" s="115"/>
      <c r="D213" s="115"/>
      <c r="E213" s="115"/>
      <c r="F213" s="115"/>
      <c r="H213" s="95">
        <v>208</v>
      </c>
      <c r="I213" s="96" t="str">
        <f t="shared" si="17"/>
        <v/>
      </c>
      <c r="J213" s="96" t="e">
        <f t="shared" si="18"/>
        <v>#NUM!</v>
      </c>
      <c r="K213" s="95" t="e">
        <f t="shared" si="19"/>
        <v>#NUM!</v>
      </c>
      <c r="L213" s="95"/>
      <c r="M213" s="97">
        <f t="shared" si="20"/>
        <v>0</v>
      </c>
      <c r="S213" s="85"/>
      <c r="T213" s="85"/>
      <c r="U213" s="85"/>
      <c r="V213" s="85"/>
      <c r="W213" s="85"/>
      <c r="X213" s="85"/>
      <c r="Y213" s="85"/>
      <c r="Z213" s="85"/>
      <c r="AA213" s="85"/>
      <c r="AB213" s="85"/>
      <c r="AC213" s="85"/>
      <c r="AD213" s="85"/>
      <c r="AE213" s="85"/>
      <c r="AF213" s="85"/>
      <c r="AG213" s="85"/>
      <c r="AH213" s="85"/>
      <c r="AI213" s="85"/>
      <c r="AJ213" s="85"/>
      <c r="AK213" s="85"/>
      <c r="AL213" s="85"/>
    </row>
    <row r="214" spans="1:38" s="80" customFormat="1" x14ac:dyDescent="0.25">
      <c r="A214" s="116"/>
      <c r="B214" s="115"/>
      <c r="C214" s="115"/>
      <c r="D214" s="115"/>
      <c r="E214" s="115"/>
      <c r="F214" s="115"/>
      <c r="H214" s="95">
        <v>209</v>
      </c>
      <c r="I214" s="96" t="str">
        <f t="shared" si="17"/>
        <v/>
      </c>
      <c r="J214" s="96" t="e">
        <f t="shared" si="18"/>
        <v>#NUM!</v>
      </c>
      <c r="K214" s="95" t="e">
        <f t="shared" si="19"/>
        <v>#NUM!</v>
      </c>
      <c r="L214" s="95"/>
      <c r="M214" s="97">
        <f t="shared" si="20"/>
        <v>0</v>
      </c>
      <c r="S214" s="85"/>
      <c r="T214" s="85"/>
      <c r="U214" s="85"/>
      <c r="V214" s="85"/>
      <c r="W214" s="85"/>
      <c r="X214" s="85"/>
      <c r="Y214" s="85"/>
      <c r="Z214" s="85"/>
      <c r="AA214" s="85"/>
      <c r="AB214" s="85"/>
      <c r="AC214" s="85"/>
      <c r="AD214" s="85"/>
      <c r="AE214" s="85"/>
      <c r="AF214" s="85"/>
      <c r="AG214" s="85"/>
      <c r="AH214" s="85"/>
      <c r="AI214" s="85"/>
      <c r="AJ214" s="85"/>
      <c r="AK214" s="85"/>
      <c r="AL214" s="85"/>
    </row>
    <row r="215" spans="1:38" s="80" customFormat="1" x14ac:dyDescent="0.25">
      <c r="A215" s="116"/>
      <c r="B215" s="115"/>
      <c r="C215" s="115"/>
      <c r="D215" s="115"/>
      <c r="E215" s="115"/>
      <c r="F215" s="115"/>
      <c r="H215" s="95">
        <v>210</v>
      </c>
      <c r="I215" s="96" t="str">
        <f t="shared" si="17"/>
        <v/>
      </c>
      <c r="J215" s="96" t="e">
        <f t="shared" si="18"/>
        <v>#NUM!</v>
      </c>
      <c r="K215" s="95" t="e">
        <f t="shared" si="19"/>
        <v>#NUM!</v>
      </c>
      <c r="L215" s="95"/>
      <c r="M215" s="97">
        <f t="shared" si="20"/>
        <v>0</v>
      </c>
      <c r="S215" s="85"/>
      <c r="T215" s="85"/>
      <c r="U215" s="85"/>
      <c r="V215" s="85"/>
      <c r="W215" s="85"/>
      <c r="X215" s="85"/>
      <c r="Y215" s="85"/>
      <c r="Z215" s="85"/>
      <c r="AA215" s="85"/>
      <c r="AB215" s="85"/>
      <c r="AC215" s="85"/>
      <c r="AD215" s="85"/>
      <c r="AE215" s="85"/>
      <c r="AF215" s="85"/>
      <c r="AG215" s="85"/>
      <c r="AH215" s="85"/>
      <c r="AI215" s="85"/>
      <c r="AJ215" s="85"/>
      <c r="AK215" s="85"/>
      <c r="AL215" s="85"/>
    </row>
    <row r="216" spans="1:38" s="80" customFormat="1" x14ac:dyDescent="0.25">
      <c r="A216" s="116"/>
      <c r="B216" s="115"/>
      <c r="C216" s="115"/>
      <c r="D216" s="115"/>
      <c r="E216" s="115"/>
      <c r="F216" s="115"/>
      <c r="H216" s="95">
        <v>211</v>
      </c>
      <c r="I216" s="96" t="str">
        <f t="shared" si="17"/>
        <v/>
      </c>
      <c r="J216" s="96" t="e">
        <f t="shared" si="18"/>
        <v>#NUM!</v>
      </c>
      <c r="K216" s="95" t="e">
        <f t="shared" si="19"/>
        <v>#NUM!</v>
      </c>
      <c r="L216" s="95"/>
      <c r="M216" s="97">
        <f t="shared" si="20"/>
        <v>0</v>
      </c>
      <c r="S216" s="85"/>
      <c r="T216" s="85"/>
      <c r="U216" s="85"/>
      <c r="V216" s="85"/>
      <c r="W216" s="85"/>
      <c r="X216" s="85"/>
      <c r="Y216" s="85"/>
      <c r="Z216" s="85"/>
      <c r="AA216" s="85"/>
      <c r="AB216" s="85"/>
      <c r="AC216" s="85"/>
      <c r="AD216" s="85"/>
      <c r="AE216" s="85"/>
      <c r="AF216" s="85"/>
      <c r="AG216" s="85"/>
      <c r="AH216" s="85"/>
      <c r="AI216" s="85"/>
      <c r="AJ216" s="85"/>
      <c r="AK216" s="85"/>
      <c r="AL216" s="85"/>
    </row>
    <row r="217" spans="1:38" s="80" customFormat="1" x14ac:dyDescent="0.25">
      <c r="A217" s="116"/>
      <c r="B217" s="115"/>
      <c r="C217" s="115"/>
      <c r="D217" s="115"/>
      <c r="E217" s="115"/>
      <c r="F217" s="115"/>
      <c r="H217" s="95">
        <v>212</v>
      </c>
      <c r="I217" s="96" t="str">
        <f t="shared" si="17"/>
        <v/>
      </c>
      <c r="J217" s="96" t="e">
        <f t="shared" si="18"/>
        <v>#NUM!</v>
      </c>
      <c r="K217" s="95" t="e">
        <f t="shared" si="19"/>
        <v>#NUM!</v>
      </c>
      <c r="L217" s="95"/>
      <c r="M217" s="97">
        <f t="shared" si="20"/>
        <v>0</v>
      </c>
      <c r="S217" s="85"/>
      <c r="T217" s="85"/>
      <c r="U217" s="85"/>
      <c r="V217" s="85"/>
      <c r="W217" s="85"/>
      <c r="X217" s="85"/>
      <c r="Y217" s="85"/>
      <c r="Z217" s="85"/>
      <c r="AA217" s="85"/>
      <c r="AB217" s="85"/>
      <c r="AC217" s="85"/>
      <c r="AD217" s="85"/>
      <c r="AE217" s="85"/>
      <c r="AF217" s="85"/>
      <c r="AG217" s="85"/>
      <c r="AH217" s="85"/>
      <c r="AI217" s="85"/>
      <c r="AJ217" s="85"/>
      <c r="AK217" s="85"/>
      <c r="AL217" s="85"/>
    </row>
    <row r="218" spans="1:38" s="80" customFormat="1" x14ac:dyDescent="0.25">
      <c r="A218" s="116"/>
      <c r="B218" s="115"/>
      <c r="C218" s="115"/>
      <c r="D218" s="115"/>
      <c r="E218" s="115"/>
      <c r="F218" s="115"/>
      <c r="H218" s="95">
        <v>213</v>
      </c>
      <c r="I218" s="96" t="str">
        <f t="shared" si="17"/>
        <v/>
      </c>
      <c r="J218" s="96" t="e">
        <f t="shared" si="18"/>
        <v>#NUM!</v>
      </c>
      <c r="K218" s="95" t="e">
        <f t="shared" si="19"/>
        <v>#NUM!</v>
      </c>
      <c r="L218" s="95"/>
      <c r="M218" s="97">
        <f t="shared" si="20"/>
        <v>0</v>
      </c>
      <c r="S218" s="85"/>
      <c r="T218" s="85"/>
      <c r="U218" s="85"/>
      <c r="V218" s="85"/>
      <c r="W218" s="85"/>
      <c r="X218" s="85"/>
      <c r="Y218" s="85"/>
      <c r="Z218" s="85"/>
      <c r="AA218" s="85"/>
      <c r="AB218" s="85"/>
      <c r="AC218" s="85"/>
      <c r="AD218" s="85"/>
      <c r="AE218" s="85"/>
      <c r="AF218" s="85"/>
      <c r="AG218" s="85"/>
      <c r="AH218" s="85"/>
      <c r="AI218" s="85"/>
      <c r="AJ218" s="85"/>
      <c r="AK218" s="85"/>
      <c r="AL218" s="85"/>
    </row>
    <row r="219" spans="1:38" s="80" customFormat="1" x14ac:dyDescent="0.25">
      <c r="A219" s="116"/>
      <c r="B219" s="115"/>
      <c r="C219" s="115"/>
      <c r="D219" s="115"/>
      <c r="E219" s="115"/>
      <c r="F219" s="115"/>
      <c r="H219" s="95">
        <v>214</v>
      </c>
      <c r="I219" s="96" t="str">
        <f t="shared" si="17"/>
        <v/>
      </c>
      <c r="J219" s="96" t="e">
        <f t="shared" si="18"/>
        <v>#NUM!</v>
      </c>
      <c r="K219" s="95" t="e">
        <f t="shared" si="19"/>
        <v>#NUM!</v>
      </c>
      <c r="L219" s="95"/>
      <c r="M219" s="97">
        <f t="shared" si="20"/>
        <v>0</v>
      </c>
      <c r="S219" s="85"/>
      <c r="T219" s="85"/>
      <c r="U219" s="85"/>
      <c r="V219" s="85"/>
      <c r="W219" s="85"/>
      <c r="X219" s="85"/>
      <c r="Y219" s="85"/>
      <c r="Z219" s="85"/>
      <c r="AA219" s="85"/>
      <c r="AB219" s="85"/>
      <c r="AC219" s="85"/>
      <c r="AD219" s="85"/>
      <c r="AE219" s="85"/>
      <c r="AF219" s="85"/>
      <c r="AG219" s="85"/>
      <c r="AH219" s="85"/>
      <c r="AI219" s="85"/>
      <c r="AJ219" s="85"/>
      <c r="AK219" s="85"/>
      <c r="AL219" s="85"/>
    </row>
    <row r="220" spans="1:38" s="80" customFormat="1" x14ac:dyDescent="0.25">
      <c r="A220" s="116"/>
      <c r="B220" s="115"/>
      <c r="C220" s="115"/>
      <c r="D220" s="115"/>
      <c r="E220" s="115"/>
      <c r="F220" s="115"/>
      <c r="H220" s="95">
        <v>215</v>
      </c>
      <c r="I220" s="96" t="str">
        <f t="shared" si="17"/>
        <v/>
      </c>
      <c r="J220" s="96" t="e">
        <f t="shared" si="18"/>
        <v>#NUM!</v>
      </c>
      <c r="K220" s="95" t="e">
        <f t="shared" si="19"/>
        <v>#NUM!</v>
      </c>
      <c r="L220" s="95"/>
      <c r="M220" s="97">
        <f t="shared" si="20"/>
        <v>0</v>
      </c>
      <c r="S220" s="85"/>
      <c r="T220" s="85"/>
      <c r="U220" s="85"/>
      <c r="V220" s="85"/>
      <c r="W220" s="85"/>
      <c r="X220" s="85"/>
      <c r="Y220" s="85"/>
      <c r="Z220" s="85"/>
      <c r="AA220" s="85"/>
      <c r="AB220" s="85"/>
      <c r="AC220" s="85"/>
      <c r="AD220" s="85"/>
      <c r="AE220" s="85"/>
      <c r="AF220" s="85"/>
      <c r="AG220" s="85"/>
      <c r="AH220" s="85"/>
      <c r="AI220" s="85"/>
      <c r="AJ220" s="85"/>
      <c r="AK220" s="85"/>
      <c r="AL220" s="85"/>
    </row>
    <row r="221" spans="1:38" s="80" customFormat="1" x14ac:dyDescent="0.25">
      <c r="A221" s="116"/>
      <c r="B221" s="115"/>
      <c r="C221" s="115"/>
      <c r="D221" s="115"/>
      <c r="E221" s="115"/>
      <c r="F221" s="115"/>
      <c r="H221" s="95">
        <v>216</v>
      </c>
      <c r="I221" s="96" t="str">
        <f t="shared" si="17"/>
        <v/>
      </c>
      <c r="J221" s="96" t="e">
        <f t="shared" si="18"/>
        <v>#NUM!</v>
      </c>
      <c r="K221" s="95" t="e">
        <f t="shared" si="19"/>
        <v>#NUM!</v>
      </c>
      <c r="L221" s="95"/>
      <c r="M221" s="97">
        <f t="shared" si="20"/>
        <v>0</v>
      </c>
      <c r="S221" s="85"/>
      <c r="T221" s="85"/>
      <c r="U221" s="85"/>
      <c r="V221" s="85"/>
      <c r="W221" s="85"/>
      <c r="X221" s="85"/>
      <c r="Y221" s="85"/>
      <c r="Z221" s="85"/>
      <c r="AA221" s="85"/>
      <c r="AB221" s="85"/>
      <c r="AC221" s="85"/>
      <c r="AD221" s="85"/>
      <c r="AE221" s="85"/>
      <c r="AF221" s="85"/>
      <c r="AG221" s="85"/>
      <c r="AH221" s="85"/>
      <c r="AI221" s="85"/>
      <c r="AJ221" s="85"/>
      <c r="AK221" s="85"/>
      <c r="AL221" s="85"/>
    </row>
    <row r="222" spans="1:38" s="80" customFormat="1" x14ac:dyDescent="0.25">
      <c r="A222" s="116"/>
      <c r="B222" s="115"/>
      <c r="C222" s="115"/>
      <c r="D222" s="115"/>
      <c r="E222" s="115"/>
      <c r="F222" s="115"/>
      <c r="H222" s="95">
        <v>217</v>
      </c>
      <c r="I222" s="96" t="str">
        <f t="shared" si="17"/>
        <v/>
      </c>
      <c r="J222" s="96" t="e">
        <f t="shared" si="18"/>
        <v>#NUM!</v>
      </c>
      <c r="K222" s="95" t="e">
        <f t="shared" si="19"/>
        <v>#NUM!</v>
      </c>
      <c r="L222" s="95"/>
      <c r="M222" s="97">
        <f t="shared" si="20"/>
        <v>0</v>
      </c>
      <c r="S222" s="85"/>
      <c r="T222" s="85"/>
      <c r="U222" s="85"/>
      <c r="V222" s="85"/>
      <c r="W222" s="85"/>
      <c r="X222" s="85"/>
      <c r="Y222" s="85"/>
      <c r="Z222" s="85"/>
      <c r="AA222" s="85"/>
      <c r="AB222" s="85"/>
      <c r="AC222" s="85"/>
      <c r="AD222" s="85"/>
      <c r="AE222" s="85"/>
      <c r="AF222" s="85"/>
      <c r="AG222" s="85"/>
      <c r="AH222" s="85"/>
      <c r="AI222" s="85"/>
      <c r="AJ222" s="85"/>
      <c r="AK222" s="85"/>
      <c r="AL222" s="85"/>
    </row>
    <row r="223" spans="1:38" s="80" customFormat="1" x14ac:dyDescent="0.25">
      <c r="A223" s="116"/>
      <c r="B223" s="115"/>
      <c r="C223" s="115"/>
      <c r="D223" s="115"/>
      <c r="E223" s="115"/>
      <c r="F223" s="115"/>
      <c r="H223" s="95">
        <v>218</v>
      </c>
      <c r="I223" s="96" t="str">
        <f t="shared" si="17"/>
        <v/>
      </c>
      <c r="J223" s="96" t="e">
        <f t="shared" si="18"/>
        <v>#NUM!</v>
      </c>
      <c r="K223" s="95" t="e">
        <f t="shared" si="19"/>
        <v>#NUM!</v>
      </c>
      <c r="L223" s="95"/>
      <c r="M223" s="97">
        <f t="shared" si="20"/>
        <v>0</v>
      </c>
      <c r="S223" s="85"/>
      <c r="T223" s="85"/>
      <c r="U223" s="85"/>
      <c r="V223" s="85"/>
      <c r="W223" s="85"/>
      <c r="X223" s="85"/>
      <c r="Y223" s="85"/>
      <c r="Z223" s="85"/>
      <c r="AA223" s="85"/>
      <c r="AB223" s="85"/>
      <c r="AC223" s="85"/>
      <c r="AD223" s="85"/>
      <c r="AE223" s="85"/>
      <c r="AF223" s="85"/>
      <c r="AG223" s="85"/>
      <c r="AH223" s="85"/>
      <c r="AI223" s="85"/>
      <c r="AJ223" s="85"/>
      <c r="AK223" s="85"/>
      <c r="AL223" s="85"/>
    </row>
    <row r="224" spans="1:38" s="80" customFormat="1" x14ac:dyDescent="0.25">
      <c r="A224" s="116"/>
      <c r="B224" s="115"/>
      <c r="C224" s="115"/>
      <c r="D224" s="115"/>
      <c r="E224" s="115"/>
      <c r="F224" s="115"/>
      <c r="H224" s="95">
        <v>219</v>
      </c>
      <c r="I224" s="96" t="str">
        <f t="shared" si="17"/>
        <v/>
      </c>
      <c r="J224" s="96" t="e">
        <f t="shared" si="18"/>
        <v>#NUM!</v>
      </c>
      <c r="K224" s="95" t="e">
        <f t="shared" si="19"/>
        <v>#NUM!</v>
      </c>
      <c r="L224" s="95"/>
      <c r="M224" s="97">
        <f t="shared" si="20"/>
        <v>0</v>
      </c>
      <c r="S224" s="85"/>
      <c r="T224" s="85"/>
      <c r="U224" s="85"/>
      <c r="V224" s="85"/>
      <c r="W224" s="85"/>
      <c r="X224" s="85"/>
      <c r="Y224" s="85"/>
      <c r="Z224" s="85"/>
      <c r="AA224" s="85"/>
      <c r="AB224" s="85"/>
      <c r="AC224" s="85"/>
      <c r="AD224" s="85"/>
      <c r="AE224" s="85"/>
      <c r="AF224" s="85"/>
      <c r="AG224" s="85"/>
      <c r="AH224" s="85"/>
      <c r="AI224" s="85"/>
      <c r="AJ224" s="85"/>
      <c r="AK224" s="85"/>
      <c r="AL224" s="85"/>
    </row>
    <row r="225" spans="1:38" s="80" customFormat="1" x14ac:dyDescent="0.25">
      <c r="A225" s="116"/>
      <c r="B225" s="115"/>
      <c r="C225" s="115"/>
      <c r="D225" s="115"/>
      <c r="E225" s="115"/>
      <c r="F225" s="115"/>
      <c r="H225" s="95">
        <v>220</v>
      </c>
      <c r="I225" s="96" t="str">
        <f t="shared" si="17"/>
        <v/>
      </c>
      <c r="J225" s="96" t="e">
        <f t="shared" si="18"/>
        <v>#NUM!</v>
      </c>
      <c r="K225" s="95" t="e">
        <f t="shared" si="19"/>
        <v>#NUM!</v>
      </c>
      <c r="L225" s="95"/>
      <c r="M225" s="97">
        <f t="shared" si="20"/>
        <v>0</v>
      </c>
      <c r="S225" s="85"/>
      <c r="T225" s="85"/>
      <c r="U225" s="85"/>
      <c r="V225" s="85"/>
      <c r="W225" s="85"/>
      <c r="X225" s="85"/>
      <c r="Y225" s="85"/>
      <c r="Z225" s="85"/>
      <c r="AA225" s="85"/>
      <c r="AB225" s="85"/>
      <c r="AC225" s="85"/>
      <c r="AD225" s="85"/>
      <c r="AE225" s="85"/>
      <c r="AF225" s="85"/>
      <c r="AG225" s="85"/>
      <c r="AH225" s="85"/>
      <c r="AI225" s="85"/>
      <c r="AJ225" s="85"/>
      <c r="AK225" s="85"/>
      <c r="AL225" s="85"/>
    </row>
    <row r="226" spans="1:38" s="80" customFormat="1" x14ac:dyDescent="0.25">
      <c r="A226" s="116"/>
      <c r="B226" s="115"/>
      <c r="C226" s="115"/>
      <c r="D226" s="115"/>
      <c r="E226" s="115"/>
      <c r="F226" s="115"/>
      <c r="H226" s="95">
        <v>221</v>
      </c>
      <c r="I226" s="96" t="str">
        <f t="shared" si="17"/>
        <v/>
      </c>
      <c r="J226" s="96" t="e">
        <f t="shared" si="18"/>
        <v>#NUM!</v>
      </c>
      <c r="K226" s="95" t="e">
        <f t="shared" si="19"/>
        <v>#NUM!</v>
      </c>
      <c r="L226" s="95"/>
      <c r="M226" s="97">
        <f t="shared" si="20"/>
        <v>0</v>
      </c>
      <c r="S226" s="85"/>
      <c r="T226" s="85"/>
      <c r="U226" s="85"/>
      <c r="V226" s="85"/>
      <c r="W226" s="85"/>
      <c r="X226" s="85"/>
      <c r="Y226" s="85"/>
      <c r="Z226" s="85"/>
      <c r="AA226" s="85"/>
      <c r="AB226" s="85"/>
      <c r="AC226" s="85"/>
      <c r="AD226" s="85"/>
      <c r="AE226" s="85"/>
      <c r="AF226" s="85"/>
      <c r="AG226" s="85"/>
      <c r="AH226" s="85"/>
      <c r="AI226" s="85"/>
      <c r="AJ226" s="85"/>
      <c r="AK226" s="85"/>
      <c r="AL226" s="85"/>
    </row>
    <row r="227" spans="1:38" s="80" customFormat="1" x14ac:dyDescent="0.25">
      <c r="A227" s="116"/>
      <c r="B227" s="115"/>
      <c r="C227" s="115"/>
      <c r="D227" s="115"/>
      <c r="E227" s="115"/>
      <c r="F227" s="115"/>
      <c r="H227" s="95">
        <v>222</v>
      </c>
      <c r="I227" s="96" t="str">
        <f t="shared" si="17"/>
        <v/>
      </c>
      <c r="J227" s="96" t="e">
        <f t="shared" si="18"/>
        <v>#NUM!</v>
      </c>
      <c r="K227" s="95" t="e">
        <f t="shared" si="19"/>
        <v>#NUM!</v>
      </c>
      <c r="L227" s="95"/>
      <c r="M227" s="97">
        <f t="shared" si="20"/>
        <v>0</v>
      </c>
      <c r="S227" s="85"/>
      <c r="T227" s="85"/>
      <c r="U227" s="85"/>
      <c r="V227" s="85"/>
      <c r="W227" s="85"/>
      <c r="X227" s="85"/>
      <c r="Y227" s="85"/>
      <c r="Z227" s="85"/>
      <c r="AA227" s="85"/>
      <c r="AB227" s="85"/>
      <c r="AC227" s="85"/>
      <c r="AD227" s="85"/>
      <c r="AE227" s="85"/>
      <c r="AF227" s="85"/>
      <c r="AG227" s="85"/>
      <c r="AH227" s="85"/>
      <c r="AI227" s="85"/>
      <c r="AJ227" s="85"/>
      <c r="AK227" s="85"/>
      <c r="AL227" s="85"/>
    </row>
    <row r="228" spans="1:38" s="80" customFormat="1" x14ac:dyDescent="0.25">
      <c r="A228" s="116"/>
      <c r="B228" s="115"/>
      <c r="C228" s="115"/>
      <c r="D228" s="115"/>
      <c r="E228" s="115"/>
      <c r="F228" s="115"/>
      <c r="H228" s="95">
        <v>223</v>
      </c>
      <c r="I228" s="96" t="str">
        <f t="shared" si="17"/>
        <v/>
      </c>
      <c r="J228" s="96" t="e">
        <f t="shared" si="18"/>
        <v>#NUM!</v>
      </c>
      <c r="K228" s="95" t="e">
        <f t="shared" si="19"/>
        <v>#NUM!</v>
      </c>
      <c r="L228" s="95"/>
      <c r="M228" s="97">
        <f t="shared" si="20"/>
        <v>0</v>
      </c>
      <c r="S228" s="85"/>
      <c r="T228" s="85"/>
      <c r="U228" s="85"/>
      <c r="V228" s="85"/>
      <c r="W228" s="85"/>
      <c r="X228" s="85"/>
      <c r="Y228" s="85"/>
      <c r="Z228" s="85"/>
      <c r="AA228" s="85"/>
      <c r="AB228" s="85"/>
      <c r="AC228" s="85"/>
      <c r="AD228" s="85"/>
      <c r="AE228" s="85"/>
      <c r="AF228" s="85"/>
      <c r="AG228" s="85"/>
      <c r="AH228" s="85"/>
      <c r="AI228" s="85"/>
      <c r="AJ228" s="85"/>
      <c r="AK228" s="85"/>
      <c r="AL228" s="85"/>
    </row>
    <row r="229" spans="1:38" s="80" customFormat="1" x14ac:dyDescent="0.25">
      <c r="A229" s="116"/>
      <c r="B229" s="115"/>
      <c r="C229" s="115"/>
      <c r="D229" s="115"/>
      <c r="E229" s="115"/>
      <c r="F229" s="115"/>
      <c r="H229" s="95">
        <v>224</v>
      </c>
      <c r="I229" s="96" t="str">
        <f t="shared" si="17"/>
        <v/>
      </c>
      <c r="J229" s="96" t="e">
        <f t="shared" si="18"/>
        <v>#NUM!</v>
      </c>
      <c r="K229" s="95" t="e">
        <f t="shared" si="19"/>
        <v>#NUM!</v>
      </c>
      <c r="L229" s="95"/>
      <c r="M229" s="97">
        <f t="shared" si="20"/>
        <v>0</v>
      </c>
      <c r="S229" s="85"/>
      <c r="T229" s="85"/>
      <c r="U229" s="85"/>
      <c r="V229" s="85"/>
      <c r="W229" s="85"/>
      <c r="X229" s="85"/>
      <c r="Y229" s="85"/>
      <c r="Z229" s="85"/>
      <c r="AA229" s="85"/>
      <c r="AB229" s="85"/>
      <c r="AC229" s="85"/>
      <c r="AD229" s="85"/>
      <c r="AE229" s="85"/>
      <c r="AF229" s="85"/>
      <c r="AG229" s="85"/>
      <c r="AH229" s="85"/>
      <c r="AI229" s="85"/>
      <c r="AJ229" s="85"/>
      <c r="AK229" s="85"/>
      <c r="AL229" s="85"/>
    </row>
    <row r="230" spans="1:38" s="80" customFormat="1" x14ac:dyDescent="0.25">
      <c r="A230" s="116"/>
      <c r="B230" s="115"/>
      <c r="C230" s="115"/>
      <c r="D230" s="115"/>
      <c r="E230" s="115"/>
      <c r="F230" s="115"/>
      <c r="H230" s="95">
        <v>225</v>
      </c>
      <c r="I230" s="96" t="str">
        <f t="shared" si="17"/>
        <v/>
      </c>
      <c r="J230" s="96" t="e">
        <f t="shared" si="18"/>
        <v>#NUM!</v>
      </c>
      <c r="K230" s="95" t="e">
        <f t="shared" si="19"/>
        <v>#NUM!</v>
      </c>
      <c r="L230" s="95"/>
      <c r="M230" s="97">
        <f t="shared" si="20"/>
        <v>0</v>
      </c>
      <c r="S230" s="85"/>
      <c r="T230" s="85"/>
      <c r="U230" s="85"/>
      <c r="V230" s="85"/>
      <c r="W230" s="85"/>
      <c r="X230" s="85"/>
      <c r="Y230" s="85"/>
      <c r="Z230" s="85"/>
      <c r="AA230" s="85"/>
      <c r="AB230" s="85"/>
      <c r="AC230" s="85"/>
      <c r="AD230" s="85"/>
      <c r="AE230" s="85"/>
      <c r="AF230" s="85"/>
      <c r="AG230" s="85"/>
      <c r="AH230" s="85"/>
      <c r="AI230" s="85"/>
      <c r="AJ230" s="85"/>
      <c r="AK230" s="85"/>
      <c r="AL230" s="85"/>
    </row>
    <row r="231" spans="1:38" s="80" customFormat="1" x14ac:dyDescent="0.25">
      <c r="A231" s="116"/>
      <c r="B231" s="115"/>
      <c r="C231" s="115"/>
      <c r="D231" s="115"/>
      <c r="E231" s="115"/>
      <c r="F231" s="115"/>
      <c r="H231" s="95">
        <v>226</v>
      </c>
      <c r="I231" s="96" t="str">
        <f t="shared" si="17"/>
        <v/>
      </c>
      <c r="J231" s="96" t="e">
        <f t="shared" si="18"/>
        <v>#NUM!</v>
      </c>
      <c r="K231" s="95" t="e">
        <f t="shared" si="19"/>
        <v>#NUM!</v>
      </c>
      <c r="L231" s="95"/>
      <c r="M231" s="97">
        <f t="shared" si="20"/>
        <v>0</v>
      </c>
      <c r="S231" s="85"/>
      <c r="T231" s="85"/>
      <c r="U231" s="85"/>
      <c r="V231" s="85"/>
      <c r="W231" s="85"/>
      <c r="X231" s="85"/>
      <c r="Y231" s="85"/>
      <c r="Z231" s="85"/>
      <c r="AA231" s="85"/>
      <c r="AB231" s="85"/>
      <c r="AC231" s="85"/>
      <c r="AD231" s="85"/>
      <c r="AE231" s="85"/>
      <c r="AF231" s="85"/>
      <c r="AG231" s="85"/>
      <c r="AH231" s="85"/>
      <c r="AI231" s="85"/>
      <c r="AJ231" s="85"/>
      <c r="AK231" s="85"/>
      <c r="AL231" s="85"/>
    </row>
    <row r="232" spans="1:38" s="80" customFormat="1" x14ac:dyDescent="0.25">
      <c r="A232" s="116"/>
      <c r="B232" s="115"/>
      <c r="C232" s="115"/>
      <c r="D232" s="115"/>
      <c r="E232" s="115"/>
      <c r="F232" s="115"/>
      <c r="H232" s="95">
        <v>227</v>
      </c>
      <c r="I232" s="96" t="str">
        <f t="shared" si="17"/>
        <v/>
      </c>
      <c r="J232" s="96" t="e">
        <f t="shared" si="18"/>
        <v>#NUM!</v>
      </c>
      <c r="K232" s="95" t="e">
        <f t="shared" si="19"/>
        <v>#NUM!</v>
      </c>
      <c r="L232" s="95"/>
      <c r="M232" s="97">
        <f t="shared" si="20"/>
        <v>0</v>
      </c>
      <c r="S232" s="85"/>
      <c r="T232" s="85"/>
      <c r="U232" s="85"/>
      <c r="V232" s="85"/>
      <c r="W232" s="85"/>
      <c r="X232" s="85"/>
      <c r="Y232" s="85"/>
      <c r="Z232" s="85"/>
      <c r="AA232" s="85"/>
      <c r="AB232" s="85"/>
      <c r="AC232" s="85"/>
      <c r="AD232" s="85"/>
      <c r="AE232" s="85"/>
      <c r="AF232" s="85"/>
      <c r="AG232" s="85"/>
      <c r="AH232" s="85"/>
      <c r="AI232" s="85"/>
      <c r="AJ232" s="85"/>
      <c r="AK232" s="85"/>
      <c r="AL232" s="85"/>
    </row>
    <row r="233" spans="1:38" s="80" customFormat="1" x14ac:dyDescent="0.25">
      <c r="A233" s="116"/>
      <c r="B233" s="115"/>
      <c r="C233" s="115"/>
      <c r="D233" s="115"/>
      <c r="E233" s="115"/>
      <c r="F233" s="115"/>
      <c r="H233" s="95">
        <v>228</v>
      </c>
      <c r="I233" s="96" t="str">
        <f t="shared" si="17"/>
        <v/>
      </c>
      <c r="J233" s="96" t="e">
        <f t="shared" si="18"/>
        <v>#NUM!</v>
      </c>
      <c r="K233" s="95" t="e">
        <f t="shared" si="19"/>
        <v>#NUM!</v>
      </c>
      <c r="L233" s="95"/>
      <c r="M233" s="97">
        <f t="shared" si="20"/>
        <v>0</v>
      </c>
      <c r="S233" s="85"/>
      <c r="T233" s="85"/>
      <c r="U233" s="85"/>
      <c r="V233" s="85"/>
      <c r="W233" s="85"/>
      <c r="X233" s="85"/>
      <c r="Y233" s="85"/>
      <c r="Z233" s="85"/>
      <c r="AA233" s="85"/>
      <c r="AB233" s="85"/>
      <c r="AC233" s="85"/>
      <c r="AD233" s="85"/>
      <c r="AE233" s="85"/>
      <c r="AF233" s="85"/>
      <c r="AG233" s="85"/>
      <c r="AH233" s="85"/>
      <c r="AI233" s="85"/>
      <c r="AJ233" s="85"/>
      <c r="AK233" s="85"/>
      <c r="AL233" s="85"/>
    </row>
    <row r="234" spans="1:38" s="80" customFormat="1" x14ac:dyDescent="0.25">
      <c r="A234" s="116"/>
      <c r="B234" s="115"/>
      <c r="C234" s="115"/>
      <c r="D234" s="115"/>
      <c r="E234" s="115"/>
      <c r="F234" s="115"/>
      <c r="H234" s="95">
        <v>229</v>
      </c>
      <c r="I234" s="96" t="str">
        <f t="shared" si="17"/>
        <v/>
      </c>
      <c r="J234" s="96" t="e">
        <f t="shared" si="18"/>
        <v>#NUM!</v>
      </c>
      <c r="K234" s="95" t="e">
        <f t="shared" si="19"/>
        <v>#NUM!</v>
      </c>
      <c r="L234" s="95"/>
      <c r="M234" s="97">
        <f t="shared" si="20"/>
        <v>0</v>
      </c>
      <c r="S234" s="85"/>
      <c r="T234" s="85"/>
      <c r="U234" s="85"/>
      <c r="V234" s="85"/>
      <c r="W234" s="85"/>
      <c r="X234" s="85"/>
      <c r="Y234" s="85"/>
      <c r="Z234" s="85"/>
      <c r="AA234" s="85"/>
      <c r="AB234" s="85"/>
      <c r="AC234" s="85"/>
      <c r="AD234" s="85"/>
      <c r="AE234" s="85"/>
      <c r="AF234" s="85"/>
      <c r="AG234" s="85"/>
      <c r="AH234" s="85"/>
      <c r="AI234" s="85"/>
      <c r="AJ234" s="85"/>
      <c r="AK234" s="85"/>
      <c r="AL234" s="85"/>
    </row>
    <row r="235" spans="1:38" s="80" customFormat="1" x14ac:dyDescent="0.25">
      <c r="A235" s="116"/>
      <c r="B235" s="115"/>
      <c r="C235" s="115"/>
      <c r="D235" s="115"/>
      <c r="E235" s="115"/>
      <c r="F235" s="115"/>
      <c r="H235" s="95">
        <v>230</v>
      </c>
      <c r="I235" s="96" t="str">
        <f t="shared" si="17"/>
        <v/>
      </c>
      <c r="J235" s="96" t="e">
        <f t="shared" si="18"/>
        <v>#NUM!</v>
      </c>
      <c r="K235" s="95" t="e">
        <f t="shared" si="19"/>
        <v>#NUM!</v>
      </c>
      <c r="L235" s="95"/>
      <c r="M235" s="97">
        <f t="shared" si="20"/>
        <v>0</v>
      </c>
      <c r="S235" s="85"/>
      <c r="T235" s="85"/>
      <c r="U235" s="85"/>
      <c r="V235" s="85"/>
      <c r="W235" s="85"/>
      <c r="X235" s="85"/>
      <c r="Y235" s="85"/>
      <c r="Z235" s="85"/>
      <c r="AA235" s="85"/>
      <c r="AB235" s="85"/>
      <c r="AC235" s="85"/>
      <c r="AD235" s="85"/>
      <c r="AE235" s="85"/>
      <c r="AF235" s="85"/>
      <c r="AG235" s="85"/>
      <c r="AH235" s="85"/>
      <c r="AI235" s="85"/>
      <c r="AJ235" s="85"/>
      <c r="AK235" s="85"/>
      <c r="AL235" s="85"/>
    </row>
    <row r="236" spans="1:38" s="80" customFormat="1" x14ac:dyDescent="0.25">
      <c r="A236" s="116"/>
      <c r="B236" s="115"/>
      <c r="C236" s="115"/>
      <c r="D236" s="115"/>
      <c r="E236" s="115"/>
      <c r="F236" s="115"/>
      <c r="H236" s="95">
        <v>231</v>
      </c>
      <c r="I236" s="96" t="str">
        <f t="shared" si="17"/>
        <v/>
      </c>
      <c r="J236" s="96" t="e">
        <f t="shared" si="18"/>
        <v>#NUM!</v>
      </c>
      <c r="K236" s="95" t="e">
        <f t="shared" si="19"/>
        <v>#NUM!</v>
      </c>
      <c r="L236" s="95"/>
      <c r="M236" s="97">
        <f t="shared" si="20"/>
        <v>0</v>
      </c>
      <c r="S236" s="85"/>
      <c r="T236" s="85"/>
      <c r="U236" s="85"/>
      <c r="V236" s="85"/>
      <c r="W236" s="85"/>
      <c r="X236" s="85"/>
      <c r="Y236" s="85"/>
      <c r="Z236" s="85"/>
      <c r="AA236" s="85"/>
      <c r="AB236" s="85"/>
      <c r="AC236" s="85"/>
      <c r="AD236" s="85"/>
      <c r="AE236" s="85"/>
      <c r="AF236" s="85"/>
      <c r="AG236" s="85"/>
      <c r="AH236" s="85"/>
      <c r="AI236" s="85"/>
      <c r="AJ236" s="85"/>
      <c r="AK236" s="85"/>
      <c r="AL236" s="85"/>
    </row>
    <row r="237" spans="1:38" s="80" customFormat="1" x14ac:dyDescent="0.25">
      <c r="A237" s="116"/>
      <c r="B237" s="115"/>
      <c r="C237" s="115"/>
      <c r="D237" s="115"/>
      <c r="E237" s="115"/>
      <c r="F237" s="115"/>
      <c r="H237" s="95">
        <v>232</v>
      </c>
      <c r="I237" s="96" t="str">
        <f t="shared" si="17"/>
        <v/>
      </c>
      <c r="J237" s="96" t="e">
        <f t="shared" si="18"/>
        <v>#NUM!</v>
      </c>
      <c r="K237" s="95" t="e">
        <f t="shared" si="19"/>
        <v>#NUM!</v>
      </c>
      <c r="L237" s="95"/>
      <c r="M237" s="97">
        <f t="shared" si="20"/>
        <v>0</v>
      </c>
      <c r="S237" s="85"/>
      <c r="T237" s="85"/>
      <c r="U237" s="85"/>
      <c r="V237" s="85"/>
      <c r="W237" s="85"/>
      <c r="X237" s="85"/>
      <c r="Y237" s="85"/>
      <c r="Z237" s="85"/>
      <c r="AA237" s="85"/>
      <c r="AB237" s="85"/>
      <c r="AC237" s="85"/>
      <c r="AD237" s="85"/>
      <c r="AE237" s="85"/>
      <c r="AF237" s="85"/>
      <c r="AG237" s="85"/>
      <c r="AH237" s="85"/>
      <c r="AI237" s="85"/>
      <c r="AJ237" s="85"/>
      <c r="AK237" s="85"/>
      <c r="AL237" s="85"/>
    </row>
    <row r="238" spans="1:38" s="80" customFormat="1" x14ac:dyDescent="0.25">
      <c r="A238" s="116"/>
      <c r="B238" s="115"/>
      <c r="C238" s="115"/>
      <c r="D238" s="115"/>
      <c r="E238" s="115"/>
      <c r="F238" s="115"/>
      <c r="H238" s="95">
        <v>233</v>
      </c>
      <c r="I238" s="96" t="str">
        <f t="shared" si="17"/>
        <v/>
      </c>
      <c r="J238" s="96" t="e">
        <f t="shared" si="18"/>
        <v>#NUM!</v>
      </c>
      <c r="K238" s="95" t="e">
        <f t="shared" si="19"/>
        <v>#NUM!</v>
      </c>
      <c r="L238" s="95"/>
      <c r="M238" s="97">
        <f t="shared" si="20"/>
        <v>0</v>
      </c>
      <c r="S238" s="85"/>
      <c r="T238" s="85"/>
      <c r="U238" s="85"/>
      <c r="V238" s="85"/>
      <c r="W238" s="85"/>
      <c r="X238" s="85"/>
      <c r="Y238" s="85"/>
      <c r="Z238" s="85"/>
      <c r="AA238" s="85"/>
      <c r="AB238" s="85"/>
      <c r="AC238" s="85"/>
      <c r="AD238" s="85"/>
      <c r="AE238" s="85"/>
      <c r="AF238" s="85"/>
      <c r="AG238" s="85"/>
      <c r="AH238" s="85"/>
      <c r="AI238" s="85"/>
      <c r="AJ238" s="85"/>
      <c r="AK238" s="85"/>
      <c r="AL238" s="85"/>
    </row>
    <row r="239" spans="1:38" s="80" customFormat="1" x14ac:dyDescent="0.25">
      <c r="A239" s="116"/>
      <c r="B239" s="115"/>
      <c r="C239" s="115"/>
      <c r="D239" s="115"/>
      <c r="E239" s="115"/>
      <c r="F239" s="115"/>
      <c r="H239" s="95">
        <v>234</v>
      </c>
      <c r="I239" s="96" t="str">
        <f t="shared" si="17"/>
        <v/>
      </c>
      <c r="J239" s="96" t="e">
        <f t="shared" si="18"/>
        <v>#NUM!</v>
      </c>
      <c r="K239" s="95" t="e">
        <f t="shared" si="19"/>
        <v>#NUM!</v>
      </c>
      <c r="L239" s="95"/>
      <c r="M239" s="97">
        <f t="shared" si="20"/>
        <v>0</v>
      </c>
      <c r="S239" s="85"/>
      <c r="T239" s="85"/>
      <c r="U239" s="85"/>
      <c r="V239" s="85"/>
      <c r="W239" s="85"/>
      <c r="X239" s="85"/>
      <c r="Y239" s="85"/>
      <c r="Z239" s="85"/>
      <c r="AA239" s="85"/>
      <c r="AB239" s="85"/>
      <c r="AC239" s="85"/>
      <c r="AD239" s="85"/>
      <c r="AE239" s="85"/>
      <c r="AF239" s="85"/>
      <c r="AG239" s="85"/>
      <c r="AH239" s="85"/>
      <c r="AI239" s="85"/>
      <c r="AJ239" s="85"/>
      <c r="AK239" s="85"/>
      <c r="AL239" s="85"/>
    </row>
    <row r="240" spans="1:38" s="80" customFormat="1" x14ac:dyDescent="0.25">
      <c r="A240" s="116"/>
      <c r="B240" s="115"/>
      <c r="C240" s="115"/>
      <c r="D240" s="115"/>
      <c r="E240" s="115"/>
      <c r="F240" s="115"/>
      <c r="H240" s="95">
        <v>235</v>
      </c>
      <c r="I240" s="96" t="str">
        <f t="shared" si="17"/>
        <v/>
      </c>
      <c r="J240" s="96" t="e">
        <f t="shared" si="18"/>
        <v>#NUM!</v>
      </c>
      <c r="K240" s="95" t="e">
        <f t="shared" si="19"/>
        <v>#NUM!</v>
      </c>
      <c r="L240" s="95"/>
      <c r="M240" s="97">
        <f t="shared" si="20"/>
        <v>0</v>
      </c>
      <c r="S240" s="85"/>
      <c r="T240" s="85"/>
      <c r="U240" s="85"/>
      <c r="V240" s="85"/>
      <c r="W240" s="85"/>
      <c r="X240" s="85"/>
      <c r="Y240" s="85"/>
      <c r="Z240" s="85"/>
      <c r="AA240" s="85"/>
      <c r="AB240" s="85"/>
      <c r="AC240" s="85"/>
      <c r="AD240" s="85"/>
      <c r="AE240" s="85"/>
      <c r="AF240" s="85"/>
      <c r="AG240" s="85"/>
      <c r="AH240" s="85"/>
      <c r="AI240" s="85"/>
      <c r="AJ240" s="85"/>
      <c r="AK240" s="85"/>
      <c r="AL240" s="85"/>
    </row>
    <row r="241" spans="1:38" s="80" customFormat="1" x14ac:dyDescent="0.25">
      <c r="A241" s="116"/>
      <c r="B241" s="115"/>
      <c r="C241" s="115"/>
      <c r="D241" s="115"/>
      <c r="E241" s="115"/>
      <c r="F241" s="115"/>
      <c r="H241" s="95">
        <v>236</v>
      </c>
      <c r="I241" s="96" t="str">
        <f t="shared" si="17"/>
        <v/>
      </c>
      <c r="J241" s="96" t="e">
        <f t="shared" si="18"/>
        <v>#NUM!</v>
      </c>
      <c r="K241" s="95" t="e">
        <f t="shared" si="19"/>
        <v>#NUM!</v>
      </c>
      <c r="L241" s="95"/>
      <c r="M241" s="97">
        <f t="shared" si="20"/>
        <v>0</v>
      </c>
      <c r="S241" s="85"/>
      <c r="T241" s="85"/>
      <c r="U241" s="85"/>
      <c r="V241" s="85"/>
      <c r="W241" s="85"/>
      <c r="X241" s="85"/>
      <c r="Y241" s="85"/>
      <c r="Z241" s="85"/>
      <c r="AA241" s="85"/>
      <c r="AB241" s="85"/>
      <c r="AC241" s="85"/>
      <c r="AD241" s="85"/>
      <c r="AE241" s="85"/>
      <c r="AF241" s="85"/>
      <c r="AG241" s="85"/>
      <c r="AH241" s="85"/>
      <c r="AI241" s="85"/>
      <c r="AJ241" s="85"/>
      <c r="AK241" s="85"/>
      <c r="AL241" s="85"/>
    </row>
    <row r="242" spans="1:38" s="80" customFormat="1" x14ac:dyDescent="0.25">
      <c r="A242" s="116"/>
      <c r="B242" s="115"/>
      <c r="C242" s="115"/>
      <c r="D242" s="115"/>
      <c r="E242" s="115"/>
      <c r="F242" s="115"/>
      <c r="H242" s="95">
        <v>237</v>
      </c>
      <c r="I242" s="96" t="str">
        <f t="shared" si="17"/>
        <v/>
      </c>
      <c r="J242" s="96" t="e">
        <f t="shared" si="18"/>
        <v>#NUM!</v>
      </c>
      <c r="K242" s="95" t="e">
        <f t="shared" si="19"/>
        <v>#NUM!</v>
      </c>
      <c r="L242" s="95"/>
      <c r="M242" s="97">
        <f t="shared" si="20"/>
        <v>0</v>
      </c>
      <c r="S242" s="85"/>
      <c r="T242" s="85"/>
      <c r="U242" s="85"/>
      <c r="V242" s="85"/>
      <c r="W242" s="85"/>
      <c r="X242" s="85"/>
      <c r="Y242" s="85"/>
      <c r="Z242" s="85"/>
      <c r="AA242" s="85"/>
      <c r="AB242" s="85"/>
      <c r="AC242" s="85"/>
      <c r="AD242" s="85"/>
      <c r="AE242" s="85"/>
      <c r="AF242" s="85"/>
      <c r="AG242" s="85"/>
      <c r="AH242" s="85"/>
      <c r="AI242" s="85"/>
      <c r="AJ242" s="85"/>
      <c r="AK242" s="85"/>
      <c r="AL242" s="85"/>
    </row>
    <row r="243" spans="1:38" s="80" customFormat="1" x14ac:dyDescent="0.25">
      <c r="A243" s="116"/>
      <c r="B243" s="115"/>
      <c r="C243" s="115"/>
      <c r="D243" s="115"/>
      <c r="E243" s="115"/>
      <c r="F243" s="115"/>
      <c r="H243" s="95">
        <v>238</v>
      </c>
      <c r="I243" s="96" t="str">
        <f t="shared" si="17"/>
        <v/>
      </c>
      <c r="J243" s="96" t="e">
        <f t="shared" si="18"/>
        <v>#NUM!</v>
      </c>
      <c r="K243" s="95" t="e">
        <f t="shared" si="19"/>
        <v>#NUM!</v>
      </c>
      <c r="L243" s="95"/>
      <c r="M243" s="97">
        <f t="shared" si="20"/>
        <v>0</v>
      </c>
      <c r="S243" s="85"/>
      <c r="T243" s="85"/>
      <c r="U243" s="85"/>
      <c r="V243" s="85"/>
      <c r="W243" s="85"/>
      <c r="X243" s="85"/>
      <c r="Y243" s="85"/>
      <c r="Z243" s="85"/>
      <c r="AA243" s="85"/>
      <c r="AB243" s="85"/>
      <c r="AC243" s="85"/>
      <c r="AD243" s="85"/>
      <c r="AE243" s="85"/>
      <c r="AF243" s="85"/>
      <c r="AG243" s="85"/>
      <c r="AH243" s="85"/>
      <c r="AI243" s="85"/>
      <c r="AJ243" s="85"/>
      <c r="AK243" s="85"/>
      <c r="AL243" s="85"/>
    </row>
    <row r="244" spans="1:38" s="80" customFormat="1" x14ac:dyDescent="0.25">
      <c r="A244" s="116"/>
      <c r="B244" s="115"/>
      <c r="C244" s="115"/>
      <c r="D244" s="115"/>
      <c r="E244" s="115"/>
      <c r="F244" s="115"/>
      <c r="H244" s="95">
        <v>239</v>
      </c>
      <c r="I244" s="96" t="str">
        <f t="shared" si="17"/>
        <v/>
      </c>
      <c r="J244" s="96" t="e">
        <f t="shared" si="18"/>
        <v>#NUM!</v>
      </c>
      <c r="K244" s="95" t="e">
        <f t="shared" si="19"/>
        <v>#NUM!</v>
      </c>
      <c r="L244" s="95"/>
      <c r="M244" s="97">
        <f t="shared" si="20"/>
        <v>0</v>
      </c>
      <c r="S244" s="85"/>
      <c r="T244" s="85"/>
      <c r="U244" s="85"/>
      <c r="V244" s="85"/>
      <c r="W244" s="85"/>
      <c r="X244" s="85"/>
      <c r="Y244" s="85"/>
      <c r="Z244" s="85"/>
      <c r="AA244" s="85"/>
      <c r="AB244" s="85"/>
      <c r="AC244" s="85"/>
      <c r="AD244" s="85"/>
      <c r="AE244" s="85"/>
      <c r="AF244" s="85"/>
      <c r="AG244" s="85"/>
      <c r="AH244" s="85"/>
      <c r="AI244" s="85"/>
      <c r="AJ244" s="85"/>
      <c r="AK244" s="85"/>
      <c r="AL244" s="85"/>
    </row>
    <row r="245" spans="1:38" s="80" customFormat="1" x14ac:dyDescent="0.25">
      <c r="A245" s="116"/>
      <c r="B245" s="115"/>
      <c r="C245" s="115"/>
      <c r="D245" s="115"/>
      <c r="E245" s="115"/>
      <c r="F245" s="115"/>
      <c r="H245" s="95">
        <v>240</v>
      </c>
      <c r="I245" s="96" t="str">
        <f t="shared" si="17"/>
        <v/>
      </c>
      <c r="J245" s="96" t="e">
        <f t="shared" si="18"/>
        <v>#NUM!</v>
      </c>
      <c r="K245" s="95" t="e">
        <f t="shared" si="19"/>
        <v>#NUM!</v>
      </c>
      <c r="L245" s="95"/>
      <c r="M245" s="97">
        <f t="shared" si="20"/>
        <v>0</v>
      </c>
      <c r="S245" s="85"/>
      <c r="T245" s="85"/>
      <c r="U245" s="85"/>
      <c r="V245" s="85"/>
      <c r="W245" s="85"/>
      <c r="X245" s="85"/>
      <c r="Y245" s="85"/>
      <c r="Z245" s="85"/>
      <c r="AA245" s="85"/>
      <c r="AB245" s="85"/>
      <c r="AC245" s="85"/>
      <c r="AD245" s="85"/>
      <c r="AE245" s="85"/>
      <c r="AF245" s="85"/>
      <c r="AG245" s="85"/>
      <c r="AH245" s="85"/>
      <c r="AI245" s="85"/>
      <c r="AJ245" s="85"/>
      <c r="AK245" s="85"/>
      <c r="AL245" s="85"/>
    </row>
    <row r="246" spans="1:38" s="80" customFormat="1" x14ac:dyDescent="0.25">
      <c r="A246" s="116"/>
      <c r="B246" s="115"/>
      <c r="C246" s="115"/>
      <c r="D246" s="115"/>
      <c r="E246" s="115"/>
      <c r="F246" s="115"/>
      <c r="H246" s="95">
        <v>241</v>
      </c>
      <c r="I246" s="96" t="str">
        <f t="shared" si="17"/>
        <v/>
      </c>
      <c r="J246" s="96" t="e">
        <f t="shared" si="18"/>
        <v>#NUM!</v>
      </c>
      <c r="K246" s="95" t="e">
        <f t="shared" si="19"/>
        <v>#NUM!</v>
      </c>
      <c r="L246" s="95"/>
      <c r="M246" s="97">
        <f t="shared" si="20"/>
        <v>0</v>
      </c>
      <c r="S246" s="85"/>
      <c r="T246" s="85"/>
      <c r="U246" s="85"/>
      <c r="V246" s="85"/>
      <c r="W246" s="85"/>
      <c r="X246" s="85"/>
      <c r="Y246" s="85"/>
      <c r="Z246" s="85"/>
      <c r="AA246" s="85"/>
      <c r="AB246" s="85"/>
      <c r="AC246" s="85"/>
      <c r="AD246" s="85"/>
      <c r="AE246" s="85"/>
      <c r="AF246" s="85"/>
      <c r="AG246" s="85"/>
      <c r="AH246" s="85"/>
      <c r="AI246" s="85"/>
      <c r="AJ246" s="85"/>
      <c r="AK246" s="85"/>
      <c r="AL246" s="85"/>
    </row>
    <row r="247" spans="1:38" s="80" customFormat="1" x14ac:dyDescent="0.25">
      <c r="A247" s="116"/>
      <c r="B247" s="115"/>
      <c r="C247" s="115"/>
      <c r="D247" s="115"/>
      <c r="E247" s="115"/>
      <c r="F247" s="115"/>
      <c r="H247" s="95">
        <v>242</v>
      </c>
      <c r="I247" s="96" t="str">
        <f t="shared" si="17"/>
        <v/>
      </c>
      <c r="J247" s="96" t="e">
        <f t="shared" si="18"/>
        <v>#NUM!</v>
      </c>
      <c r="K247" s="95" t="e">
        <f t="shared" si="19"/>
        <v>#NUM!</v>
      </c>
      <c r="L247" s="95"/>
      <c r="M247" s="97">
        <f t="shared" si="20"/>
        <v>0</v>
      </c>
      <c r="S247" s="85"/>
      <c r="T247" s="85"/>
      <c r="U247" s="85"/>
      <c r="V247" s="85"/>
      <c r="W247" s="85"/>
      <c r="X247" s="85"/>
      <c r="Y247" s="85"/>
      <c r="Z247" s="85"/>
      <c r="AA247" s="85"/>
      <c r="AB247" s="85"/>
      <c r="AC247" s="85"/>
      <c r="AD247" s="85"/>
      <c r="AE247" s="85"/>
      <c r="AF247" s="85"/>
      <c r="AG247" s="85"/>
      <c r="AH247" s="85"/>
      <c r="AI247" s="85"/>
      <c r="AJ247" s="85"/>
      <c r="AK247" s="85"/>
      <c r="AL247" s="85"/>
    </row>
    <row r="248" spans="1:38" s="80" customFormat="1" x14ac:dyDescent="0.25">
      <c r="A248" s="116"/>
      <c r="B248" s="115"/>
      <c r="C248" s="115"/>
      <c r="D248" s="115"/>
      <c r="E248" s="115"/>
      <c r="F248" s="115"/>
      <c r="H248" s="95">
        <v>243</v>
      </c>
      <c r="I248" s="96" t="str">
        <f t="shared" si="17"/>
        <v/>
      </c>
      <c r="J248" s="96" t="e">
        <f t="shared" si="18"/>
        <v>#NUM!</v>
      </c>
      <c r="K248" s="95" t="e">
        <f t="shared" si="19"/>
        <v>#NUM!</v>
      </c>
      <c r="L248" s="95"/>
      <c r="M248" s="97">
        <f t="shared" si="20"/>
        <v>0</v>
      </c>
      <c r="S248" s="85"/>
      <c r="T248" s="85"/>
      <c r="U248" s="85"/>
      <c r="V248" s="85"/>
      <c r="W248" s="85"/>
      <c r="X248" s="85"/>
      <c r="Y248" s="85"/>
      <c r="Z248" s="85"/>
      <c r="AA248" s="85"/>
      <c r="AB248" s="85"/>
      <c r="AC248" s="85"/>
      <c r="AD248" s="85"/>
      <c r="AE248" s="85"/>
      <c r="AF248" s="85"/>
      <c r="AG248" s="85"/>
      <c r="AH248" s="85"/>
      <c r="AI248" s="85"/>
      <c r="AJ248" s="85"/>
      <c r="AK248" s="85"/>
      <c r="AL248" s="85"/>
    </row>
    <row r="249" spans="1:38" s="80" customFormat="1" x14ac:dyDescent="0.25">
      <c r="A249" s="116"/>
      <c r="B249" s="115"/>
      <c r="C249" s="115"/>
      <c r="D249" s="115"/>
      <c r="E249" s="115"/>
      <c r="F249" s="115"/>
      <c r="H249" s="95">
        <v>244</v>
      </c>
      <c r="I249" s="96" t="str">
        <f t="shared" si="17"/>
        <v/>
      </c>
      <c r="J249" s="96" t="e">
        <f t="shared" si="18"/>
        <v>#NUM!</v>
      </c>
      <c r="K249" s="95" t="e">
        <f t="shared" si="19"/>
        <v>#NUM!</v>
      </c>
      <c r="L249" s="95"/>
      <c r="M249" s="97">
        <f t="shared" si="20"/>
        <v>0</v>
      </c>
      <c r="S249" s="85"/>
      <c r="T249" s="85"/>
      <c r="U249" s="85"/>
      <c r="V249" s="85"/>
      <c r="W249" s="85"/>
      <c r="X249" s="85"/>
      <c r="Y249" s="85"/>
      <c r="Z249" s="85"/>
      <c r="AA249" s="85"/>
      <c r="AB249" s="85"/>
      <c r="AC249" s="85"/>
      <c r="AD249" s="85"/>
      <c r="AE249" s="85"/>
      <c r="AF249" s="85"/>
      <c r="AG249" s="85"/>
      <c r="AH249" s="85"/>
      <c r="AI249" s="85"/>
      <c r="AJ249" s="85"/>
      <c r="AK249" s="85"/>
      <c r="AL249" s="85"/>
    </row>
    <row r="250" spans="1:38" s="80" customFormat="1" x14ac:dyDescent="0.25">
      <c r="A250" s="116"/>
      <c r="B250" s="115"/>
      <c r="C250" s="115"/>
      <c r="D250" s="115"/>
      <c r="E250" s="115"/>
      <c r="F250" s="115"/>
      <c r="H250" s="95">
        <v>245</v>
      </c>
      <c r="I250" s="96" t="str">
        <f t="shared" si="17"/>
        <v/>
      </c>
      <c r="J250" s="96" t="e">
        <f t="shared" si="18"/>
        <v>#NUM!</v>
      </c>
      <c r="K250" s="95" t="e">
        <f t="shared" si="19"/>
        <v>#NUM!</v>
      </c>
      <c r="L250" s="95"/>
      <c r="M250" s="97">
        <f t="shared" si="20"/>
        <v>0</v>
      </c>
      <c r="S250" s="85"/>
      <c r="T250" s="85"/>
      <c r="U250" s="85"/>
      <c r="V250" s="85"/>
      <c r="W250" s="85"/>
      <c r="X250" s="85"/>
      <c r="Y250" s="85"/>
      <c r="Z250" s="85"/>
      <c r="AA250" s="85"/>
      <c r="AB250" s="85"/>
      <c r="AC250" s="85"/>
      <c r="AD250" s="85"/>
      <c r="AE250" s="85"/>
      <c r="AF250" s="85"/>
      <c r="AG250" s="85"/>
      <c r="AH250" s="85"/>
      <c r="AI250" s="85"/>
      <c r="AJ250" s="85"/>
      <c r="AK250" s="85"/>
      <c r="AL250" s="85"/>
    </row>
    <row r="251" spans="1:38" s="80" customFormat="1" x14ac:dyDescent="0.25">
      <c r="A251" s="116"/>
      <c r="B251" s="115"/>
      <c r="C251" s="115"/>
      <c r="D251" s="115"/>
      <c r="E251" s="115"/>
      <c r="F251" s="115"/>
      <c r="H251" s="95">
        <v>246</v>
      </c>
      <c r="I251" s="96" t="str">
        <f t="shared" si="17"/>
        <v/>
      </c>
      <c r="J251" s="96" t="e">
        <f t="shared" si="18"/>
        <v>#NUM!</v>
      </c>
      <c r="K251" s="95" t="e">
        <f t="shared" si="19"/>
        <v>#NUM!</v>
      </c>
      <c r="L251" s="95"/>
      <c r="M251" s="97">
        <f t="shared" si="20"/>
        <v>0</v>
      </c>
      <c r="S251" s="85"/>
      <c r="T251" s="85"/>
      <c r="U251" s="85"/>
      <c r="V251" s="85"/>
      <c r="W251" s="85"/>
      <c r="X251" s="85"/>
      <c r="Y251" s="85"/>
      <c r="Z251" s="85"/>
      <c r="AA251" s="85"/>
      <c r="AB251" s="85"/>
      <c r="AC251" s="85"/>
      <c r="AD251" s="85"/>
      <c r="AE251" s="85"/>
      <c r="AF251" s="85"/>
      <c r="AG251" s="85"/>
      <c r="AH251" s="85"/>
      <c r="AI251" s="85"/>
      <c r="AJ251" s="85"/>
      <c r="AK251" s="85"/>
      <c r="AL251" s="85"/>
    </row>
    <row r="252" spans="1:38" s="80" customFormat="1" x14ac:dyDescent="0.25">
      <c r="A252" s="116"/>
      <c r="B252" s="115"/>
      <c r="C252" s="115"/>
      <c r="D252" s="115"/>
      <c r="E252" s="115"/>
      <c r="F252" s="115"/>
      <c r="H252" s="95">
        <v>247</v>
      </c>
      <c r="I252" s="96" t="str">
        <f t="shared" si="17"/>
        <v/>
      </c>
      <c r="J252" s="96" t="e">
        <f t="shared" si="18"/>
        <v>#NUM!</v>
      </c>
      <c r="K252" s="95" t="e">
        <f t="shared" si="19"/>
        <v>#NUM!</v>
      </c>
      <c r="L252" s="95"/>
      <c r="M252" s="97">
        <f t="shared" si="20"/>
        <v>0</v>
      </c>
      <c r="S252" s="85"/>
      <c r="T252" s="85"/>
      <c r="U252" s="85"/>
      <c r="V252" s="85"/>
      <c r="W252" s="85"/>
      <c r="X252" s="85"/>
      <c r="Y252" s="85"/>
      <c r="Z252" s="85"/>
      <c r="AA252" s="85"/>
      <c r="AB252" s="85"/>
      <c r="AC252" s="85"/>
      <c r="AD252" s="85"/>
      <c r="AE252" s="85"/>
      <c r="AF252" s="85"/>
      <c r="AG252" s="85"/>
      <c r="AH252" s="85"/>
      <c r="AI252" s="85"/>
      <c r="AJ252" s="85"/>
      <c r="AK252" s="85"/>
      <c r="AL252" s="85"/>
    </row>
    <row r="253" spans="1:38" s="80" customFormat="1" x14ac:dyDescent="0.25">
      <c r="A253" s="116"/>
      <c r="B253" s="115"/>
      <c r="C253" s="115"/>
      <c r="D253" s="115"/>
      <c r="E253" s="115"/>
      <c r="F253" s="115"/>
      <c r="H253" s="95">
        <v>248</v>
      </c>
      <c r="I253" s="96" t="str">
        <f t="shared" si="17"/>
        <v/>
      </c>
      <c r="J253" s="96" t="e">
        <f t="shared" si="18"/>
        <v>#NUM!</v>
      </c>
      <c r="K253" s="95" t="e">
        <f t="shared" si="19"/>
        <v>#NUM!</v>
      </c>
      <c r="L253" s="95"/>
      <c r="M253" s="97">
        <f t="shared" si="20"/>
        <v>0</v>
      </c>
      <c r="S253" s="85"/>
      <c r="T253" s="85"/>
      <c r="U253" s="85"/>
      <c r="V253" s="85"/>
      <c r="W253" s="85"/>
      <c r="X253" s="85"/>
      <c r="Y253" s="85"/>
      <c r="Z253" s="85"/>
      <c r="AA253" s="85"/>
      <c r="AB253" s="85"/>
      <c r="AC253" s="85"/>
      <c r="AD253" s="85"/>
      <c r="AE253" s="85"/>
      <c r="AF253" s="85"/>
      <c r="AG253" s="85"/>
      <c r="AH253" s="85"/>
      <c r="AI253" s="85"/>
      <c r="AJ253" s="85"/>
      <c r="AK253" s="85"/>
      <c r="AL253" s="85"/>
    </row>
    <row r="254" spans="1:38" s="80" customFormat="1" x14ac:dyDescent="0.25">
      <c r="A254" s="116"/>
      <c r="B254" s="115"/>
      <c r="C254" s="115"/>
      <c r="D254" s="115"/>
      <c r="E254" s="115"/>
      <c r="F254" s="115"/>
      <c r="H254" s="95">
        <v>249</v>
      </c>
      <c r="I254" s="96" t="str">
        <f t="shared" si="17"/>
        <v/>
      </c>
      <c r="J254" s="96" t="e">
        <f t="shared" si="18"/>
        <v>#NUM!</v>
      </c>
      <c r="K254" s="95" t="e">
        <f t="shared" si="19"/>
        <v>#NUM!</v>
      </c>
      <c r="L254" s="95"/>
      <c r="M254" s="97">
        <f t="shared" si="20"/>
        <v>0</v>
      </c>
      <c r="S254" s="85"/>
      <c r="T254" s="85"/>
      <c r="U254" s="85"/>
      <c r="V254" s="85"/>
      <c r="W254" s="85"/>
      <c r="X254" s="85"/>
      <c r="Y254" s="85"/>
      <c r="Z254" s="85"/>
      <c r="AA254" s="85"/>
      <c r="AB254" s="85"/>
      <c r="AC254" s="85"/>
      <c r="AD254" s="85"/>
      <c r="AE254" s="85"/>
      <c r="AF254" s="85"/>
      <c r="AG254" s="85"/>
      <c r="AH254" s="85"/>
      <c r="AI254" s="85"/>
      <c r="AJ254" s="85"/>
      <c r="AK254" s="85"/>
      <c r="AL254" s="85"/>
    </row>
    <row r="255" spans="1:38" s="80" customFormat="1" x14ac:dyDescent="0.25">
      <c r="A255" s="116"/>
      <c r="B255" s="115"/>
      <c r="C255" s="115"/>
      <c r="D255" s="115"/>
      <c r="E255" s="115"/>
      <c r="F255" s="115"/>
      <c r="H255" s="95">
        <v>250</v>
      </c>
      <c r="I255" s="96" t="str">
        <f t="shared" si="17"/>
        <v/>
      </c>
      <c r="J255" s="96" t="e">
        <f t="shared" si="18"/>
        <v>#NUM!</v>
      </c>
      <c r="K255" s="95" t="e">
        <f t="shared" si="19"/>
        <v>#NUM!</v>
      </c>
      <c r="L255" s="95"/>
      <c r="M255" s="97">
        <f t="shared" si="20"/>
        <v>0</v>
      </c>
      <c r="S255" s="85"/>
      <c r="T255" s="85"/>
      <c r="U255" s="85"/>
      <c r="V255" s="85"/>
      <c r="W255" s="85"/>
      <c r="X255" s="85"/>
      <c r="Y255" s="85"/>
      <c r="Z255" s="85"/>
      <c r="AA255" s="85"/>
      <c r="AB255" s="85"/>
      <c r="AC255" s="85"/>
      <c r="AD255" s="85"/>
      <c r="AE255" s="85"/>
      <c r="AF255" s="85"/>
      <c r="AG255" s="85"/>
      <c r="AH255" s="85"/>
      <c r="AI255" s="85"/>
      <c r="AJ255" s="85"/>
      <c r="AK255" s="85"/>
      <c r="AL255" s="85"/>
    </row>
    <row r="256" spans="1:38" s="80" customFormat="1" x14ac:dyDescent="0.25">
      <c r="A256" s="116"/>
      <c r="B256" s="115"/>
      <c r="C256" s="115"/>
      <c r="D256" s="115"/>
      <c r="E256" s="115"/>
      <c r="F256" s="115"/>
      <c r="H256" s="95">
        <v>251</v>
      </c>
      <c r="I256" s="96" t="str">
        <f t="shared" si="17"/>
        <v/>
      </c>
      <c r="J256" s="96" t="e">
        <f t="shared" si="18"/>
        <v>#NUM!</v>
      </c>
      <c r="K256" s="95" t="e">
        <f t="shared" si="19"/>
        <v>#NUM!</v>
      </c>
      <c r="L256" s="95"/>
      <c r="M256" s="97">
        <f t="shared" si="20"/>
        <v>0</v>
      </c>
      <c r="S256" s="85"/>
      <c r="T256" s="85"/>
      <c r="U256" s="85"/>
      <c r="V256" s="85"/>
      <c r="W256" s="85"/>
      <c r="X256" s="85"/>
      <c r="Y256" s="85"/>
      <c r="Z256" s="85"/>
      <c r="AA256" s="85"/>
      <c r="AB256" s="85"/>
      <c r="AC256" s="85"/>
      <c r="AD256" s="85"/>
      <c r="AE256" s="85"/>
      <c r="AF256" s="85"/>
      <c r="AG256" s="85"/>
      <c r="AH256" s="85"/>
      <c r="AI256" s="85"/>
      <c r="AJ256" s="85"/>
      <c r="AK256" s="85"/>
      <c r="AL256" s="85"/>
    </row>
    <row r="257" spans="1:38" s="80" customFormat="1" x14ac:dyDescent="0.25">
      <c r="A257" s="116"/>
      <c r="B257" s="115"/>
      <c r="C257" s="115"/>
      <c r="D257" s="115"/>
      <c r="E257" s="115"/>
      <c r="F257" s="115"/>
      <c r="H257" s="95">
        <v>252</v>
      </c>
      <c r="I257" s="96" t="str">
        <f t="shared" si="17"/>
        <v/>
      </c>
      <c r="J257" s="96" t="e">
        <f t="shared" si="18"/>
        <v>#NUM!</v>
      </c>
      <c r="K257" s="95" t="e">
        <f t="shared" si="19"/>
        <v>#NUM!</v>
      </c>
      <c r="L257" s="95"/>
      <c r="M257" s="97">
        <f t="shared" si="20"/>
        <v>0</v>
      </c>
      <c r="S257" s="85"/>
      <c r="T257" s="85"/>
      <c r="U257" s="85"/>
      <c r="V257" s="85"/>
      <c r="W257" s="85"/>
      <c r="X257" s="85"/>
      <c r="Y257" s="85"/>
      <c r="Z257" s="85"/>
      <c r="AA257" s="85"/>
      <c r="AB257" s="85"/>
      <c r="AC257" s="85"/>
      <c r="AD257" s="85"/>
      <c r="AE257" s="85"/>
      <c r="AF257" s="85"/>
      <c r="AG257" s="85"/>
      <c r="AH257" s="85"/>
      <c r="AI257" s="85"/>
      <c r="AJ257" s="85"/>
      <c r="AK257" s="85"/>
      <c r="AL257" s="85"/>
    </row>
    <row r="258" spans="1:38" s="80" customFormat="1" x14ac:dyDescent="0.25">
      <c r="A258" s="116"/>
      <c r="B258" s="115"/>
      <c r="C258" s="115"/>
      <c r="D258" s="115"/>
      <c r="E258" s="115"/>
      <c r="F258" s="115"/>
      <c r="H258" s="95">
        <v>253</v>
      </c>
      <c r="I258" s="96" t="str">
        <f t="shared" si="17"/>
        <v/>
      </c>
      <c r="J258" s="96" t="e">
        <f t="shared" si="18"/>
        <v>#NUM!</v>
      </c>
      <c r="K258" s="95" t="e">
        <f t="shared" si="19"/>
        <v>#NUM!</v>
      </c>
      <c r="L258" s="95"/>
      <c r="M258" s="97">
        <f t="shared" si="20"/>
        <v>0</v>
      </c>
      <c r="S258" s="85"/>
      <c r="T258" s="85"/>
      <c r="U258" s="85"/>
      <c r="V258" s="85"/>
      <c r="W258" s="85"/>
      <c r="X258" s="85"/>
      <c r="Y258" s="85"/>
      <c r="Z258" s="85"/>
      <c r="AA258" s="85"/>
      <c r="AB258" s="85"/>
      <c r="AC258" s="85"/>
      <c r="AD258" s="85"/>
      <c r="AE258" s="85"/>
      <c r="AF258" s="85"/>
      <c r="AG258" s="85"/>
      <c r="AH258" s="85"/>
      <c r="AI258" s="85"/>
      <c r="AJ258" s="85"/>
      <c r="AK258" s="85"/>
      <c r="AL258" s="85"/>
    </row>
    <row r="259" spans="1:38" s="80" customFormat="1" x14ac:dyDescent="0.25">
      <c r="A259" s="116"/>
      <c r="B259" s="115"/>
      <c r="C259" s="115"/>
      <c r="D259" s="115"/>
      <c r="E259" s="115"/>
      <c r="F259" s="115"/>
      <c r="H259" s="95">
        <v>254</v>
      </c>
      <c r="I259" s="96" t="str">
        <f t="shared" si="17"/>
        <v/>
      </c>
      <c r="J259" s="96" t="e">
        <f t="shared" si="18"/>
        <v>#NUM!</v>
      </c>
      <c r="K259" s="95" t="e">
        <f t="shared" si="19"/>
        <v>#NUM!</v>
      </c>
      <c r="L259" s="95"/>
      <c r="M259" s="97">
        <f t="shared" si="20"/>
        <v>0</v>
      </c>
      <c r="S259" s="85"/>
      <c r="T259" s="85"/>
      <c r="U259" s="85"/>
      <c r="V259" s="85"/>
      <c r="W259" s="85"/>
      <c r="X259" s="85"/>
      <c r="Y259" s="85"/>
      <c r="Z259" s="85"/>
      <c r="AA259" s="85"/>
      <c r="AB259" s="85"/>
      <c r="AC259" s="85"/>
      <c r="AD259" s="85"/>
      <c r="AE259" s="85"/>
      <c r="AF259" s="85"/>
      <c r="AG259" s="85"/>
      <c r="AH259" s="85"/>
      <c r="AI259" s="85"/>
      <c r="AJ259" s="85"/>
      <c r="AK259" s="85"/>
      <c r="AL259" s="85"/>
    </row>
    <row r="260" spans="1:38" s="80" customFormat="1" x14ac:dyDescent="0.25">
      <c r="A260" s="116"/>
      <c r="B260" s="115"/>
      <c r="C260" s="115"/>
      <c r="D260" s="115"/>
      <c r="E260" s="115"/>
      <c r="F260" s="115"/>
      <c r="H260" s="95">
        <v>255</v>
      </c>
      <c r="I260" s="96" t="str">
        <f t="shared" si="17"/>
        <v/>
      </c>
      <c r="J260" s="96" t="e">
        <f t="shared" si="18"/>
        <v>#NUM!</v>
      </c>
      <c r="K260" s="95" t="e">
        <f t="shared" si="19"/>
        <v>#NUM!</v>
      </c>
      <c r="L260" s="95"/>
      <c r="M260" s="97">
        <f t="shared" si="20"/>
        <v>0</v>
      </c>
      <c r="S260" s="85"/>
      <c r="T260" s="85"/>
      <c r="U260" s="85"/>
      <c r="V260" s="85"/>
      <c r="W260" s="85"/>
      <c r="X260" s="85"/>
      <c r="Y260" s="85"/>
      <c r="Z260" s="85"/>
      <c r="AA260" s="85"/>
      <c r="AB260" s="85"/>
      <c r="AC260" s="85"/>
      <c r="AD260" s="85"/>
      <c r="AE260" s="85"/>
      <c r="AF260" s="85"/>
      <c r="AG260" s="85"/>
      <c r="AH260" s="85"/>
      <c r="AI260" s="85"/>
      <c r="AJ260" s="85"/>
      <c r="AK260" s="85"/>
      <c r="AL260" s="85"/>
    </row>
    <row r="261" spans="1:38" s="80" customFormat="1" x14ac:dyDescent="0.25">
      <c r="A261" s="116"/>
      <c r="B261" s="115"/>
      <c r="C261" s="115"/>
      <c r="D261" s="115"/>
      <c r="E261" s="115"/>
      <c r="F261" s="115"/>
      <c r="H261" s="95">
        <v>256</v>
      </c>
      <c r="I261" s="96" t="str">
        <f t="shared" si="17"/>
        <v/>
      </c>
      <c r="J261" s="96" t="e">
        <f t="shared" si="18"/>
        <v>#NUM!</v>
      </c>
      <c r="K261" s="95" t="e">
        <f t="shared" si="19"/>
        <v>#NUM!</v>
      </c>
      <c r="L261" s="95"/>
      <c r="M261" s="97">
        <f t="shared" si="20"/>
        <v>0</v>
      </c>
      <c r="S261" s="85"/>
      <c r="T261" s="85"/>
      <c r="U261" s="85"/>
      <c r="V261" s="85"/>
      <c r="W261" s="85"/>
      <c r="X261" s="85"/>
      <c r="Y261" s="85"/>
      <c r="Z261" s="85"/>
      <c r="AA261" s="85"/>
      <c r="AB261" s="85"/>
      <c r="AC261" s="85"/>
      <c r="AD261" s="85"/>
      <c r="AE261" s="85"/>
      <c r="AF261" s="85"/>
      <c r="AG261" s="85"/>
      <c r="AH261" s="85"/>
      <c r="AI261" s="85"/>
      <c r="AJ261" s="85"/>
      <c r="AK261" s="85"/>
      <c r="AL261" s="85"/>
    </row>
    <row r="262" spans="1:38" s="80" customFormat="1" x14ac:dyDescent="0.25">
      <c r="A262" s="116"/>
      <c r="B262" s="115"/>
      <c r="C262" s="115"/>
      <c r="D262" s="115"/>
      <c r="E262" s="115"/>
      <c r="F262" s="115"/>
      <c r="H262" s="95">
        <v>257</v>
      </c>
      <c r="I262" s="96" t="str">
        <f t="shared" ref="I262:I305" si="21">IF(H262&lt;$H$2+1,($I$2-($I$2-1)*(LOG(H262)/LOG($H$2))),"")</f>
        <v/>
      </c>
      <c r="J262" s="96" t="e">
        <f t="shared" ref="J262:J305" si="22">INT(LOG($H$2,2))-ROUNDUP(LOG(H262,2),0)+IF(OR($H$2=1,$H$2=2,$H$2=4,$H$2=8,$H$2=16,$H$2=32,$H$2=64,$H$2=128,$H$2=256),0,1)</f>
        <v>#NUM!</v>
      </c>
      <c r="K262" s="95" t="e">
        <f t="shared" ref="K262:K305" si="23">J262*$J$2</f>
        <v>#NUM!</v>
      </c>
      <c r="L262" s="95"/>
      <c r="M262" s="97">
        <f t="shared" ref="M262:M305" si="24">IF(I262&lt;&gt;"",K262+I262+L262,0)</f>
        <v>0</v>
      </c>
      <c r="S262" s="85"/>
      <c r="T262" s="85"/>
      <c r="U262" s="85"/>
      <c r="V262" s="85"/>
      <c r="W262" s="85"/>
      <c r="X262" s="85"/>
      <c r="Y262" s="85"/>
      <c r="Z262" s="85"/>
      <c r="AA262" s="85"/>
      <c r="AB262" s="85"/>
      <c r="AC262" s="85"/>
      <c r="AD262" s="85"/>
      <c r="AE262" s="85"/>
      <c r="AF262" s="85"/>
      <c r="AG262" s="85"/>
      <c r="AH262" s="85"/>
      <c r="AI262" s="85"/>
      <c r="AJ262" s="85"/>
      <c r="AK262" s="85"/>
      <c r="AL262" s="85"/>
    </row>
    <row r="263" spans="1:38" s="80" customFormat="1" x14ac:dyDescent="0.25">
      <c r="A263" s="116"/>
      <c r="B263" s="115"/>
      <c r="C263" s="115"/>
      <c r="D263" s="115"/>
      <c r="E263" s="115"/>
      <c r="F263" s="115"/>
      <c r="H263" s="95">
        <v>258</v>
      </c>
      <c r="I263" s="96" t="str">
        <f t="shared" si="21"/>
        <v/>
      </c>
      <c r="J263" s="96" t="e">
        <f t="shared" si="22"/>
        <v>#NUM!</v>
      </c>
      <c r="K263" s="95" t="e">
        <f t="shared" si="23"/>
        <v>#NUM!</v>
      </c>
      <c r="L263" s="95"/>
      <c r="M263" s="97">
        <f t="shared" si="24"/>
        <v>0</v>
      </c>
      <c r="S263" s="85"/>
      <c r="T263" s="85"/>
      <c r="U263" s="85"/>
      <c r="V263" s="85"/>
      <c r="W263" s="85"/>
      <c r="X263" s="85"/>
      <c r="Y263" s="85"/>
      <c r="Z263" s="85"/>
      <c r="AA263" s="85"/>
      <c r="AB263" s="85"/>
      <c r="AC263" s="85"/>
      <c r="AD263" s="85"/>
      <c r="AE263" s="85"/>
      <c r="AF263" s="85"/>
      <c r="AG263" s="85"/>
      <c r="AH263" s="85"/>
      <c r="AI263" s="85"/>
      <c r="AJ263" s="85"/>
      <c r="AK263" s="85"/>
      <c r="AL263" s="85"/>
    </row>
    <row r="264" spans="1:38" s="80" customFormat="1" x14ac:dyDescent="0.25">
      <c r="A264" s="116"/>
      <c r="B264" s="115"/>
      <c r="C264" s="115"/>
      <c r="D264" s="115"/>
      <c r="E264" s="115"/>
      <c r="F264" s="115"/>
      <c r="H264" s="95">
        <v>259</v>
      </c>
      <c r="I264" s="96" t="str">
        <f t="shared" si="21"/>
        <v/>
      </c>
      <c r="J264" s="96" t="e">
        <f t="shared" si="22"/>
        <v>#NUM!</v>
      </c>
      <c r="K264" s="95" t="e">
        <f t="shared" si="23"/>
        <v>#NUM!</v>
      </c>
      <c r="L264" s="95"/>
      <c r="M264" s="97">
        <f t="shared" si="24"/>
        <v>0</v>
      </c>
      <c r="S264" s="85"/>
      <c r="T264" s="85"/>
      <c r="U264" s="85"/>
      <c r="V264" s="85"/>
      <c r="W264" s="85"/>
      <c r="X264" s="85"/>
      <c r="Y264" s="85"/>
      <c r="Z264" s="85"/>
      <c r="AA264" s="85"/>
      <c r="AB264" s="85"/>
      <c r="AC264" s="85"/>
      <c r="AD264" s="85"/>
      <c r="AE264" s="85"/>
      <c r="AF264" s="85"/>
      <c r="AG264" s="85"/>
      <c r="AH264" s="85"/>
      <c r="AI264" s="85"/>
      <c r="AJ264" s="85"/>
      <c r="AK264" s="85"/>
      <c r="AL264" s="85"/>
    </row>
    <row r="265" spans="1:38" s="80" customFormat="1" x14ac:dyDescent="0.25">
      <c r="A265" s="116"/>
      <c r="B265" s="115"/>
      <c r="C265" s="115"/>
      <c r="D265" s="115"/>
      <c r="E265" s="115"/>
      <c r="F265" s="115"/>
      <c r="H265" s="95">
        <v>260</v>
      </c>
      <c r="I265" s="96" t="str">
        <f t="shared" si="21"/>
        <v/>
      </c>
      <c r="J265" s="96" t="e">
        <f t="shared" si="22"/>
        <v>#NUM!</v>
      </c>
      <c r="K265" s="95" t="e">
        <f t="shared" si="23"/>
        <v>#NUM!</v>
      </c>
      <c r="L265" s="95"/>
      <c r="M265" s="97">
        <f t="shared" si="24"/>
        <v>0</v>
      </c>
      <c r="S265" s="85"/>
      <c r="T265" s="85"/>
      <c r="U265" s="85"/>
      <c r="V265" s="85"/>
      <c r="W265" s="85"/>
      <c r="X265" s="85"/>
      <c r="Y265" s="85"/>
      <c r="Z265" s="85"/>
      <c r="AA265" s="85"/>
      <c r="AB265" s="85"/>
      <c r="AC265" s="85"/>
      <c r="AD265" s="85"/>
      <c r="AE265" s="85"/>
      <c r="AF265" s="85"/>
      <c r="AG265" s="85"/>
      <c r="AH265" s="85"/>
      <c r="AI265" s="85"/>
      <c r="AJ265" s="85"/>
      <c r="AK265" s="85"/>
      <c r="AL265" s="85"/>
    </row>
    <row r="266" spans="1:38" s="80" customFormat="1" x14ac:dyDescent="0.25">
      <c r="A266" s="116"/>
      <c r="B266" s="115"/>
      <c r="C266" s="115"/>
      <c r="D266" s="115"/>
      <c r="E266" s="115"/>
      <c r="F266" s="115"/>
      <c r="H266" s="95">
        <v>261</v>
      </c>
      <c r="I266" s="96" t="str">
        <f t="shared" si="21"/>
        <v/>
      </c>
      <c r="J266" s="96" t="e">
        <f t="shared" si="22"/>
        <v>#NUM!</v>
      </c>
      <c r="K266" s="95" t="e">
        <f t="shared" si="23"/>
        <v>#NUM!</v>
      </c>
      <c r="L266" s="95"/>
      <c r="M266" s="97">
        <f t="shared" si="24"/>
        <v>0</v>
      </c>
      <c r="S266" s="85"/>
      <c r="T266" s="85"/>
      <c r="U266" s="85"/>
      <c r="V266" s="85"/>
      <c r="W266" s="85"/>
      <c r="X266" s="85"/>
      <c r="Y266" s="85"/>
      <c r="Z266" s="85"/>
      <c r="AA266" s="85"/>
      <c r="AB266" s="85"/>
      <c r="AC266" s="85"/>
      <c r="AD266" s="85"/>
      <c r="AE266" s="85"/>
      <c r="AF266" s="85"/>
      <c r="AG266" s="85"/>
      <c r="AH266" s="85"/>
      <c r="AI266" s="85"/>
      <c r="AJ266" s="85"/>
      <c r="AK266" s="85"/>
      <c r="AL266" s="85"/>
    </row>
    <row r="267" spans="1:38" s="80" customFormat="1" x14ac:dyDescent="0.25">
      <c r="A267" s="116"/>
      <c r="B267" s="115"/>
      <c r="C267" s="115"/>
      <c r="D267" s="115"/>
      <c r="E267" s="115"/>
      <c r="F267" s="115"/>
      <c r="H267" s="95">
        <v>262</v>
      </c>
      <c r="I267" s="96" t="str">
        <f t="shared" si="21"/>
        <v/>
      </c>
      <c r="J267" s="96" t="e">
        <f t="shared" si="22"/>
        <v>#NUM!</v>
      </c>
      <c r="K267" s="95" t="e">
        <f t="shared" si="23"/>
        <v>#NUM!</v>
      </c>
      <c r="L267" s="95"/>
      <c r="M267" s="97">
        <f t="shared" si="24"/>
        <v>0</v>
      </c>
      <c r="S267" s="85"/>
      <c r="T267" s="85"/>
      <c r="U267" s="85"/>
      <c r="V267" s="85"/>
      <c r="W267" s="85"/>
      <c r="X267" s="85"/>
      <c r="Y267" s="85"/>
      <c r="Z267" s="85"/>
      <c r="AA267" s="85"/>
      <c r="AB267" s="85"/>
      <c r="AC267" s="85"/>
      <c r="AD267" s="85"/>
      <c r="AE267" s="85"/>
      <c r="AF267" s="85"/>
      <c r="AG267" s="85"/>
      <c r="AH267" s="85"/>
      <c r="AI267" s="85"/>
      <c r="AJ267" s="85"/>
      <c r="AK267" s="85"/>
      <c r="AL267" s="85"/>
    </row>
    <row r="268" spans="1:38" s="80" customFormat="1" x14ac:dyDescent="0.25">
      <c r="A268" s="116"/>
      <c r="B268" s="115"/>
      <c r="C268" s="115"/>
      <c r="D268" s="115"/>
      <c r="E268" s="115"/>
      <c r="F268" s="115"/>
      <c r="H268" s="95">
        <v>263</v>
      </c>
      <c r="I268" s="96" t="str">
        <f t="shared" si="21"/>
        <v/>
      </c>
      <c r="J268" s="96" t="e">
        <f t="shared" si="22"/>
        <v>#NUM!</v>
      </c>
      <c r="K268" s="95" t="e">
        <f t="shared" si="23"/>
        <v>#NUM!</v>
      </c>
      <c r="L268" s="95"/>
      <c r="M268" s="97">
        <f t="shared" si="24"/>
        <v>0</v>
      </c>
      <c r="S268" s="85"/>
      <c r="T268" s="85"/>
      <c r="U268" s="85"/>
      <c r="V268" s="85"/>
      <c r="W268" s="85"/>
      <c r="X268" s="85"/>
      <c r="Y268" s="85"/>
      <c r="Z268" s="85"/>
      <c r="AA268" s="85"/>
      <c r="AB268" s="85"/>
      <c r="AC268" s="85"/>
      <c r="AD268" s="85"/>
      <c r="AE268" s="85"/>
      <c r="AF268" s="85"/>
      <c r="AG268" s="85"/>
      <c r="AH268" s="85"/>
      <c r="AI268" s="85"/>
      <c r="AJ268" s="85"/>
      <c r="AK268" s="85"/>
      <c r="AL268" s="85"/>
    </row>
    <row r="269" spans="1:38" s="80" customFormat="1" x14ac:dyDescent="0.25">
      <c r="A269" s="116"/>
      <c r="B269" s="115"/>
      <c r="C269" s="115"/>
      <c r="D269" s="115"/>
      <c r="E269" s="115"/>
      <c r="F269" s="115"/>
      <c r="H269" s="95">
        <v>264</v>
      </c>
      <c r="I269" s="96" t="str">
        <f t="shared" si="21"/>
        <v/>
      </c>
      <c r="J269" s="96" t="e">
        <f t="shared" si="22"/>
        <v>#NUM!</v>
      </c>
      <c r="K269" s="95" t="e">
        <f t="shared" si="23"/>
        <v>#NUM!</v>
      </c>
      <c r="L269" s="95"/>
      <c r="M269" s="97">
        <f t="shared" si="24"/>
        <v>0</v>
      </c>
      <c r="S269" s="85"/>
      <c r="T269" s="85"/>
      <c r="U269" s="85"/>
      <c r="V269" s="85"/>
      <c r="W269" s="85"/>
      <c r="X269" s="85"/>
      <c r="Y269" s="85"/>
      <c r="Z269" s="85"/>
      <c r="AA269" s="85"/>
      <c r="AB269" s="85"/>
      <c r="AC269" s="85"/>
      <c r="AD269" s="85"/>
      <c r="AE269" s="85"/>
      <c r="AF269" s="85"/>
      <c r="AG269" s="85"/>
      <c r="AH269" s="85"/>
      <c r="AI269" s="85"/>
      <c r="AJ269" s="85"/>
      <c r="AK269" s="85"/>
      <c r="AL269" s="85"/>
    </row>
    <row r="270" spans="1:38" s="80" customFormat="1" x14ac:dyDescent="0.25">
      <c r="A270" s="116"/>
      <c r="B270" s="115"/>
      <c r="C270" s="115"/>
      <c r="D270" s="115"/>
      <c r="E270" s="115"/>
      <c r="F270" s="115"/>
      <c r="H270" s="95">
        <v>265</v>
      </c>
      <c r="I270" s="96" t="str">
        <f t="shared" si="21"/>
        <v/>
      </c>
      <c r="J270" s="96" t="e">
        <f t="shared" si="22"/>
        <v>#NUM!</v>
      </c>
      <c r="K270" s="95" t="e">
        <f t="shared" si="23"/>
        <v>#NUM!</v>
      </c>
      <c r="L270" s="95"/>
      <c r="M270" s="97">
        <f t="shared" si="24"/>
        <v>0</v>
      </c>
      <c r="S270" s="85"/>
      <c r="T270" s="85"/>
      <c r="U270" s="85"/>
      <c r="V270" s="85"/>
      <c r="W270" s="85"/>
      <c r="X270" s="85"/>
      <c r="Y270" s="85"/>
      <c r="Z270" s="85"/>
      <c r="AA270" s="85"/>
      <c r="AB270" s="85"/>
      <c r="AC270" s="85"/>
      <c r="AD270" s="85"/>
      <c r="AE270" s="85"/>
      <c r="AF270" s="85"/>
      <c r="AG270" s="85"/>
      <c r="AH270" s="85"/>
      <c r="AI270" s="85"/>
      <c r="AJ270" s="85"/>
      <c r="AK270" s="85"/>
      <c r="AL270" s="85"/>
    </row>
    <row r="271" spans="1:38" s="80" customFormat="1" x14ac:dyDescent="0.25">
      <c r="A271" s="116"/>
      <c r="B271" s="115"/>
      <c r="C271" s="115"/>
      <c r="D271" s="115"/>
      <c r="E271" s="115"/>
      <c r="F271" s="115"/>
      <c r="H271" s="95">
        <v>266</v>
      </c>
      <c r="I271" s="96" t="str">
        <f t="shared" si="21"/>
        <v/>
      </c>
      <c r="J271" s="96" t="e">
        <f t="shared" si="22"/>
        <v>#NUM!</v>
      </c>
      <c r="K271" s="95" t="e">
        <f t="shared" si="23"/>
        <v>#NUM!</v>
      </c>
      <c r="L271" s="95"/>
      <c r="M271" s="97">
        <f t="shared" si="24"/>
        <v>0</v>
      </c>
      <c r="S271" s="85"/>
      <c r="T271" s="85"/>
      <c r="U271" s="85"/>
      <c r="V271" s="85"/>
      <c r="W271" s="85"/>
      <c r="X271" s="85"/>
      <c r="Y271" s="85"/>
      <c r="Z271" s="85"/>
      <c r="AA271" s="85"/>
      <c r="AB271" s="85"/>
      <c r="AC271" s="85"/>
      <c r="AD271" s="85"/>
      <c r="AE271" s="85"/>
      <c r="AF271" s="85"/>
      <c r="AG271" s="85"/>
      <c r="AH271" s="85"/>
      <c r="AI271" s="85"/>
      <c r="AJ271" s="85"/>
      <c r="AK271" s="85"/>
      <c r="AL271" s="85"/>
    </row>
    <row r="272" spans="1:38" s="80" customFormat="1" x14ac:dyDescent="0.25">
      <c r="A272" s="116"/>
      <c r="B272" s="115"/>
      <c r="C272" s="115"/>
      <c r="D272" s="115"/>
      <c r="E272" s="115"/>
      <c r="F272" s="115"/>
      <c r="H272" s="95">
        <v>267</v>
      </c>
      <c r="I272" s="96" t="str">
        <f t="shared" si="21"/>
        <v/>
      </c>
      <c r="J272" s="96" t="e">
        <f t="shared" si="22"/>
        <v>#NUM!</v>
      </c>
      <c r="K272" s="95" t="e">
        <f t="shared" si="23"/>
        <v>#NUM!</v>
      </c>
      <c r="L272" s="95"/>
      <c r="M272" s="97">
        <f t="shared" si="24"/>
        <v>0</v>
      </c>
      <c r="S272" s="85"/>
      <c r="T272" s="85"/>
      <c r="U272" s="85"/>
      <c r="V272" s="85"/>
      <c r="W272" s="85"/>
      <c r="X272" s="85"/>
      <c r="Y272" s="85"/>
      <c r="Z272" s="85"/>
      <c r="AA272" s="85"/>
      <c r="AB272" s="85"/>
      <c r="AC272" s="85"/>
      <c r="AD272" s="85"/>
      <c r="AE272" s="85"/>
      <c r="AF272" s="85"/>
      <c r="AG272" s="85"/>
      <c r="AH272" s="85"/>
      <c r="AI272" s="85"/>
      <c r="AJ272" s="85"/>
      <c r="AK272" s="85"/>
      <c r="AL272" s="85"/>
    </row>
    <row r="273" spans="1:38" s="80" customFormat="1" x14ac:dyDescent="0.25">
      <c r="A273" s="116"/>
      <c r="B273" s="115"/>
      <c r="C273" s="115"/>
      <c r="D273" s="115"/>
      <c r="E273" s="115"/>
      <c r="F273" s="115"/>
      <c r="H273" s="95">
        <v>268</v>
      </c>
      <c r="I273" s="96" t="str">
        <f t="shared" si="21"/>
        <v/>
      </c>
      <c r="J273" s="96" t="e">
        <f t="shared" si="22"/>
        <v>#NUM!</v>
      </c>
      <c r="K273" s="95" t="e">
        <f t="shared" si="23"/>
        <v>#NUM!</v>
      </c>
      <c r="L273" s="95"/>
      <c r="M273" s="97">
        <f t="shared" si="24"/>
        <v>0</v>
      </c>
      <c r="S273" s="85"/>
      <c r="T273" s="85"/>
      <c r="U273" s="85"/>
      <c r="V273" s="85"/>
      <c r="W273" s="85"/>
      <c r="X273" s="85"/>
      <c r="Y273" s="85"/>
      <c r="Z273" s="85"/>
      <c r="AA273" s="85"/>
      <c r="AB273" s="85"/>
      <c r="AC273" s="85"/>
      <c r="AD273" s="85"/>
      <c r="AE273" s="85"/>
      <c r="AF273" s="85"/>
      <c r="AG273" s="85"/>
      <c r="AH273" s="85"/>
      <c r="AI273" s="85"/>
      <c r="AJ273" s="85"/>
      <c r="AK273" s="85"/>
      <c r="AL273" s="85"/>
    </row>
    <row r="274" spans="1:38" s="80" customFormat="1" x14ac:dyDescent="0.25">
      <c r="A274" s="116"/>
      <c r="B274" s="115"/>
      <c r="C274" s="115"/>
      <c r="D274" s="115"/>
      <c r="E274" s="115"/>
      <c r="F274" s="115"/>
      <c r="H274" s="95">
        <v>269</v>
      </c>
      <c r="I274" s="96" t="str">
        <f t="shared" si="21"/>
        <v/>
      </c>
      <c r="J274" s="96" t="e">
        <f t="shared" si="22"/>
        <v>#NUM!</v>
      </c>
      <c r="K274" s="95" t="e">
        <f t="shared" si="23"/>
        <v>#NUM!</v>
      </c>
      <c r="L274" s="95"/>
      <c r="M274" s="97">
        <f t="shared" si="24"/>
        <v>0</v>
      </c>
      <c r="S274" s="85"/>
      <c r="T274" s="85"/>
      <c r="U274" s="85"/>
      <c r="V274" s="85"/>
      <c r="W274" s="85"/>
      <c r="X274" s="85"/>
      <c r="Y274" s="85"/>
      <c r="Z274" s="85"/>
      <c r="AA274" s="85"/>
      <c r="AB274" s="85"/>
      <c r="AC274" s="85"/>
      <c r="AD274" s="85"/>
      <c r="AE274" s="85"/>
      <c r="AF274" s="85"/>
      <c r="AG274" s="85"/>
      <c r="AH274" s="85"/>
      <c r="AI274" s="85"/>
      <c r="AJ274" s="85"/>
      <c r="AK274" s="85"/>
      <c r="AL274" s="85"/>
    </row>
    <row r="275" spans="1:38" s="80" customFormat="1" x14ac:dyDescent="0.25">
      <c r="A275" s="116"/>
      <c r="B275" s="115"/>
      <c r="C275" s="115"/>
      <c r="D275" s="115"/>
      <c r="E275" s="115"/>
      <c r="F275" s="115"/>
      <c r="H275" s="95">
        <v>270</v>
      </c>
      <c r="I275" s="96" t="str">
        <f t="shared" si="21"/>
        <v/>
      </c>
      <c r="J275" s="96" t="e">
        <f t="shared" si="22"/>
        <v>#NUM!</v>
      </c>
      <c r="K275" s="95" t="e">
        <f t="shared" si="23"/>
        <v>#NUM!</v>
      </c>
      <c r="L275" s="95"/>
      <c r="M275" s="97">
        <f t="shared" si="24"/>
        <v>0</v>
      </c>
      <c r="S275" s="85"/>
      <c r="T275" s="85"/>
      <c r="U275" s="85"/>
      <c r="V275" s="85"/>
      <c r="W275" s="85"/>
      <c r="X275" s="85"/>
      <c r="Y275" s="85"/>
      <c r="Z275" s="85"/>
      <c r="AA275" s="85"/>
      <c r="AB275" s="85"/>
      <c r="AC275" s="85"/>
      <c r="AD275" s="85"/>
      <c r="AE275" s="85"/>
      <c r="AF275" s="85"/>
      <c r="AG275" s="85"/>
      <c r="AH275" s="85"/>
      <c r="AI275" s="85"/>
      <c r="AJ275" s="85"/>
      <c r="AK275" s="85"/>
      <c r="AL275" s="85"/>
    </row>
    <row r="276" spans="1:38" s="80" customFormat="1" x14ac:dyDescent="0.25">
      <c r="A276" s="116"/>
      <c r="B276" s="115"/>
      <c r="C276" s="115"/>
      <c r="D276" s="115"/>
      <c r="E276" s="115"/>
      <c r="F276" s="115"/>
      <c r="H276" s="95">
        <v>271</v>
      </c>
      <c r="I276" s="96" t="str">
        <f t="shared" si="21"/>
        <v/>
      </c>
      <c r="J276" s="96" t="e">
        <f t="shared" si="22"/>
        <v>#NUM!</v>
      </c>
      <c r="K276" s="95" t="e">
        <f t="shared" si="23"/>
        <v>#NUM!</v>
      </c>
      <c r="L276" s="95"/>
      <c r="M276" s="97">
        <f t="shared" si="24"/>
        <v>0</v>
      </c>
      <c r="S276" s="85"/>
      <c r="T276" s="85"/>
      <c r="U276" s="85"/>
      <c r="V276" s="85"/>
      <c r="W276" s="85"/>
      <c r="X276" s="85"/>
      <c r="Y276" s="85"/>
      <c r="Z276" s="85"/>
      <c r="AA276" s="85"/>
      <c r="AB276" s="85"/>
      <c r="AC276" s="85"/>
      <c r="AD276" s="85"/>
      <c r="AE276" s="85"/>
      <c r="AF276" s="85"/>
      <c r="AG276" s="85"/>
      <c r="AH276" s="85"/>
      <c r="AI276" s="85"/>
      <c r="AJ276" s="85"/>
      <c r="AK276" s="85"/>
      <c r="AL276" s="85"/>
    </row>
    <row r="277" spans="1:38" s="80" customFormat="1" x14ac:dyDescent="0.25">
      <c r="A277" s="116"/>
      <c r="B277" s="115"/>
      <c r="C277" s="115"/>
      <c r="D277" s="115"/>
      <c r="E277" s="115"/>
      <c r="F277" s="115"/>
      <c r="H277" s="95">
        <v>272</v>
      </c>
      <c r="I277" s="96" t="str">
        <f t="shared" si="21"/>
        <v/>
      </c>
      <c r="J277" s="96" t="e">
        <f t="shared" si="22"/>
        <v>#NUM!</v>
      </c>
      <c r="K277" s="95" t="e">
        <f t="shared" si="23"/>
        <v>#NUM!</v>
      </c>
      <c r="L277" s="95"/>
      <c r="M277" s="97">
        <f t="shared" si="24"/>
        <v>0</v>
      </c>
      <c r="S277" s="85"/>
      <c r="T277" s="85"/>
      <c r="U277" s="85"/>
      <c r="V277" s="85"/>
      <c r="W277" s="85"/>
      <c r="X277" s="85"/>
      <c r="Y277" s="85"/>
      <c r="Z277" s="85"/>
      <c r="AA277" s="85"/>
      <c r="AB277" s="85"/>
      <c r="AC277" s="85"/>
      <c r="AD277" s="85"/>
      <c r="AE277" s="85"/>
      <c r="AF277" s="85"/>
      <c r="AG277" s="85"/>
      <c r="AH277" s="85"/>
      <c r="AI277" s="85"/>
      <c r="AJ277" s="85"/>
      <c r="AK277" s="85"/>
      <c r="AL277" s="85"/>
    </row>
    <row r="278" spans="1:38" s="80" customFormat="1" x14ac:dyDescent="0.25">
      <c r="A278" s="116"/>
      <c r="B278" s="115"/>
      <c r="C278" s="115"/>
      <c r="D278" s="115"/>
      <c r="E278" s="115"/>
      <c r="F278" s="115"/>
      <c r="H278" s="95">
        <v>273</v>
      </c>
      <c r="I278" s="96" t="str">
        <f t="shared" si="21"/>
        <v/>
      </c>
      <c r="J278" s="96" t="e">
        <f t="shared" si="22"/>
        <v>#NUM!</v>
      </c>
      <c r="K278" s="95" t="e">
        <f t="shared" si="23"/>
        <v>#NUM!</v>
      </c>
      <c r="L278" s="95"/>
      <c r="M278" s="97">
        <f t="shared" si="24"/>
        <v>0</v>
      </c>
      <c r="S278" s="85"/>
      <c r="T278" s="85"/>
      <c r="U278" s="85"/>
      <c r="V278" s="85"/>
      <c r="W278" s="85"/>
      <c r="X278" s="85"/>
      <c r="Y278" s="85"/>
      <c r="Z278" s="85"/>
      <c r="AA278" s="85"/>
      <c r="AB278" s="85"/>
      <c r="AC278" s="85"/>
      <c r="AD278" s="85"/>
      <c r="AE278" s="85"/>
      <c r="AF278" s="85"/>
      <c r="AG278" s="85"/>
      <c r="AH278" s="85"/>
      <c r="AI278" s="85"/>
      <c r="AJ278" s="85"/>
      <c r="AK278" s="85"/>
      <c r="AL278" s="85"/>
    </row>
    <row r="279" spans="1:38" s="80" customFormat="1" x14ac:dyDescent="0.25">
      <c r="A279" s="116"/>
      <c r="B279" s="115"/>
      <c r="C279" s="115"/>
      <c r="D279" s="115"/>
      <c r="E279" s="115"/>
      <c r="F279" s="115"/>
      <c r="H279" s="95">
        <v>274</v>
      </c>
      <c r="I279" s="96" t="str">
        <f t="shared" si="21"/>
        <v/>
      </c>
      <c r="J279" s="96" t="e">
        <f t="shared" si="22"/>
        <v>#NUM!</v>
      </c>
      <c r="K279" s="95" t="e">
        <f t="shared" si="23"/>
        <v>#NUM!</v>
      </c>
      <c r="L279" s="95"/>
      <c r="M279" s="97">
        <f t="shared" si="24"/>
        <v>0</v>
      </c>
      <c r="S279" s="85"/>
      <c r="T279" s="85"/>
      <c r="U279" s="85"/>
      <c r="V279" s="85"/>
      <c r="W279" s="85"/>
      <c r="X279" s="85"/>
      <c r="Y279" s="85"/>
      <c r="Z279" s="85"/>
      <c r="AA279" s="85"/>
      <c r="AB279" s="85"/>
      <c r="AC279" s="85"/>
      <c r="AD279" s="85"/>
      <c r="AE279" s="85"/>
      <c r="AF279" s="85"/>
      <c r="AG279" s="85"/>
      <c r="AH279" s="85"/>
      <c r="AI279" s="85"/>
      <c r="AJ279" s="85"/>
      <c r="AK279" s="85"/>
      <c r="AL279" s="85"/>
    </row>
    <row r="280" spans="1:38" s="80" customFormat="1" x14ac:dyDescent="0.25">
      <c r="A280" s="116"/>
      <c r="B280" s="115"/>
      <c r="C280" s="115"/>
      <c r="D280" s="115"/>
      <c r="E280" s="115"/>
      <c r="F280" s="115"/>
      <c r="H280" s="95">
        <v>275</v>
      </c>
      <c r="I280" s="96" t="str">
        <f t="shared" si="21"/>
        <v/>
      </c>
      <c r="J280" s="96" t="e">
        <f t="shared" si="22"/>
        <v>#NUM!</v>
      </c>
      <c r="K280" s="95" t="e">
        <f t="shared" si="23"/>
        <v>#NUM!</v>
      </c>
      <c r="L280" s="95"/>
      <c r="M280" s="97">
        <f t="shared" si="24"/>
        <v>0</v>
      </c>
      <c r="S280" s="85"/>
      <c r="T280" s="85"/>
      <c r="U280" s="85"/>
      <c r="V280" s="85"/>
      <c r="W280" s="85"/>
      <c r="X280" s="85"/>
      <c r="Y280" s="85"/>
      <c r="Z280" s="85"/>
      <c r="AA280" s="85"/>
      <c r="AB280" s="85"/>
      <c r="AC280" s="85"/>
      <c r="AD280" s="85"/>
      <c r="AE280" s="85"/>
      <c r="AF280" s="85"/>
      <c r="AG280" s="85"/>
      <c r="AH280" s="85"/>
      <c r="AI280" s="85"/>
      <c r="AJ280" s="85"/>
      <c r="AK280" s="85"/>
      <c r="AL280" s="85"/>
    </row>
    <row r="281" spans="1:38" s="80" customFormat="1" x14ac:dyDescent="0.25">
      <c r="A281" s="116"/>
      <c r="B281" s="115"/>
      <c r="C281" s="115"/>
      <c r="D281" s="115"/>
      <c r="E281" s="115"/>
      <c r="F281" s="115"/>
      <c r="H281" s="95">
        <v>276</v>
      </c>
      <c r="I281" s="96" t="str">
        <f t="shared" si="21"/>
        <v/>
      </c>
      <c r="J281" s="96" t="e">
        <f t="shared" si="22"/>
        <v>#NUM!</v>
      </c>
      <c r="K281" s="95" t="e">
        <f t="shared" si="23"/>
        <v>#NUM!</v>
      </c>
      <c r="L281" s="95"/>
      <c r="M281" s="97">
        <f t="shared" si="24"/>
        <v>0</v>
      </c>
      <c r="S281" s="85"/>
      <c r="T281" s="85"/>
      <c r="U281" s="85"/>
      <c r="V281" s="85"/>
      <c r="W281" s="85"/>
      <c r="X281" s="85"/>
      <c r="Y281" s="85"/>
      <c r="Z281" s="85"/>
      <c r="AA281" s="85"/>
      <c r="AB281" s="85"/>
      <c r="AC281" s="85"/>
      <c r="AD281" s="85"/>
      <c r="AE281" s="85"/>
      <c r="AF281" s="85"/>
      <c r="AG281" s="85"/>
      <c r="AH281" s="85"/>
      <c r="AI281" s="85"/>
      <c r="AJ281" s="85"/>
      <c r="AK281" s="85"/>
      <c r="AL281" s="85"/>
    </row>
    <row r="282" spans="1:38" s="80" customFormat="1" x14ac:dyDescent="0.25">
      <c r="A282" s="116"/>
      <c r="B282" s="115"/>
      <c r="C282" s="115"/>
      <c r="D282" s="115"/>
      <c r="E282" s="115"/>
      <c r="F282" s="115"/>
      <c r="H282" s="95">
        <v>277</v>
      </c>
      <c r="I282" s="96" t="str">
        <f t="shared" si="21"/>
        <v/>
      </c>
      <c r="J282" s="96" t="e">
        <f t="shared" si="22"/>
        <v>#NUM!</v>
      </c>
      <c r="K282" s="95" t="e">
        <f t="shared" si="23"/>
        <v>#NUM!</v>
      </c>
      <c r="L282" s="95"/>
      <c r="M282" s="97">
        <f t="shared" si="24"/>
        <v>0</v>
      </c>
      <c r="S282" s="85"/>
      <c r="T282" s="85"/>
      <c r="U282" s="85"/>
      <c r="V282" s="85"/>
      <c r="W282" s="85"/>
      <c r="X282" s="85"/>
      <c r="Y282" s="85"/>
      <c r="Z282" s="85"/>
      <c r="AA282" s="85"/>
      <c r="AB282" s="85"/>
      <c r="AC282" s="85"/>
      <c r="AD282" s="85"/>
      <c r="AE282" s="85"/>
      <c r="AF282" s="85"/>
      <c r="AG282" s="85"/>
      <c r="AH282" s="85"/>
      <c r="AI282" s="85"/>
      <c r="AJ282" s="85"/>
      <c r="AK282" s="85"/>
      <c r="AL282" s="85"/>
    </row>
    <row r="283" spans="1:38" s="80" customFormat="1" x14ac:dyDescent="0.25">
      <c r="A283" s="116"/>
      <c r="B283" s="115"/>
      <c r="C283" s="115"/>
      <c r="D283" s="115"/>
      <c r="E283" s="115"/>
      <c r="F283" s="115"/>
      <c r="H283" s="95">
        <v>278</v>
      </c>
      <c r="I283" s="96" t="str">
        <f t="shared" si="21"/>
        <v/>
      </c>
      <c r="J283" s="96" t="e">
        <f t="shared" si="22"/>
        <v>#NUM!</v>
      </c>
      <c r="K283" s="95" t="e">
        <f t="shared" si="23"/>
        <v>#NUM!</v>
      </c>
      <c r="L283" s="95"/>
      <c r="M283" s="97">
        <f t="shared" si="24"/>
        <v>0</v>
      </c>
      <c r="S283" s="85"/>
      <c r="T283" s="85"/>
      <c r="U283" s="85"/>
      <c r="V283" s="85"/>
      <c r="W283" s="85"/>
      <c r="X283" s="85"/>
      <c r="Y283" s="85"/>
      <c r="Z283" s="85"/>
      <c r="AA283" s="85"/>
      <c r="AB283" s="85"/>
      <c r="AC283" s="85"/>
      <c r="AD283" s="85"/>
      <c r="AE283" s="85"/>
      <c r="AF283" s="85"/>
      <c r="AG283" s="85"/>
      <c r="AH283" s="85"/>
      <c r="AI283" s="85"/>
      <c r="AJ283" s="85"/>
      <c r="AK283" s="85"/>
      <c r="AL283" s="85"/>
    </row>
    <row r="284" spans="1:38" s="80" customFormat="1" x14ac:dyDescent="0.25">
      <c r="A284" s="116"/>
      <c r="B284" s="115"/>
      <c r="C284" s="115"/>
      <c r="D284" s="115"/>
      <c r="E284" s="115"/>
      <c r="F284" s="115"/>
      <c r="H284" s="95">
        <v>279</v>
      </c>
      <c r="I284" s="96" t="str">
        <f t="shared" si="21"/>
        <v/>
      </c>
      <c r="J284" s="96" t="e">
        <f t="shared" si="22"/>
        <v>#NUM!</v>
      </c>
      <c r="K284" s="95" t="e">
        <f t="shared" si="23"/>
        <v>#NUM!</v>
      </c>
      <c r="L284" s="95"/>
      <c r="M284" s="97">
        <f t="shared" si="24"/>
        <v>0</v>
      </c>
      <c r="S284" s="85"/>
      <c r="T284" s="85"/>
      <c r="U284" s="85"/>
      <c r="V284" s="85"/>
      <c r="W284" s="85"/>
      <c r="X284" s="85"/>
      <c r="Y284" s="85"/>
      <c r="Z284" s="85"/>
      <c r="AA284" s="85"/>
      <c r="AB284" s="85"/>
      <c r="AC284" s="85"/>
      <c r="AD284" s="85"/>
      <c r="AE284" s="85"/>
      <c r="AF284" s="85"/>
      <c r="AG284" s="85"/>
      <c r="AH284" s="85"/>
      <c r="AI284" s="85"/>
      <c r="AJ284" s="85"/>
      <c r="AK284" s="85"/>
      <c r="AL284" s="85"/>
    </row>
    <row r="285" spans="1:38" s="80" customFormat="1" x14ac:dyDescent="0.25">
      <c r="A285" s="116"/>
      <c r="B285" s="115"/>
      <c r="C285" s="115"/>
      <c r="D285" s="115"/>
      <c r="E285" s="115"/>
      <c r="F285" s="115"/>
      <c r="H285" s="95">
        <v>280</v>
      </c>
      <c r="I285" s="96" t="str">
        <f t="shared" si="21"/>
        <v/>
      </c>
      <c r="J285" s="96" t="e">
        <f t="shared" si="22"/>
        <v>#NUM!</v>
      </c>
      <c r="K285" s="95" t="e">
        <f t="shared" si="23"/>
        <v>#NUM!</v>
      </c>
      <c r="L285" s="95"/>
      <c r="M285" s="97">
        <f t="shared" si="24"/>
        <v>0</v>
      </c>
      <c r="S285" s="85"/>
      <c r="T285" s="85"/>
      <c r="U285" s="85"/>
      <c r="V285" s="85"/>
      <c r="W285" s="85"/>
      <c r="X285" s="85"/>
      <c r="Y285" s="85"/>
      <c r="Z285" s="85"/>
      <c r="AA285" s="85"/>
      <c r="AB285" s="85"/>
      <c r="AC285" s="85"/>
      <c r="AD285" s="85"/>
      <c r="AE285" s="85"/>
      <c r="AF285" s="85"/>
      <c r="AG285" s="85"/>
      <c r="AH285" s="85"/>
      <c r="AI285" s="85"/>
      <c r="AJ285" s="85"/>
      <c r="AK285" s="85"/>
      <c r="AL285" s="85"/>
    </row>
    <row r="286" spans="1:38" s="80" customFormat="1" x14ac:dyDescent="0.25">
      <c r="A286" s="116"/>
      <c r="B286" s="115"/>
      <c r="C286" s="115"/>
      <c r="D286" s="115"/>
      <c r="E286" s="115"/>
      <c r="F286" s="115"/>
      <c r="H286" s="95">
        <v>281</v>
      </c>
      <c r="I286" s="96" t="str">
        <f t="shared" si="21"/>
        <v/>
      </c>
      <c r="J286" s="96" t="e">
        <f t="shared" si="22"/>
        <v>#NUM!</v>
      </c>
      <c r="K286" s="95" t="e">
        <f t="shared" si="23"/>
        <v>#NUM!</v>
      </c>
      <c r="L286" s="95"/>
      <c r="M286" s="97">
        <f t="shared" si="24"/>
        <v>0</v>
      </c>
      <c r="S286" s="85"/>
      <c r="T286" s="85"/>
      <c r="U286" s="85"/>
      <c r="V286" s="85"/>
      <c r="W286" s="85"/>
      <c r="X286" s="85"/>
      <c r="Y286" s="85"/>
      <c r="Z286" s="85"/>
      <c r="AA286" s="85"/>
      <c r="AB286" s="85"/>
      <c r="AC286" s="85"/>
      <c r="AD286" s="85"/>
      <c r="AE286" s="85"/>
      <c r="AF286" s="85"/>
      <c r="AG286" s="85"/>
      <c r="AH286" s="85"/>
      <c r="AI286" s="85"/>
      <c r="AJ286" s="85"/>
      <c r="AK286" s="85"/>
      <c r="AL286" s="85"/>
    </row>
    <row r="287" spans="1:38" s="80" customFormat="1" x14ac:dyDescent="0.25">
      <c r="A287" s="116"/>
      <c r="B287" s="115"/>
      <c r="C287" s="115"/>
      <c r="D287" s="115"/>
      <c r="E287" s="115"/>
      <c r="F287" s="115"/>
      <c r="H287" s="95">
        <v>282</v>
      </c>
      <c r="I287" s="96" t="str">
        <f t="shared" si="21"/>
        <v/>
      </c>
      <c r="J287" s="96" t="e">
        <f t="shared" si="22"/>
        <v>#NUM!</v>
      </c>
      <c r="K287" s="95" t="e">
        <f t="shared" si="23"/>
        <v>#NUM!</v>
      </c>
      <c r="L287" s="95"/>
      <c r="M287" s="97">
        <f t="shared" si="24"/>
        <v>0</v>
      </c>
      <c r="S287" s="85"/>
      <c r="T287" s="85"/>
      <c r="U287" s="85"/>
      <c r="V287" s="85"/>
      <c r="W287" s="85"/>
      <c r="X287" s="85"/>
      <c r="Y287" s="85"/>
      <c r="Z287" s="85"/>
      <c r="AA287" s="85"/>
      <c r="AB287" s="85"/>
      <c r="AC287" s="85"/>
      <c r="AD287" s="85"/>
      <c r="AE287" s="85"/>
      <c r="AF287" s="85"/>
      <c r="AG287" s="85"/>
      <c r="AH287" s="85"/>
      <c r="AI287" s="85"/>
      <c r="AJ287" s="85"/>
      <c r="AK287" s="85"/>
      <c r="AL287" s="85"/>
    </row>
    <row r="288" spans="1:38" s="80" customFormat="1" x14ac:dyDescent="0.25">
      <c r="A288" s="116"/>
      <c r="B288" s="115"/>
      <c r="C288" s="115"/>
      <c r="D288" s="115"/>
      <c r="E288" s="115"/>
      <c r="F288" s="115"/>
      <c r="H288" s="95">
        <v>283</v>
      </c>
      <c r="I288" s="96" t="str">
        <f t="shared" si="21"/>
        <v/>
      </c>
      <c r="J288" s="96" t="e">
        <f t="shared" si="22"/>
        <v>#NUM!</v>
      </c>
      <c r="K288" s="95" t="e">
        <f t="shared" si="23"/>
        <v>#NUM!</v>
      </c>
      <c r="L288" s="95"/>
      <c r="M288" s="97">
        <f t="shared" si="24"/>
        <v>0</v>
      </c>
      <c r="S288" s="85"/>
      <c r="T288" s="85"/>
      <c r="U288" s="85"/>
      <c r="V288" s="85"/>
      <c r="W288" s="85"/>
      <c r="X288" s="85"/>
      <c r="Y288" s="85"/>
      <c r="Z288" s="85"/>
      <c r="AA288" s="85"/>
      <c r="AB288" s="85"/>
      <c r="AC288" s="85"/>
      <c r="AD288" s="85"/>
      <c r="AE288" s="85"/>
      <c r="AF288" s="85"/>
      <c r="AG288" s="85"/>
      <c r="AH288" s="85"/>
      <c r="AI288" s="85"/>
      <c r="AJ288" s="85"/>
      <c r="AK288" s="85"/>
      <c r="AL288" s="85"/>
    </row>
    <row r="289" spans="1:38" s="80" customFormat="1" x14ac:dyDescent="0.25">
      <c r="A289" s="116"/>
      <c r="B289" s="115"/>
      <c r="C289" s="115"/>
      <c r="D289" s="115"/>
      <c r="E289" s="115"/>
      <c r="F289" s="115"/>
      <c r="H289" s="95">
        <v>284</v>
      </c>
      <c r="I289" s="96" t="str">
        <f t="shared" si="21"/>
        <v/>
      </c>
      <c r="J289" s="96" t="e">
        <f t="shared" si="22"/>
        <v>#NUM!</v>
      </c>
      <c r="K289" s="95" t="e">
        <f t="shared" si="23"/>
        <v>#NUM!</v>
      </c>
      <c r="L289" s="95"/>
      <c r="M289" s="97">
        <f t="shared" si="24"/>
        <v>0</v>
      </c>
      <c r="S289" s="85"/>
      <c r="T289" s="85"/>
      <c r="U289" s="85"/>
      <c r="V289" s="85"/>
      <c r="W289" s="85"/>
      <c r="X289" s="85"/>
      <c r="Y289" s="85"/>
      <c r="Z289" s="85"/>
      <c r="AA289" s="85"/>
      <c r="AB289" s="85"/>
      <c r="AC289" s="85"/>
      <c r="AD289" s="85"/>
      <c r="AE289" s="85"/>
      <c r="AF289" s="85"/>
      <c r="AG289" s="85"/>
      <c r="AH289" s="85"/>
      <c r="AI289" s="85"/>
      <c r="AJ289" s="85"/>
      <c r="AK289" s="85"/>
      <c r="AL289" s="85"/>
    </row>
    <row r="290" spans="1:38" s="80" customFormat="1" x14ac:dyDescent="0.25">
      <c r="A290" s="116"/>
      <c r="B290" s="115"/>
      <c r="C290" s="115"/>
      <c r="D290" s="115"/>
      <c r="E290" s="115"/>
      <c r="F290" s="115"/>
      <c r="H290" s="95">
        <v>285</v>
      </c>
      <c r="I290" s="96" t="str">
        <f t="shared" si="21"/>
        <v/>
      </c>
      <c r="J290" s="96" t="e">
        <f t="shared" si="22"/>
        <v>#NUM!</v>
      </c>
      <c r="K290" s="95" t="e">
        <f t="shared" si="23"/>
        <v>#NUM!</v>
      </c>
      <c r="L290" s="95"/>
      <c r="M290" s="97">
        <f t="shared" si="24"/>
        <v>0</v>
      </c>
      <c r="S290" s="85"/>
      <c r="T290" s="85"/>
      <c r="U290" s="85"/>
      <c r="V290" s="85"/>
      <c r="W290" s="85"/>
      <c r="X290" s="85"/>
      <c r="Y290" s="85"/>
      <c r="Z290" s="85"/>
      <c r="AA290" s="85"/>
      <c r="AB290" s="85"/>
      <c r="AC290" s="85"/>
      <c r="AD290" s="85"/>
      <c r="AE290" s="85"/>
      <c r="AF290" s="85"/>
      <c r="AG290" s="85"/>
      <c r="AH290" s="85"/>
      <c r="AI290" s="85"/>
      <c r="AJ290" s="85"/>
      <c r="AK290" s="85"/>
      <c r="AL290" s="85"/>
    </row>
    <row r="291" spans="1:38" s="80" customFormat="1" x14ac:dyDescent="0.25">
      <c r="A291" s="116"/>
      <c r="B291" s="115"/>
      <c r="C291" s="115"/>
      <c r="D291" s="115"/>
      <c r="E291" s="115"/>
      <c r="F291" s="115"/>
      <c r="H291" s="95">
        <v>286</v>
      </c>
      <c r="I291" s="96" t="str">
        <f t="shared" si="21"/>
        <v/>
      </c>
      <c r="J291" s="96" t="e">
        <f t="shared" si="22"/>
        <v>#NUM!</v>
      </c>
      <c r="K291" s="95" t="e">
        <f t="shared" si="23"/>
        <v>#NUM!</v>
      </c>
      <c r="L291" s="95"/>
      <c r="M291" s="97">
        <f t="shared" si="24"/>
        <v>0</v>
      </c>
      <c r="S291" s="85"/>
      <c r="T291" s="85"/>
      <c r="U291" s="85"/>
      <c r="V291" s="85"/>
      <c r="W291" s="85"/>
      <c r="X291" s="85"/>
      <c r="Y291" s="85"/>
      <c r="Z291" s="85"/>
      <c r="AA291" s="85"/>
      <c r="AB291" s="85"/>
      <c r="AC291" s="85"/>
      <c r="AD291" s="85"/>
      <c r="AE291" s="85"/>
      <c r="AF291" s="85"/>
      <c r="AG291" s="85"/>
      <c r="AH291" s="85"/>
      <c r="AI291" s="85"/>
      <c r="AJ291" s="85"/>
      <c r="AK291" s="85"/>
      <c r="AL291" s="85"/>
    </row>
    <row r="292" spans="1:38" s="80" customFormat="1" x14ac:dyDescent="0.25">
      <c r="A292" s="116"/>
      <c r="B292" s="115"/>
      <c r="C292" s="115"/>
      <c r="D292" s="115"/>
      <c r="E292" s="115"/>
      <c r="F292" s="115"/>
      <c r="H292" s="95">
        <v>287</v>
      </c>
      <c r="I292" s="96" t="str">
        <f t="shared" si="21"/>
        <v/>
      </c>
      <c r="J292" s="96" t="e">
        <f t="shared" si="22"/>
        <v>#NUM!</v>
      </c>
      <c r="K292" s="95" t="e">
        <f t="shared" si="23"/>
        <v>#NUM!</v>
      </c>
      <c r="L292" s="95"/>
      <c r="M292" s="97">
        <f t="shared" si="24"/>
        <v>0</v>
      </c>
      <c r="S292" s="85"/>
      <c r="T292" s="85"/>
      <c r="U292" s="85"/>
      <c r="V292" s="85"/>
      <c r="W292" s="85"/>
      <c r="X292" s="85"/>
      <c r="Y292" s="85"/>
      <c r="Z292" s="85"/>
      <c r="AA292" s="85"/>
      <c r="AB292" s="85"/>
      <c r="AC292" s="85"/>
      <c r="AD292" s="85"/>
      <c r="AE292" s="85"/>
      <c r="AF292" s="85"/>
      <c r="AG292" s="85"/>
      <c r="AH292" s="85"/>
      <c r="AI292" s="85"/>
      <c r="AJ292" s="85"/>
      <c r="AK292" s="85"/>
      <c r="AL292" s="85"/>
    </row>
    <row r="293" spans="1:38" s="80" customFormat="1" x14ac:dyDescent="0.25">
      <c r="A293" s="116"/>
      <c r="B293" s="115"/>
      <c r="C293" s="115"/>
      <c r="D293" s="115"/>
      <c r="E293" s="115"/>
      <c r="F293" s="115"/>
      <c r="H293" s="95">
        <v>288</v>
      </c>
      <c r="I293" s="96" t="str">
        <f t="shared" si="21"/>
        <v/>
      </c>
      <c r="J293" s="96" t="e">
        <f t="shared" si="22"/>
        <v>#NUM!</v>
      </c>
      <c r="K293" s="95" t="e">
        <f t="shared" si="23"/>
        <v>#NUM!</v>
      </c>
      <c r="L293" s="95"/>
      <c r="M293" s="97">
        <f t="shared" si="24"/>
        <v>0</v>
      </c>
      <c r="S293" s="85"/>
      <c r="T293" s="85"/>
      <c r="U293" s="85"/>
      <c r="V293" s="85"/>
      <c r="W293" s="85"/>
      <c r="X293" s="85"/>
      <c r="Y293" s="85"/>
      <c r="Z293" s="85"/>
      <c r="AA293" s="85"/>
      <c r="AB293" s="85"/>
      <c r="AC293" s="85"/>
      <c r="AD293" s="85"/>
      <c r="AE293" s="85"/>
      <c r="AF293" s="85"/>
      <c r="AG293" s="85"/>
      <c r="AH293" s="85"/>
      <c r="AI293" s="85"/>
      <c r="AJ293" s="85"/>
      <c r="AK293" s="85"/>
      <c r="AL293" s="85"/>
    </row>
    <row r="294" spans="1:38" s="80" customFormat="1" x14ac:dyDescent="0.25">
      <c r="A294" s="116"/>
      <c r="B294" s="115"/>
      <c r="C294" s="115"/>
      <c r="D294" s="115"/>
      <c r="E294" s="115"/>
      <c r="F294" s="115"/>
      <c r="H294" s="95">
        <v>289</v>
      </c>
      <c r="I294" s="96" t="str">
        <f t="shared" si="21"/>
        <v/>
      </c>
      <c r="J294" s="96" t="e">
        <f t="shared" si="22"/>
        <v>#NUM!</v>
      </c>
      <c r="K294" s="95" t="e">
        <f t="shared" si="23"/>
        <v>#NUM!</v>
      </c>
      <c r="L294" s="95"/>
      <c r="M294" s="97">
        <f t="shared" si="24"/>
        <v>0</v>
      </c>
      <c r="S294" s="85"/>
      <c r="T294" s="85"/>
      <c r="U294" s="85"/>
      <c r="V294" s="85"/>
      <c r="W294" s="85"/>
      <c r="X294" s="85"/>
      <c r="Y294" s="85"/>
      <c r="Z294" s="85"/>
      <c r="AA294" s="85"/>
      <c r="AB294" s="85"/>
      <c r="AC294" s="85"/>
      <c r="AD294" s="85"/>
      <c r="AE294" s="85"/>
      <c r="AF294" s="85"/>
      <c r="AG294" s="85"/>
      <c r="AH294" s="85"/>
      <c r="AI294" s="85"/>
      <c r="AJ294" s="85"/>
      <c r="AK294" s="85"/>
      <c r="AL294" s="85"/>
    </row>
    <row r="295" spans="1:38" s="80" customFormat="1" x14ac:dyDescent="0.25">
      <c r="A295" s="116"/>
      <c r="B295" s="115"/>
      <c r="C295" s="115"/>
      <c r="D295" s="115"/>
      <c r="E295" s="115"/>
      <c r="F295" s="115"/>
      <c r="H295" s="95">
        <v>290</v>
      </c>
      <c r="I295" s="96" t="str">
        <f t="shared" si="21"/>
        <v/>
      </c>
      <c r="J295" s="96" t="e">
        <f t="shared" si="22"/>
        <v>#NUM!</v>
      </c>
      <c r="K295" s="95" t="e">
        <f t="shared" si="23"/>
        <v>#NUM!</v>
      </c>
      <c r="L295" s="95"/>
      <c r="M295" s="97">
        <f t="shared" si="24"/>
        <v>0</v>
      </c>
      <c r="S295" s="85"/>
      <c r="T295" s="85"/>
      <c r="U295" s="85"/>
      <c r="V295" s="85"/>
      <c r="W295" s="85"/>
      <c r="X295" s="85"/>
      <c r="Y295" s="85"/>
      <c r="Z295" s="85"/>
      <c r="AA295" s="85"/>
      <c r="AB295" s="85"/>
      <c r="AC295" s="85"/>
      <c r="AD295" s="85"/>
      <c r="AE295" s="85"/>
      <c r="AF295" s="85"/>
      <c r="AG295" s="85"/>
      <c r="AH295" s="85"/>
      <c r="AI295" s="85"/>
      <c r="AJ295" s="85"/>
      <c r="AK295" s="85"/>
      <c r="AL295" s="85"/>
    </row>
    <row r="296" spans="1:38" s="80" customFormat="1" x14ac:dyDescent="0.25">
      <c r="A296" s="116"/>
      <c r="B296" s="115"/>
      <c r="C296" s="115"/>
      <c r="D296" s="115"/>
      <c r="E296" s="115"/>
      <c r="F296" s="115"/>
      <c r="H296" s="95">
        <v>291</v>
      </c>
      <c r="I296" s="96" t="str">
        <f t="shared" si="21"/>
        <v/>
      </c>
      <c r="J296" s="96" t="e">
        <f t="shared" si="22"/>
        <v>#NUM!</v>
      </c>
      <c r="K296" s="95" t="e">
        <f t="shared" si="23"/>
        <v>#NUM!</v>
      </c>
      <c r="L296" s="95"/>
      <c r="M296" s="97">
        <f t="shared" si="24"/>
        <v>0</v>
      </c>
      <c r="S296" s="85"/>
      <c r="T296" s="85"/>
      <c r="U296" s="85"/>
      <c r="V296" s="85"/>
      <c r="W296" s="85"/>
      <c r="X296" s="85"/>
      <c r="Y296" s="85"/>
      <c r="Z296" s="85"/>
      <c r="AA296" s="85"/>
      <c r="AB296" s="85"/>
      <c r="AC296" s="85"/>
      <c r="AD296" s="85"/>
      <c r="AE296" s="85"/>
      <c r="AF296" s="85"/>
      <c r="AG296" s="85"/>
      <c r="AH296" s="85"/>
      <c r="AI296" s="85"/>
      <c r="AJ296" s="85"/>
      <c r="AK296" s="85"/>
      <c r="AL296" s="85"/>
    </row>
    <row r="297" spans="1:38" s="80" customFormat="1" x14ac:dyDescent="0.25">
      <c r="A297" s="116"/>
      <c r="B297" s="115"/>
      <c r="C297" s="115"/>
      <c r="D297" s="115"/>
      <c r="E297" s="115"/>
      <c r="F297" s="115"/>
      <c r="H297" s="95">
        <v>292</v>
      </c>
      <c r="I297" s="96" t="str">
        <f t="shared" si="21"/>
        <v/>
      </c>
      <c r="J297" s="96" t="e">
        <f t="shared" si="22"/>
        <v>#NUM!</v>
      </c>
      <c r="K297" s="95" t="e">
        <f t="shared" si="23"/>
        <v>#NUM!</v>
      </c>
      <c r="L297" s="95"/>
      <c r="M297" s="97">
        <f t="shared" si="24"/>
        <v>0</v>
      </c>
      <c r="S297" s="85"/>
      <c r="T297" s="85"/>
      <c r="U297" s="85"/>
      <c r="V297" s="85"/>
      <c r="W297" s="85"/>
      <c r="X297" s="85"/>
      <c r="Y297" s="85"/>
      <c r="Z297" s="85"/>
      <c r="AA297" s="85"/>
      <c r="AB297" s="85"/>
      <c r="AC297" s="85"/>
      <c r="AD297" s="85"/>
      <c r="AE297" s="85"/>
      <c r="AF297" s="85"/>
      <c r="AG297" s="85"/>
      <c r="AH297" s="85"/>
      <c r="AI297" s="85"/>
      <c r="AJ297" s="85"/>
      <c r="AK297" s="85"/>
      <c r="AL297" s="85"/>
    </row>
    <row r="298" spans="1:38" s="80" customFormat="1" x14ac:dyDescent="0.25">
      <c r="A298" s="116"/>
      <c r="B298" s="115"/>
      <c r="C298" s="115"/>
      <c r="D298" s="115"/>
      <c r="E298" s="115"/>
      <c r="F298" s="115"/>
      <c r="H298" s="95">
        <v>293</v>
      </c>
      <c r="I298" s="96" t="str">
        <f t="shared" si="21"/>
        <v/>
      </c>
      <c r="J298" s="96" t="e">
        <f t="shared" si="22"/>
        <v>#NUM!</v>
      </c>
      <c r="K298" s="95" t="e">
        <f t="shared" si="23"/>
        <v>#NUM!</v>
      </c>
      <c r="L298" s="95"/>
      <c r="M298" s="97">
        <f t="shared" si="24"/>
        <v>0</v>
      </c>
      <c r="S298" s="85"/>
      <c r="T298" s="85"/>
      <c r="U298" s="85"/>
      <c r="V298" s="85"/>
      <c r="W298" s="85"/>
      <c r="X298" s="85"/>
      <c r="Y298" s="85"/>
      <c r="Z298" s="85"/>
      <c r="AA298" s="85"/>
      <c r="AB298" s="85"/>
      <c r="AC298" s="85"/>
      <c r="AD298" s="85"/>
      <c r="AE298" s="85"/>
      <c r="AF298" s="85"/>
      <c r="AG298" s="85"/>
      <c r="AH298" s="85"/>
      <c r="AI298" s="85"/>
      <c r="AJ298" s="85"/>
      <c r="AK298" s="85"/>
      <c r="AL298" s="85"/>
    </row>
    <row r="299" spans="1:38" s="80" customFormat="1" x14ac:dyDescent="0.25">
      <c r="A299" s="116"/>
      <c r="B299" s="115"/>
      <c r="C299" s="115"/>
      <c r="D299" s="115"/>
      <c r="E299" s="115"/>
      <c r="F299" s="115"/>
      <c r="H299" s="95">
        <v>294</v>
      </c>
      <c r="I299" s="96" t="str">
        <f t="shared" si="21"/>
        <v/>
      </c>
      <c r="J299" s="96" t="e">
        <f t="shared" si="22"/>
        <v>#NUM!</v>
      </c>
      <c r="K299" s="95" t="e">
        <f t="shared" si="23"/>
        <v>#NUM!</v>
      </c>
      <c r="L299" s="95"/>
      <c r="M299" s="97">
        <f t="shared" si="24"/>
        <v>0</v>
      </c>
      <c r="S299" s="85"/>
      <c r="T299" s="85"/>
      <c r="U299" s="85"/>
      <c r="V299" s="85"/>
      <c r="W299" s="85"/>
      <c r="X299" s="85"/>
      <c r="Y299" s="85"/>
      <c r="Z299" s="85"/>
      <c r="AA299" s="85"/>
      <c r="AB299" s="85"/>
      <c r="AC299" s="85"/>
      <c r="AD299" s="85"/>
      <c r="AE299" s="85"/>
      <c r="AF299" s="85"/>
      <c r="AG299" s="85"/>
      <c r="AH299" s="85"/>
      <c r="AI299" s="85"/>
      <c r="AJ299" s="85"/>
      <c r="AK299" s="85"/>
      <c r="AL299" s="85"/>
    </row>
    <row r="300" spans="1:38" s="80" customFormat="1" x14ac:dyDescent="0.25">
      <c r="A300" s="116"/>
      <c r="B300" s="115"/>
      <c r="C300" s="115"/>
      <c r="D300" s="115"/>
      <c r="E300" s="115"/>
      <c r="F300" s="115"/>
      <c r="H300" s="95">
        <v>295</v>
      </c>
      <c r="I300" s="96" t="str">
        <f t="shared" si="21"/>
        <v/>
      </c>
      <c r="J300" s="96" t="e">
        <f t="shared" si="22"/>
        <v>#NUM!</v>
      </c>
      <c r="K300" s="95" t="e">
        <f t="shared" si="23"/>
        <v>#NUM!</v>
      </c>
      <c r="L300" s="95"/>
      <c r="M300" s="97">
        <f t="shared" si="24"/>
        <v>0</v>
      </c>
      <c r="S300" s="85"/>
      <c r="T300" s="85"/>
      <c r="U300" s="85"/>
      <c r="V300" s="85"/>
      <c r="W300" s="85"/>
      <c r="X300" s="85"/>
      <c r="Y300" s="85"/>
      <c r="Z300" s="85"/>
      <c r="AA300" s="85"/>
      <c r="AB300" s="85"/>
      <c r="AC300" s="85"/>
      <c r="AD300" s="85"/>
      <c r="AE300" s="85"/>
      <c r="AF300" s="85"/>
      <c r="AG300" s="85"/>
      <c r="AH300" s="85"/>
      <c r="AI300" s="85"/>
      <c r="AJ300" s="85"/>
      <c r="AK300" s="85"/>
      <c r="AL300" s="85"/>
    </row>
    <row r="301" spans="1:38" s="80" customFormat="1" x14ac:dyDescent="0.25">
      <c r="A301" s="116"/>
      <c r="B301" s="115"/>
      <c r="C301" s="115"/>
      <c r="D301" s="115"/>
      <c r="E301" s="115"/>
      <c r="F301" s="115"/>
      <c r="H301" s="95">
        <v>296</v>
      </c>
      <c r="I301" s="96" t="str">
        <f t="shared" si="21"/>
        <v/>
      </c>
      <c r="J301" s="96" t="e">
        <f t="shared" si="22"/>
        <v>#NUM!</v>
      </c>
      <c r="K301" s="95" t="e">
        <f t="shared" si="23"/>
        <v>#NUM!</v>
      </c>
      <c r="L301" s="95"/>
      <c r="M301" s="97">
        <f t="shared" si="24"/>
        <v>0</v>
      </c>
      <c r="S301" s="85"/>
      <c r="T301" s="85"/>
      <c r="U301" s="85"/>
      <c r="V301" s="85"/>
      <c r="W301" s="85"/>
      <c r="X301" s="85"/>
      <c r="Y301" s="85"/>
      <c r="Z301" s="85"/>
      <c r="AA301" s="85"/>
      <c r="AB301" s="85"/>
      <c r="AC301" s="85"/>
      <c r="AD301" s="85"/>
      <c r="AE301" s="85"/>
      <c r="AF301" s="85"/>
      <c r="AG301" s="85"/>
      <c r="AH301" s="85"/>
      <c r="AI301" s="85"/>
      <c r="AJ301" s="85"/>
      <c r="AK301" s="85"/>
      <c r="AL301" s="85"/>
    </row>
    <row r="302" spans="1:38" s="80" customFormat="1" x14ac:dyDescent="0.25">
      <c r="A302" s="116"/>
      <c r="B302" s="115"/>
      <c r="C302" s="115"/>
      <c r="D302" s="115"/>
      <c r="E302" s="115"/>
      <c r="F302" s="115"/>
      <c r="H302" s="95">
        <v>297</v>
      </c>
      <c r="I302" s="96" t="str">
        <f t="shared" si="21"/>
        <v/>
      </c>
      <c r="J302" s="96" t="e">
        <f t="shared" si="22"/>
        <v>#NUM!</v>
      </c>
      <c r="K302" s="95" t="e">
        <f t="shared" si="23"/>
        <v>#NUM!</v>
      </c>
      <c r="L302" s="95"/>
      <c r="M302" s="97">
        <f t="shared" si="24"/>
        <v>0</v>
      </c>
      <c r="S302" s="85"/>
      <c r="T302" s="85"/>
      <c r="U302" s="85"/>
      <c r="V302" s="85"/>
      <c r="W302" s="85"/>
      <c r="X302" s="85"/>
      <c r="Y302" s="85"/>
      <c r="Z302" s="85"/>
      <c r="AA302" s="85"/>
      <c r="AB302" s="85"/>
      <c r="AC302" s="85"/>
      <c r="AD302" s="85"/>
      <c r="AE302" s="85"/>
      <c r="AF302" s="85"/>
      <c r="AG302" s="85"/>
      <c r="AH302" s="85"/>
      <c r="AI302" s="85"/>
      <c r="AJ302" s="85"/>
      <c r="AK302" s="85"/>
      <c r="AL302" s="85"/>
    </row>
    <row r="303" spans="1:38" s="80" customFormat="1" x14ac:dyDescent="0.25">
      <c r="A303" s="116"/>
      <c r="B303" s="115"/>
      <c r="C303" s="115"/>
      <c r="D303" s="115"/>
      <c r="E303" s="115"/>
      <c r="F303" s="115"/>
      <c r="H303" s="95">
        <v>298</v>
      </c>
      <c r="I303" s="96" t="str">
        <f t="shared" si="21"/>
        <v/>
      </c>
      <c r="J303" s="96" t="e">
        <f t="shared" si="22"/>
        <v>#NUM!</v>
      </c>
      <c r="K303" s="95" t="e">
        <f t="shared" si="23"/>
        <v>#NUM!</v>
      </c>
      <c r="L303" s="95"/>
      <c r="M303" s="97">
        <f t="shared" si="24"/>
        <v>0</v>
      </c>
      <c r="S303" s="85"/>
      <c r="T303" s="85"/>
      <c r="U303" s="85"/>
      <c r="V303" s="85"/>
      <c r="W303" s="85"/>
      <c r="X303" s="85"/>
      <c r="Y303" s="85"/>
      <c r="Z303" s="85"/>
      <c r="AA303" s="85"/>
      <c r="AB303" s="85"/>
      <c r="AC303" s="85"/>
      <c r="AD303" s="85"/>
      <c r="AE303" s="85"/>
      <c r="AF303" s="85"/>
      <c r="AG303" s="85"/>
      <c r="AH303" s="85"/>
      <c r="AI303" s="85"/>
      <c r="AJ303" s="85"/>
      <c r="AK303" s="85"/>
      <c r="AL303" s="85"/>
    </row>
    <row r="304" spans="1:38" s="80" customFormat="1" x14ac:dyDescent="0.25">
      <c r="A304" s="116"/>
      <c r="B304" s="115"/>
      <c r="C304" s="115"/>
      <c r="D304" s="115"/>
      <c r="E304" s="115"/>
      <c r="F304" s="115"/>
      <c r="H304" s="95">
        <v>299</v>
      </c>
      <c r="I304" s="96" t="str">
        <f t="shared" si="21"/>
        <v/>
      </c>
      <c r="J304" s="96" t="e">
        <f t="shared" si="22"/>
        <v>#NUM!</v>
      </c>
      <c r="K304" s="95" t="e">
        <f t="shared" si="23"/>
        <v>#NUM!</v>
      </c>
      <c r="L304" s="95"/>
      <c r="M304" s="97">
        <f t="shared" si="24"/>
        <v>0</v>
      </c>
      <c r="S304" s="85"/>
      <c r="T304" s="85"/>
      <c r="U304" s="85"/>
      <c r="V304" s="85"/>
      <c r="W304" s="85"/>
      <c r="X304" s="85"/>
      <c r="Y304" s="85"/>
      <c r="Z304" s="85"/>
      <c r="AA304" s="85"/>
      <c r="AB304" s="85"/>
      <c r="AC304" s="85"/>
      <c r="AD304" s="85"/>
      <c r="AE304" s="85"/>
      <c r="AF304" s="85"/>
      <c r="AG304" s="85"/>
      <c r="AH304" s="85"/>
      <c r="AI304" s="85"/>
      <c r="AJ304" s="85"/>
      <c r="AK304" s="85"/>
      <c r="AL304" s="85"/>
    </row>
    <row r="305" spans="1:38" s="80" customFormat="1" x14ac:dyDescent="0.25">
      <c r="A305" s="116"/>
      <c r="B305" s="115"/>
      <c r="C305" s="115"/>
      <c r="D305" s="115"/>
      <c r="E305" s="115"/>
      <c r="F305" s="115"/>
      <c r="H305" s="95">
        <v>300</v>
      </c>
      <c r="I305" s="96" t="str">
        <f t="shared" si="21"/>
        <v/>
      </c>
      <c r="J305" s="96" t="e">
        <f t="shared" si="22"/>
        <v>#NUM!</v>
      </c>
      <c r="K305" s="95" t="e">
        <f t="shared" si="23"/>
        <v>#NUM!</v>
      </c>
      <c r="L305" s="95"/>
      <c r="M305" s="97">
        <f t="shared" si="24"/>
        <v>0</v>
      </c>
      <c r="S305" s="85"/>
      <c r="T305" s="85"/>
      <c r="U305" s="85"/>
      <c r="V305" s="85"/>
      <c r="W305" s="85"/>
      <c r="X305" s="85"/>
      <c r="Y305" s="85"/>
      <c r="Z305" s="85"/>
      <c r="AA305" s="85"/>
      <c r="AB305" s="85"/>
      <c r="AC305" s="85"/>
      <c r="AD305" s="85"/>
      <c r="AE305" s="85"/>
      <c r="AF305" s="85"/>
      <c r="AG305" s="85"/>
      <c r="AH305" s="85"/>
      <c r="AI305" s="85"/>
      <c r="AJ305" s="85"/>
      <c r="AK305" s="85"/>
      <c r="AL305" s="85"/>
    </row>
    <row r="306" spans="1:38" s="80" customFormat="1" x14ac:dyDescent="0.25">
      <c r="A306" s="117"/>
      <c r="B306" s="115"/>
      <c r="C306" s="115"/>
      <c r="D306" s="115"/>
      <c r="E306" s="115"/>
      <c r="F306" s="115"/>
      <c r="G306" s="115"/>
      <c r="H306" s="118"/>
      <c r="I306" s="118"/>
      <c r="J306" s="118"/>
      <c r="K306" s="118"/>
      <c r="L306" s="118"/>
      <c r="M306" s="119"/>
      <c r="S306" s="85"/>
      <c r="T306" s="85"/>
      <c r="U306" s="85"/>
      <c r="V306" s="85"/>
      <c r="W306" s="85"/>
      <c r="X306" s="85"/>
      <c r="Y306" s="85"/>
      <c r="Z306" s="85"/>
      <c r="AA306" s="85"/>
      <c r="AB306" s="85"/>
      <c r="AC306" s="85"/>
      <c r="AD306" s="85"/>
      <c r="AE306" s="85"/>
      <c r="AF306" s="85"/>
      <c r="AG306" s="85"/>
      <c r="AH306" s="85"/>
      <c r="AI306" s="85"/>
      <c r="AJ306" s="85"/>
      <c r="AK306" s="85"/>
      <c r="AL306" s="85"/>
    </row>
    <row r="314" spans="1:38" s="80" customFormat="1" x14ac:dyDescent="0.25">
      <c r="A314" s="115"/>
      <c r="B314" s="115"/>
      <c r="C314" s="115"/>
      <c r="D314" s="115"/>
      <c r="E314" s="115"/>
      <c r="F314" s="115"/>
      <c r="G314" s="115"/>
      <c r="H314" s="118"/>
      <c r="I314" s="118"/>
      <c r="J314" s="118"/>
      <c r="K314" s="118"/>
      <c r="L314" s="120"/>
      <c r="M314" s="119"/>
      <c r="P314" s="107"/>
      <c r="S314" s="85"/>
      <c r="T314" s="85"/>
      <c r="U314" s="85"/>
      <c r="V314" s="85"/>
      <c r="W314" s="85"/>
      <c r="X314" s="85"/>
      <c r="Y314" s="85"/>
      <c r="Z314" s="85"/>
      <c r="AA314" s="85"/>
      <c r="AB314" s="85"/>
      <c r="AC314" s="85"/>
      <c r="AD314" s="85"/>
      <c r="AE314" s="85"/>
      <c r="AF314" s="85"/>
      <c r="AG314" s="85"/>
      <c r="AH314" s="85"/>
      <c r="AI314" s="85"/>
      <c r="AJ314" s="85"/>
      <c r="AK314" s="85"/>
      <c r="AL314" s="85"/>
    </row>
    <row r="315" spans="1:38" s="80" customFormat="1" x14ac:dyDescent="0.25">
      <c r="A315" s="115"/>
      <c r="B315" s="115"/>
      <c r="C315" s="115"/>
      <c r="D315" s="115"/>
      <c r="E315" s="115"/>
      <c r="F315" s="115"/>
      <c r="G315" s="115"/>
      <c r="H315" s="118"/>
      <c r="I315" s="118"/>
      <c r="J315" s="118"/>
      <c r="K315" s="118"/>
      <c r="L315" s="120"/>
      <c r="M315" s="119"/>
      <c r="P315" s="107"/>
      <c r="S315" s="85"/>
      <c r="T315" s="85"/>
      <c r="U315" s="85"/>
      <c r="V315" s="85"/>
      <c r="W315" s="85"/>
      <c r="X315" s="85"/>
      <c r="Y315" s="85"/>
      <c r="Z315" s="85"/>
      <c r="AA315" s="85"/>
      <c r="AB315" s="85"/>
      <c r="AC315" s="85"/>
      <c r="AD315" s="85"/>
      <c r="AE315" s="85"/>
      <c r="AF315" s="85"/>
      <c r="AG315" s="85"/>
      <c r="AH315" s="85"/>
      <c r="AI315" s="85"/>
      <c r="AJ315" s="85"/>
      <c r="AK315" s="85"/>
      <c r="AL315" s="85"/>
    </row>
    <row r="316" spans="1:38" s="80" customFormat="1" x14ac:dyDescent="0.25">
      <c r="A316" s="115"/>
      <c r="B316" s="115"/>
      <c r="C316" s="115"/>
      <c r="D316" s="115"/>
      <c r="E316" s="115"/>
      <c r="F316" s="115"/>
      <c r="G316" s="115"/>
      <c r="H316" s="118"/>
      <c r="I316" s="118"/>
      <c r="J316" s="118"/>
      <c r="K316" s="118"/>
      <c r="L316" s="120"/>
      <c r="M316" s="119"/>
      <c r="P316" s="107"/>
      <c r="S316" s="85"/>
      <c r="T316" s="85"/>
      <c r="U316" s="85"/>
      <c r="V316" s="85"/>
      <c r="W316" s="85"/>
      <c r="X316" s="85"/>
      <c r="Y316" s="85"/>
      <c r="Z316" s="85"/>
      <c r="AA316" s="85"/>
      <c r="AB316" s="85"/>
      <c r="AC316" s="85"/>
      <c r="AD316" s="85"/>
      <c r="AE316" s="85"/>
      <c r="AF316" s="85"/>
      <c r="AG316" s="85"/>
      <c r="AH316" s="85"/>
      <c r="AI316" s="85"/>
      <c r="AJ316" s="85"/>
      <c r="AK316" s="85"/>
      <c r="AL316" s="85"/>
    </row>
    <row r="317" spans="1:38" s="80" customFormat="1" x14ac:dyDescent="0.25">
      <c r="A317" s="115"/>
      <c r="B317" s="115"/>
      <c r="C317" s="115"/>
      <c r="D317" s="115"/>
      <c r="E317" s="115"/>
      <c r="F317" s="115"/>
      <c r="G317" s="115"/>
      <c r="H317" s="118"/>
      <c r="I317" s="118"/>
      <c r="J317" s="118"/>
      <c r="K317" s="118"/>
      <c r="L317" s="120"/>
      <c r="M317" s="119"/>
      <c r="P317" s="107"/>
      <c r="S317" s="85"/>
      <c r="T317" s="85"/>
      <c r="U317" s="85"/>
      <c r="V317" s="85"/>
      <c r="W317" s="85"/>
      <c r="X317" s="85"/>
      <c r="Y317" s="85"/>
      <c r="Z317" s="85"/>
      <c r="AA317" s="85"/>
      <c r="AB317" s="85"/>
      <c r="AC317" s="85"/>
      <c r="AD317" s="85"/>
      <c r="AE317" s="85"/>
      <c r="AF317" s="85"/>
      <c r="AG317" s="85"/>
      <c r="AH317" s="85"/>
      <c r="AI317" s="85"/>
      <c r="AJ317" s="85"/>
      <c r="AK317" s="85"/>
      <c r="AL317" s="85"/>
    </row>
  </sheetData>
  <mergeCells count="2">
    <mergeCell ref="C2:D2"/>
    <mergeCell ref="C3:D3"/>
  </mergeCells>
  <conditionalFormatting sqref="J9:K9">
    <cfRule type="cellIs" dxfId="11" priority="1" operator="lessThanOrEqual">
      <formula>0</formula>
    </cfRule>
  </conditionalFormatting>
  <conditionalFormatting sqref="K6:K8 K10:K305">
    <cfRule type="cellIs" dxfId="10" priority="2" operator="lessThanOrEqual">
      <formula>0</formula>
    </cfRule>
  </conditionalFormatting>
  <hyperlinks>
    <hyperlink ref="C2:D2" r:id="rId1" display="Munich" xr:uid="{603657D1-15B4-46AA-873F-AD72C10A1812}"/>
  </hyperlinks>
  <pageMargins left="0.7" right="0.7" top="0.75" bottom="0.75" header="0.3" footer="0.3"/>
  <pageSetup paperSize="9" orientation="portrait"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BD25A3-4B27-4F97-A9CB-FB280796B6C7}">
  <sheetPr>
    <tabColor rgb="FF92D050"/>
  </sheetPr>
  <dimension ref="A1:AL317"/>
  <sheetViews>
    <sheetView workbookViewId="0">
      <selection activeCell="C2" sqref="C2:D2"/>
    </sheetView>
  </sheetViews>
  <sheetFormatPr defaultColWidth="8.875" defaultRowHeight="14.3" x14ac:dyDescent="0.25"/>
  <cols>
    <col min="1" max="1" width="8" style="207" customWidth="1"/>
    <col min="2" max="2" width="8.25" style="207" customWidth="1"/>
    <col min="3" max="3" width="34.75" style="207" customWidth="1"/>
    <col min="4" max="4" width="11.25" style="207" customWidth="1"/>
    <col min="5" max="6" width="8.875" style="207"/>
    <col min="7" max="7" width="0.875" style="207" customWidth="1"/>
    <col min="8" max="8" width="8.875" style="210"/>
    <col min="9" max="9" width="11" style="210" customWidth="1"/>
    <col min="10" max="10" width="15" style="210" customWidth="1"/>
    <col min="11" max="11" width="8.75" style="210" customWidth="1"/>
    <col min="12" max="12" width="11" style="210" customWidth="1"/>
    <col min="13" max="13" width="11.75" style="211" customWidth="1"/>
    <col min="14" max="15" width="13.875" style="179" customWidth="1"/>
    <col min="16" max="18" width="8.875" style="179"/>
    <col min="19" max="20" width="8.875" style="184"/>
    <col min="21" max="21" width="12.125" style="184" customWidth="1"/>
    <col min="22" max="22" width="27.375" style="184" customWidth="1"/>
    <col min="23" max="38" width="8.875" style="184"/>
    <col min="39" max="16384" width="8.875" style="207"/>
  </cols>
  <sheetData>
    <row r="1" spans="1:36" x14ac:dyDescent="0.25">
      <c r="A1" s="179"/>
      <c r="B1" s="179"/>
      <c r="C1" s="179"/>
      <c r="D1" s="179"/>
      <c r="E1" s="179"/>
      <c r="F1" s="179"/>
      <c r="G1" s="179"/>
      <c r="H1" s="180" t="s">
        <v>20</v>
      </c>
      <c r="I1" s="181" t="s">
        <v>21</v>
      </c>
      <c r="J1" s="181" t="s">
        <v>22</v>
      </c>
      <c r="K1" s="182" t="s">
        <v>84</v>
      </c>
      <c r="L1" s="183"/>
      <c r="M1" s="183"/>
    </row>
    <row r="2" spans="1:36" x14ac:dyDescent="0.25">
      <c r="A2" s="179"/>
      <c r="B2" s="19" t="s">
        <v>24</v>
      </c>
      <c r="C2" s="299" t="s">
        <v>90</v>
      </c>
      <c r="D2" s="299"/>
      <c r="E2" s="20"/>
      <c r="F2" s="20"/>
      <c r="G2" s="20"/>
      <c r="H2" s="185">
        <v>0</v>
      </c>
      <c r="I2" s="186">
        <v>50</v>
      </c>
      <c r="J2" s="186">
        <v>10</v>
      </c>
      <c r="K2" s="187">
        <f>3*H2^(1/3)</f>
        <v>0</v>
      </c>
      <c r="L2" s="183"/>
      <c r="M2" s="183"/>
    </row>
    <row r="3" spans="1:36" ht="14.45" customHeight="1" x14ac:dyDescent="0.25">
      <c r="A3" s="179"/>
      <c r="B3" s="188" t="s">
        <v>26</v>
      </c>
      <c r="C3" s="278" t="s">
        <v>100</v>
      </c>
      <c r="D3" s="278"/>
      <c r="E3" s="25"/>
      <c r="F3" s="25"/>
      <c r="G3" s="25"/>
      <c r="H3" s="183"/>
      <c r="I3" s="183"/>
      <c r="J3" s="183"/>
      <c r="K3" s="183"/>
      <c r="L3" s="183"/>
      <c r="M3" s="183"/>
    </row>
    <row r="4" spans="1:36" ht="10.199999999999999" customHeight="1" x14ac:dyDescent="0.25">
      <c r="A4" s="27"/>
      <c r="B4" s="25"/>
      <c r="C4" s="27"/>
      <c r="D4" s="27"/>
      <c r="E4" s="27"/>
      <c r="F4" s="27"/>
      <c r="G4" s="27"/>
      <c r="H4" s="183"/>
      <c r="I4" s="183"/>
      <c r="J4" s="183"/>
      <c r="K4" s="183"/>
      <c r="L4" s="183"/>
      <c r="M4" s="183"/>
    </row>
    <row r="5" spans="1:36" ht="34.65" x14ac:dyDescent="0.25">
      <c r="A5" s="1" t="s">
        <v>28</v>
      </c>
      <c r="B5" s="28" t="s">
        <v>29</v>
      </c>
      <c r="C5" s="1" t="s">
        <v>30</v>
      </c>
      <c r="D5" s="1" t="s">
        <v>31</v>
      </c>
      <c r="E5" s="1" t="s">
        <v>32</v>
      </c>
      <c r="F5" s="1" t="s">
        <v>33</v>
      </c>
      <c r="G5" s="27"/>
      <c r="H5" s="189" t="s">
        <v>34</v>
      </c>
      <c r="I5" s="190" t="s">
        <v>35</v>
      </c>
      <c r="J5" s="190" t="s">
        <v>36</v>
      </c>
      <c r="K5" s="190" t="s">
        <v>37</v>
      </c>
      <c r="L5" s="190" t="s">
        <v>38</v>
      </c>
      <c r="M5" s="189" t="s">
        <v>39</v>
      </c>
    </row>
    <row r="6" spans="1:36" ht="14.45" customHeight="1" x14ac:dyDescent="0.25">
      <c r="A6" s="94">
        <f>M6</f>
        <v>0</v>
      </c>
      <c r="B6" s="33" t="str">
        <f t="shared" ref="B6:B65" si="0">IF(H6&gt;$H$2,"",(ROW()-5))</f>
        <v/>
      </c>
      <c r="C6" s="34"/>
      <c r="D6" s="34"/>
      <c r="E6" s="34"/>
      <c r="F6" s="34"/>
      <c r="G6" s="27"/>
      <c r="H6" s="191">
        <v>1</v>
      </c>
      <c r="I6" s="192" t="str">
        <f t="shared" ref="I6:I69" si="1">IF(H6&lt;$H$2+1,($I$2-($I$2-1)*(LOG(H6)/LOG($H$2))),"")</f>
        <v/>
      </c>
      <c r="J6" s="192" t="e">
        <f>INT(LOG($H$2,2))-ROUNDUP(LOG(H6,2),0)+IF(OR($H$2=1,$H$2=2,$H$2=4,$H$2=8,$H$2=16,$H$2=32,$H$2=64,$H$2=128,$H$2=256),0,1)</f>
        <v>#NUM!</v>
      </c>
      <c r="K6" s="191" t="e">
        <f t="shared" ref="K6:K69" si="2">J6*$J$2</f>
        <v>#NUM!</v>
      </c>
      <c r="L6" s="193">
        <f>3*K2</f>
        <v>0</v>
      </c>
      <c r="M6" s="193">
        <f t="shared" ref="M6:M69" si="3">IF(I6&lt;&gt;"",K6+I6+L6,0)</f>
        <v>0</v>
      </c>
    </row>
    <row r="7" spans="1:36" ht="14.45" customHeight="1" x14ac:dyDescent="0.25">
      <c r="A7" s="98">
        <f t="shared" ref="A7:A70" si="4">M7</f>
        <v>0</v>
      </c>
      <c r="B7" s="39" t="str">
        <f t="shared" si="0"/>
        <v/>
      </c>
      <c r="C7" s="40"/>
      <c r="D7" s="40"/>
      <c r="E7" s="40"/>
      <c r="F7" s="40"/>
      <c r="G7" s="27"/>
      <c r="H7" s="194">
        <v>2</v>
      </c>
      <c r="I7" s="195" t="str">
        <f t="shared" si="1"/>
        <v/>
      </c>
      <c r="J7" s="195" t="e">
        <f t="shared" ref="J7:J70" si="5">INT(LOG($H$2,2))-ROUNDUP(LOG(H7,2),0)+IF(OR($H$2=1,$H$2=2,$H$2=4,$H$2=8,$H$2=16,$H$2=32,$H$2=64,$H$2=128,$H$2=256),0,1)</f>
        <v>#NUM!</v>
      </c>
      <c r="K7" s="194" t="e">
        <f t="shared" si="2"/>
        <v>#NUM!</v>
      </c>
      <c r="L7" s="196">
        <f>2*K2</f>
        <v>0</v>
      </c>
      <c r="M7" s="196">
        <f t="shared" si="3"/>
        <v>0</v>
      </c>
    </row>
    <row r="8" spans="1:36" ht="14.45" customHeight="1" x14ac:dyDescent="0.25">
      <c r="A8" s="94">
        <f t="shared" si="4"/>
        <v>0</v>
      </c>
      <c r="B8" s="33" t="str">
        <f t="shared" si="0"/>
        <v/>
      </c>
      <c r="C8" s="34"/>
      <c r="D8" s="34"/>
      <c r="E8" s="34"/>
      <c r="F8" s="34"/>
      <c r="G8" s="27"/>
      <c r="H8" s="191">
        <v>3</v>
      </c>
      <c r="I8" s="192" t="str">
        <f t="shared" si="1"/>
        <v/>
      </c>
      <c r="J8" s="192" t="e">
        <f t="shared" si="5"/>
        <v>#NUM!</v>
      </c>
      <c r="K8" s="191" t="e">
        <f t="shared" si="2"/>
        <v>#NUM!</v>
      </c>
      <c r="L8" s="193">
        <f>K2</f>
        <v>0</v>
      </c>
      <c r="M8" s="193">
        <f t="shared" si="3"/>
        <v>0</v>
      </c>
    </row>
    <row r="9" spans="1:36" s="184" customFormat="1" ht="14.45" customHeight="1" x14ac:dyDescent="0.25">
      <c r="A9" s="98">
        <f t="shared" si="4"/>
        <v>0</v>
      </c>
      <c r="B9" s="39" t="str">
        <f>IF(H9&gt;$H$2,"",3)</f>
        <v/>
      </c>
      <c r="C9" s="40"/>
      <c r="D9" s="40"/>
      <c r="E9" s="40"/>
      <c r="F9" s="40"/>
      <c r="G9" s="27"/>
      <c r="H9" s="194">
        <v>3</v>
      </c>
      <c r="I9" s="195" t="str">
        <f t="shared" si="1"/>
        <v/>
      </c>
      <c r="J9" s="194" t="e">
        <f t="shared" si="5"/>
        <v>#NUM!</v>
      </c>
      <c r="K9" s="194" t="e">
        <f t="shared" si="2"/>
        <v>#NUM!</v>
      </c>
      <c r="L9" s="196">
        <f>K2</f>
        <v>0</v>
      </c>
      <c r="M9" s="196">
        <f t="shared" si="3"/>
        <v>0</v>
      </c>
      <c r="N9" s="179"/>
      <c r="O9" s="179"/>
      <c r="P9" s="179"/>
      <c r="Q9" s="179"/>
      <c r="R9" s="179"/>
      <c r="V9" s="197"/>
      <c r="Z9" s="198"/>
      <c r="AA9" s="198"/>
      <c r="AG9" s="199"/>
      <c r="AH9" s="184" t="s">
        <v>40</v>
      </c>
      <c r="AI9" s="184">
        <v>23</v>
      </c>
    </row>
    <row r="10" spans="1:36" ht="14.45" customHeight="1" x14ac:dyDescent="0.25">
      <c r="A10" s="94">
        <f t="shared" si="4"/>
        <v>0</v>
      </c>
      <c r="B10" s="33" t="str">
        <f t="shared" si="0"/>
        <v/>
      </c>
      <c r="C10" s="34"/>
      <c r="D10" s="34"/>
      <c r="E10" s="34"/>
      <c r="F10" s="34"/>
      <c r="G10" s="27"/>
      <c r="H10" s="191">
        <v>5</v>
      </c>
      <c r="I10" s="192" t="str">
        <f t="shared" si="1"/>
        <v/>
      </c>
      <c r="J10" s="192" t="e">
        <f t="shared" si="5"/>
        <v>#NUM!</v>
      </c>
      <c r="K10" s="191" t="e">
        <f t="shared" si="2"/>
        <v>#NUM!</v>
      </c>
      <c r="L10" s="191"/>
      <c r="M10" s="193">
        <f t="shared" si="3"/>
        <v>0</v>
      </c>
      <c r="V10" s="197"/>
      <c r="Z10" s="198"/>
      <c r="AA10" s="198"/>
      <c r="AG10" s="199"/>
      <c r="AH10" s="184" t="s">
        <v>41</v>
      </c>
      <c r="AI10" s="184">
        <v>45</v>
      </c>
    </row>
    <row r="11" spans="1:36" ht="14.45" customHeight="1" x14ac:dyDescent="0.25">
      <c r="A11" s="98">
        <f t="shared" si="4"/>
        <v>0</v>
      </c>
      <c r="B11" s="39" t="str">
        <f t="shared" si="0"/>
        <v/>
      </c>
      <c r="C11" s="40"/>
      <c r="D11" s="40"/>
      <c r="E11" s="40"/>
      <c r="F11" s="40"/>
      <c r="G11" s="27"/>
      <c r="H11" s="194">
        <v>6</v>
      </c>
      <c r="I11" s="195" t="str">
        <f t="shared" si="1"/>
        <v/>
      </c>
      <c r="J11" s="195" t="e">
        <f t="shared" si="5"/>
        <v>#NUM!</v>
      </c>
      <c r="K11" s="194" t="e">
        <f t="shared" si="2"/>
        <v>#NUM!</v>
      </c>
      <c r="L11" s="194"/>
      <c r="M11" s="196">
        <f t="shared" si="3"/>
        <v>0</v>
      </c>
      <c r="V11" s="200"/>
      <c r="Z11" s="198"/>
      <c r="AA11" s="198"/>
      <c r="AG11" s="199"/>
      <c r="AH11" s="184" t="s">
        <v>42</v>
      </c>
      <c r="AI11" s="184">
        <v>50</v>
      </c>
    </row>
    <row r="12" spans="1:36" ht="14.45" customHeight="1" x14ac:dyDescent="0.25">
      <c r="A12" s="94">
        <f t="shared" si="4"/>
        <v>0</v>
      </c>
      <c r="B12" s="33" t="str">
        <f t="shared" si="0"/>
        <v/>
      </c>
      <c r="C12" s="34"/>
      <c r="D12" s="34"/>
      <c r="E12" s="34"/>
      <c r="F12" s="34"/>
      <c r="G12" s="27"/>
      <c r="H12" s="191">
        <v>7</v>
      </c>
      <c r="I12" s="192" t="str">
        <f t="shared" si="1"/>
        <v/>
      </c>
      <c r="J12" s="192" t="e">
        <f t="shared" si="5"/>
        <v>#NUM!</v>
      </c>
      <c r="K12" s="191" t="e">
        <f t="shared" si="2"/>
        <v>#NUM!</v>
      </c>
      <c r="L12" s="191"/>
      <c r="M12" s="193">
        <f t="shared" si="3"/>
        <v>0</v>
      </c>
      <c r="Z12" s="198"/>
      <c r="AA12" s="198"/>
      <c r="AG12" s="199"/>
      <c r="AH12" s="184" t="s">
        <v>43</v>
      </c>
      <c r="AI12" s="184">
        <f>AI11-1</f>
        <v>49</v>
      </c>
    </row>
    <row r="13" spans="1:36" ht="14.45" customHeight="1" x14ac:dyDescent="0.25">
      <c r="A13" s="98">
        <f t="shared" si="4"/>
        <v>0</v>
      </c>
      <c r="B13" s="39" t="str">
        <f t="shared" si="0"/>
        <v/>
      </c>
      <c r="C13" s="40"/>
      <c r="D13" s="40"/>
      <c r="E13" s="40"/>
      <c r="F13" s="40"/>
      <c r="G13" s="27"/>
      <c r="H13" s="194">
        <v>8</v>
      </c>
      <c r="I13" s="195" t="str">
        <f t="shared" si="1"/>
        <v/>
      </c>
      <c r="J13" s="195" t="e">
        <f t="shared" si="5"/>
        <v>#NUM!</v>
      </c>
      <c r="K13" s="194" t="e">
        <f t="shared" si="2"/>
        <v>#NUM!</v>
      </c>
      <c r="L13" s="194"/>
      <c r="M13" s="196">
        <f t="shared" si="3"/>
        <v>0</v>
      </c>
      <c r="X13" s="197"/>
      <c r="AG13" s="199"/>
      <c r="AH13" s="184" t="s">
        <v>44</v>
      </c>
      <c r="AI13" s="184">
        <f>LOG(AI9)</f>
        <v>1.3617278360175928</v>
      </c>
    </row>
    <row r="14" spans="1:36" x14ac:dyDescent="0.25">
      <c r="A14" s="94">
        <f t="shared" si="4"/>
        <v>0</v>
      </c>
      <c r="B14" s="33" t="str">
        <f t="shared" si="0"/>
        <v/>
      </c>
      <c r="C14" s="34"/>
      <c r="D14" s="34"/>
      <c r="E14" s="34"/>
      <c r="F14" s="34"/>
      <c r="G14" s="27"/>
      <c r="H14" s="191">
        <v>9</v>
      </c>
      <c r="I14" s="192" t="str">
        <f t="shared" si="1"/>
        <v/>
      </c>
      <c r="J14" s="192" t="e">
        <f t="shared" si="5"/>
        <v>#NUM!</v>
      </c>
      <c r="K14" s="191" t="e">
        <f t="shared" si="2"/>
        <v>#NUM!</v>
      </c>
      <c r="L14" s="191"/>
      <c r="M14" s="193">
        <f t="shared" si="3"/>
        <v>0</v>
      </c>
      <c r="X14" s="201"/>
      <c r="Z14" s="198"/>
      <c r="AA14" s="198"/>
      <c r="AG14" s="199"/>
      <c r="AH14" s="184" t="s">
        <v>45</v>
      </c>
      <c r="AI14" s="184">
        <f>LOG(AI10)</f>
        <v>1.6532125137753437</v>
      </c>
    </row>
    <row r="15" spans="1:36" x14ac:dyDescent="0.25">
      <c r="A15" s="98">
        <f t="shared" si="4"/>
        <v>0</v>
      </c>
      <c r="B15" s="39" t="str">
        <f t="shared" si="0"/>
        <v/>
      </c>
      <c r="C15" s="40"/>
      <c r="D15" s="40"/>
      <c r="E15" s="40"/>
      <c r="F15" s="40"/>
      <c r="G15" s="27"/>
      <c r="H15" s="194">
        <v>10</v>
      </c>
      <c r="I15" s="195" t="str">
        <f t="shared" si="1"/>
        <v/>
      </c>
      <c r="J15" s="195" t="e">
        <f t="shared" si="5"/>
        <v>#NUM!</v>
      </c>
      <c r="K15" s="194" t="e">
        <f t="shared" si="2"/>
        <v>#NUM!</v>
      </c>
      <c r="L15" s="194"/>
      <c r="M15" s="196">
        <f t="shared" si="3"/>
        <v>0</v>
      </c>
      <c r="X15" s="197"/>
      <c r="Z15" s="198"/>
      <c r="AA15" s="198"/>
    </row>
    <row r="16" spans="1:36" x14ac:dyDescent="0.25">
      <c r="A16" s="94">
        <f t="shared" si="4"/>
        <v>0</v>
      </c>
      <c r="B16" s="33" t="str">
        <f t="shared" si="0"/>
        <v/>
      </c>
      <c r="C16" s="34"/>
      <c r="D16" s="34"/>
      <c r="E16" s="34"/>
      <c r="F16" s="34"/>
      <c r="G16" s="27"/>
      <c r="H16" s="191">
        <v>11</v>
      </c>
      <c r="I16" s="192" t="str">
        <f t="shared" si="1"/>
        <v/>
      </c>
      <c r="J16" s="192" t="e">
        <f t="shared" si="5"/>
        <v>#NUM!</v>
      </c>
      <c r="K16" s="191" t="e">
        <f t="shared" si="2"/>
        <v>#NUM!</v>
      </c>
      <c r="L16" s="191"/>
      <c r="M16" s="193">
        <f t="shared" si="3"/>
        <v>0</v>
      </c>
      <c r="R16" s="202"/>
      <c r="Z16" s="198"/>
      <c r="AA16" s="198"/>
      <c r="AH16" s="203" t="s">
        <v>46</v>
      </c>
      <c r="AI16" s="184">
        <f>AI11-AI12*AI13/AI14</f>
        <v>9.6393909380186855</v>
      </c>
      <c r="AJ16" s="184" t="s">
        <v>47</v>
      </c>
    </row>
    <row r="17" spans="1:19" x14ac:dyDescent="0.25">
      <c r="A17" s="98">
        <f t="shared" si="4"/>
        <v>0</v>
      </c>
      <c r="B17" s="39" t="str">
        <f t="shared" si="0"/>
        <v/>
      </c>
      <c r="C17" s="40"/>
      <c r="D17" s="40"/>
      <c r="E17" s="40"/>
      <c r="F17" s="40"/>
      <c r="G17" s="27"/>
      <c r="H17" s="194">
        <v>12</v>
      </c>
      <c r="I17" s="195" t="str">
        <f t="shared" si="1"/>
        <v/>
      </c>
      <c r="J17" s="195" t="e">
        <f t="shared" si="5"/>
        <v>#NUM!</v>
      </c>
      <c r="K17" s="194" t="e">
        <f t="shared" si="2"/>
        <v>#NUM!</v>
      </c>
      <c r="L17" s="194"/>
      <c r="M17" s="196">
        <f t="shared" si="3"/>
        <v>0</v>
      </c>
    </row>
    <row r="18" spans="1:19" x14ac:dyDescent="0.25">
      <c r="A18" s="94">
        <f t="shared" si="4"/>
        <v>0</v>
      </c>
      <c r="B18" s="33" t="str">
        <f t="shared" si="0"/>
        <v/>
      </c>
      <c r="C18" s="34"/>
      <c r="D18" s="34"/>
      <c r="E18" s="34"/>
      <c r="F18" s="34"/>
      <c r="G18" s="27"/>
      <c r="H18" s="191">
        <v>13</v>
      </c>
      <c r="I18" s="192" t="str">
        <f t="shared" si="1"/>
        <v/>
      </c>
      <c r="J18" s="192" t="e">
        <f t="shared" si="5"/>
        <v>#NUM!</v>
      </c>
      <c r="K18" s="191" t="e">
        <f t="shared" si="2"/>
        <v>#NUM!</v>
      </c>
      <c r="L18" s="191"/>
      <c r="M18" s="193">
        <f t="shared" si="3"/>
        <v>0</v>
      </c>
    </row>
    <row r="19" spans="1:19" x14ac:dyDescent="0.25">
      <c r="A19" s="98">
        <f t="shared" si="4"/>
        <v>0</v>
      </c>
      <c r="B19" s="39" t="str">
        <f t="shared" si="0"/>
        <v/>
      </c>
      <c r="C19" s="40"/>
      <c r="D19" s="40"/>
      <c r="E19" s="40"/>
      <c r="F19" s="40"/>
      <c r="G19" s="27"/>
      <c r="H19" s="194">
        <v>14</v>
      </c>
      <c r="I19" s="195" t="str">
        <f t="shared" si="1"/>
        <v/>
      </c>
      <c r="J19" s="195" t="e">
        <f t="shared" si="5"/>
        <v>#NUM!</v>
      </c>
      <c r="K19" s="194" t="e">
        <f t="shared" si="2"/>
        <v>#NUM!</v>
      </c>
      <c r="L19" s="194"/>
      <c r="M19" s="196">
        <f t="shared" si="3"/>
        <v>0</v>
      </c>
    </row>
    <row r="20" spans="1:19" x14ac:dyDescent="0.25">
      <c r="A20" s="94">
        <f t="shared" si="4"/>
        <v>0</v>
      </c>
      <c r="B20" s="33" t="str">
        <f t="shared" si="0"/>
        <v/>
      </c>
      <c r="C20" s="34"/>
      <c r="D20" s="34"/>
      <c r="E20" s="34"/>
      <c r="F20" s="34"/>
      <c r="G20" s="27"/>
      <c r="H20" s="191">
        <v>15</v>
      </c>
      <c r="I20" s="192" t="str">
        <f t="shared" si="1"/>
        <v/>
      </c>
      <c r="J20" s="192" t="e">
        <f t="shared" si="5"/>
        <v>#NUM!</v>
      </c>
      <c r="K20" s="191" t="e">
        <f t="shared" si="2"/>
        <v>#NUM!</v>
      </c>
      <c r="L20" s="191"/>
      <c r="M20" s="193">
        <f t="shared" si="3"/>
        <v>0</v>
      </c>
      <c r="R20" s="204"/>
      <c r="S20" s="205"/>
    </row>
    <row r="21" spans="1:19" x14ac:dyDescent="0.25">
      <c r="A21" s="98">
        <f t="shared" si="4"/>
        <v>0</v>
      </c>
      <c r="B21" s="39" t="str">
        <f t="shared" si="0"/>
        <v/>
      </c>
      <c r="C21" s="40"/>
      <c r="D21" s="40"/>
      <c r="E21" s="40"/>
      <c r="F21" s="40"/>
      <c r="G21" s="27"/>
      <c r="H21" s="194">
        <v>16</v>
      </c>
      <c r="I21" s="195" t="str">
        <f t="shared" si="1"/>
        <v/>
      </c>
      <c r="J21" s="195" t="e">
        <f t="shared" si="5"/>
        <v>#NUM!</v>
      </c>
      <c r="K21" s="194" t="e">
        <f t="shared" si="2"/>
        <v>#NUM!</v>
      </c>
      <c r="L21" s="194"/>
      <c r="M21" s="196">
        <f t="shared" si="3"/>
        <v>0</v>
      </c>
    </row>
    <row r="22" spans="1:19" x14ac:dyDescent="0.25">
      <c r="A22" s="94">
        <f t="shared" si="4"/>
        <v>0</v>
      </c>
      <c r="B22" s="33" t="str">
        <f t="shared" si="0"/>
        <v/>
      </c>
      <c r="C22" s="34"/>
      <c r="D22" s="34"/>
      <c r="E22" s="34"/>
      <c r="F22" s="34"/>
      <c r="G22" s="27"/>
      <c r="H22" s="191">
        <v>17</v>
      </c>
      <c r="I22" s="192" t="str">
        <f t="shared" si="1"/>
        <v/>
      </c>
      <c r="J22" s="192" t="e">
        <f t="shared" si="5"/>
        <v>#NUM!</v>
      </c>
      <c r="K22" s="191" t="e">
        <f t="shared" si="2"/>
        <v>#NUM!</v>
      </c>
      <c r="L22" s="191"/>
      <c r="M22" s="193">
        <f t="shared" si="3"/>
        <v>0</v>
      </c>
    </row>
    <row r="23" spans="1:19" x14ac:dyDescent="0.25">
      <c r="A23" s="98">
        <f t="shared" si="4"/>
        <v>0</v>
      </c>
      <c r="B23" s="39" t="str">
        <f t="shared" si="0"/>
        <v/>
      </c>
      <c r="C23" s="40"/>
      <c r="D23" s="40"/>
      <c r="E23" s="40"/>
      <c r="F23" s="40"/>
      <c r="G23" s="27"/>
      <c r="H23" s="194">
        <v>18</v>
      </c>
      <c r="I23" s="195" t="str">
        <f t="shared" si="1"/>
        <v/>
      </c>
      <c r="J23" s="195" t="e">
        <f t="shared" si="5"/>
        <v>#NUM!</v>
      </c>
      <c r="K23" s="194" t="e">
        <f t="shared" si="2"/>
        <v>#NUM!</v>
      </c>
      <c r="L23" s="194"/>
      <c r="M23" s="196">
        <f t="shared" si="3"/>
        <v>0</v>
      </c>
    </row>
    <row r="24" spans="1:19" x14ac:dyDescent="0.25">
      <c r="A24" s="94">
        <f t="shared" si="4"/>
        <v>0</v>
      </c>
      <c r="B24" s="33" t="str">
        <f t="shared" si="0"/>
        <v/>
      </c>
      <c r="C24" s="34"/>
      <c r="D24" s="34"/>
      <c r="E24" s="34"/>
      <c r="F24" s="34"/>
      <c r="G24" s="27"/>
      <c r="H24" s="191">
        <v>19</v>
      </c>
      <c r="I24" s="192" t="str">
        <f t="shared" si="1"/>
        <v/>
      </c>
      <c r="J24" s="192" t="e">
        <f t="shared" si="5"/>
        <v>#NUM!</v>
      </c>
      <c r="K24" s="191" t="e">
        <f t="shared" si="2"/>
        <v>#NUM!</v>
      </c>
      <c r="L24" s="191"/>
      <c r="M24" s="193">
        <f t="shared" si="3"/>
        <v>0</v>
      </c>
      <c r="R24" s="204"/>
      <c r="S24" s="205"/>
    </row>
    <row r="25" spans="1:19" x14ac:dyDescent="0.25">
      <c r="A25" s="98">
        <f t="shared" si="4"/>
        <v>0</v>
      </c>
      <c r="B25" s="39" t="str">
        <f t="shared" si="0"/>
        <v/>
      </c>
      <c r="C25" s="40"/>
      <c r="D25" s="40"/>
      <c r="E25" s="40"/>
      <c r="F25" s="40"/>
      <c r="G25" s="27"/>
      <c r="H25" s="194">
        <v>20</v>
      </c>
      <c r="I25" s="195" t="str">
        <f t="shared" si="1"/>
        <v/>
      </c>
      <c r="J25" s="195" t="e">
        <f t="shared" si="5"/>
        <v>#NUM!</v>
      </c>
      <c r="K25" s="194" t="e">
        <f t="shared" si="2"/>
        <v>#NUM!</v>
      </c>
      <c r="L25" s="194"/>
      <c r="M25" s="196">
        <f t="shared" si="3"/>
        <v>0</v>
      </c>
    </row>
    <row r="26" spans="1:19" x14ac:dyDescent="0.25">
      <c r="A26" s="94">
        <f t="shared" si="4"/>
        <v>0</v>
      </c>
      <c r="B26" s="33" t="str">
        <f t="shared" si="0"/>
        <v/>
      </c>
      <c r="C26" s="34"/>
      <c r="D26" s="34"/>
      <c r="E26" s="34"/>
      <c r="F26" s="34"/>
      <c r="G26" s="27"/>
      <c r="H26" s="191">
        <v>21</v>
      </c>
      <c r="I26" s="192" t="str">
        <f t="shared" si="1"/>
        <v/>
      </c>
      <c r="J26" s="192" t="e">
        <f t="shared" si="5"/>
        <v>#NUM!</v>
      </c>
      <c r="K26" s="191" t="e">
        <f t="shared" si="2"/>
        <v>#NUM!</v>
      </c>
      <c r="L26" s="191"/>
      <c r="M26" s="193">
        <f t="shared" si="3"/>
        <v>0</v>
      </c>
    </row>
    <row r="27" spans="1:19" x14ac:dyDescent="0.25">
      <c r="A27" s="98">
        <f t="shared" si="4"/>
        <v>0</v>
      </c>
      <c r="B27" s="39" t="str">
        <f t="shared" si="0"/>
        <v/>
      </c>
      <c r="C27" s="40"/>
      <c r="D27" s="40"/>
      <c r="E27" s="40"/>
      <c r="F27" s="40"/>
      <c r="G27" s="27"/>
      <c r="H27" s="194">
        <v>22</v>
      </c>
      <c r="I27" s="195" t="str">
        <f t="shared" si="1"/>
        <v/>
      </c>
      <c r="J27" s="195" t="e">
        <f t="shared" si="5"/>
        <v>#NUM!</v>
      </c>
      <c r="K27" s="194" t="e">
        <f t="shared" si="2"/>
        <v>#NUM!</v>
      </c>
      <c r="L27" s="194"/>
      <c r="M27" s="196">
        <f t="shared" si="3"/>
        <v>0</v>
      </c>
    </row>
    <row r="28" spans="1:19" x14ac:dyDescent="0.25">
      <c r="A28" s="94">
        <f t="shared" si="4"/>
        <v>0</v>
      </c>
      <c r="B28" s="33" t="str">
        <f t="shared" si="0"/>
        <v/>
      </c>
      <c r="C28" s="34"/>
      <c r="D28" s="34"/>
      <c r="E28" s="34"/>
      <c r="F28" s="34"/>
      <c r="G28" s="27"/>
      <c r="H28" s="191">
        <v>23</v>
      </c>
      <c r="I28" s="192" t="str">
        <f t="shared" si="1"/>
        <v/>
      </c>
      <c r="J28" s="192" t="e">
        <f t="shared" si="5"/>
        <v>#NUM!</v>
      </c>
      <c r="K28" s="191" t="e">
        <f t="shared" si="2"/>
        <v>#NUM!</v>
      </c>
      <c r="L28" s="191"/>
      <c r="M28" s="193">
        <f t="shared" si="3"/>
        <v>0</v>
      </c>
      <c r="R28" s="204"/>
      <c r="S28" s="205"/>
    </row>
    <row r="29" spans="1:19" x14ac:dyDescent="0.25">
      <c r="A29" s="98">
        <f t="shared" si="4"/>
        <v>0</v>
      </c>
      <c r="B29" s="39" t="str">
        <f t="shared" si="0"/>
        <v/>
      </c>
      <c r="C29" s="40"/>
      <c r="D29" s="40"/>
      <c r="E29" s="40"/>
      <c r="F29" s="40"/>
      <c r="G29" s="179"/>
      <c r="H29" s="194">
        <v>24</v>
      </c>
      <c r="I29" s="195" t="str">
        <f t="shared" si="1"/>
        <v/>
      </c>
      <c r="J29" s="195" t="e">
        <f t="shared" si="5"/>
        <v>#NUM!</v>
      </c>
      <c r="K29" s="194" t="e">
        <f t="shared" si="2"/>
        <v>#NUM!</v>
      </c>
      <c r="L29" s="194"/>
      <c r="M29" s="196">
        <f t="shared" si="3"/>
        <v>0</v>
      </c>
    </row>
    <row r="30" spans="1:19" x14ac:dyDescent="0.25">
      <c r="A30" s="94">
        <f t="shared" si="4"/>
        <v>0</v>
      </c>
      <c r="B30" s="33" t="str">
        <f t="shared" si="0"/>
        <v/>
      </c>
      <c r="C30" s="34"/>
      <c r="D30" s="34"/>
      <c r="E30" s="34"/>
      <c r="F30" s="34"/>
      <c r="G30" s="179"/>
      <c r="H30" s="191">
        <v>25</v>
      </c>
      <c r="I30" s="192" t="str">
        <f t="shared" si="1"/>
        <v/>
      </c>
      <c r="J30" s="192" t="e">
        <f t="shared" si="5"/>
        <v>#NUM!</v>
      </c>
      <c r="K30" s="191" t="e">
        <f t="shared" si="2"/>
        <v>#NUM!</v>
      </c>
      <c r="L30" s="191"/>
      <c r="M30" s="193">
        <f t="shared" si="3"/>
        <v>0</v>
      </c>
    </row>
    <row r="31" spans="1:19" x14ac:dyDescent="0.25">
      <c r="A31" s="98">
        <f t="shared" si="4"/>
        <v>0</v>
      </c>
      <c r="B31" s="39" t="str">
        <f t="shared" si="0"/>
        <v/>
      </c>
      <c r="C31" s="40"/>
      <c r="D31" s="40"/>
      <c r="E31" s="40"/>
      <c r="F31" s="40"/>
      <c r="G31" s="179"/>
      <c r="H31" s="194">
        <v>26</v>
      </c>
      <c r="I31" s="195" t="str">
        <f t="shared" si="1"/>
        <v/>
      </c>
      <c r="J31" s="195" t="e">
        <f t="shared" si="5"/>
        <v>#NUM!</v>
      </c>
      <c r="K31" s="194" t="e">
        <f t="shared" si="2"/>
        <v>#NUM!</v>
      </c>
      <c r="L31" s="194"/>
      <c r="M31" s="196">
        <f t="shared" si="3"/>
        <v>0</v>
      </c>
    </row>
    <row r="32" spans="1:19" x14ac:dyDescent="0.25">
      <c r="A32" s="94">
        <f t="shared" si="4"/>
        <v>0</v>
      </c>
      <c r="B32" s="33" t="str">
        <f t="shared" si="0"/>
        <v/>
      </c>
      <c r="C32" s="34"/>
      <c r="D32" s="34"/>
      <c r="E32" s="34"/>
      <c r="F32" s="34"/>
      <c r="G32" s="179"/>
      <c r="H32" s="191">
        <v>27</v>
      </c>
      <c r="I32" s="192" t="str">
        <f t="shared" si="1"/>
        <v/>
      </c>
      <c r="J32" s="192" t="e">
        <f t="shared" si="5"/>
        <v>#NUM!</v>
      </c>
      <c r="K32" s="191" t="e">
        <f t="shared" si="2"/>
        <v>#NUM!</v>
      </c>
      <c r="L32" s="191"/>
      <c r="M32" s="193">
        <f t="shared" si="3"/>
        <v>0</v>
      </c>
      <c r="R32" s="204"/>
      <c r="S32" s="205"/>
    </row>
    <row r="33" spans="1:21" x14ac:dyDescent="0.25">
      <c r="A33" s="98">
        <f t="shared" si="4"/>
        <v>0</v>
      </c>
      <c r="B33" s="39" t="str">
        <f t="shared" si="0"/>
        <v/>
      </c>
      <c r="C33" s="40"/>
      <c r="D33" s="40"/>
      <c r="E33" s="40"/>
      <c r="F33" s="40"/>
      <c r="G33" s="179"/>
      <c r="H33" s="194">
        <v>28</v>
      </c>
      <c r="I33" s="195" t="str">
        <f t="shared" si="1"/>
        <v/>
      </c>
      <c r="J33" s="195" t="e">
        <f t="shared" si="5"/>
        <v>#NUM!</v>
      </c>
      <c r="K33" s="194" t="e">
        <f t="shared" si="2"/>
        <v>#NUM!</v>
      </c>
      <c r="L33" s="194"/>
      <c r="M33" s="196">
        <f t="shared" si="3"/>
        <v>0</v>
      </c>
    </row>
    <row r="34" spans="1:21" x14ac:dyDescent="0.25">
      <c r="A34" s="94">
        <f t="shared" si="4"/>
        <v>0</v>
      </c>
      <c r="B34" s="33" t="str">
        <f t="shared" si="0"/>
        <v/>
      </c>
      <c r="C34" s="34"/>
      <c r="D34" s="34"/>
      <c r="E34" s="34"/>
      <c r="F34" s="34"/>
      <c r="G34" s="179"/>
      <c r="H34" s="191">
        <v>29</v>
      </c>
      <c r="I34" s="192" t="str">
        <f t="shared" si="1"/>
        <v/>
      </c>
      <c r="J34" s="192" t="e">
        <f t="shared" si="5"/>
        <v>#NUM!</v>
      </c>
      <c r="K34" s="191" t="e">
        <f t="shared" si="2"/>
        <v>#NUM!</v>
      </c>
      <c r="L34" s="191"/>
      <c r="M34" s="193">
        <f t="shared" si="3"/>
        <v>0</v>
      </c>
    </row>
    <row r="35" spans="1:21" x14ac:dyDescent="0.25">
      <c r="A35" s="98">
        <f t="shared" si="4"/>
        <v>0</v>
      </c>
      <c r="B35" s="39" t="str">
        <f t="shared" si="0"/>
        <v/>
      </c>
      <c r="C35" s="40"/>
      <c r="D35" s="40"/>
      <c r="E35" s="40"/>
      <c r="F35" s="40"/>
      <c r="G35" s="179"/>
      <c r="H35" s="194">
        <v>30</v>
      </c>
      <c r="I35" s="195" t="str">
        <f t="shared" si="1"/>
        <v/>
      </c>
      <c r="J35" s="195" t="e">
        <f t="shared" si="5"/>
        <v>#NUM!</v>
      </c>
      <c r="K35" s="194" t="e">
        <f t="shared" si="2"/>
        <v>#NUM!</v>
      </c>
      <c r="L35" s="194"/>
      <c r="M35" s="196">
        <f t="shared" si="3"/>
        <v>0</v>
      </c>
    </row>
    <row r="36" spans="1:21" x14ac:dyDescent="0.25">
      <c r="A36" s="94">
        <f t="shared" si="4"/>
        <v>0</v>
      </c>
      <c r="B36" s="33" t="str">
        <f t="shared" si="0"/>
        <v/>
      </c>
      <c r="C36" s="34"/>
      <c r="D36" s="34"/>
      <c r="E36" s="34"/>
      <c r="F36" s="34"/>
      <c r="G36" s="179"/>
      <c r="H36" s="191">
        <v>31</v>
      </c>
      <c r="I36" s="192" t="str">
        <f t="shared" si="1"/>
        <v/>
      </c>
      <c r="J36" s="192" t="e">
        <f t="shared" si="5"/>
        <v>#NUM!</v>
      </c>
      <c r="K36" s="191" t="e">
        <f t="shared" si="2"/>
        <v>#NUM!</v>
      </c>
      <c r="L36" s="191"/>
      <c r="M36" s="193">
        <f t="shared" si="3"/>
        <v>0</v>
      </c>
      <c r="R36" s="204"/>
      <c r="S36" s="205"/>
    </row>
    <row r="37" spans="1:21" x14ac:dyDescent="0.25">
      <c r="A37" s="98">
        <f t="shared" si="4"/>
        <v>0</v>
      </c>
      <c r="B37" s="39" t="str">
        <f t="shared" si="0"/>
        <v/>
      </c>
      <c r="C37" s="40"/>
      <c r="D37" s="40"/>
      <c r="E37" s="40"/>
      <c r="F37" s="40"/>
      <c r="G37" s="179"/>
      <c r="H37" s="194">
        <v>32</v>
      </c>
      <c r="I37" s="195" t="str">
        <f t="shared" si="1"/>
        <v/>
      </c>
      <c r="J37" s="195" t="e">
        <f t="shared" si="5"/>
        <v>#NUM!</v>
      </c>
      <c r="K37" s="194" t="e">
        <f t="shared" si="2"/>
        <v>#NUM!</v>
      </c>
      <c r="L37" s="194"/>
      <c r="M37" s="196">
        <f t="shared" si="3"/>
        <v>0</v>
      </c>
    </row>
    <row r="38" spans="1:21" x14ac:dyDescent="0.25">
      <c r="A38" s="98">
        <f t="shared" si="4"/>
        <v>0</v>
      </c>
      <c r="B38" s="33" t="str">
        <f t="shared" si="0"/>
        <v/>
      </c>
      <c r="C38" s="34"/>
      <c r="D38" s="34"/>
      <c r="E38" s="34"/>
      <c r="F38" s="34"/>
      <c r="G38" s="179"/>
      <c r="H38" s="191">
        <v>33</v>
      </c>
      <c r="I38" s="192" t="str">
        <f t="shared" si="1"/>
        <v/>
      </c>
      <c r="J38" s="192" t="e">
        <f t="shared" si="5"/>
        <v>#NUM!</v>
      </c>
      <c r="K38" s="191" t="e">
        <f t="shared" si="2"/>
        <v>#NUM!</v>
      </c>
      <c r="L38" s="191"/>
      <c r="M38" s="193">
        <f t="shared" si="3"/>
        <v>0</v>
      </c>
    </row>
    <row r="39" spans="1:21" x14ac:dyDescent="0.25">
      <c r="A39" s="98">
        <f t="shared" si="4"/>
        <v>0</v>
      </c>
      <c r="B39" s="39" t="str">
        <f t="shared" si="0"/>
        <v/>
      </c>
      <c r="C39" s="40"/>
      <c r="D39" s="40"/>
      <c r="E39" s="40"/>
      <c r="F39" s="40"/>
      <c r="G39" s="179"/>
      <c r="H39" s="194">
        <v>34</v>
      </c>
      <c r="I39" s="195" t="str">
        <f t="shared" si="1"/>
        <v/>
      </c>
      <c r="J39" s="195" t="e">
        <f t="shared" si="5"/>
        <v>#NUM!</v>
      </c>
      <c r="K39" s="194" t="e">
        <f t="shared" si="2"/>
        <v>#NUM!</v>
      </c>
      <c r="L39" s="194"/>
      <c r="M39" s="196">
        <f t="shared" si="3"/>
        <v>0</v>
      </c>
    </row>
    <row r="40" spans="1:21" x14ac:dyDescent="0.25">
      <c r="A40" s="98">
        <f t="shared" si="4"/>
        <v>0</v>
      </c>
      <c r="B40" s="33" t="str">
        <f t="shared" si="0"/>
        <v/>
      </c>
      <c r="C40" s="34"/>
      <c r="D40" s="34"/>
      <c r="E40" s="34"/>
      <c r="F40" s="34"/>
      <c r="G40" s="179"/>
      <c r="H40" s="191">
        <v>35</v>
      </c>
      <c r="I40" s="192" t="str">
        <f t="shared" si="1"/>
        <v/>
      </c>
      <c r="J40" s="192" t="e">
        <f t="shared" si="5"/>
        <v>#NUM!</v>
      </c>
      <c r="K40" s="191" t="e">
        <f t="shared" si="2"/>
        <v>#NUM!</v>
      </c>
      <c r="L40" s="191"/>
      <c r="M40" s="193">
        <f t="shared" si="3"/>
        <v>0</v>
      </c>
    </row>
    <row r="41" spans="1:21" x14ac:dyDescent="0.25">
      <c r="A41" s="98">
        <f t="shared" si="4"/>
        <v>0</v>
      </c>
      <c r="B41" s="39" t="str">
        <f t="shared" si="0"/>
        <v/>
      </c>
      <c r="C41" s="40"/>
      <c r="D41" s="40"/>
      <c r="E41" s="40"/>
      <c r="F41" s="40"/>
      <c r="G41" s="179"/>
      <c r="H41" s="194">
        <v>36</v>
      </c>
      <c r="I41" s="195" t="str">
        <f t="shared" si="1"/>
        <v/>
      </c>
      <c r="J41" s="195" t="e">
        <f t="shared" si="5"/>
        <v>#NUM!</v>
      </c>
      <c r="K41" s="194" t="e">
        <f t="shared" si="2"/>
        <v>#NUM!</v>
      </c>
      <c r="L41" s="194"/>
      <c r="M41" s="196">
        <f t="shared" si="3"/>
        <v>0</v>
      </c>
      <c r="S41" s="206"/>
    </row>
    <row r="42" spans="1:21" x14ac:dyDescent="0.25">
      <c r="A42" s="98">
        <f t="shared" si="4"/>
        <v>0</v>
      </c>
      <c r="B42" s="33" t="str">
        <f t="shared" si="0"/>
        <v/>
      </c>
      <c r="C42" s="34"/>
      <c r="D42" s="34"/>
      <c r="E42" s="34"/>
      <c r="F42" s="34"/>
      <c r="G42" s="179"/>
      <c r="H42" s="191">
        <v>37</v>
      </c>
      <c r="I42" s="192" t="str">
        <f t="shared" si="1"/>
        <v/>
      </c>
      <c r="J42" s="192" t="e">
        <f t="shared" si="5"/>
        <v>#NUM!</v>
      </c>
      <c r="K42" s="191" t="e">
        <f t="shared" si="2"/>
        <v>#NUM!</v>
      </c>
      <c r="L42" s="191"/>
      <c r="M42" s="193">
        <f t="shared" si="3"/>
        <v>0</v>
      </c>
    </row>
    <row r="43" spans="1:21" x14ac:dyDescent="0.25">
      <c r="A43" s="98">
        <f t="shared" si="4"/>
        <v>0</v>
      </c>
      <c r="B43" s="39" t="str">
        <f t="shared" si="0"/>
        <v/>
      </c>
      <c r="C43" s="40"/>
      <c r="D43" s="40"/>
      <c r="E43" s="40"/>
      <c r="F43" s="40"/>
      <c r="G43" s="179"/>
      <c r="H43" s="194">
        <v>38</v>
      </c>
      <c r="I43" s="195" t="str">
        <f t="shared" si="1"/>
        <v/>
      </c>
      <c r="J43" s="195" t="e">
        <f t="shared" si="5"/>
        <v>#NUM!</v>
      </c>
      <c r="K43" s="194" t="e">
        <f t="shared" si="2"/>
        <v>#NUM!</v>
      </c>
      <c r="L43" s="194"/>
      <c r="M43" s="196">
        <f t="shared" si="3"/>
        <v>0</v>
      </c>
    </row>
    <row r="44" spans="1:21" x14ac:dyDescent="0.25">
      <c r="A44" s="98">
        <f t="shared" si="4"/>
        <v>0</v>
      </c>
      <c r="B44" s="33" t="str">
        <f t="shared" si="0"/>
        <v/>
      </c>
      <c r="C44" s="34"/>
      <c r="D44" s="34"/>
      <c r="E44" s="34"/>
      <c r="F44" s="34"/>
      <c r="G44" s="179"/>
      <c r="H44" s="191">
        <v>39</v>
      </c>
      <c r="I44" s="192" t="str">
        <f t="shared" si="1"/>
        <v/>
      </c>
      <c r="J44" s="192" t="e">
        <f t="shared" si="5"/>
        <v>#NUM!</v>
      </c>
      <c r="K44" s="191" t="e">
        <f t="shared" si="2"/>
        <v>#NUM!</v>
      </c>
      <c r="L44" s="191"/>
      <c r="M44" s="193">
        <f t="shared" si="3"/>
        <v>0</v>
      </c>
    </row>
    <row r="45" spans="1:21" x14ac:dyDescent="0.25">
      <c r="A45" s="98">
        <f t="shared" si="4"/>
        <v>0</v>
      </c>
      <c r="B45" s="39" t="str">
        <f t="shared" si="0"/>
        <v/>
      </c>
      <c r="C45" s="40"/>
      <c r="D45" s="40"/>
      <c r="E45" s="40"/>
      <c r="F45" s="40"/>
      <c r="G45" s="179"/>
      <c r="H45" s="194">
        <v>40</v>
      </c>
      <c r="I45" s="195" t="str">
        <f t="shared" si="1"/>
        <v/>
      </c>
      <c r="J45" s="195" t="e">
        <f t="shared" si="5"/>
        <v>#NUM!</v>
      </c>
      <c r="K45" s="194" t="e">
        <f t="shared" si="2"/>
        <v>#NUM!</v>
      </c>
      <c r="L45" s="194"/>
      <c r="M45" s="196">
        <f t="shared" si="3"/>
        <v>0</v>
      </c>
    </row>
    <row r="46" spans="1:21" x14ac:dyDescent="0.25">
      <c r="A46" s="98">
        <f t="shared" si="4"/>
        <v>0</v>
      </c>
      <c r="B46" s="33" t="str">
        <f t="shared" si="0"/>
        <v/>
      </c>
      <c r="C46" s="34"/>
      <c r="D46" s="34"/>
      <c r="E46" s="34"/>
      <c r="F46" s="34"/>
      <c r="G46" s="179"/>
      <c r="H46" s="191">
        <v>41</v>
      </c>
      <c r="I46" s="192" t="str">
        <f t="shared" si="1"/>
        <v/>
      </c>
      <c r="J46" s="192" t="e">
        <f t="shared" si="5"/>
        <v>#NUM!</v>
      </c>
      <c r="K46" s="191" t="e">
        <f t="shared" si="2"/>
        <v>#NUM!</v>
      </c>
      <c r="L46" s="191"/>
      <c r="M46" s="193">
        <f t="shared" si="3"/>
        <v>0</v>
      </c>
      <c r="R46" s="179" t="e">
        <f>LOG($H$2,2)</f>
        <v>#NUM!</v>
      </c>
      <c r="T46" s="184">
        <f>LOG(H38,2)</f>
        <v>5.0443941193584534</v>
      </c>
      <c r="U46" s="184" t="e">
        <f>R46-T46</f>
        <v>#NUM!</v>
      </c>
    </row>
    <row r="47" spans="1:21" x14ac:dyDescent="0.25">
      <c r="A47" s="98">
        <f t="shared" si="4"/>
        <v>0</v>
      </c>
      <c r="B47" s="39" t="str">
        <f t="shared" si="0"/>
        <v/>
      </c>
      <c r="C47" s="40"/>
      <c r="D47" s="40"/>
      <c r="E47" s="40"/>
      <c r="F47" s="40"/>
      <c r="G47" s="179"/>
      <c r="H47" s="194">
        <v>42</v>
      </c>
      <c r="I47" s="195" t="str">
        <f t="shared" si="1"/>
        <v/>
      </c>
      <c r="J47" s="195" t="e">
        <f t="shared" si="5"/>
        <v>#NUM!</v>
      </c>
      <c r="K47" s="194" t="e">
        <f t="shared" si="2"/>
        <v>#NUM!</v>
      </c>
      <c r="L47" s="194"/>
      <c r="M47" s="196">
        <f t="shared" si="3"/>
        <v>0</v>
      </c>
    </row>
    <row r="48" spans="1:21" x14ac:dyDescent="0.25">
      <c r="A48" s="98">
        <f t="shared" si="4"/>
        <v>0</v>
      </c>
      <c r="B48" s="33" t="str">
        <f t="shared" si="0"/>
        <v/>
      </c>
      <c r="C48" s="34"/>
      <c r="D48" s="34"/>
      <c r="E48" s="34"/>
      <c r="F48" s="34"/>
      <c r="G48" s="179"/>
      <c r="H48" s="191">
        <v>43</v>
      </c>
      <c r="I48" s="192" t="str">
        <f t="shared" si="1"/>
        <v/>
      </c>
      <c r="J48" s="192" t="e">
        <f t="shared" si="5"/>
        <v>#NUM!</v>
      </c>
      <c r="K48" s="191" t="e">
        <f t="shared" si="2"/>
        <v>#NUM!</v>
      </c>
      <c r="L48" s="191"/>
      <c r="M48" s="193">
        <f t="shared" si="3"/>
        <v>0</v>
      </c>
    </row>
    <row r="49" spans="1:13" x14ac:dyDescent="0.25">
      <c r="A49" s="98">
        <f t="shared" si="4"/>
        <v>0</v>
      </c>
      <c r="B49" s="39" t="str">
        <f t="shared" si="0"/>
        <v/>
      </c>
      <c r="C49" s="40"/>
      <c r="D49" s="40"/>
      <c r="E49" s="40"/>
      <c r="F49" s="40"/>
      <c r="G49" s="179"/>
      <c r="H49" s="194">
        <v>44</v>
      </c>
      <c r="I49" s="195" t="str">
        <f t="shared" si="1"/>
        <v/>
      </c>
      <c r="J49" s="195" t="e">
        <f t="shared" si="5"/>
        <v>#NUM!</v>
      </c>
      <c r="K49" s="194" t="e">
        <f t="shared" si="2"/>
        <v>#NUM!</v>
      </c>
      <c r="L49" s="194"/>
      <c r="M49" s="196">
        <f t="shared" si="3"/>
        <v>0</v>
      </c>
    </row>
    <row r="50" spans="1:13" x14ac:dyDescent="0.25">
      <c r="A50" s="98">
        <f t="shared" si="4"/>
        <v>0</v>
      </c>
      <c r="B50" s="33" t="str">
        <f t="shared" si="0"/>
        <v/>
      </c>
      <c r="C50" s="34"/>
      <c r="D50" s="34"/>
      <c r="E50" s="34"/>
      <c r="F50" s="34"/>
      <c r="G50" s="179"/>
      <c r="H50" s="191">
        <v>45</v>
      </c>
      <c r="I50" s="192" t="str">
        <f t="shared" si="1"/>
        <v/>
      </c>
      <c r="J50" s="192" t="e">
        <f t="shared" si="5"/>
        <v>#NUM!</v>
      </c>
      <c r="K50" s="191" t="e">
        <f t="shared" si="2"/>
        <v>#NUM!</v>
      </c>
      <c r="L50" s="191"/>
      <c r="M50" s="193">
        <f t="shared" si="3"/>
        <v>0</v>
      </c>
    </row>
    <row r="51" spans="1:13" x14ac:dyDescent="0.25">
      <c r="A51" s="98">
        <f t="shared" si="4"/>
        <v>0</v>
      </c>
      <c r="B51" s="39" t="str">
        <f t="shared" si="0"/>
        <v/>
      </c>
      <c r="C51" s="40"/>
      <c r="D51" s="40"/>
      <c r="E51" s="40"/>
      <c r="F51" s="40"/>
      <c r="G51" s="179"/>
      <c r="H51" s="194">
        <v>46</v>
      </c>
      <c r="I51" s="195" t="str">
        <f t="shared" si="1"/>
        <v/>
      </c>
      <c r="J51" s="195" t="e">
        <f t="shared" si="5"/>
        <v>#NUM!</v>
      </c>
      <c r="K51" s="194" t="e">
        <f t="shared" si="2"/>
        <v>#NUM!</v>
      </c>
      <c r="L51" s="194"/>
      <c r="M51" s="196">
        <f t="shared" si="3"/>
        <v>0</v>
      </c>
    </row>
    <row r="52" spans="1:13" x14ac:dyDescent="0.25">
      <c r="A52" s="98">
        <f t="shared" si="4"/>
        <v>0</v>
      </c>
      <c r="B52" s="33" t="str">
        <f t="shared" si="0"/>
        <v/>
      </c>
      <c r="C52" s="34"/>
      <c r="D52" s="34"/>
      <c r="E52" s="34"/>
      <c r="F52" s="34"/>
      <c r="G52" s="179"/>
      <c r="H52" s="191">
        <v>47</v>
      </c>
      <c r="I52" s="192" t="str">
        <f t="shared" si="1"/>
        <v/>
      </c>
      <c r="J52" s="192" t="e">
        <f t="shared" si="5"/>
        <v>#NUM!</v>
      </c>
      <c r="K52" s="191" t="e">
        <f t="shared" si="2"/>
        <v>#NUM!</v>
      </c>
      <c r="L52" s="191"/>
      <c r="M52" s="193">
        <f t="shared" si="3"/>
        <v>0</v>
      </c>
    </row>
    <row r="53" spans="1:13" x14ac:dyDescent="0.25">
      <c r="A53" s="98">
        <f t="shared" si="4"/>
        <v>0</v>
      </c>
      <c r="B53" s="39" t="str">
        <f t="shared" si="0"/>
        <v/>
      </c>
      <c r="C53" s="40"/>
      <c r="D53" s="40"/>
      <c r="E53" s="40"/>
      <c r="F53" s="40"/>
      <c r="G53" s="179"/>
      <c r="H53" s="194">
        <v>48</v>
      </c>
      <c r="I53" s="195" t="str">
        <f t="shared" si="1"/>
        <v/>
      </c>
      <c r="J53" s="195" t="e">
        <f t="shared" si="5"/>
        <v>#NUM!</v>
      </c>
      <c r="K53" s="194" t="e">
        <f t="shared" si="2"/>
        <v>#NUM!</v>
      </c>
      <c r="L53" s="194"/>
      <c r="M53" s="196">
        <f t="shared" si="3"/>
        <v>0</v>
      </c>
    </row>
    <row r="54" spans="1:13" x14ac:dyDescent="0.25">
      <c r="A54" s="98">
        <f t="shared" si="4"/>
        <v>0</v>
      </c>
      <c r="B54" s="33" t="str">
        <f t="shared" si="0"/>
        <v/>
      </c>
      <c r="C54" s="34"/>
      <c r="D54" s="34"/>
      <c r="E54" s="34"/>
      <c r="F54" s="34"/>
      <c r="G54" s="179"/>
      <c r="H54" s="191">
        <v>49</v>
      </c>
      <c r="I54" s="192" t="str">
        <f t="shared" si="1"/>
        <v/>
      </c>
      <c r="J54" s="192" t="e">
        <f t="shared" si="5"/>
        <v>#NUM!</v>
      </c>
      <c r="K54" s="191" t="e">
        <f t="shared" si="2"/>
        <v>#NUM!</v>
      </c>
      <c r="L54" s="191"/>
      <c r="M54" s="193">
        <f t="shared" si="3"/>
        <v>0</v>
      </c>
    </row>
    <row r="55" spans="1:13" x14ac:dyDescent="0.25">
      <c r="A55" s="98">
        <f t="shared" si="4"/>
        <v>0</v>
      </c>
      <c r="B55" s="39" t="str">
        <f t="shared" si="0"/>
        <v/>
      </c>
      <c r="C55" s="40"/>
      <c r="D55" s="40"/>
      <c r="E55" s="40"/>
      <c r="F55" s="40"/>
      <c r="G55" s="179"/>
      <c r="H55" s="194">
        <v>50</v>
      </c>
      <c r="I55" s="195" t="str">
        <f t="shared" si="1"/>
        <v/>
      </c>
      <c r="J55" s="195" t="e">
        <f t="shared" si="5"/>
        <v>#NUM!</v>
      </c>
      <c r="K55" s="194" t="e">
        <f t="shared" si="2"/>
        <v>#NUM!</v>
      </c>
      <c r="L55" s="194"/>
      <c r="M55" s="196">
        <f t="shared" si="3"/>
        <v>0</v>
      </c>
    </row>
    <row r="56" spans="1:13" x14ac:dyDescent="0.25">
      <c r="A56" s="98">
        <f t="shared" si="4"/>
        <v>0</v>
      </c>
      <c r="B56" s="33" t="str">
        <f t="shared" si="0"/>
        <v/>
      </c>
      <c r="C56" s="34"/>
      <c r="D56" s="34"/>
      <c r="E56" s="34"/>
      <c r="F56" s="34"/>
      <c r="G56" s="179"/>
      <c r="H56" s="191">
        <v>51</v>
      </c>
      <c r="I56" s="192" t="str">
        <f t="shared" si="1"/>
        <v/>
      </c>
      <c r="J56" s="192" t="e">
        <f t="shared" si="5"/>
        <v>#NUM!</v>
      </c>
      <c r="K56" s="191" t="e">
        <f t="shared" si="2"/>
        <v>#NUM!</v>
      </c>
      <c r="L56" s="191"/>
      <c r="M56" s="193">
        <f t="shared" si="3"/>
        <v>0</v>
      </c>
    </row>
    <row r="57" spans="1:13" x14ac:dyDescent="0.25">
      <c r="A57" s="98">
        <f t="shared" si="4"/>
        <v>0</v>
      </c>
      <c r="B57" s="39" t="str">
        <f t="shared" si="0"/>
        <v/>
      </c>
      <c r="C57" s="40"/>
      <c r="D57" s="40"/>
      <c r="E57" s="40"/>
      <c r="F57" s="40"/>
      <c r="G57" s="179"/>
      <c r="H57" s="194">
        <v>52</v>
      </c>
      <c r="I57" s="195" t="str">
        <f t="shared" si="1"/>
        <v/>
      </c>
      <c r="J57" s="195" t="e">
        <f t="shared" si="5"/>
        <v>#NUM!</v>
      </c>
      <c r="K57" s="194" t="e">
        <f t="shared" si="2"/>
        <v>#NUM!</v>
      </c>
      <c r="L57" s="194"/>
      <c r="M57" s="196">
        <f t="shared" si="3"/>
        <v>0</v>
      </c>
    </row>
    <row r="58" spans="1:13" x14ac:dyDescent="0.25">
      <c r="A58" s="98">
        <f t="shared" si="4"/>
        <v>0</v>
      </c>
      <c r="B58" s="33" t="str">
        <f t="shared" si="0"/>
        <v/>
      </c>
      <c r="C58" s="34"/>
      <c r="D58" s="34"/>
      <c r="E58" s="34"/>
      <c r="F58" s="34"/>
      <c r="G58" s="179"/>
      <c r="H58" s="191">
        <v>53</v>
      </c>
      <c r="I58" s="192" t="str">
        <f t="shared" si="1"/>
        <v/>
      </c>
      <c r="J58" s="192" t="e">
        <f t="shared" si="5"/>
        <v>#NUM!</v>
      </c>
      <c r="K58" s="191" t="e">
        <f t="shared" si="2"/>
        <v>#NUM!</v>
      </c>
      <c r="L58" s="191"/>
      <c r="M58" s="193">
        <f t="shared" si="3"/>
        <v>0</v>
      </c>
    </row>
    <row r="59" spans="1:13" x14ac:dyDescent="0.25">
      <c r="A59" s="98">
        <f t="shared" si="4"/>
        <v>0</v>
      </c>
      <c r="B59" s="39" t="str">
        <f t="shared" si="0"/>
        <v/>
      </c>
      <c r="C59" s="40"/>
      <c r="D59" s="40"/>
      <c r="E59" s="40"/>
      <c r="F59" s="40"/>
      <c r="G59" s="179"/>
      <c r="H59" s="194">
        <v>54</v>
      </c>
      <c r="I59" s="195" t="str">
        <f t="shared" si="1"/>
        <v/>
      </c>
      <c r="J59" s="195" t="e">
        <f t="shared" si="5"/>
        <v>#NUM!</v>
      </c>
      <c r="K59" s="194" t="e">
        <f t="shared" si="2"/>
        <v>#NUM!</v>
      </c>
      <c r="L59" s="194"/>
      <c r="M59" s="196">
        <f t="shared" si="3"/>
        <v>0</v>
      </c>
    </row>
    <row r="60" spans="1:13" x14ac:dyDescent="0.25">
      <c r="A60" s="98">
        <f t="shared" si="4"/>
        <v>0</v>
      </c>
      <c r="B60" s="33" t="str">
        <f t="shared" si="0"/>
        <v/>
      </c>
      <c r="C60" s="34"/>
      <c r="D60" s="34"/>
      <c r="E60" s="34"/>
      <c r="F60" s="34"/>
      <c r="G60" s="179"/>
      <c r="H60" s="191">
        <v>55</v>
      </c>
      <c r="I60" s="192" t="str">
        <f t="shared" si="1"/>
        <v/>
      </c>
      <c r="J60" s="192" t="e">
        <f t="shared" si="5"/>
        <v>#NUM!</v>
      </c>
      <c r="K60" s="191" t="e">
        <f t="shared" si="2"/>
        <v>#NUM!</v>
      </c>
      <c r="L60" s="191"/>
      <c r="M60" s="193">
        <f t="shared" si="3"/>
        <v>0</v>
      </c>
    </row>
    <row r="61" spans="1:13" x14ac:dyDescent="0.25">
      <c r="A61" s="98">
        <f t="shared" si="4"/>
        <v>0</v>
      </c>
      <c r="B61" s="39" t="str">
        <f t="shared" si="0"/>
        <v/>
      </c>
      <c r="C61" s="40"/>
      <c r="D61" s="40"/>
      <c r="E61" s="40"/>
      <c r="F61" s="40"/>
      <c r="G61" s="179"/>
      <c r="H61" s="194">
        <v>56</v>
      </c>
      <c r="I61" s="195" t="str">
        <f t="shared" si="1"/>
        <v/>
      </c>
      <c r="J61" s="195" t="e">
        <f t="shared" si="5"/>
        <v>#NUM!</v>
      </c>
      <c r="K61" s="194" t="e">
        <f t="shared" si="2"/>
        <v>#NUM!</v>
      </c>
      <c r="L61" s="194"/>
      <c r="M61" s="196">
        <f t="shared" si="3"/>
        <v>0</v>
      </c>
    </row>
    <row r="62" spans="1:13" x14ac:dyDescent="0.25">
      <c r="A62" s="98">
        <f t="shared" si="4"/>
        <v>0</v>
      </c>
      <c r="B62" s="33" t="str">
        <f t="shared" si="0"/>
        <v/>
      </c>
      <c r="C62" s="34"/>
      <c r="D62" s="34"/>
      <c r="E62" s="34"/>
      <c r="F62" s="34"/>
      <c r="G62" s="179"/>
      <c r="H62" s="191">
        <v>57</v>
      </c>
      <c r="I62" s="192" t="str">
        <f t="shared" si="1"/>
        <v/>
      </c>
      <c r="J62" s="192" t="e">
        <f t="shared" si="5"/>
        <v>#NUM!</v>
      </c>
      <c r="K62" s="191" t="e">
        <f t="shared" si="2"/>
        <v>#NUM!</v>
      </c>
      <c r="L62" s="191"/>
      <c r="M62" s="193">
        <f t="shared" si="3"/>
        <v>0</v>
      </c>
    </row>
    <row r="63" spans="1:13" x14ac:dyDescent="0.25">
      <c r="A63" s="98">
        <f t="shared" si="4"/>
        <v>0</v>
      </c>
      <c r="B63" s="39" t="str">
        <f t="shared" si="0"/>
        <v/>
      </c>
      <c r="C63" s="40"/>
      <c r="D63" s="40"/>
      <c r="E63" s="40"/>
      <c r="F63" s="40"/>
      <c r="G63" s="179"/>
      <c r="H63" s="194">
        <v>58</v>
      </c>
      <c r="I63" s="195" t="str">
        <f t="shared" si="1"/>
        <v/>
      </c>
      <c r="J63" s="195" t="e">
        <f t="shared" si="5"/>
        <v>#NUM!</v>
      </c>
      <c r="K63" s="194" t="e">
        <f t="shared" si="2"/>
        <v>#NUM!</v>
      </c>
      <c r="L63" s="194"/>
      <c r="M63" s="196">
        <f t="shared" si="3"/>
        <v>0</v>
      </c>
    </row>
    <row r="64" spans="1:13" x14ac:dyDescent="0.25">
      <c r="A64" s="98">
        <f t="shared" si="4"/>
        <v>0</v>
      </c>
      <c r="B64" s="33" t="str">
        <f t="shared" si="0"/>
        <v/>
      </c>
      <c r="C64" s="34"/>
      <c r="D64" s="34"/>
      <c r="E64" s="34"/>
      <c r="F64" s="34"/>
      <c r="G64" s="179"/>
      <c r="H64" s="191">
        <v>59</v>
      </c>
      <c r="I64" s="192" t="str">
        <f t="shared" si="1"/>
        <v/>
      </c>
      <c r="J64" s="192" t="e">
        <f t="shared" si="5"/>
        <v>#NUM!</v>
      </c>
      <c r="K64" s="191" t="e">
        <f t="shared" si="2"/>
        <v>#NUM!</v>
      </c>
      <c r="L64" s="191"/>
      <c r="M64" s="193">
        <f t="shared" si="3"/>
        <v>0</v>
      </c>
    </row>
    <row r="65" spans="1:13" x14ac:dyDescent="0.25">
      <c r="A65" s="98">
        <f t="shared" si="4"/>
        <v>0</v>
      </c>
      <c r="B65" s="39" t="str">
        <f t="shared" si="0"/>
        <v/>
      </c>
      <c r="C65" s="40"/>
      <c r="D65" s="40"/>
      <c r="E65" s="40"/>
      <c r="F65" s="40"/>
      <c r="G65" s="179"/>
      <c r="H65" s="194">
        <v>60</v>
      </c>
      <c r="I65" s="195" t="str">
        <f t="shared" si="1"/>
        <v/>
      </c>
      <c r="J65" s="195" t="e">
        <f t="shared" si="5"/>
        <v>#NUM!</v>
      </c>
      <c r="K65" s="194" t="e">
        <f t="shared" si="2"/>
        <v>#NUM!</v>
      </c>
      <c r="L65" s="194"/>
      <c r="M65" s="196">
        <f t="shared" si="3"/>
        <v>0</v>
      </c>
    </row>
    <row r="66" spans="1:13" x14ac:dyDescent="0.25">
      <c r="A66" s="98">
        <f t="shared" si="4"/>
        <v>0</v>
      </c>
      <c r="B66" s="33"/>
      <c r="G66" s="179"/>
      <c r="H66" s="191">
        <v>61</v>
      </c>
      <c r="I66" s="192" t="str">
        <f t="shared" si="1"/>
        <v/>
      </c>
      <c r="J66" s="192" t="e">
        <f t="shared" si="5"/>
        <v>#NUM!</v>
      </c>
      <c r="K66" s="191" t="e">
        <f t="shared" si="2"/>
        <v>#NUM!</v>
      </c>
      <c r="L66" s="191"/>
      <c r="M66" s="193">
        <f t="shared" si="3"/>
        <v>0</v>
      </c>
    </row>
    <row r="67" spans="1:13" x14ac:dyDescent="0.25">
      <c r="A67" s="98">
        <f t="shared" si="4"/>
        <v>0</v>
      </c>
      <c r="B67" s="39"/>
      <c r="G67" s="179"/>
      <c r="H67" s="191">
        <v>62</v>
      </c>
      <c r="I67" s="192" t="str">
        <f t="shared" si="1"/>
        <v/>
      </c>
      <c r="J67" s="192" t="e">
        <f t="shared" si="5"/>
        <v>#NUM!</v>
      </c>
      <c r="K67" s="191" t="e">
        <f t="shared" si="2"/>
        <v>#NUM!</v>
      </c>
      <c r="L67" s="191"/>
      <c r="M67" s="193">
        <f t="shared" si="3"/>
        <v>0</v>
      </c>
    </row>
    <row r="68" spans="1:13" x14ac:dyDescent="0.25">
      <c r="A68" s="98">
        <f t="shared" si="4"/>
        <v>0</v>
      </c>
      <c r="B68" s="33"/>
      <c r="G68" s="179"/>
      <c r="H68" s="191">
        <v>63</v>
      </c>
      <c r="I68" s="192" t="str">
        <f t="shared" si="1"/>
        <v/>
      </c>
      <c r="J68" s="192" t="e">
        <f t="shared" si="5"/>
        <v>#NUM!</v>
      </c>
      <c r="K68" s="191" t="e">
        <f t="shared" si="2"/>
        <v>#NUM!</v>
      </c>
      <c r="L68" s="191"/>
      <c r="M68" s="193">
        <f t="shared" si="3"/>
        <v>0</v>
      </c>
    </row>
    <row r="69" spans="1:13" x14ac:dyDescent="0.25">
      <c r="A69" s="98">
        <f t="shared" si="4"/>
        <v>0</v>
      </c>
      <c r="B69" s="39"/>
      <c r="G69" s="179"/>
      <c r="H69" s="191">
        <v>64</v>
      </c>
      <c r="I69" s="192" t="str">
        <f t="shared" si="1"/>
        <v/>
      </c>
      <c r="J69" s="192" t="e">
        <f t="shared" si="5"/>
        <v>#NUM!</v>
      </c>
      <c r="K69" s="191" t="e">
        <f t="shared" si="2"/>
        <v>#NUM!</v>
      </c>
      <c r="L69" s="191"/>
      <c r="M69" s="193">
        <f t="shared" si="3"/>
        <v>0</v>
      </c>
    </row>
    <row r="70" spans="1:13" x14ac:dyDescent="0.25">
      <c r="A70" s="98">
        <f t="shared" si="4"/>
        <v>0</v>
      </c>
      <c r="G70" s="179"/>
      <c r="H70" s="191">
        <v>65</v>
      </c>
      <c r="I70" s="192" t="str">
        <f t="shared" ref="I70:I133" si="6">IF(H70&lt;$H$2+1,($I$2-($I$2-1)*(LOG(H70)/LOG($H$2))),"")</f>
        <v/>
      </c>
      <c r="J70" s="192" t="e">
        <f t="shared" si="5"/>
        <v>#NUM!</v>
      </c>
      <c r="K70" s="191" t="e">
        <f t="shared" ref="K70:K133" si="7">J70*$J$2</f>
        <v>#NUM!</v>
      </c>
      <c r="L70" s="191"/>
      <c r="M70" s="193">
        <f t="shared" ref="M70:M133" si="8">IF(I70&lt;&gt;"",K70+I70+L70,0)</f>
        <v>0</v>
      </c>
    </row>
    <row r="71" spans="1:13" x14ac:dyDescent="0.25">
      <c r="A71" s="98">
        <f t="shared" ref="A71:A79" si="9">M71</f>
        <v>0</v>
      </c>
      <c r="G71" s="179"/>
      <c r="H71" s="191">
        <v>66</v>
      </c>
      <c r="I71" s="192" t="str">
        <f t="shared" si="6"/>
        <v/>
      </c>
      <c r="J71" s="192" t="e">
        <f t="shared" ref="J71:J134" si="10">INT(LOG($H$2,2))-ROUNDUP(LOG(H71,2),0)+IF(OR($H$2=1,$H$2=2,$H$2=4,$H$2=8,$H$2=16,$H$2=32,$H$2=64,$H$2=128,$H$2=256),0,1)</f>
        <v>#NUM!</v>
      </c>
      <c r="K71" s="191" t="e">
        <f t="shared" si="7"/>
        <v>#NUM!</v>
      </c>
      <c r="L71" s="191"/>
      <c r="M71" s="193">
        <f t="shared" si="8"/>
        <v>0</v>
      </c>
    </row>
    <row r="72" spans="1:13" x14ac:dyDescent="0.25">
      <c r="A72" s="98">
        <f t="shared" si="9"/>
        <v>0</v>
      </c>
      <c r="G72" s="179"/>
      <c r="H72" s="191">
        <v>67</v>
      </c>
      <c r="I72" s="192" t="str">
        <f t="shared" si="6"/>
        <v/>
      </c>
      <c r="J72" s="192" t="e">
        <f t="shared" si="10"/>
        <v>#NUM!</v>
      </c>
      <c r="K72" s="191" t="e">
        <f t="shared" si="7"/>
        <v>#NUM!</v>
      </c>
      <c r="L72" s="191"/>
      <c r="M72" s="193">
        <f t="shared" si="8"/>
        <v>0</v>
      </c>
    </row>
    <row r="73" spans="1:13" x14ac:dyDescent="0.25">
      <c r="A73" s="98">
        <f t="shared" si="9"/>
        <v>0</v>
      </c>
      <c r="G73" s="179"/>
      <c r="H73" s="191">
        <v>68</v>
      </c>
      <c r="I73" s="192" t="str">
        <f t="shared" si="6"/>
        <v/>
      </c>
      <c r="J73" s="192" t="e">
        <f t="shared" si="10"/>
        <v>#NUM!</v>
      </c>
      <c r="K73" s="191" t="e">
        <f t="shared" si="7"/>
        <v>#NUM!</v>
      </c>
      <c r="L73" s="191"/>
      <c r="M73" s="193">
        <f t="shared" si="8"/>
        <v>0</v>
      </c>
    </row>
    <row r="74" spans="1:13" x14ac:dyDescent="0.25">
      <c r="A74" s="98">
        <f t="shared" si="9"/>
        <v>0</v>
      </c>
      <c r="G74" s="179"/>
      <c r="H74" s="191">
        <v>69</v>
      </c>
      <c r="I74" s="192" t="str">
        <f t="shared" si="6"/>
        <v/>
      </c>
      <c r="J74" s="192" t="e">
        <f t="shared" si="10"/>
        <v>#NUM!</v>
      </c>
      <c r="K74" s="191" t="e">
        <f t="shared" si="7"/>
        <v>#NUM!</v>
      </c>
      <c r="L74" s="191"/>
      <c r="M74" s="193">
        <f t="shared" si="8"/>
        <v>0</v>
      </c>
    </row>
    <row r="75" spans="1:13" x14ac:dyDescent="0.25">
      <c r="A75" s="98">
        <f t="shared" si="9"/>
        <v>0</v>
      </c>
      <c r="G75" s="179"/>
      <c r="H75" s="191">
        <v>70</v>
      </c>
      <c r="I75" s="192" t="str">
        <f t="shared" si="6"/>
        <v/>
      </c>
      <c r="J75" s="192" t="e">
        <f t="shared" si="10"/>
        <v>#NUM!</v>
      </c>
      <c r="K75" s="191" t="e">
        <f t="shared" si="7"/>
        <v>#NUM!</v>
      </c>
      <c r="L75" s="191"/>
      <c r="M75" s="193">
        <f t="shared" si="8"/>
        <v>0</v>
      </c>
    </row>
    <row r="76" spans="1:13" x14ac:dyDescent="0.25">
      <c r="A76" s="98">
        <f t="shared" si="9"/>
        <v>0</v>
      </c>
      <c r="G76" s="179"/>
      <c r="H76" s="191">
        <v>71</v>
      </c>
      <c r="I76" s="192" t="str">
        <f t="shared" si="6"/>
        <v/>
      </c>
      <c r="J76" s="192" t="e">
        <f t="shared" si="10"/>
        <v>#NUM!</v>
      </c>
      <c r="K76" s="191" t="e">
        <f t="shared" si="7"/>
        <v>#NUM!</v>
      </c>
      <c r="L76" s="191"/>
      <c r="M76" s="193">
        <f t="shared" si="8"/>
        <v>0</v>
      </c>
    </row>
    <row r="77" spans="1:13" x14ac:dyDescent="0.25">
      <c r="A77" s="98">
        <f t="shared" si="9"/>
        <v>0</v>
      </c>
      <c r="G77" s="179"/>
      <c r="H77" s="191">
        <v>72</v>
      </c>
      <c r="I77" s="192" t="str">
        <f t="shared" si="6"/>
        <v/>
      </c>
      <c r="J77" s="192" t="e">
        <f t="shared" si="10"/>
        <v>#NUM!</v>
      </c>
      <c r="K77" s="191" t="e">
        <f t="shared" si="7"/>
        <v>#NUM!</v>
      </c>
      <c r="L77" s="191"/>
      <c r="M77" s="193">
        <f t="shared" si="8"/>
        <v>0</v>
      </c>
    </row>
    <row r="78" spans="1:13" x14ac:dyDescent="0.25">
      <c r="A78" s="98">
        <f t="shared" si="9"/>
        <v>0</v>
      </c>
      <c r="G78" s="179"/>
      <c r="H78" s="191">
        <v>73</v>
      </c>
      <c r="I78" s="192" t="str">
        <f t="shared" si="6"/>
        <v/>
      </c>
      <c r="J78" s="192" t="e">
        <f t="shared" si="10"/>
        <v>#NUM!</v>
      </c>
      <c r="K78" s="191" t="e">
        <f t="shared" si="7"/>
        <v>#NUM!</v>
      </c>
      <c r="L78" s="191"/>
      <c r="M78" s="193">
        <f t="shared" si="8"/>
        <v>0</v>
      </c>
    </row>
    <row r="79" spans="1:13" x14ac:dyDescent="0.25">
      <c r="A79" s="98">
        <f t="shared" si="9"/>
        <v>0</v>
      </c>
      <c r="G79" s="179"/>
      <c r="H79" s="191">
        <v>74</v>
      </c>
      <c r="I79" s="192" t="str">
        <f t="shared" si="6"/>
        <v/>
      </c>
      <c r="J79" s="192" t="e">
        <f t="shared" si="10"/>
        <v>#NUM!</v>
      </c>
      <c r="K79" s="191" t="e">
        <f t="shared" si="7"/>
        <v>#NUM!</v>
      </c>
      <c r="L79" s="191"/>
      <c r="M79" s="193">
        <f t="shared" si="8"/>
        <v>0</v>
      </c>
    </row>
    <row r="80" spans="1:13" x14ac:dyDescent="0.25">
      <c r="A80" s="94"/>
      <c r="G80" s="179"/>
      <c r="H80" s="191">
        <v>75</v>
      </c>
      <c r="I80" s="192" t="str">
        <f t="shared" si="6"/>
        <v/>
      </c>
      <c r="J80" s="192" t="e">
        <f t="shared" si="10"/>
        <v>#NUM!</v>
      </c>
      <c r="K80" s="191" t="e">
        <f t="shared" si="7"/>
        <v>#NUM!</v>
      </c>
      <c r="L80" s="191"/>
      <c r="M80" s="193">
        <f t="shared" si="8"/>
        <v>0</v>
      </c>
    </row>
    <row r="81" spans="1:13" x14ac:dyDescent="0.25">
      <c r="A81" s="208"/>
      <c r="G81" s="179"/>
      <c r="H81" s="191">
        <v>76</v>
      </c>
      <c r="I81" s="192" t="str">
        <f t="shared" si="6"/>
        <v/>
      </c>
      <c r="J81" s="192" t="e">
        <f t="shared" si="10"/>
        <v>#NUM!</v>
      </c>
      <c r="K81" s="191" t="e">
        <f t="shared" si="7"/>
        <v>#NUM!</v>
      </c>
      <c r="L81" s="191"/>
      <c r="M81" s="193">
        <f t="shared" si="8"/>
        <v>0</v>
      </c>
    </row>
    <row r="82" spans="1:13" x14ac:dyDescent="0.25">
      <c r="A82" s="208"/>
      <c r="G82" s="179"/>
      <c r="H82" s="191">
        <v>77</v>
      </c>
      <c r="I82" s="192" t="str">
        <f t="shared" si="6"/>
        <v/>
      </c>
      <c r="J82" s="192" t="e">
        <f t="shared" si="10"/>
        <v>#NUM!</v>
      </c>
      <c r="K82" s="191" t="e">
        <f t="shared" si="7"/>
        <v>#NUM!</v>
      </c>
      <c r="L82" s="191"/>
      <c r="M82" s="193">
        <f t="shared" si="8"/>
        <v>0</v>
      </c>
    </row>
    <row r="83" spans="1:13" x14ac:dyDescent="0.25">
      <c r="A83" s="208"/>
      <c r="G83" s="179"/>
      <c r="H83" s="191">
        <v>78</v>
      </c>
      <c r="I83" s="192" t="str">
        <f t="shared" si="6"/>
        <v/>
      </c>
      <c r="J83" s="192" t="e">
        <f t="shared" si="10"/>
        <v>#NUM!</v>
      </c>
      <c r="K83" s="191" t="e">
        <f t="shared" si="7"/>
        <v>#NUM!</v>
      </c>
      <c r="L83" s="191"/>
      <c r="M83" s="193">
        <f t="shared" si="8"/>
        <v>0</v>
      </c>
    </row>
    <row r="84" spans="1:13" x14ac:dyDescent="0.25">
      <c r="A84" s="208"/>
      <c r="G84" s="179"/>
      <c r="H84" s="191">
        <v>79</v>
      </c>
      <c r="I84" s="192" t="str">
        <f t="shared" si="6"/>
        <v/>
      </c>
      <c r="J84" s="192" t="e">
        <f t="shared" si="10"/>
        <v>#NUM!</v>
      </c>
      <c r="K84" s="191" t="e">
        <f t="shared" si="7"/>
        <v>#NUM!</v>
      </c>
      <c r="L84" s="191"/>
      <c r="M84" s="193">
        <f t="shared" si="8"/>
        <v>0</v>
      </c>
    </row>
    <row r="85" spans="1:13" x14ac:dyDescent="0.25">
      <c r="A85" s="208"/>
      <c r="G85" s="179"/>
      <c r="H85" s="191">
        <v>80</v>
      </c>
      <c r="I85" s="192" t="str">
        <f t="shared" si="6"/>
        <v/>
      </c>
      <c r="J85" s="192" t="e">
        <f t="shared" si="10"/>
        <v>#NUM!</v>
      </c>
      <c r="K85" s="191" t="e">
        <f t="shared" si="7"/>
        <v>#NUM!</v>
      </c>
      <c r="L85" s="191"/>
      <c r="M85" s="193">
        <f t="shared" si="8"/>
        <v>0</v>
      </c>
    </row>
    <row r="86" spans="1:13" x14ac:dyDescent="0.25">
      <c r="A86" s="208"/>
      <c r="G86" s="179"/>
      <c r="H86" s="191">
        <v>81</v>
      </c>
      <c r="I86" s="192" t="str">
        <f t="shared" si="6"/>
        <v/>
      </c>
      <c r="J86" s="192" t="e">
        <f t="shared" si="10"/>
        <v>#NUM!</v>
      </c>
      <c r="K86" s="191" t="e">
        <f t="shared" si="7"/>
        <v>#NUM!</v>
      </c>
      <c r="L86" s="191"/>
      <c r="M86" s="193">
        <f t="shared" si="8"/>
        <v>0</v>
      </c>
    </row>
    <row r="87" spans="1:13" x14ac:dyDescent="0.25">
      <c r="A87" s="208"/>
      <c r="G87" s="179"/>
      <c r="H87" s="191">
        <v>82</v>
      </c>
      <c r="I87" s="192" t="str">
        <f t="shared" si="6"/>
        <v/>
      </c>
      <c r="J87" s="192" t="e">
        <f t="shared" si="10"/>
        <v>#NUM!</v>
      </c>
      <c r="K87" s="191" t="e">
        <f t="shared" si="7"/>
        <v>#NUM!</v>
      </c>
      <c r="L87" s="191"/>
      <c r="M87" s="193">
        <f t="shared" si="8"/>
        <v>0</v>
      </c>
    </row>
    <row r="88" spans="1:13" x14ac:dyDescent="0.25">
      <c r="A88" s="208"/>
      <c r="G88" s="179"/>
      <c r="H88" s="191">
        <v>83</v>
      </c>
      <c r="I88" s="192" t="str">
        <f t="shared" si="6"/>
        <v/>
      </c>
      <c r="J88" s="192" t="e">
        <f t="shared" si="10"/>
        <v>#NUM!</v>
      </c>
      <c r="K88" s="191" t="e">
        <f t="shared" si="7"/>
        <v>#NUM!</v>
      </c>
      <c r="L88" s="191"/>
      <c r="M88" s="193">
        <f t="shared" si="8"/>
        <v>0</v>
      </c>
    </row>
    <row r="89" spans="1:13" x14ac:dyDescent="0.25">
      <c r="A89" s="208"/>
      <c r="G89" s="179"/>
      <c r="H89" s="191">
        <v>84</v>
      </c>
      <c r="I89" s="192" t="str">
        <f t="shared" si="6"/>
        <v/>
      </c>
      <c r="J89" s="192" t="e">
        <f t="shared" si="10"/>
        <v>#NUM!</v>
      </c>
      <c r="K89" s="191" t="e">
        <f t="shared" si="7"/>
        <v>#NUM!</v>
      </c>
      <c r="L89" s="191"/>
      <c r="M89" s="193">
        <f t="shared" si="8"/>
        <v>0</v>
      </c>
    </row>
    <row r="90" spans="1:13" x14ac:dyDescent="0.25">
      <c r="A90" s="208"/>
      <c r="G90" s="179"/>
      <c r="H90" s="191">
        <v>85</v>
      </c>
      <c r="I90" s="192" t="str">
        <f t="shared" si="6"/>
        <v/>
      </c>
      <c r="J90" s="192" t="e">
        <f t="shared" si="10"/>
        <v>#NUM!</v>
      </c>
      <c r="K90" s="191" t="e">
        <f t="shared" si="7"/>
        <v>#NUM!</v>
      </c>
      <c r="L90" s="191"/>
      <c r="M90" s="193">
        <f t="shared" si="8"/>
        <v>0</v>
      </c>
    </row>
    <row r="91" spans="1:13" x14ac:dyDescent="0.25">
      <c r="A91" s="208"/>
      <c r="G91" s="179"/>
      <c r="H91" s="191">
        <v>86</v>
      </c>
      <c r="I91" s="192" t="str">
        <f t="shared" si="6"/>
        <v/>
      </c>
      <c r="J91" s="192" t="e">
        <f t="shared" si="10"/>
        <v>#NUM!</v>
      </c>
      <c r="K91" s="191" t="e">
        <f t="shared" si="7"/>
        <v>#NUM!</v>
      </c>
      <c r="L91" s="191"/>
      <c r="M91" s="193">
        <f t="shared" si="8"/>
        <v>0</v>
      </c>
    </row>
    <row r="92" spans="1:13" x14ac:dyDescent="0.25">
      <c r="A92" s="208"/>
      <c r="G92" s="179"/>
      <c r="H92" s="191">
        <v>87</v>
      </c>
      <c r="I92" s="192" t="str">
        <f t="shared" si="6"/>
        <v/>
      </c>
      <c r="J92" s="192" t="e">
        <f t="shared" si="10"/>
        <v>#NUM!</v>
      </c>
      <c r="K92" s="191" t="e">
        <f t="shared" si="7"/>
        <v>#NUM!</v>
      </c>
      <c r="L92" s="191"/>
      <c r="M92" s="193">
        <f t="shared" si="8"/>
        <v>0</v>
      </c>
    </row>
    <row r="93" spans="1:13" x14ac:dyDescent="0.25">
      <c r="A93" s="208"/>
      <c r="G93" s="179"/>
      <c r="H93" s="191">
        <v>88</v>
      </c>
      <c r="I93" s="192" t="str">
        <f t="shared" si="6"/>
        <v/>
      </c>
      <c r="J93" s="192" t="e">
        <f t="shared" si="10"/>
        <v>#NUM!</v>
      </c>
      <c r="K93" s="191" t="e">
        <f t="shared" si="7"/>
        <v>#NUM!</v>
      </c>
      <c r="L93" s="191"/>
      <c r="M93" s="193">
        <f t="shared" si="8"/>
        <v>0</v>
      </c>
    </row>
    <row r="94" spans="1:13" x14ac:dyDescent="0.25">
      <c r="A94" s="208"/>
      <c r="G94" s="179"/>
      <c r="H94" s="191">
        <v>89</v>
      </c>
      <c r="I94" s="192" t="str">
        <f t="shared" si="6"/>
        <v/>
      </c>
      <c r="J94" s="192" t="e">
        <f t="shared" si="10"/>
        <v>#NUM!</v>
      </c>
      <c r="K94" s="191" t="e">
        <f t="shared" si="7"/>
        <v>#NUM!</v>
      </c>
      <c r="L94" s="191"/>
      <c r="M94" s="193">
        <f t="shared" si="8"/>
        <v>0</v>
      </c>
    </row>
    <row r="95" spans="1:13" x14ac:dyDescent="0.25">
      <c r="A95" s="208"/>
      <c r="G95" s="179"/>
      <c r="H95" s="191">
        <v>90</v>
      </c>
      <c r="I95" s="192" t="str">
        <f t="shared" si="6"/>
        <v/>
      </c>
      <c r="J95" s="192" t="e">
        <f t="shared" si="10"/>
        <v>#NUM!</v>
      </c>
      <c r="K95" s="191" t="e">
        <f t="shared" si="7"/>
        <v>#NUM!</v>
      </c>
      <c r="L95" s="191"/>
      <c r="M95" s="193">
        <f t="shared" si="8"/>
        <v>0</v>
      </c>
    </row>
    <row r="96" spans="1:13" x14ac:dyDescent="0.25">
      <c r="A96" s="208"/>
      <c r="G96" s="179"/>
      <c r="H96" s="191">
        <v>91</v>
      </c>
      <c r="I96" s="192" t="str">
        <f t="shared" si="6"/>
        <v/>
      </c>
      <c r="J96" s="192" t="e">
        <f t="shared" si="10"/>
        <v>#NUM!</v>
      </c>
      <c r="K96" s="191" t="e">
        <f t="shared" si="7"/>
        <v>#NUM!</v>
      </c>
      <c r="L96" s="191"/>
      <c r="M96" s="193">
        <f t="shared" si="8"/>
        <v>0</v>
      </c>
    </row>
    <row r="97" spans="1:13" x14ac:dyDescent="0.25">
      <c r="A97" s="208"/>
      <c r="G97" s="179"/>
      <c r="H97" s="191">
        <v>92</v>
      </c>
      <c r="I97" s="192" t="str">
        <f t="shared" si="6"/>
        <v/>
      </c>
      <c r="J97" s="192" t="e">
        <f t="shared" si="10"/>
        <v>#NUM!</v>
      </c>
      <c r="K97" s="191" t="e">
        <f t="shared" si="7"/>
        <v>#NUM!</v>
      </c>
      <c r="L97" s="191"/>
      <c r="M97" s="193">
        <f t="shared" si="8"/>
        <v>0</v>
      </c>
    </row>
    <row r="98" spans="1:13" x14ac:dyDescent="0.25">
      <c r="A98" s="208"/>
      <c r="G98" s="179"/>
      <c r="H98" s="191">
        <v>93</v>
      </c>
      <c r="I98" s="192" t="str">
        <f t="shared" si="6"/>
        <v/>
      </c>
      <c r="J98" s="192" t="e">
        <f t="shared" si="10"/>
        <v>#NUM!</v>
      </c>
      <c r="K98" s="191" t="e">
        <f t="shared" si="7"/>
        <v>#NUM!</v>
      </c>
      <c r="L98" s="191"/>
      <c r="M98" s="193">
        <f t="shared" si="8"/>
        <v>0</v>
      </c>
    </row>
    <row r="99" spans="1:13" x14ac:dyDescent="0.25">
      <c r="A99" s="208"/>
      <c r="G99" s="179"/>
      <c r="H99" s="191">
        <v>94</v>
      </c>
      <c r="I99" s="192" t="str">
        <f t="shared" si="6"/>
        <v/>
      </c>
      <c r="J99" s="192" t="e">
        <f t="shared" si="10"/>
        <v>#NUM!</v>
      </c>
      <c r="K99" s="191" t="e">
        <f t="shared" si="7"/>
        <v>#NUM!</v>
      </c>
      <c r="L99" s="191"/>
      <c r="M99" s="193">
        <f t="shared" si="8"/>
        <v>0</v>
      </c>
    </row>
    <row r="100" spans="1:13" x14ac:dyDescent="0.25">
      <c r="A100" s="208"/>
      <c r="G100" s="179"/>
      <c r="H100" s="191">
        <v>95</v>
      </c>
      <c r="I100" s="192" t="str">
        <f t="shared" si="6"/>
        <v/>
      </c>
      <c r="J100" s="192" t="e">
        <f t="shared" si="10"/>
        <v>#NUM!</v>
      </c>
      <c r="K100" s="191" t="e">
        <f t="shared" si="7"/>
        <v>#NUM!</v>
      </c>
      <c r="L100" s="191"/>
      <c r="M100" s="193">
        <f t="shared" si="8"/>
        <v>0</v>
      </c>
    </row>
    <row r="101" spans="1:13" x14ac:dyDescent="0.25">
      <c r="A101" s="208"/>
      <c r="G101" s="179"/>
      <c r="H101" s="191">
        <v>96</v>
      </c>
      <c r="I101" s="192" t="str">
        <f t="shared" si="6"/>
        <v/>
      </c>
      <c r="J101" s="192" t="e">
        <f t="shared" si="10"/>
        <v>#NUM!</v>
      </c>
      <c r="K101" s="191" t="e">
        <f t="shared" si="7"/>
        <v>#NUM!</v>
      </c>
      <c r="L101" s="191"/>
      <c r="M101" s="193">
        <f t="shared" si="8"/>
        <v>0</v>
      </c>
    </row>
    <row r="102" spans="1:13" x14ac:dyDescent="0.25">
      <c r="A102" s="208"/>
      <c r="G102" s="179"/>
      <c r="H102" s="191">
        <v>97</v>
      </c>
      <c r="I102" s="192" t="str">
        <f t="shared" si="6"/>
        <v/>
      </c>
      <c r="J102" s="192" t="e">
        <f t="shared" si="10"/>
        <v>#NUM!</v>
      </c>
      <c r="K102" s="191" t="e">
        <f t="shared" si="7"/>
        <v>#NUM!</v>
      </c>
      <c r="L102" s="191"/>
      <c r="M102" s="193">
        <f t="shared" si="8"/>
        <v>0</v>
      </c>
    </row>
    <row r="103" spans="1:13" x14ac:dyDescent="0.25">
      <c r="A103" s="208"/>
      <c r="G103" s="179"/>
      <c r="H103" s="191">
        <v>98</v>
      </c>
      <c r="I103" s="192" t="str">
        <f t="shared" si="6"/>
        <v/>
      </c>
      <c r="J103" s="192" t="e">
        <f t="shared" si="10"/>
        <v>#NUM!</v>
      </c>
      <c r="K103" s="191" t="e">
        <f t="shared" si="7"/>
        <v>#NUM!</v>
      </c>
      <c r="L103" s="191"/>
      <c r="M103" s="193">
        <f t="shared" si="8"/>
        <v>0</v>
      </c>
    </row>
    <row r="104" spans="1:13" x14ac:dyDescent="0.25">
      <c r="A104" s="208"/>
      <c r="G104" s="179"/>
      <c r="H104" s="191">
        <v>99</v>
      </c>
      <c r="I104" s="192" t="str">
        <f t="shared" si="6"/>
        <v/>
      </c>
      <c r="J104" s="192" t="e">
        <f t="shared" si="10"/>
        <v>#NUM!</v>
      </c>
      <c r="K104" s="191" t="e">
        <f t="shared" si="7"/>
        <v>#NUM!</v>
      </c>
      <c r="L104" s="191"/>
      <c r="M104" s="193">
        <f t="shared" si="8"/>
        <v>0</v>
      </c>
    </row>
    <row r="105" spans="1:13" x14ac:dyDescent="0.25">
      <c r="A105" s="208"/>
      <c r="G105" s="179"/>
      <c r="H105" s="191">
        <v>100</v>
      </c>
      <c r="I105" s="192" t="str">
        <f t="shared" si="6"/>
        <v/>
      </c>
      <c r="J105" s="192" t="e">
        <f t="shared" si="10"/>
        <v>#NUM!</v>
      </c>
      <c r="K105" s="191" t="e">
        <f t="shared" si="7"/>
        <v>#NUM!</v>
      </c>
      <c r="L105" s="191"/>
      <c r="M105" s="193">
        <f t="shared" si="8"/>
        <v>0</v>
      </c>
    </row>
    <row r="106" spans="1:13" x14ac:dyDescent="0.25">
      <c r="A106" s="208"/>
      <c r="G106" s="179"/>
      <c r="H106" s="191">
        <v>101</v>
      </c>
      <c r="I106" s="192" t="str">
        <f t="shared" si="6"/>
        <v/>
      </c>
      <c r="J106" s="192" t="e">
        <f t="shared" si="10"/>
        <v>#NUM!</v>
      </c>
      <c r="K106" s="191" t="e">
        <f t="shared" si="7"/>
        <v>#NUM!</v>
      </c>
      <c r="L106" s="191"/>
      <c r="M106" s="193">
        <f t="shared" si="8"/>
        <v>0</v>
      </c>
    </row>
    <row r="107" spans="1:13" x14ac:dyDescent="0.25">
      <c r="A107" s="208"/>
      <c r="G107" s="179"/>
      <c r="H107" s="191">
        <v>102</v>
      </c>
      <c r="I107" s="192" t="str">
        <f t="shared" si="6"/>
        <v/>
      </c>
      <c r="J107" s="192" t="e">
        <f t="shared" si="10"/>
        <v>#NUM!</v>
      </c>
      <c r="K107" s="191" t="e">
        <f t="shared" si="7"/>
        <v>#NUM!</v>
      </c>
      <c r="L107" s="191"/>
      <c r="M107" s="193">
        <f t="shared" si="8"/>
        <v>0</v>
      </c>
    </row>
    <row r="108" spans="1:13" x14ac:dyDescent="0.25">
      <c r="A108" s="208"/>
      <c r="G108" s="179"/>
      <c r="H108" s="191">
        <v>103</v>
      </c>
      <c r="I108" s="192" t="str">
        <f t="shared" si="6"/>
        <v/>
      </c>
      <c r="J108" s="192" t="e">
        <f t="shared" si="10"/>
        <v>#NUM!</v>
      </c>
      <c r="K108" s="191" t="e">
        <f t="shared" si="7"/>
        <v>#NUM!</v>
      </c>
      <c r="L108" s="191"/>
      <c r="M108" s="193">
        <f t="shared" si="8"/>
        <v>0</v>
      </c>
    </row>
    <row r="109" spans="1:13" x14ac:dyDescent="0.25">
      <c r="A109" s="208"/>
      <c r="G109" s="179"/>
      <c r="H109" s="191">
        <v>104</v>
      </c>
      <c r="I109" s="192" t="str">
        <f t="shared" si="6"/>
        <v/>
      </c>
      <c r="J109" s="192" t="e">
        <f t="shared" si="10"/>
        <v>#NUM!</v>
      </c>
      <c r="K109" s="191" t="e">
        <f t="shared" si="7"/>
        <v>#NUM!</v>
      </c>
      <c r="L109" s="191"/>
      <c r="M109" s="193">
        <f t="shared" si="8"/>
        <v>0</v>
      </c>
    </row>
    <row r="110" spans="1:13" x14ac:dyDescent="0.25">
      <c r="A110" s="208"/>
      <c r="G110" s="179"/>
      <c r="H110" s="191">
        <v>105</v>
      </c>
      <c r="I110" s="192" t="str">
        <f t="shared" si="6"/>
        <v/>
      </c>
      <c r="J110" s="192" t="e">
        <f t="shared" si="10"/>
        <v>#NUM!</v>
      </c>
      <c r="K110" s="191" t="e">
        <f t="shared" si="7"/>
        <v>#NUM!</v>
      </c>
      <c r="L110" s="191"/>
      <c r="M110" s="193">
        <f t="shared" si="8"/>
        <v>0</v>
      </c>
    </row>
    <row r="111" spans="1:13" x14ac:dyDescent="0.25">
      <c r="A111" s="208"/>
      <c r="G111" s="179"/>
      <c r="H111" s="191">
        <v>106</v>
      </c>
      <c r="I111" s="192" t="str">
        <f t="shared" si="6"/>
        <v/>
      </c>
      <c r="J111" s="192" t="e">
        <f t="shared" si="10"/>
        <v>#NUM!</v>
      </c>
      <c r="K111" s="191" t="e">
        <f t="shared" si="7"/>
        <v>#NUM!</v>
      </c>
      <c r="L111" s="191"/>
      <c r="M111" s="193">
        <f t="shared" si="8"/>
        <v>0</v>
      </c>
    </row>
    <row r="112" spans="1:13" x14ac:dyDescent="0.25">
      <c r="A112" s="208"/>
      <c r="G112" s="179"/>
      <c r="H112" s="191">
        <v>107</v>
      </c>
      <c r="I112" s="192" t="str">
        <f t="shared" si="6"/>
        <v/>
      </c>
      <c r="J112" s="192" t="e">
        <f t="shared" si="10"/>
        <v>#NUM!</v>
      </c>
      <c r="K112" s="191" t="e">
        <f t="shared" si="7"/>
        <v>#NUM!</v>
      </c>
      <c r="L112" s="191"/>
      <c r="M112" s="193">
        <f t="shared" si="8"/>
        <v>0</v>
      </c>
    </row>
    <row r="113" spans="1:13" x14ac:dyDescent="0.25">
      <c r="A113" s="208"/>
      <c r="G113" s="179"/>
      <c r="H113" s="191">
        <v>108</v>
      </c>
      <c r="I113" s="192" t="str">
        <f t="shared" si="6"/>
        <v/>
      </c>
      <c r="J113" s="192" t="e">
        <f t="shared" si="10"/>
        <v>#NUM!</v>
      </c>
      <c r="K113" s="191" t="e">
        <f t="shared" si="7"/>
        <v>#NUM!</v>
      </c>
      <c r="L113" s="191"/>
      <c r="M113" s="193">
        <f t="shared" si="8"/>
        <v>0</v>
      </c>
    </row>
    <row r="114" spans="1:13" x14ac:dyDescent="0.25">
      <c r="A114" s="208"/>
      <c r="G114" s="179"/>
      <c r="H114" s="191">
        <v>109</v>
      </c>
      <c r="I114" s="192" t="str">
        <f t="shared" si="6"/>
        <v/>
      </c>
      <c r="J114" s="192" t="e">
        <f t="shared" si="10"/>
        <v>#NUM!</v>
      </c>
      <c r="K114" s="191" t="e">
        <f t="shared" si="7"/>
        <v>#NUM!</v>
      </c>
      <c r="L114" s="191"/>
      <c r="M114" s="193">
        <f t="shared" si="8"/>
        <v>0</v>
      </c>
    </row>
    <row r="115" spans="1:13" x14ac:dyDescent="0.25">
      <c r="A115" s="208"/>
      <c r="G115" s="179"/>
      <c r="H115" s="191">
        <v>110</v>
      </c>
      <c r="I115" s="192" t="str">
        <f t="shared" si="6"/>
        <v/>
      </c>
      <c r="J115" s="192" t="e">
        <f t="shared" si="10"/>
        <v>#NUM!</v>
      </c>
      <c r="K115" s="191" t="e">
        <f t="shared" si="7"/>
        <v>#NUM!</v>
      </c>
      <c r="L115" s="191"/>
      <c r="M115" s="193">
        <f t="shared" si="8"/>
        <v>0</v>
      </c>
    </row>
    <row r="116" spans="1:13" x14ac:dyDescent="0.25">
      <c r="A116" s="208"/>
      <c r="G116" s="179"/>
      <c r="H116" s="191">
        <v>111</v>
      </c>
      <c r="I116" s="192" t="str">
        <f t="shared" si="6"/>
        <v/>
      </c>
      <c r="J116" s="192" t="e">
        <f t="shared" si="10"/>
        <v>#NUM!</v>
      </c>
      <c r="K116" s="191" t="e">
        <f t="shared" si="7"/>
        <v>#NUM!</v>
      </c>
      <c r="L116" s="191"/>
      <c r="M116" s="193">
        <f t="shared" si="8"/>
        <v>0</v>
      </c>
    </row>
    <row r="117" spans="1:13" x14ac:dyDescent="0.25">
      <c r="A117" s="208"/>
      <c r="G117" s="179"/>
      <c r="H117" s="191">
        <v>112</v>
      </c>
      <c r="I117" s="192" t="str">
        <f t="shared" si="6"/>
        <v/>
      </c>
      <c r="J117" s="192" t="e">
        <f t="shared" si="10"/>
        <v>#NUM!</v>
      </c>
      <c r="K117" s="191" t="e">
        <f t="shared" si="7"/>
        <v>#NUM!</v>
      </c>
      <c r="L117" s="191"/>
      <c r="M117" s="193">
        <f t="shared" si="8"/>
        <v>0</v>
      </c>
    </row>
    <row r="118" spans="1:13" x14ac:dyDescent="0.25">
      <c r="A118" s="208"/>
      <c r="G118" s="179"/>
      <c r="H118" s="191">
        <v>113</v>
      </c>
      <c r="I118" s="192" t="str">
        <f t="shared" si="6"/>
        <v/>
      </c>
      <c r="J118" s="192" t="e">
        <f t="shared" si="10"/>
        <v>#NUM!</v>
      </c>
      <c r="K118" s="191" t="e">
        <f t="shared" si="7"/>
        <v>#NUM!</v>
      </c>
      <c r="L118" s="191"/>
      <c r="M118" s="193">
        <f t="shared" si="8"/>
        <v>0</v>
      </c>
    </row>
    <row r="119" spans="1:13" x14ac:dyDescent="0.25">
      <c r="A119" s="208"/>
      <c r="G119" s="179"/>
      <c r="H119" s="191">
        <v>114</v>
      </c>
      <c r="I119" s="192" t="str">
        <f t="shared" si="6"/>
        <v/>
      </c>
      <c r="J119" s="192" t="e">
        <f t="shared" si="10"/>
        <v>#NUM!</v>
      </c>
      <c r="K119" s="191" t="e">
        <f t="shared" si="7"/>
        <v>#NUM!</v>
      </c>
      <c r="L119" s="191"/>
      <c r="M119" s="193">
        <f t="shared" si="8"/>
        <v>0</v>
      </c>
    </row>
    <row r="120" spans="1:13" x14ac:dyDescent="0.25">
      <c r="A120" s="208"/>
      <c r="G120" s="179"/>
      <c r="H120" s="191">
        <v>115</v>
      </c>
      <c r="I120" s="192" t="str">
        <f t="shared" si="6"/>
        <v/>
      </c>
      <c r="J120" s="192" t="e">
        <f t="shared" si="10"/>
        <v>#NUM!</v>
      </c>
      <c r="K120" s="191" t="e">
        <f t="shared" si="7"/>
        <v>#NUM!</v>
      </c>
      <c r="L120" s="191"/>
      <c r="M120" s="193">
        <f t="shared" si="8"/>
        <v>0</v>
      </c>
    </row>
    <row r="121" spans="1:13" x14ac:dyDescent="0.25">
      <c r="A121" s="208"/>
      <c r="G121" s="179"/>
      <c r="H121" s="191">
        <v>116</v>
      </c>
      <c r="I121" s="192" t="str">
        <f t="shared" si="6"/>
        <v/>
      </c>
      <c r="J121" s="192" t="e">
        <f t="shared" si="10"/>
        <v>#NUM!</v>
      </c>
      <c r="K121" s="191" t="e">
        <f t="shared" si="7"/>
        <v>#NUM!</v>
      </c>
      <c r="L121" s="191"/>
      <c r="M121" s="193">
        <f t="shared" si="8"/>
        <v>0</v>
      </c>
    </row>
    <row r="122" spans="1:13" x14ac:dyDescent="0.25">
      <c r="A122" s="208"/>
      <c r="G122" s="179"/>
      <c r="H122" s="191">
        <v>117</v>
      </c>
      <c r="I122" s="192" t="str">
        <f t="shared" si="6"/>
        <v/>
      </c>
      <c r="J122" s="192" t="e">
        <f t="shared" si="10"/>
        <v>#NUM!</v>
      </c>
      <c r="K122" s="191" t="e">
        <f t="shared" si="7"/>
        <v>#NUM!</v>
      </c>
      <c r="L122" s="191"/>
      <c r="M122" s="193">
        <f t="shared" si="8"/>
        <v>0</v>
      </c>
    </row>
    <row r="123" spans="1:13" x14ac:dyDescent="0.25">
      <c r="A123" s="208"/>
      <c r="G123" s="179"/>
      <c r="H123" s="191">
        <v>118</v>
      </c>
      <c r="I123" s="192" t="str">
        <f t="shared" si="6"/>
        <v/>
      </c>
      <c r="J123" s="192" t="e">
        <f t="shared" si="10"/>
        <v>#NUM!</v>
      </c>
      <c r="K123" s="191" t="e">
        <f t="shared" si="7"/>
        <v>#NUM!</v>
      </c>
      <c r="L123" s="191"/>
      <c r="M123" s="193">
        <f t="shared" si="8"/>
        <v>0</v>
      </c>
    </row>
    <row r="124" spans="1:13" x14ac:dyDescent="0.25">
      <c r="A124" s="208"/>
      <c r="G124" s="179"/>
      <c r="H124" s="191">
        <v>119</v>
      </c>
      <c r="I124" s="192" t="str">
        <f t="shared" si="6"/>
        <v/>
      </c>
      <c r="J124" s="192" t="e">
        <f t="shared" si="10"/>
        <v>#NUM!</v>
      </c>
      <c r="K124" s="191" t="e">
        <f t="shared" si="7"/>
        <v>#NUM!</v>
      </c>
      <c r="L124" s="191"/>
      <c r="M124" s="193">
        <f t="shared" si="8"/>
        <v>0</v>
      </c>
    </row>
    <row r="125" spans="1:13" x14ac:dyDescent="0.25">
      <c r="A125" s="208"/>
      <c r="G125" s="179"/>
      <c r="H125" s="191">
        <v>120</v>
      </c>
      <c r="I125" s="192" t="str">
        <f t="shared" si="6"/>
        <v/>
      </c>
      <c r="J125" s="192" t="e">
        <f t="shared" si="10"/>
        <v>#NUM!</v>
      </c>
      <c r="K125" s="191" t="e">
        <f t="shared" si="7"/>
        <v>#NUM!</v>
      </c>
      <c r="L125" s="191"/>
      <c r="M125" s="193">
        <f t="shared" si="8"/>
        <v>0</v>
      </c>
    </row>
    <row r="126" spans="1:13" x14ac:dyDescent="0.25">
      <c r="A126" s="208"/>
      <c r="G126" s="179"/>
      <c r="H126" s="191">
        <v>121</v>
      </c>
      <c r="I126" s="192" t="str">
        <f t="shared" si="6"/>
        <v/>
      </c>
      <c r="J126" s="192" t="e">
        <f t="shared" si="10"/>
        <v>#NUM!</v>
      </c>
      <c r="K126" s="191" t="e">
        <f t="shared" si="7"/>
        <v>#NUM!</v>
      </c>
      <c r="L126" s="191"/>
      <c r="M126" s="193">
        <f t="shared" si="8"/>
        <v>0</v>
      </c>
    </row>
    <row r="127" spans="1:13" x14ac:dyDescent="0.25">
      <c r="A127" s="208"/>
      <c r="G127" s="179"/>
      <c r="H127" s="191">
        <v>122</v>
      </c>
      <c r="I127" s="192" t="str">
        <f t="shared" si="6"/>
        <v/>
      </c>
      <c r="J127" s="192" t="e">
        <f t="shared" si="10"/>
        <v>#NUM!</v>
      </c>
      <c r="K127" s="191" t="e">
        <f t="shared" si="7"/>
        <v>#NUM!</v>
      </c>
      <c r="L127" s="191"/>
      <c r="M127" s="193">
        <f t="shared" si="8"/>
        <v>0</v>
      </c>
    </row>
    <row r="128" spans="1:13" x14ac:dyDescent="0.25">
      <c r="A128" s="208"/>
      <c r="G128" s="179"/>
      <c r="H128" s="191">
        <v>123</v>
      </c>
      <c r="I128" s="192" t="str">
        <f t="shared" si="6"/>
        <v/>
      </c>
      <c r="J128" s="192" t="e">
        <f t="shared" si="10"/>
        <v>#NUM!</v>
      </c>
      <c r="K128" s="191" t="e">
        <f t="shared" si="7"/>
        <v>#NUM!</v>
      </c>
      <c r="L128" s="191"/>
      <c r="M128" s="193">
        <f t="shared" si="8"/>
        <v>0</v>
      </c>
    </row>
    <row r="129" spans="1:13" x14ac:dyDescent="0.25">
      <c r="A129" s="208"/>
      <c r="G129" s="179"/>
      <c r="H129" s="191">
        <v>124</v>
      </c>
      <c r="I129" s="192" t="str">
        <f t="shared" si="6"/>
        <v/>
      </c>
      <c r="J129" s="192" t="e">
        <f t="shared" si="10"/>
        <v>#NUM!</v>
      </c>
      <c r="K129" s="191" t="e">
        <f t="shared" si="7"/>
        <v>#NUM!</v>
      </c>
      <c r="L129" s="191"/>
      <c r="M129" s="193">
        <f t="shared" si="8"/>
        <v>0</v>
      </c>
    </row>
    <row r="130" spans="1:13" x14ac:dyDescent="0.25">
      <c r="A130" s="208"/>
      <c r="G130" s="179"/>
      <c r="H130" s="191">
        <v>125</v>
      </c>
      <c r="I130" s="192" t="str">
        <f t="shared" si="6"/>
        <v/>
      </c>
      <c r="J130" s="192" t="e">
        <f t="shared" si="10"/>
        <v>#NUM!</v>
      </c>
      <c r="K130" s="191" t="e">
        <f t="shared" si="7"/>
        <v>#NUM!</v>
      </c>
      <c r="L130" s="191"/>
      <c r="M130" s="193">
        <f t="shared" si="8"/>
        <v>0</v>
      </c>
    </row>
    <row r="131" spans="1:13" x14ac:dyDescent="0.25">
      <c r="A131" s="208"/>
      <c r="G131" s="179"/>
      <c r="H131" s="191">
        <v>126</v>
      </c>
      <c r="I131" s="192" t="str">
        <f t="shared" si="6"/>
        <v/>
      </c>
      <c r="J131" s="192" t="e">
        <f t="shared" si="10"/>
        <v>#NUM!</v>
      </c>
      <c r="K131" s="191" t="e">
        <f t="shared" si="7"/>
        <v>#NUM!</v>
      </c>
      <c r="L131" s="191"/>
      <c r="M131" s="193">
        <f t="shared" si="8"/>
        <v>0</v>
      </c>
    </row>
    <row r="132" spans="1:13" x14ac:dyDescent="0.25">
      <c r="A132" s="208"/>
      <c r="G132" s="179"/>
      <c r="H132" s="191">
        <v>127</v>
      </c>
      <c r="I132" s="192" t="str">
        <f t="shared" si="6"/>
        <v/>
      </c>
      <c r="J132" s="192" t="e">
        <f t="shared" si="10"/>
        <v>#NUM!</v>
      </c>
      <c r="K132" s="191" t="e">
        <f t="shared" si="7"/>
        <v>#NUM!</v>
      </c>
      <c r="L132" s="191"/>
      <c r="M132" s="193">
        <f t="shared" si="8"/>
        <v>0</v>
      </c>
    </row>
    <row r="133" spans="1:13" x14ac:dyDescent="0.25">
      <c r="A133" s="208"/>
      <c r="G133" s="179"/>
      <c r="H133" s="191">
        <v>128</v>
      </c>
      <c r="I133" s="192" t="str">
        <f t="shared" si="6"/>
        <v/>
      </c>
      <c r="J133" s="192" t="e">
        <f t="shared" si="10"/>
        <v>#NUM!</v>
      </c>
      <c r="K133" s="191" t="e">
        <f t="shared" si="7"/>
        <v>#NUM!</v>
      </c>
      <c r="L133" s="191"/>
      <c r="M133" s="193">
        <f t="shared" si="8"/>
        <v>0</v>
      </c>
    </row>
    <row r="134" spans="1:13" x14ac:dyDescent="0.25">
      <c r="A134" s="208"/>
      <c r="G134" s="179"/>
      <c r="H134" s="191">
        <v>129</v>
      </c>
      <c r="I134" s="192" t="str">
        <f t="shared" ref="I134:I197" si="11">IF(H134&lt;$H$2+1,($I$2-($I$2-1)*(LOG(H134)/LOG($H$2))),"")</f>
        <v/>
      </c>
      <c r="J134" s="192" t="e">
        <f t="shared" si="10"/>
        <v>#NUM!</v>
      </c>
      <c r="K134" s="191" t="e">
        <f t="shared" ref="K134:K197" si="12">J134*$J$2</f>
        <v>#NUM!</v>
      </c>
      <c r="L134" s="191"/>
      <c r="M134" s="193">
        <f t="shared" ref="M134:M197" si="13">IF(I134&lt;&gt;"",K134+I134+L134,0)</f>
        <v>0</v>
      </c>
    </row>
    <row r="135" spans="1:13" x14ac:dyDescent="0.25">
      <c r="A135" s="208"/>
      <c r="G135" s="179"/>
      <c r="H135" s="191">
        <v>130</v>
      </c>
      <c r="I135" s="192" t="str">
        <f t="shared" si="11"/>
        <v/>
      </c>
      <c r="J135" s="192" t="e">
        <f t="shared" ref="J135:J198" si="14">INT(LOG($H$2,2))-ROUNDUP(LOG(H135,2),0)+IF(OR($H$2=1,$H$2=2,$H$2=4,$H$2=8,$H$2=16,$H$2=32,$H$2=64,$H$2=128,$H$2=256),0,1)</f>
        <v>#NUM!</v>
      </c>
      <c r="K135" s="191" t="e">
        <f t="shared" si="12"/>
        <v>#NUM!</v>
      </c>
      <c r="L135" s="191"/>
      <c r="M135" s="193">
        <f t="shared" si="13"/>
        <v>0</v>
      </c>
    </row>
    <row r="136" spans="1:13" x14ac:dyDescent="0.25">
      <c r="A136" s="208"/>
      <c r="G136" s="179"/>
      <c r="H136" s="191">
        <v>131</v>
      </c>
      <c r="I136" s="192" t="str">
        <f t="shared" si="11"/>
        <v/>
      </c>
      <c r="J136" s="192" t="e">
        <f t="shared" si="14"/>
        <v>#NUM!</v>
      </c>
      <c r="K136" s="191" t="e">
        <f t="shared" si="12"/>
        <v>#NUM!</v>
      </c>
      <c r="L136" s="191"/>
      <c r="M136" s="193">
        <f t="shared" si="13"/>
        <v>0</v>
      </c>
    </row>
    <row r="137" spans="1:13" x14ac:dyDescent="0.25">
      <c r="A137" s="208"/>
      <c r="G137" s="179"/>
      <c r="H137" s="191">
        <v>132</v>
      </c>
      <c r="I137" s="192" t="str">
        <f t="shared" si="11"/>
        <v/>
      </c>
      <c r="J137" s="192" t="e">
        <f t="shared" si="14"/>
        <v>#NUM!</v>
      </c>
      <c r="K137" s="191" t="e">
        <f t="shared" si="12"/>
        <v>#NUM!</v>
      </c>
      <c r="L137" s="191"/>
      <c r="M137" s="193">
        <f t="shared" si="13"/>
        <v>0</v>
      </c>
    </row>
    <row r="138" spans="1:13" x14ac:dyDescent="0.25">
      <c r="A138" s="208"/>
      <c r="G138" s="179"/>
      <c r="H138" s="191">
        <v>133</v>
      </c>
      <c r="I138" s="192" t="str">
        <f t="shared" si="11"/>
        <v/>
      </c>
      <c r="J138" s="192" t="e">
        <f t="shared" si="14"/>
        <v>#NUM!</v>
      </c>
      <c r="K138" s="191" t="e">
        <f t="shared" si="12"/>
        <v>#NUM!</v>
      </c>
      <c r="L138" s="191"/>
      <c r="M138" s="193">
        <f t="shared" si="13"/>
        <v>0</v>
      </c>
    </row>
    <row r="139" spans="1:13" x14ac:dyDescent="0.25">
      <c r="A139" s="208"/>
      <c r="G139" s="179"/>
      <c r="H139" s="191">
        <v>134</v>
      </c>
      <c r="I139" s="192" t="str">
        <f t="shared" si="11"/>
        <v/>
      </c>
      <c r="J139" s="192" t="e">
        <f t="shared" si="14"/>
        <v>#NUM!</v>
      </c>
      <c r="K139" s="191" t="e">
        <f t="shared" si="12"/>
        <v>#NUM!</v>
      </c>
      <c r="L139" s="191"/>
      <c r="M139" s="193">
        <f t="shared" si="13"/>
        <v>0</v>
      </c>
    </row>
    <row r="140" spans="1:13" x14ac:dyDescent="0.25">
      <c r="A140" s="208"/>
      <c r="G140" s="179"/>
      <c r="H140" s="191">
        <v>135</v>
      </c>
      <c r="I140" s="192" t="str">
        <f t="shared" si="11"/>
        <v/>
      </c>
      <c r="J140" s="192" t="e">
        <f t="shared" si="14"/>
        <v>#NUM!</v>
      </c>
      <c r="K140" s="191" t="e">
        <f t="shared" si="12"/>
        <v>#NUM!</v>
      </c>
      <c r="L140" s="191"/>
      <c r="M140" s="193">
        <f t="shared" si="13"/>
        <v>0</v>
      </c>
    </row>
    <row r="141" spans="1:13" x14ac:dyDescent="0.25">
      <c r="A141" s="208"/>
      <c r="G141" s="179"/>
      <c r="H141" s="191">
        <v>136</v>
      </c>
      <c r="I141" s="192" t="str">
        <f t="shared" si="11"/>
        <v/>
      </c>
      <c r="J141" s="192" t="e">
        <f t="shared" si="14"/>
        <v>#NUM!</v>
      </c>
      <c r="K141" s="191" t="e">
        <f t="shared" si="12"/>
        <v>#NUM!</v>
      </c>
      <c r="L141" s="191"/>
      <c r="M141" s="193">
        <f t="shared" si="13"/>
        <v>0</v>
      </c>
    </row>
    <row r="142" spans="1:13" x14ac:dyDescent="0.25">
      <c r="A142" s="208"/>
      <c r="G142" s="179"/>
      <c r="H142" s="191">
        <v>137</v>
      </c>
      <c r="I142" s="192" t="str">
        <f t="shared" si="11"/>
        <v/>
      </c>
      <c r="J142" s="192" t="e">
        <f t="shared" si="14"/>
        <v>#NUM!</v>
      </c>
      <c r="K142" s="191" t="e">
        <f t="shared" si="12"/>
        <v>#NUM!</v>
      </c>
      <c r="L142" s="191"/>
      <c r="M142" s="193">
        <f t="shared" si="13"/>
        <v>0</v>
      </c>
    </row>
    <row r="143" spans="1:13" x14ac:dyDescent="0.25">
      <c r="A143" s="208"/>
      <c r="G143" s="179"/>
      <c r="H143" s="191">
        <v>138</v>
      </c>
      <c r="I143" s="192" t="str">
        <f t="shared" si="11"/>
        <v/>
      </c>
      <c r="J143" s="192" t="e">
        <f t="shared" si="14"/>
        <v>#NUM!</v>
      </c>
      <c r="K143" s="191" t="e">
        <f t="shared" si="12"/>
        <v>#NUM!</v>
      </c>
      <c r="L143" s="191"/>
      <c r="M143" s="193">
        <f t="shared" si="13"/>
        <v>0</v>
      </c>
    </row>
    <row r="144" spans="1:13" x14ac:dyDescent="0.25">
      <c r="A144" s="208"/>
      <c r="G144" s="179"/>
      <c r="H144" s="191">
        <v>139</v>
      </c>
      <c r="I144" s="192" t="str">
        <f t="shared" si="11"/>
        <v/>
      </c>
      <c r="J144" s="192" t="e">
        <f t="shared" si="14"/>
        <v>#NUM!</v>
      </c>
      <c r="K144" s="191" t="e">
        <f t="shared" si="12"/>
        <v>#NUM!</v>
      </c>
      <c r="L144" s="191"/>
      <c r="M144" s="193">
        <f t="shared" si="13"/>
        <v>0</v>
      </c>
    </row>
    <row r="145" spans="1:13" x14ac:dyDescent="0.25">
      <c r="A145" s="208"/>
      <c r="G145" s="179"/>
      <c r="H145" s="191">
        <v>140</v>
      </c>
      <c r="I145" s="192" t="str">
        <f t="shared" si="11"/>
        <v/>
      </c>
      <c r="J145" s="192" t="e">
        <f t="shared" si="14"/>
        <v>#NUM!</v>
      </c>
      <c r="K145" s="191" t="e">
        <f t="shared" si="12"/>
        <v>#NUM!</v>
      </c>
      <c r="L145" s="191"/>
      <c r="M145" s="193">
        <f t="shared" si="13"/>
        <v>0</v>
      </c>
    </row>
    <row r="146" spans="1:13" x14ac:dyDescent="0.25">
      <c r="A146" s="208"/>
      <c r="G146" s="179"/>
      <c r="H146" s="191">
        <v>141</v>
      </c>
      <c r="I146" s="192" t="str">
        <f t="shared" si="11"/>
        <v/>
      </c>
      <c r="J146" s="192" t="e">
        <f t="shared" si="14"/>
        <v>#NUM!</v>
      </c>
      <c r="K146" s="191" t="e">
        <f t="shared" si="12"/>
        <v>#NUM!</v>
      </c>
      <c r="L146" s="191"/>
      <c r="M146" s="193">
        <f t="shared" si="13"/>
        <v>0</v>
      </c>
    </row>
    <row r="147" spans="1:13" x14ac:dyDescent="0.25">
      <c r="A147" s="208"/>
      <c r="G147" s="179"/>
      <c r="H147" s="191">
        <v>142</v>
      </c>
      <c r="I147" s="192" t="str">
        <f t="shared" si="11"/>
        <v/>
      </c>
      <c r="J147" s="192" t="e">
        <f t="shared" si="14"/>
        <v>#NUM!</v>
      </c>
      <c r="K147" s="191" t="e">
        <f t="shared" si="12"/>
        <v>#NUM!</v>
      </c>
      <c r="L147" s="191"/>
      <c r="M147" s="193">
        <f t="shared" si="13"/>
        <v>0</v>
      </c>
    </row>
    <row r="148" spans="1:13" x14ac:dyDescent="0.25">
      <c r="A148" s="208"/>
      <c r="G148" s="179"/>
      <c r="H148" s="191">
        <v>143</v>
      </c>
      <c r="I148" s="192" t="str">
        <f t="shared" si="11"/>
        <v/>
      </c>
      <c r="J148" s="192" t="e">
        <f t="shared" si="14"/>
        <v>#NUM!</v>
      </c>
      <c r="K148" s="191" t="e">
        <f t="shared" si="12"/>
        <v>#NUM!</v>
      </c>
      <c r="L148" s="191"/>
      <c r="M148" s="193">
        <f t="shared" si="13"/>
        <v>0</v>
      </c>
    </row>
    <row r="149" spans="1:13" x14ac:dyDescent="0.25">
      <c r="A149" s="208"/>
      <c r="G149" s="179"/>
      <c r="H149" s="191">
        <v>144</v>
      </c>
      <c r="I149" s="192" t="str">
        <f t="shared" si="11"/>
        <v/>
      </c>
      <c r="J149" s="192" t="e">
        <f t="shared" si="14"/>
        <v>#NUM!</v>
      </c>
      <c r="K149" s="191" t="e">
        <f t="shared" si="12"/>
        <v>#NUM!</v>
      </c>
      <c r="L149" s="191"/>
      <c r="M149" s="193">
        <f t="shared" si="13"/>
        <v>0</v>
      </c>
    </row>
    <row r="150" spans="1:13" x14ac:dyDescent="0.25">
      <c r="A150" s="208"/>
      <c r="G150" s="179"/>
      <c r="H150" s="191">
        <v>145</v>
      </c>
      <c r="I150" s="192" t="str">
        <f t="shared" si="11"/>
        <v/>
      </c>
      <c r="J150" s="192" t="e">
        <f t="shared" si="14"/>
        <v>#NUM!</v>
      </c>
      <c r="K150" s="191" t="e">
        <f t="shared" si="12"/>
        <v>#NUM!</v>
      </c>
      <c r="L150" s="191"/>
      <c r="M150" s="193">
        <f t="shared" si="13"/>
        <v>0</v>
      </c>
    </row>
    <row r="151" spans="1:13" x14ac:dyDescent="0.25">
      <c r="A151" s="208"/>
      <c r="G151" s="179"/>
      <c r="H151" s="191">
        <v>146</v>
      </c>
      <c r="I151" s="192" t="str">
        <f t="shared" si="11"/>
        <v/>
      </c>
      <c r="J151" s="192" t="e">
        <f t="shared" si="14"/>
        <v>#NUM!</v>
      </c>
      <c r="K151" s="191" t="e">
        <f t="shared" si="12"/>
        <v>#NUM!</v>
      </c>
      <c r="L151" s="191"/>
      <c r="M151" s="193">
        <f t="shared" si="13"/>
        <v>0</v>
      </c>
    </row>
    <row r="152" spans="1:13" x14ac:dyDescent="0.25">
      <c r="A152" s="208"/>
      <c r="G152" s="179"/>
      <c r="H152" s="191">
        <v>147</v>
      </c>
      <c r="I152" s="192" t="str">
        <f t="shared" si="11"/>
        <v/>
      </c>
      <c r="J152" s="192" t="e">
        <f t="shared" si="14"/>
        <v>#NUM!</v>
      </c>
      <c r="K152" s="191" t="e">
        <f t="shared" si="12"/>
        <v>#NUM!</v>
      </c>
      <c r="L152" s="191"/>
      <c r="M152" s="193">
        <f t="shared" si="13"/>
        <v>0</v>
      </c>
    </row>
    <row r="153" spans="1:13" x14ac:dyDescent="0.25">
      <c r="A153" s="208"/>
      <c r="G153" s="179"/>
      <c r="H153" s="191">
        <v>148</v>
      </c>
      <c r="I153" s="192" t="str">
        <f t="shared" si="11"/>
        <v/>
      </c>
      <c r="J153" s="192" t="e">
        <f t="shared" si="14"/>
        <v>#NUM!</v>
      </c>
      <c r="K153" s="191" t="e">
        <f t="shared" si="12"/>
        <v>#NUM!</v>
      </c>
      <c r="L153" s="191"/>
      <c r="M153" s="193">
        <f t="shared" si="13"/>
        <v>0</v>
      </c>
    </row>
    <row r="154" spans="1:13" x14ac:dyDescent="0.25">
      <c r="A154" s="208"/>
      <c r="G154" s="179"/>
      <c r="H154" s="191">
        <v>149</v>
      </c>
      <c r="I154" s="192" t="str">
        <f t="shared" si="11"/>
        <v/>
      </c>
      <c r="J154" s="192" t="e">
        <f t="shared" si="14"/>
        <v>#NUM!</v>
      </c>
      <c r="K154" s="191" t="e">
        <f t="shared" si="12"/>
        <v>#NUM!</v>
      </c>
      <c r="L154" s="191"/>
      <c r="M154" s="193">
        <f t="shared" si="13"/>
        <v>0</v>
      </c>
    </row>
    <row r="155" spans="1:13" x14ac:dyDescent="0.25">
      <c r="A155" s="208"/>
      <c r="G155" s="179"/>
      <c r="H155" s="191">
        <v>150</v>
      </c>
      <c r="I155" s="192" t="str">
        <f t="shared" si="11"/>
        <v/>
      </c>
      <c r="J155" s="192" t="e">
        <f t="shared" si="14"/>
        <v>#NUM!</v>
      </c>
      <c r="K155" s="191" t="e">
        <f t="shared" si="12"/>
        <v>#NUM!</v>
      </c>
      <c r="L155" s="191"/>
      <c r="M155" s="193">
        <f t="shared" si="13"/>
        <v>0</v>
      </c>
    </row>
    <row r="156" spans="1:13" x14ac:dyDescent="0.25">
      <c r="A156" s="208"/>
      <c r="G156" s="179"/>
      <c r="H156" s="191">
        <v>151</v>
      </c>
      <c r="I156" s="192" t="str">
        <f t="shared" si="11"/>
        <v/>
      </c>
      <c r="J156" s="192" t="e">
        <f t="shared" si="14"/>
        <v>#NUM!</v>
      </c>
      <c r="K156" s="191" t="e">
        <f t="shared" si="12"/>
        <v>#NUM!</v>
      </c>
      <c r="L156" s="191"/>
      <c r="M156" s="193">
        <f t="shared" si="13"/>
        <v>0</v>
      </c>
    </row>
    <row r="157" spans="1:13" x14ac:dyDescent="0.25">
      <c r="A157" s="208"/>
      <c r="G157" s="179"/>
      <c r="H157" s="191">
        <v>152</v>
      </c>
      <c r="I157" s="192" t="str">
        <f t="shared" si="11"/>
        <v/>
      </c>
      <c r="J157" s="192" t="e">
        <f t="shared" si="14"/>
        <v>#NUM!</v>
      </c>
      <c r="K157" s="191" t="e">
        <f t="shared" si="12"/>
        <v>#NUM!</v>
      </c>
      <c r="L157" s="191"/>
      <c r="M157" s="193">
        <f t="shared" si="13"/>
        <v>0</v>
      </c>
    </row>
    <row r="158" spans="1:13" x14ac:dyDescent="0.25">
      <c r="A158" s="208"/>
      <c r="G158" s="179"/>
      <c r="H158" s="191">
        <v>153</v>
      </c>
      <c r="I158" s="192" t="str">
        <f t="shared" si="11"/>
        <v/>
      </c>
      <c r="J158" s="192" t="e">
        <f t="shared" si="14"/>
        <v>#NUM!</v>
      </c>
      <c r="K158" s="191" t="e">
        <f t="shared" si="12"/>
        <v>#NUM!</v>
      </c>
      <c r="L158" s="191"/>
      <c r="M158" s="193">
        <f t="shared" si="13"/>
        <v>0</v>
      </c>
    </row>
    <row r="159" spans="1:13" x14ac:dyDescent="0.25">
      <c r="A159" s="208"/>
      <c r="G159" s="179"/>
      <c r="H159" s="191">
        <v>154</v>
      </c>
      <c r="I159" s="192" t="str">
        <f t="shared" si="11"/>
        <v/>
      </c>
      <c r="J159" s="192" t="e">
        <f t="shared" si="14"/>
        <v>#NUM!</v>
      </c>
      <c r="K159" s="191" t="e">
        <f t="shared" si="12"/>
        <v>#NUM!</v>
      </c>
      <c r="L159" s="191"/>
      <c r="M159" s="193">
        <f t="shared" si="13"/>
        <v>0</v>
      </c>
    </row>
    <row r="160" spans="1:13" x14ac:dyDescent="0.25">
      <c r="A160" s="208"/>
      <c r="G160" s="179"/>
      <c r="H160" s="191">
        <v>155</v>
      </c>
      <c r="I160" s="192" t="str">
        <f t="shared" si="11"/>
        <v/>
      </c>
      <c r="J160" s="192" t="e">
        <f t="shared" si="14"/>
        <v>#NUM!</v>
      </c>
      <c r="K160" s="191" t="e">
        <f t="shared" si="12"/>
        <v>#NUM!</v>
      </c>
      <c r="L160" s="191"/>
      <c r="M160" s="193">
        <f t="shared" si="13"/>
        <v>0</v>
      </c>
    </row>
    <row r="161" spans="1:13" x14ac:dyDescent="0.25">
      <c r="A161" s="208"/>
      <c r="G161" s="179"/>
      <c r="H161" s="191">
        <v>156</v>
      </c>
      <c r="I161" s="192" t="str">
        <f t="shared" si="11"/>
        <v/>
      </c>
      <c r="J161" s="192" t="e">
        <f t="shared" si="14"/>
        <v>#NUM!</v>
      </c>
      <c r="K161" s="191" t="e">
        <f t="shared" si="12"/>
        <v>#NUM!</v>
      </c>
      <c r="L161" s="191"/>
      <c r="M161" s="193">
        <f t="shared" si="13"/>
        <v>0</v>
      </c>
    </row>
    <row r="162" spans="1:13" x14ac:dyDescent="0.25">
      <c r="A162" s="208"/>
      <c r="G162" s="179"/>
      <c r="H162" s="191">
        <v>157</v>
      </c>
      <c r="I162" s="192" t="str">
        <f t="shared" si="11"/>
        <v/>
      </c>
      <c r="J162" s="192" t="e">
        <f t="shared" si="14"/>
        <v>#NUM!</v>
      </c>
      <c r="K162" s="191" t="e">
        <f t="shared" si="12"/>
        <v>#NUM!</v>
      </c>
      <c r="L162" s="191"/>
      <c r="M162" s="193">
        <f t="shared" si="13"/>
        <v>0</v>
      </c>
    </row>
    <row r="163" spans="1:13" x14ac:dyDescent="0.25">
      <c r="A163" s="208"/>
      <c r="G163" s="179"/>
      <c r="H163" s="191">
        <v>158</v>
      </c>
      <c r="I163" s="192" t="str">
        <f t="shared" si="11"/>
        <v/>
      </c>
      <c r="J163" s="192" t="e">
        <f t="shared" si="14"/>
        <v>#NUM!</v>
      </c>
      <c r="K163" s="191" t="e">
        <f t="shared" si="12"/>
        <v>#NUM!</v>
      </c>
      <c r="L163" s="191"/>
      <c r="M163" s="193">
        <f t="shared" si="13"/>
        <v>0</v>
      </c>
    </row>
    <row r="164" spans="1:13" x14ac:dyDescent="0.25">
      <c r="A164" s="208"/>
      <c r="G164" s="179"/>
      <c r="H164" s="191">
        <v>159</v>
      </c>
      <c r="I164" s="192" t="str">
        <f t="shared" si="11"/>
        <v/>
      </c>
      <c r="J164" s="192" t="e">
        <f t="shared" si="14"/>
        <v>#NUM!</v>
      </c>
      <c r="K164" s="191" t="e">
        <f t="shared" si="12"/>
        <v>#NUM!</v>
      </c>
      <c r="L164" s="191"/>
      <c r="M164" s="193">
        <f t="shared" si="13"/>
        <v>0</v>
      </c>
    </row>
    <row r="165" spans="1:13" x14ac:dyDescent="0.25">
      <c r="A165" s="208"/>
      <c r="G165" s="179"/>
      <c r="H165" s="191">
        <v>160</v>
      </c>
      <c r="I165" s="192" t="str">
        <f t="shared" si="11"/>
        <v/>
      </c>
      <c r="J165" s="192" t="e">
        <f t="shared" si="14"/>
        <v>#NUM!</v>
      </c>
      <c r="K165" s="191" t="e">
        <f t="shared" si="12"/>
        <v>#NUM!</v>
      </c>
      <c r="L165" s="191"/>
      <c r="M165" s="193">
        <f t="shared" si="13"/>
        <v>0</v>
      </c>
    </row>
    <row r="166" spans="1:13" x14ac:dyDescent="0.25">
      <c r="A166" s="208"/>
      <c r="G166" s="179"/>
      <c r="H166" s="191">
        <v>161</v>
      </c>
      <c r="I166" s="192" t="str">
        <f t="shared" si="11"/>
        <v/>
      </c>
      <c r="J166" s="192" t="e">
        <f t="shared" si="14"/>
        <v>#NUM!</v>
      </c>
      <c r="K166" s="191" t="e">
        <f t="shared" si="12"/>
        <v>#NUM!</v>
      </c>
      <c r="L166" s="191"/>
      <c r="M166" s="193">
        <f t="shared" si="13"/>
        <v>0</v>
      </c>
    </row>
    <row r="167" spans="1:13" x14ac:dyDescent="0.25">
      <c r="A167" s="208"/>
      <c r="G167" s="179"/>
      <c r="H167" s="191">
        <v>162</v>
      </c>
      <c r="I167" s="192" t="str">
        <f t="shared" si="11"/>
        <v/>
      </c>
      <c r="J167" s="192" t="e">
        <f t="shared" si="14"/>
        <v>#NUM!</v>
      </c>
      <c r="K167" s="191" t="e">
        <f t="shared" si="12"/>
        <v>#NUM!</v>
      </c>
      <c r="L167" s="191"/>
      <c r="M167" s="193">
        <f t="shared" si="13"/>
        <v>0</v>
      </c>
    </row>
    <row r="168" spans="1:13" x14ac:dyDescent="0.25">
      <c r="A168" s="208"/>
      <c r="G168" s="179"/>
      <c r="H168" s="191">
        <v>163</v>
      </c>
      <c r="I168" s="192" t="str">
        <f t="shared" si="11"/>
        <v/>
      </c>
      <c r="J168" s="192" t="e">
        <f t="shared" si="14"/>
        <v>#NUM!</v>
      </c>
      <c r="K168" s="191" t="e">
        <f t="shared" si="12"/>
        <v>#NUM!</v>
      </c>
      <c r="L168" s="191"/>
      <c r="M168" s="193">
        <f t="shared" si="13"/>
        <v>0</v>
      </c>
    </row>
    <row r="169" spans="1:13" x14ac:dyDescent="0.25">
      <c r="A169" s="208"/>
      <c r="C169" s="207" t="s">
        <v>40</v>
      </c>
      <c r="G169" s="179"/>
      <c r="H169" s="191">
        <v>164</v>
      </c>
      <c r="I169" s="192" t="str">
        <f t="shared" si="11"/>
        <v/>
      </c>
      <c r="J169" s="192" t="e">
        <f t="shared" si="14"/>
        <v>#NUM!</v>
      </c>
      <c r="K169" s="191" t="e">
        <f t="shared" si="12"/>
        <v>#NUM!</v>
      </c>
      <c r="L169" s="191"/>
      <c r="M169" s="193">
        <f t="shared" si="13"/>
        <v>0</v>
      </c>
    </row>
    <row r="170" spans="1:13" x14ac:dyDescent="0.25">
      <c r="A170" s="208"/>
      <c r="G170" s="179"/>
      <c r="H170" s="191">
        <v>165</v>
      </c>
      <c r="I170" s="192" t="str">
        <f t="shared" si="11"/>
        <v/>
      </c>
      <c r="J170" s="192" t="e">
        <f t="shared" si="14"/>
        <v>#NUM!</v>
      </c>
      <c r="K170" s="191" t="e">
        <f t="shared" si="12"/>
        <v>#NUM!</v>
      </c>
      <c r="L170" s="191"/>
      <c r="M170" s="193">
        <f t="shared" si="13"/>
        <v>0</v>
      </c>
    </row>
    <row r="171" spans="1:13" x14ac:dyDescent="0.25">
      <c r="A171" s="208"/>
      <c r="G171" s="179"/>
      <c r="H171" s="191">
        <v>166</v>
      </c>
      <c r="I171" s="192" t="str">
        <f t="shared" si="11"/>
        <v/>
      </c>
      <c r="J171" s="192" t="e">
        <f t="shared" si="14"/>
        <v>#NUM!</v>
      </c>
      <c r="K171" s="191" t="e">
        <f t="shared" si="12"/>
        <v>#NUM!</v>
      </c>
      <c r="L171" s="191"/>
      <c r="M171" s="193">
        <f t="shared" si="13"/>
        <v>0</v>
      </c>
    </row>
    <row r="172" spans="1:13" x14ac:dyDescent="0.25">
      <c r="A172" s="208"/>
      <c r="G172" s="179"/>
      <c r="H172" s="191">
        <v>167</v>
      </c>
      <c r="I172" s="192" t="str">
        <f t="shared" si="11"/>
        <v/>
      </c>
      <c r="J172" s="192" t="e">
        <f t="shared" si="14"/>
        <v>#NUM!</v>
      </c>
      <c r="K172" s="191" t="e">
        <f t="shared" si="12"/>
        <v>#NUM!</v>
      </c>
      <c r="L172" s="191"/>
      <c r="M172" s="193">
        <f t="shared" si="13"/>
        <v>0</v>
      </c>
    </row>
    <row r="173" spans="1:13" x14ac:dyDescent="0.25">
      <c r="A173" s="208"/>
      <c r="G173" s="179"/>
      <c r="H173" s="191">
        <v>168</v>
      </c>
      <c r="I173" s="192" t="str">
        <f t="shared" si="11"/>
        <v/>
      </c>
      <c r="J173" s="192" t="e">
        <f t="shared" si="14"/>
        <v>#NUM!</v>
      </c>
      <c r="K173" s="191" t="e">
        <f t="shared" si="12"/>
        <v>#NUM!</v>
      </c>
      <c r="L173" s="191"/>
      <c r="M173" s="193">
        <f t="shared" si="13"/>
        <v>0</v>
      </c>
    </row>
    <row r="174" spans="1:13" x14ac:dyDescent="0.25">
      <c r="A174" s="208"/>
      <c r="G174" s="179"/>
      <c r="H174" s="191">
        <v>169</v>
      </c>
      <c r="I174" s="192" t="str">
        <f t="shared" si="11"/>
        <v/>
      </c>
      <c r="J174" s="192" t="e">
        <f t="shared" si="14"/>
        <v>#NUM!</v>
      </c>
      <c r="K174" s="191" t="e">
        <f t="shared" si="12"/>
        <v>#NUM!</v>
      </c>
      <c r="L174" s="191"/>
      <c r="M174" s="193">
        <f t="shared" si="13"/>
        <v>0</v>
      </c>
    </row>
    <row r="175" spans="1:13" x14ac:dyDescent="0.25">
      <c r="A175" s="208"/>
      <c r="G175" s="179"/>
      <c r="H175" s="191">
        <v>170</v>
      </c>
      <c r="I175" s="192" t="str">
        <f t="shared" si="11"/>
        <v/>
      </c>
      <c r="J175" s="192" t="e">
        <f t="shared" si="14"/>
        <v>#NUM!</v>
      </c>
      <c r="K175" s="191" t="e">
        <f t="shared" si="12"/>
        <v>#NUM!</v>
      </c>
      <c r="L175" s="191"/>
      <c r="M175" s="193">
        <f t="shared" si="13"/>
        <v>0</v>
      </c>
    </row>
    <row r="176" spans="1:13" x14ac:dyDescent="0.25">
      <c r="A176" s="208"/>
      <c r="G176" s="179"/>
      <c r="H176" s="191">
        <v>171</v>
      </c>
      <c r="I176" s="192" t="str">
        <f t="shared" si="11"/>
        <v/>
      </c>
      <c r="J176" s="192" t="e">
        <f t="shared" si="14"/>
        <v>#NUM!</v>
      </c>
      <c r="K176" s="191" t="e">
        <f t="shared" si="12"/>
        <v>#NUM!</v>
      </c>
      <c r="L176" s="191"/>
      <c r="M176" s="193">
        <f t="shared" si="13"/>
        <v>0</v>
      </c>
    </row>
    <row r="177" spans="1:13" x14ac:dyDescent="0.25">
      <c r="A177" s="208"/>
      <c r="G177" s="179"/>
      <c r="H177" s="191">
        <v>172</v>
      </c>
      <c r="I177" s="192" t="str">
        <f t="shared" si="11"/>
        <v/>
      </c>
      <c r="J177" s="192" t="e">
        <f t="shared" si="14"/>
        <v>#NUM!</v>
      </c>
      <c r="K177" s="191" t="e">
        <f t="shared" si="12"/>
        <v>#NUM!</v>
      </c>
      <c r="L177" s="191"/>
      <c r="M177" s="193">
        <f t="shared" si="13"/>
        <v>0</v>
      </c>
    </row>
    <row r="178" spans="1:13" x14ac:dyDescent="0.25">
      <c r="A178" s="208"/>
      <c r="G178" s="179"/>
      <c r="H178" s="191">
        <v>173</v>
      </c>
      <c r="I178" s="192" t="str">
        <f t="shared" si="11"/>
        <v/>
      </c>
      <c r="J178" s="192" t="e">
        <f t="shared" si="14"/>
        <v>#NUM!</v>
      </c>
      <c r="K178" s="191" t="e">
        <f t="shared" si="12"/>
        <v>#NUM!</v>
      </c>
      <c r="L178" s="191"/>
      <c r="M178" s="193">
        <f t="shared" si="13"/>
        <v>0</v>
      </c>
    </row>
    <row r="179" spans="1:13" x14ac:dyDescent="0.25">
      <c r="A179" s="208"/>
      <c r="G179" s="179"/>
      <c r="H179" s="191">
        <v>174</v>
      </c>
      <c r="I179" s="192" t="str">
        <f t="shared" si="11"/>
        <v/>
      </c>
      <c r="J179" s="192" t="e">
        <f t="shared" si="14"/>
        <v>#NUM!</v>
      </c>
      <c r="K179" s="191" t="e">
        <f t="shared" si="12"/>
        <v>#NUM!</v>
      </c>
      <c r="L179" s="191"/>
      <c r="M179" s="193">
        <f t="shared" si="13"/>
        <v>0</v>
      </c>
    </row>
    <row r="180" spans="1:13" x14ac:dyDescent="0.25">
      <c r="A180" s="208"/>
      <c r="G180" s="179"/>
      <c r="H180" s="191">
        <v>175</v>
      </c>
      <c r="I180" s="192" t="str">
        <f t="shared" si="11"/>
        <v/>
      </c>
      <c r="J180" s="192" t="e">
        <f t="shared" si="14"/>
        <v>#NUM!</v>
      </c>
      <c r="K180" s="191" t="e">
        <f t="shared" si="12"/>
        <v>#NUM!</v>
      </c>
      <c r="L180" s="191"/>
      <c r="M180" s="193">
        <f t="shared" si="13"/>
        <v>0</v>
      </c>
    </row>
    <row r="181" spans="1:13" x14ac:dyDescent="0.25">
      <c r="A181" s="208"/>
      <c r="G181" s="179"/>
      <c r="H181" s="191">
        <v>176</v>
      </c>
      <c r="I181" s="192" t="str">
        <f t="shared" si="11"/>
        <v/>
      </c>
      <c r="J181" s="192" t="e">
        <f t="shared" si="14"/>
        <v>#NUM!</v>
      </c>
      <c r="K181" s="191" t="e">
        <f t="shared" si="12"/>
        <v>#NUM!</v>
      </c>
      <c r="L181" s="191"/>
      <c r="M181" s="193">
        <f t="shared" si="13"/>
        <v>0</v>
      </c>
    </row>
    <row r="182" spans="1:13" x14ac:dyDescent="0.25">
      <c r="A182" s="208"/>
      <c r="G182" s="179"/>
      <c r="H182" s="191">
        <v>177</v>
      </c>
      <c r="I182" s="192" t="str">
        <f t="shared" si="11"/>
        <v/>
      </c>
      <c r="J182" s="192" t="e">
        <f t="shared" si="14"/>
        <v>#NUM!</v>
      </c>
      <c r="K182" s="191" t="e">
        <f t="shared" si="12"/>
        <v>#NUM!</v>
      </c>
      <c r="L182" s="191"/>
      <c r="M182" s="193">
        <f t="shared" si="13"/>
        <v>0</v>
      </c>
    </row>
    <row r="183" spans="1:13" x14ac:dyDescent="0.25">
      <c r="A183" s="208"/>
      <c r="G183" s="179"/>
      <c r="H183" s="191">
        <v>178</v>
      </c>
      <c r="I183" s="192" t="str">
        <f t="shared" si="11"/>
        <v/>
      </c>
      <c r="J183" s="192" t="e">
        <f t="shared" si="14"/>
        <v>#NUM!</v>
      </c>
      <c r="K183" s="191" t="e">
        <f t="shared" si="12"/>
        <v>#NUM!</v>
      </c>
      <c r="L183" s="191"/>
      <c r="M183" s="193">
        <f t="shared" si="13"/>
        <v>0</v>
      </c>
    </row>
    <row r="184" spans="1:13" x14ac:dyDescent="0.25">
      <c r="A184" s="208"/>
      <c r="G184" s="179"/>
      <c r="H184" s="191">
        <v>179</v>
      </c>
      <c r="I184" s="192" t="str">
        <f t="shared" si="11"/>
        <v/>
      </c>
      <c r="J184" s="192" t="e">
        <f t="shared" si="14"/>
        <v>#NUM!</v>
      </c>
      <c r="K184" s="191" t="e">
        <f t="shared" si="12"/>
        <v>#NUM!</v>
      </c>
      <c r="L184" s="191"/>
      <c r="M184" s="193">
        <f t="shared" si="13"/>
        <v>0</v>
      </c>
    </row>
    <row r="185" spans="1:13" x14ac:dyDescent="0.25">
      <c r="A185" s="208"/>
      <c r="G185" s="179"/>
      <c r="H185" s="191">
        <v>180</v>
      </c>
      <c r="I185" s="192" t="str">
        <f t="shared" si="11"/>
        <v/>
      </c>
      <c r="J185" s="192" t="e">
        <f t="shared" si="14"/>
        <v>#NUM!</v>
      </c>
      <c r="K185" s="191" t="e">
        <f t="shared" si="12"/>
        <v>#NUM!</v>
      </c>
      <c r="L185" s="191"/>
      <c r="M185" s="193">
        <f t="shared" si="13"/>
        <v>0</v>
      </c>
    </row>
    <row r="186" spans="1:13" x14ac:dyDescent="0.25">
      <c r="A186" s="208"/>
      <c r="G186" s="179"/>
      <c r="H186" s="191">
        <v>181</v>
      </c>
      <c r="I186" s="192" t="str">
        <f t="shared" si="11"/>
        <v/>
      </c>
      <c r="J186" s="192" t="e">
        <f t="shared" si="14"/>
        <v>#NUM!</v>
      </c>
      <c r="K186" s="191" t="e">
        <f t="shared" si="12"/>
        <v>#NUM!</v>
      </c>
      <c r="L186" s="191"/>
      <c r="M186" s="193">
        <f t="shared" si="13"/>
        <v>0</v>
      </c>
    </row>
    <row r="187" spans="1:13" x14ac:dyDescent="0.25">
      <c r="A187" s="208"/>
      <c r="G187" s="179"/>
      <c r="H187" s="191">
        <v>182</v>
      </c>
      <c r="I187" s="192" t="str">
        <f t="shared" si="11"/>
        <v/>
      </c>
      <c r="J187" s="192" t="e">
        <f t="shared" si="14"/>
        <v>#NUM!</v>
      </c>
      <c r="K187" s="191" t="e">
        <f t="shared" si="12"/>
        <v>#NUM!</v>
      </c>
      <c r="L187" s="191"/>
      <c r="M187" s="193">
        <f t="shared" si="13"/>
        <v>0</v>
      </c>
    </row>
    <row r="188" spans="1:13" x14ac:dyDescent="0.25">
      <c r="A188" s="208"/>
      <c r="G188" s="179"/>
      <c r="H188" s="191">
        <v>183</v>
      </c>
      <c r="I188" s="192" t="str">
        <f t="shared" si="11"/>
        <v/>
      </c>
      <c r="J188" s="192" t="e">
        <f t="shared" si="14"/>
        <v>#NUM!</v>
      </c>
      <c r="K188" s="191" t="e">
        <f t="shared" si="12"/>
        <v>#NUM!</v>
      </c>
      <c r="L188" s="191"/>
      <c r="M188" s="193">
        <f t="shared" si="13"/>
        <v>0</v>
      </c>
    </row>
    <row r="189" spans="1:13" x14ac:dyDescent="0.25">
      <c r="A189" s="208"/>
      <c r="G189" s="179"/>
      <c r="H189" s="191">
        <v>184</v>
      </c>
      <c r="I189" s="192" t="str">
        <f t="shared" si="11"/>
        <v/>
      </c>
      <c r="J189" s="192" t="e">
        <f t="shared" si="14"/>
        <v>#NUM!</v>
      </c>
      <c r="K189" s="191" t="e">
        <f t="shared" si="12"/>
        <v>#NUM!</v>
      </c>
      <c r="L189" s="191"/>
      <c r="M189" s="193">
        <f t="shared" si="13"/>
        <v>0</v>
      </c>
    </row>
    <row r="190" spans="1:13" x14ac:dyDescent="0.25">
      <c r="A190" s="208"/>
      <c r="G190" s="179"/>
      <c r="H190" s="191">
        <v>185</v>
      </c>
      <c r="I190" s="192" t="str">
        <f t="shared" si="11"/>
        <v/>
      </c>
      <c r="J190" s="192" t="e">
        <f t="shared" si="14"/>
        <v>#NUM!</v>
      </c>
      <c r="K190" s="191" t="e">
        <f t="shared" si="12"/>
        <v>#NUM!</v>
      </c>
      <c r="L190" s="191"/>
      <c r="M190" s="193">
        <f t="shared" si="13"/>
        <v>0</v>
      </c>
    </row>
    <row r="191" spans="1:13" x14ac:dyDescent="0.25">
      <c r="A191" s="208"/>
      <c r="G191" s="179"/>
      <c r="H191" s="191">
        <v>186</v>
      </c>
      <c r="I191" s="192" t="str">
        <f t="shared" si="11"/>
        <v/>
      </c>
      <c r="J191" s="192" t="e">
        <f t="shared" si="14"/>
        <v>#NUM!</v>
      </c>
      <c r="K191" s="191" t="e">
        <f t="shared" si="12"/>
        <v>#NUM!</v>
      </c>
      <c r="L191" s="191"/>
      <c r="M191" s="193">
        <f t="shared" si="13"/>
        <v>0</v>
      </c>
    </row>
    <row r="192" spans="1:13" x14ac:dyDescent="0.25">
      <c r="A192" s="208"/>
      <c r="G192" s="179"/>
      <c r="H192" s="191">
        <v>187</v>
      </c>
      <c r="I192" s="192" t="str">
        <f t="shared" si="11"/>
        <v/>
      </c>
      <c r="J192" s="192" t="e">
        <f t="shared" si="14"/>
        <v>#NUM!</v>
      </c>
      <c r="K192" s="191" t="e">
        <f t="shared" si="12"/>
        <v>#NUM!</v>
      </c>
      <c r="L192" s="191"/>
      <c r="M192" s="193">
        <f t="shared" si="13"/>
        <v>0</v>
      </c>
    </row>
    <row r="193" spans="1:13" x14ac:dyDescent="0.25">
      <c r="A193" s="208"/>
      <c r="G193" s="179"/>
      <c r="H193" s="191">
        <v>188</v>
      </c>
      <c r="I193" s="192" t="str">
        <f t="shared" si="11"/>
        <v/>
      </c>
      <c r="J193" s="192" t="e">
        <f t="shared" si="14"/>
        <v>#NUM!</v>
      </c>
      <c r="K193" s="191" t="e">
        <f t="shared" si="12"/>
        <v>#NUM!</v>
      </c>
      <c r="L193" s="191"/>
      <c r="M193" s="193">
        <f t="shared" si="13"/>
        <v>0</v>
      </c>
    </row>
    <row r="194" spans="1:13" x14ac:dyDescent="0.25">
      <c r="A194" s="208"/>
      <c r="G194" s="179"/>
      <c r="H194" s="191">
        <v>189</v>
      </c>
      <c r="I194" s="192" t="str">
        <f t="shared" si="11"/>
        <v/>
      </c>
      <c r="J194" s="192" t="e">
        <f t="shared" si="14"/>
        <v>#NUM!</v>
      </c>
      <c r="K194" s="191" t="e">
        <f t="shared" si="12"/>
        <v>#NUM!</v>
      </c>
      <c r="L194" s="191"/>
      <c r="M194" s="193">
        <f t="shared" si="13"/>
        <v>0</v>
      </c>
    </row>
    <row r="195" spans="1:13" x14ac:dyDescent="0.25">
      <c r="A195" s="208"/>
      <c r="G195" s="179"/>
      <c r="H195" s="191">
        <v>190</v>
      </c>
      <c r="I195" s="192" t="str">
        <f t="shared" si="11"/>
        <v/>
      </c>
      <c r="J195" s="192" t="e">
        <f t="shared" si="14"/>
        <v>#NUM!</v>
      </c>
      <c r="K195" s="191" t="e">
        <f t="shared" si="12"/>
        <v>#NUM!</v>
      </c>
      <c r="L195" s="191"/>
      <c r="M195" s="193">
        <f t="shared" si="13"/>
        <v>0</v>
      </c>
    </row>
    <row r="196" spans="1:13" x14ac:dyDescent="0.25">
      <c r="A196" s="208"/>
      <c r="G196" s="179"/>
      <c r="H196" s="191">
        <v>191</v>
      </c>
      <c r="I196" s="192" t="str">
        <f t="shared" si="11"/>
        <v/>
      </c>
      <c r="J196" s="192" t="e">
        <f t="shared" si="14"/>
        <v>#NUM!</v>
      </c>
      <c r="K196" s="191" t="e">
        <f t="shared" si="12"/>
        <v>#NUM!</v>
      </c>
      <c r="L196" s="191"/>
      <c r="M196" s="193">
        <f t="shared" si="13"/>
        <v>0</v>
      </c>
    </row>
    <row r="197" spans="1:13" x14ac:dyDescent="0.25">
      <c r="A197" s="208"/>
      <c r="G197" s="179"/>
      <c r="H197" s="191">
        <v>192</v>
      </c>
      <c r="I197" s="192" t="str">
        <f t="shared" si="11"/>
        <v/>
      </c>
      <c r="J197" s="192" t="e">
        <f t="shared" si="14"/>
        <v>#NUM!</v>
      </c>
      <c r="K197" s="191" t="e">
        <f t="shared" si="12"/>
        <v>#NUM!</v>
      </c>
      <c r="L197" s="191"/>
      <c r="M197" s="193">
        <f t="shared" si="13"/>
        <v>0</v>
      </c>
    </row>
    <row r="198" spans="1:13" x14ac:dyDescent="0.25">
      <c r="A198" s="208"/>
      <c r="G198" s="179"/>
      <c r="H198" s="191">
        <v>193</v>
      </c>
      <c r="I198" s="192" t="str">
        <f t="shared" ref="I198:I261" si="15">IF(H198&lt;$H$2+1,($I$2-($I$2-1)*(LOG(H198)/LOG($H$2))),"")</f>
        <v/>
      </c>
      <c r="J198" s="192" t="e">
        <f t="shared" si="14"/>
        <v>#NUM!</v>
      </c>
      <c r="K198" s="191" t="e">
        <f t="shared" ref="K198:K261" si="16">J198*$J$2</f>
        <v>#NUM!</v>
      </c>
      <c r="L198" s="191"/>
      <c r="M198" s="193">
        <f t="shared" ref="M198:M261" si="17">IF(I198&lt;&gt;"",K198+I198+L198,0)</f>
        <v>0</v>
      </c>
    </row>
    <row r="199" spans="1:13" x14ac:dyDescent="0.25">
      <c r="A199" s="208"/>
      <c r="G199" s="179"/>
      <c r="H199" s="191">
        <v>194</v>
      </c>
      <c r="I199" s="192" t="str">
        <f t="shared" si="15"/>
        <v/>
      </c>
      <c r="J199" s="192" t="e">
        <f t="shared" ref="J199:J262" si="18">INT(LOG($H$2,2))-ROUNDUP(LOG(H199,2),0)+IF(OR($H$2=1,$H$2=2,$H$2=4,$H$2=8,$H$2=16,$H$2=32,$H$2=64,$H$2=128,$H$2=256),0,1)</f>
        <v>#NUM!</v>
      </c>
      <c r="K199" s="191" t="e">
        <f t="shared" si="16"/>
        <v>#NUM!</v>
      </c>
      <c r="L199" s="191"/>
      <c r="M199" s="193">
        <f t="shared" si="17"/>
        <v>0</v>
      </c>
    </row>
    <row r="200" spans="1:13" x14ac:dyDescent="0.25">
      <c r="A200" s="208"/>
      <c r="G200" s="179"/>
      <c r="H200" s="191">
        <v>195</v>
      </c>
      <c r="I200" s="192" t="str">
        <f t="shared" si="15"/>
        <v/>
      </c>
      <c r="J200" s="192" t="e">
        <f t="shared" si="18"/>
        <v>#NUM!</v>
      </c>
      <c r="K200" s="191" t="e">
        <f t="shared" si="16"/>
        <v>#NUM!</v>
      </c>
      <c r="L200" s="191"/>
      <c r="M200" s="193">
        <f t="shared" si="17"/>
        <v>0</v>
      </c>
    </row>
    <row r="201" spans="1:13" x14ac:dyDescent="0.25">
      <c r="A201" s="208"/>
      <c r="G201" s="179"/>
      <c r="H201" s="191">
        <v>196</v>
      </c>
      <c r="I201" s="192" t="str">
        <f t="shared" si="15"/>
        <v/>
      </c>
      <c r="J201" s="192" t="e">
        <f t="shared" si="18"/>
        <v>#NUM!</v>
      </c>
      <c r="K201" s="191" t="e">
        <f t="shared" si="16"/>
        <v>#NUM!</v>
      </c>
      <c r="L201" s="191"/>
      <c r="M201" s="193">
        <f t="shared" si="17"/>
        <v>0</v>
      </c>
    </row>
    <row r="202" spans="1:13" x14ac:dyDescent="0.25">
      <c r="A202" s="208"/>
      <c r="G202" s="179"/>
      <c r="H202" s="191">
        <v>197</v>
      </c>
      <c r="I202" s="192" t="str">
        <f t="shared" si="15"/>
        <v/>
      </c>
      <c r="J202" s="192" t="e">
        <f t="shared" si="18"/>
        <v>#NUM!</v>
      </c>
      <c r="K202" s="191" t="e">
        <f t="shared" si="16"/>
        <v>#NUM!</v>
      </c>
      <c r="L202" s="191"/>
      <c r="M202" s="193">
        <f t="shared" si="17"/>
        <v>0</v>
      </c>
    </row>
    <row r="203" spans="1:13" x14ac:dyDescent="0.25">
      <c r="A203" s="208"/>
      <c r="G203" s="179"/>
      <c r="H203" s="191">
        <v>198</v>
      </c>
      <c r="I203" s="192" t="str">
        <f t="shared" si="15"/>
        <v/>
      </c>
      <c r="J203" s="192" t="e">
        <f t="shared" si="18"/>
        <v>#NUM!</v>
      </c>
      <c r="K203" s="191" t="e">
        <f t="shared" si="16"/>
        <v>#NUM!</v>
      </c>
      <c r="L203" s="191"/>
      <c r="M203" s="193">
        <f t="shared" si="17"/>
        <v>0</v>
      </c>
    </row>
    <row r="204" spans="1:13" x14ac:dyDescent="0.25">
      <c r="A204" s="208"/>
      <c r="G204" s="179"/>
      <c r="H204" s="191">
        <v>199</v>
      </c>
      <c r="I204" s="192" t="str">
        <f t="shared" si="15"/>
        <v/>
      </c>
      <c r="J204" s="192" t="e">
        <f t="shared" si="18"/>
        <v>#NUM!</v>
      </c>
      <c r="K204" s="191" t="e">
        <f t="shared" si="16"/>
        <v>#NUM!</v>
      </c>
      <c r="L204" s="191"/>
      <c r="M204" s="193">
        <f t="shared" si="17"/>
        <v>0</v>
      </c>
    </row>
    <row r="205" spans="1:13" x14ac:dyDescent="0.25">
      <c r="A205" s="208"/>
      <c r="G205" s="179"/>
      <c r="H205" s="191">
        <v>200</v>
      </c>
      <c r="I205" s="192" t="str">
        <f t="shared" si="15"/>
        <v/>
      </c>
      <c r="J205" s="192" t="e">
        <f t="shared" si="18"/>
        <v>#NUM!</v>
      </c>
      <c r="K205" s="191" t="e">
        <f t="shared" si="16"/>
        <v>#NUM!</v>
      </c>
      <c r="L205" s="191"/>
      <c r="M205" s="193">
        <f t="shared" si="17"/>
        <v>0</v>
      </c>
    </row>
    <row r="206" spans="1:13" x14ac:dyDescent="0.25">
      <c r="A206" s="208"/>
      <c r="G206" s="179"/>
      <c r="H206" s="191">
        <v>201</v>
      </c>
      <c r="I206" s="192" t="str">
        <f t="shared" si="15"/>
        <v/>
      </c>
      <c r="J206" s="192" t="e">
        <f t="shared" si="18"/>
        <v>#NUM!</v>
      </c>
      <c r="K206" s="191" t="e">
        <f t="shared" si="16"/>
        <v>#NUM!</v>
      </c>
      <c r="L206" s="191"/>
      <c r="M206" s="193">
        <f t="shared" si="17"/>
        <v>0</v>
      </c>
    </row>
    <row r="207" spans="1:13" x14ac:dyDescent="0.25">
      <c r="A207" s="208"/>
      <c r="G207" s="179"/>
      <c r="H207" s="191">
        <v>202</v>
      </c>
      <c r="I207" s="192" t="str">
        <f t="shared" si="15"/>
        <v/>
      </c>
      <c r="J207" s="192" t="e">
        <f t="shared" si="18"/>
        <v>#NUM!</v>
      </c>
      <c r="K207" s="191" t="e">
        <f t="shared" si="16"/>
        <v>#NUM!</v>
      </c>
      <c r="L207" s="191"/>
      <c r="M207" s="193">
        <f t="shared" si="17"/>
        <v>0</v>
      </c>
    </row>
    <row r="208" spans="1:13" x14ac:dyDescent="0.25">
      <c r="A208" s="208"/>
      <c r="G208" s="179"/>
      <c r="H208" s="191">
        <v>203</v>
      </c>
      <c r="I208" s="192" t="str">
        <f t="shared" si="15"/>
        <v/>
      </c>
      <c r="J208" s="192" t="e">
        <f t="shared" si="18"/>
        <v>#NUM!</v>
      </c>
      <c r="K208" s="191" t="e">
        <f t="shared" si="16"/>
        <v>#NUM!</v>
      </c>
      <c r="L208" s="191"/>
      <c r="M208" s="193">
        <f t="shared" si="17"/>
        <v>0</v>
      </c>
    </row>
    <row r="209" spans="1:13" x14ac:dyDescent="0.25">
      <c r="A209" s="208"/>
      <c r="G209" s="179"/>
      <c r="H209" s="191">
        <v>204</v>
      </c>
      <c r="I209" s="192" t="str">
        <f t="shared" si="15"/>
        <v/>
      </c>
      <c r="J209" s="192" t="e">
        <f t="shared" si="18"/>
        <v>#NUM!</v>
      </c>
      <c r="K209" s="191" t="e">
        <f t="shared" si="16"/>
        <v>#NUM!</v>
      </c>
      <c r="L209" s="191"/>
      <c r="M209" s="193">
        <f t="shared" si="17"/>
        <v>0</v>
      </c>
    </row>
    <row r="210" spans="1:13" x14ac:dyDescent="0.25">
      <c r="A210" s="208"/>
      <c r="G210" s="179"/>
      <c r="H210" s="191">
        <v>205</v>
      </c>
      <c r="I210" s="192" t="str">
        <f t="shared" si="15"/>
        <v/>
      </c>
      <c r="J210" s="192" t="e">
        <f t="shared" si="18"/>
        <v>#NUM!</v>
      </c>
      <c r="K210" s="191" t="e">
        <f t="shared" si="16"/>
        <v>#NUM!</v>
      </c>
      <c r="L210" s="191"/>
      <c r="M210" s="193">
        <f t="shared" si="17"/>
        <v>0</v>
      </c>
    </row>
    <row r="211" spans="1:13" x14ac:dyDescent="0.25">
      <c r="A211" s="208"/>
      <c r="G211" s="179"/>
      <c r="H211" s="191">
        <v>206</v>
      </c>
      <c r="I211" s="192" t="str">
        <f t="shared" si="15"/>
        <v/>
      </c>
      <c r="J211" s="192" t="e">
        <f t="shared" si="18"/>
        <v>#NUM!</v>
      </c>
      <c r="K211" s="191" t="e">
        <f t="shared" si="16"/>
        <v>#NUM!</v>
      </c>
      <c r="L211" s="191"/>
      <c r="M211" s="193">
        <f t="shared" si="17"/>
        <v>0</v>
      </c>
    </row>
    <row r="212" spans="1:13" x14ac:dyDescent="0.25">
      <c r="A212" s="208"/>
      <c r="G212" s="179"/>
      <c r="H212" s="191">
        <v>207</v>
      </c>
      <c r="I212" s="192" t="str">
        <f t="shared" si="15"/>
        <v/>
      </c>
      <c r="J212" s="192" t="e">
        <f t="shared" si="18"/>
        <v>#NUM!</v>
      </c>
      <c r="K212" s="191" t="e">
        <f t="shared" si="16"/>
        <v>#NUM!</v>
      </c>
      <c r="L212" s="191"/>
      <c r="M212" s="193">
        <f t="shared" si="17"/>
        <v>0</v>
      </c>
    </row>
    <row r="213" spans="1:13" x14ac:dyDescent="0.25">
      <c r="A213" s="208"/>
      <c r="G213" s="179"/>
      <c r="H213" s="191">
        <v>208</v>
      </c>
      <c r="I213" s="192" t="str">
        <f t="shared" si="15"/>
        <v/>
      </c>
      <c r="J213" s="192" t="e">
        <f t="shared" si="18"/>
        <v>#NUM!</v>
      </c>
      <c r="K213" s="191" t="e">
        <f t="shared" si="16"/>
        <v>#NUM!</v>
      </c>
      <c r="L213" s="191"/>
      <c r="M213" s="193">
        <f t="shared" si="17"/>
        <v>0</v>
      </c>
    </row>
    <row r="214" spans="1:13" x14ac:dyDescent="0.25">
      <c r="A214" s="208"/>
      <c r="G214" s="179"/>
      <c r="H214" s="191">
        <v>209</v>
      </c>
      <c r="I214" s="192" t="str">
        <f t="shared" si="15"/>
        <v/>
      </c>
      <c r="J214" s="192" t="e">
        <f t="shared" si="18"/>
        <v>#NUM!</v>
      </c>
      <c r="K214" s="191" t="e">
        <f t="shared" si="16"/>
        <v>#NUM!</v>
      </c>
      <c r="L214" s="191"/>
      <c r="M214" s="193">
        <f t="shared" si="17"/>
        <v>0</v>
      </c>
    </row>
    <row r="215" spans="1:13" x14ac:dyDescent="0.25">
      <c r="A215" s="208"/>
      <c r="G215" s="179"/>
      <c r="H215" s="191">
        <v>210</v>
      </c>
      <c r="I215" s="192" t="str">
        <f t="shared" si="15"/>
        <v/>
      </c>
      <c r="J215" s="192" t="e">
        <f t="shared" si="18"/>
        <v>#NUM!</v>
      </c>
      <c r="K215" s="191" t="e">
        <f t="shared" si="16"/>
        <v>#NUM!</v>
      </c>
      <c r="L215" s="191"/>
      <c r="M215" s="193">
        <f t="shared" si="17"/>
        <v>0</v>
      </c>
    </row>
    <row r="216" spans="1:13" x14ac:dyDescent="0.25">
      <c r="A216" s="208"/>
      <c r="G216" s="179"/>
      <c r="H216" s="191">
        <v>211</v>
      </c>
      <c r="I216" s="192" t="str">
        <f t="shared" si="15"/>
        <v/>
      </c>
      <c r="J216" s="192" t="e">
        <f t="shared" si="18"/>
        <v>#NUM!</v>
      </c>
      <c r="K216" s="191" t="e">
        <f t="shared" si="16"/>
        <v>#NUM!</v>
      </c>
      <c r="L216" s="191"/>
      <c r="M216" s="193">
        <f t="shared" si="17"/>
        <v>0</v>
      </c>
    </row>
    <row r="217" spans="1:13" x14ac:dyDescent="0.25">
      <c r="A217" s="208"/>
      <c r="G217" s="179"/>
      <c r="H217" s="191">
        <v>212</v>
      </c>
      <c r="I217" s="192" t="str">
        <f t="shared" si="15"/>
        <v/>
      </c>
      <c r="J217" s="192" t="e">
        <f t="shared" si="18"/>
        <v>#NUM!</v>
      </c>
      <c r="K217" s="191" t="e">
        <f t="shared" si="16"/>
        <v>#NUM!</v>
      </c>
      <c r="L217" s="191"/>
      <c r="M217" s="193">
        <f t="shared" si="17"/>
        <v>0</v>
      </c>
    </row>
    <row r="218" spans="1:13" x14ac:dyDescent="0.25">
      <c r="A218" s="208"/>
      <c r="G218" s="179"/>
      <c r="H218" s="191">
        <v>213</v>
      </c>
      <c r="I218" s="192" t="str">
        <f t="shared" si="15"/>
        <v/>
      </c>
      <c r="J218" s="192" t="e">
        <f t="shared" si="18"/>
        <v>#NUM!</v>
      </c>
      <c r="K218" s="191" t="e">
        <f t="shared" si="16"/>
        <v>#NUM!</v>
      </c>
      <c r="L218" s="191"/>
      <c r="M218" s="193">
        <f t="shared" si="17"/>
        <v>0</v>
      </c>
    </row>
    <row r="219" spans="1:13" x14ac:dyDescent="0.25">
      <c r="A219" s="208"/>
      <c r="G219" s="179"/>
      <c r="H219" s="191">
        <v>214</v>
      </c>
      <c r="I219" s="192" t="str">
        <f t="shared" si="15"/>
        <v/>
      </c>
      <c r="J219" s="192" t="e">
        <f t="shared" si="18"/>
        <v>#NUM!</v>
      </c>
      <c r="K219" s="191" t="e">
        <f t="shared" si="16"/>
        <v>#NUM!</v>
      </c>
      <c r="L219" s="191"/>
      <c r="M219" s="193">
        <f t="shared" si="17"/>
        <v>0</v>
      </c>
    </row>
    <row r="220" spans="1:13" x14ac:dyDescent="0.25">
      <c r="A220" s="208"/>
      <c r="G220" s="179"/>
      <c r="H220" s="191">
        <v>215</v>
      </c>
      <c r="I220" s="192" t="str">
        <f t="shared" si="15"/>
        <v/>
      </c>
      <c r="J220" s="192" t="e">
        <f t="shared" si="18"/>
        <v>#NUM!</v>
      </c>
      <c r="K220" s="191" t="e">
        <f t="shared" si="16"/>
        <v>#NUM!</v>
      </c>
      <c r="L220" s="191"/>
      <c r="M220" s="193">
        <f t="shared" si="17"/>
        <v>0</v>
      </c>
    </row>
    <row r="221" spans="1:13" x14ac:dyDescent="0.25">
      <c r="A221" s="208"/>
      <c r="G221" s="179"/>
      <c r="H221" s="191">
        <v>216</v>
      </c>
      <c r="I221" s="192" t="str">
        <f t="shared" si="15"/>
        <v/>
      </c>
      <c r="J221" s="192" t="e">
        <f t="shared" si="18"/>
        <v>#NUM!</v>
      </c>
      <c r="K221" s="191" t="e">
        <f t="shared" si="16"/>
        <v>#NUM!</v>
      </c>
      <c r="L221" s="191"/>
      <c r="M221" s="193">
        <f t="shared" si="17"/>
        <v>0</v>
      </c>
    </row>
    <row r="222" spans="1:13" x14ac:dyDescent="0.25">
      <c r="A222" s="208"/>
      <c r="G222" s="179"/>
      <c r="H222" s="191">
        <v>217</v>
      </c>
      <c r="I222" s="192" t="str">
        <f t="shared" si="15"/>
        <v/>
      </c>
      <c r="J222" s="192" t="e">
        <f t="shared" si="18"/>
        <v>#NUM!</v>
      </c>
      <c r="K222" s="191" t="e">
        <f t="shared" si="16"/>
        <v>#NUM!</v>
      </c>
      <c r="L222" s="191"/>
      <c r="M222" s="193">
        <f t="shared" si="17"/>
        <v>0</v>
      </c>
    </row>
    <row r="223" spans="1:13" x14ac:dyDescent="0.25">
      <c r="A223" s="208"/>
      <c r="G223" s="179"/>
      <c r="H223" s="191">
        <v>218</v>
      </c>
      <c r="I223" s="192" t="str">
        <f t="shared" si="15"/>
        <v/>
      </c>
      <c r="J223" s="192" t="e">
        <f t="shared" si="18"/>
        <v>#NUM!</v>
      </c>
      <c r="K223" s="191" t="e">
        <f t="shared" si="16"/>
        <v>#NUM!</v>
      </c>
      <c r="L223" s="191"/>
      <c r="M223" s="193">
        <f t="shared" si="17"/>
        <v>0</v>
      </c>
    </row>
    <row r="224" spans="1:13" x14ac:dyDescent="0.25">
      <c r="A224" s="208"/>
      <c r="G224" s="179"/>
      <c r="H224" s="191">
        <v>219</v>
      </c>
      <c r="I224" s="192" t="str">
        <f t="shared" si="15"/>
        <v/>
      </c>
      <c r="J224" s="192" t="e">
        <f t="shared" si="18"/>
        <v>#NUM!</v>
      </c>
      <c r="K224" s="191" t="e">
        <f t="shared" si="16"/>
        <v>#NUM!</v>
      </c>
      <c r="L224" s="191"/>
      <c r="M224" s="193">
        <f t="shared" si="17"/>
        <v>0</v>
      </c>
    </row>
    <row r="225" spans="1:13" x14ac:dyDescent="0.25">
      <c r="A225" s="208"/>
      <c r="G225" s="179"/>
      <c r="H225" s="191">
        <v>220</v>
      </c>
      <c r="I225" s="192" t="str">
        <f t="shared" si="15"/>
        <v/>
      </c>
      <c r="J225" s="192" t="e">
        <f t="shared" si="18"/>
        <v>#NUM!</v>
      </c>
      <c r="K225" s="191" t="e">
        <f t="shared" si="16"/>
        <v>#NUM!</v>
      </c>
      <c r="L225" s="191"/>
      <c r="M225" s="193">
        <f t="shared" si="17"/>
        <v>0</v>
      </c>
    </row>
    <row r="226" spans="1:13" x14ac:dyDescent="0.25">
      <c r="A226" s="208"/>
      <c r="G226" s="179"/>
      <c r="H226" s="191">
        <v>221</v>
      </c>
      <c r="I226" s="192" t="str">
        <f t="shared" si="15"/>
        <v/>
      </c>
      <c r="J226" s="192" t="e">
        <f t="shared" si="18"/>
        <v>#NUM!</v>
      </c>
      <c r="K226" s="191" t="e">
        <f t="shared" si="16"/>
        <v>#NUM!</v>
      </c>
      <c r="L226" s="191"/>
      <c r="M226" s="193">
        <f t="shared" si="17"/>
        <v>0</v>
      </c>
    </row>
    <row r="227" spans="1:13" x14ac:dyDescent="0.25">
      <c r="A227" s="208"/>
      <c r="G227" s="179"/>
      <c r="H227" s="191">
        <v>222</v>
      </c>
      <c r="I227" s="192" t="str">
        <f t="shared" si="15"/>
        <v/>
      </c>
      <c r="J227" s="192" t="e">
        <f t="shared" si="18"/>
        <v>#NUM!</v>
      </c>
      <c r="K227" s="191" t="e">
        <f t="shared" si="16"/>
        <v>#NUM!</v>
      </c>
      <c r="L227" s="191"/>
      <c r="M227" s="193">
        <f t="shared" si="17"/>
        <v>0</v>
      </c>
    </row>
    <row r="228" spans="1:13" x14ac:dyDescent="0.25">
      <c r="A228" s="208"/>
      <c r="G228" s="179"/>
      <c r="H228" s="191">
        <v>223</v>
      </c>
      <c r="I228" s="192" t="str">
        <f t="shared" si="15"/>
        <v/>
      </c>
      <c r="J228" s="192" t="e">
        <f t="shared" si="18"/>
        <v>#NUM!</v>
      </c>
      <c r="K228" s="191" t="e">
        <f t="shared" si="16"/>
        <v>#NUM!</v>
      </c>
      <c r="L228" s="191"/>
      <c r="M228" s="193">
        <f t="shared" si="17"/>
        <v>0</v>
      </c>
    </row>
    <row r="229" spans="1:13" x14ac:dyDescent="0.25">
      <c r="A229" s="208"/>
      <c r="G229" s="179"/>
      <c r="H229" s="191">
        <v>224</v>
      </c>
      <c r="I229" s="192" t="str">
        <f t="shared" si="15"/>
        <v/>
      </c>
      <c r="J229" s="192" t="e">
        <f t="shared" si="18"/>
        <v>#NUM!</v>
      </c>
      <c r="K229" s="191" t="e">
        <f t="shared" si="16"/>
        <v>#NUM!</v>
      </c>
      <c r="L229" s="191"/>
      <c r="M229" s="193">
        <f t="shared" si="17"/>
        <v>0</v>
      </c>
    </row>
    <row r="230" spans="1:13" x14ac:dyDescent="0.25">
      <c r="A230" s="208"/>
      <c r="G230" s="179"/>
      <c r="H230" s="191">
        <v>225</v>
      </c>
      <c r="I230" s="192" t="str">
        <f t="shared" si="15"/>
        <v/>
      </c>
      <c r="J230" s="192" t="e">
        <f t="shared" si="18"/>
        <v>#NUM!</v>
      </c>
      <c r="K230" s="191" t="e">
        <f t="shared" si="16"/>
        <v>#NUM!</v>
      </c>
      <c r="L230" s="191"/>
      <c r="M230" s="193">
        <f t="shared" si="17"/>
        <v>0</v>
      </c>
    </row>
    <row r="231" spans="1:13" x14ac:dyDescent="0.25">
      <c r="A231" s="208"/>
      <c r="G231" s="179"/>
      <c r="H231" s="191">
        <v>226</v>
      </c>
      <c r="I231" s="192" t="str">
        <f t="shared" si="15"/>
        <v/>
      </c>
      <c r="J231" s="192" t="e">
        <f t="shared" si="18"/>
        <v>#NUM!</v>
      </c>
      <c r="K231" s="191" t="e">
        <f t="shared" si="16"/>
        <v>#NUM!</v>
      </c>
      <c r="L231" s="191"/>
      <c r="M231" s="193">
        <f t="shared" si="17"/>
        <v>0</v>
      </c>
    </row>
    <row r="232" spans="1:13" x14ac:dyDescent="0.25">
      <c r="A232" s="208"/>
      <c r="G232" s="179"/>
      <c r="H232" s="191">
        <v>227</v>
      </c>
      <c r="I232" s="192" t="str">
        <f t="shared" si="15"/>
        <v/>
      </c>
      <c r="J232" s="192" t="e">
        <f t="shared" si="18"/>
        <v>#NUM!</v>
      </c>
      <c r="K232" s="191" t="e">
        <f t="shared" si="16"/>
        <v>#NUM!</v>
      </c>
      <c r="L232" s="191"/>
      <c r="M232" s="193">
        <f t="shared" si="17"/>
        <v>0</v>
      </c>
    </row>
    <row r="233" spans="1:13" x14ac:dyDescent="0.25">
      <c r="A233" s="208"/>
      <c r="G233" s="179"/>
      <c r="H233" s="191">
        <v>228</v>
      </c>
      <c r="I233" s="192" t="str">
        <f t="shared" si="15"/>
        <v/>
      </c>
      <c r="J233" s="192" t="e">
        <f t="shared" si="18"/>
        <v>#NUM!</v>
      </c>
      <c r="K233" s="191" t="e">
        <f t="shared" si="16"/>
        <v>#NUM!</v>
      </c>
      <c r="L233" s="191"/>
      <c r="M233" s="193">
        <f t="shared" si="17"/>
        <v>0</v>
      </c>
    </row>
    <row r="234" spans="1:13" x14ac:dyDescent="0.25">
      <c r="A234" s="208"/>
      <c r="G234" s="179"/>
      <c r="H234" s="191">
        <v>229</v>
      </c>
      <c r="I234" s="192" t="str">
        <f t="shared" si="15"/>
        <v/>
      </c>
      <c r="J234" s="192" t="e">
        <f t="shared" si="18"/>
        <v>#NUM!</v>
      </c>
      <c r="K234" s="191" t="e">
        <f t="shared" si="16"/>
        <v>#NUM!</v>
      </c>
      <c r="L234" s="191"/>
      <c r="M234" s="193">
        <f t="shared" si="17"/>
        <v>0</v>
      </c>
    </row>
    <row r="235" spans="1:13" x14ac:dyDescent="0.25">
      <c r="A235" s="208"/>
      <c r="G235" s="179"/>
      <c r="H235" s="191">
        <v>230</v>
      </c>
      <c r="I235" s="192" t="str">
        <f t="shared" si="15"/>
        <v/>
      </c>
      <c r="J235" s="192" t="e">
        <f t="shared" si="18"/>
        <v>#NUM!</v>
      </c>
      <c r="K235" s="191" t="e">
        <f t="shared" si="16"/>
        <v>#NUM!</v>
      </c>
      <c r="L235" s="191"/>
      <c r="M235" s="193">
        <f t="shared" si="17"/>
        <v>0</v>
      </c>
    </row>
    <row r="236" spans="1:13" x14ac:dyDescent="0.25">
      <c r="A236" s="208"/>
      <c r="G236" s="179"/>
      <c r="H236" s="191">
        <v>231</v>
      </c>
      <c r="I236" s="192" t="str">
        <f t="shared" si="15"/>
        <v/>
      </c>
      <c r="J236" s="192" t="e">
        <f t="shared" si="18"/>
        <v>#NUM!</v>
      </c>
      <c r="K236" s="191" t="e">
        <f t="shared" si="16"/>
        <v>#NUM!</v>
      </c>
      <c r="L236" s="191"/>
      <c r="M236" s="193">
        <f t="shared" si="17"/>
        <v>0</v>
      </c>
    </row>
    <row r="237" spans="1:13" x14ac:dyDescent="0.25">
      <c r="A237" s="208"/>
      <c r="G237" s="179"/>
      <c r="H237" s="191">
        <v>232</v>
      </c>
      <c r="I237" s="192" t="str">
        <f t="shared" si="15"/>
        <v/>
      </c>
      <c r="J237" s="192" t="e">
        <f t="shared" si="18"/>
        <v>#NUM!</v>
      </c>
      <c r="K237" s="191" t="e">
        <f t="shared" si="16"/>
        <v>#NUM!</v>
      </c>
      <c r="L237" s="191"/>
      <c r="M237" s="193">
        <f t="shared" si="17"/>
        <v>0</v>
      </c>
    </row>
    <row r="238" spans="1:13" x14ac:dyDescent="0.25">
      <c r="A238" s="208"/>
      <c r="G238" s="179"/>
      <c r="H238" s="191">
        <v>233</v>
      </c>
      <c r="I238" s="192" t="str">
        <f t="shared" si="15"/>
        <v/>
      </c>
      <c r="J238" s="192" t="e">
        <f t="shared" si="18"/>
        <v>#NUM!</v>
      </c>
      <c r="K238" s="191" t="e">
        <f t="shared" si="16"/>
        <v>#NUM!</v>
      </c>
      <c r="L238" s="191"/>
      <c r="M238" s="193">
        <f t="shared" si="17"/>
        <v>0</v>
      </c>
    </row>
    <row r="239" spans="1:13" x14ac:dyDescent="0.25">
      <c r="A239" s="208"/>
      <c r="G239" s="179"/>
      <c r="H239" s="191">
        <v>234</v>
      </c>
      <c r="I239" s="192" t="str">
        <f t="shared" si="15"/>
        <v/>
      </c>
      <c r="J239" s="192" t="e">
        <f t="shared" si="18"/>
        <v>#NUM!</v>
      </c>
      <c r="K239" s="191" t="e">
        <f t="shared" si="16"/>
        <v>#NUM!</v>
      </c>
      <c r="L239" s="191"/>
      <c r="M239" s="193">
        <f t="shared" si="17"/>
        <v>0</v>
      </c>
    </row>
    <row r="240" spans="1:13" x14ac:dyDescent="0.25">
      <c r="A240" s="208"/>
      <c r="G240" s="179"/>
      <c r="H240" s="191">
        <v>235</v>
      </c>
      <c r="I240" s="192" t="str">
        <f t="shared" si="15"/>
        <v/>
      </c>
      <c r="J240" s="192" t="e">
        <f t="shared" si="18"/>
        <v>#NUM!</v>
      </c>
      <c r="K240" s="191" t="e">
        <f t="shared" si="16"/>
        <v>#NUM!</v>
      </c>
      <c r="L240" s="191"/>
      <c r="M240" s="193">
        <f t="shared" si="17"/>
        <v>0</v>
      </c>
    </row>
    <row r="241" spans="1:13" x14ac:dyDescent="0.25">
      <c r="A241" s="208"/>
      <c r="G241" s="179"/>
      <c r="H241" s="191">
        <v>236</v>
      </c>
      <c r="I241" s="192" t="str">
        <f t="shared" si="15"/>
        <v/>
      </c>
      <c r="J241" s="192" t="e">
        <f t="shared" si="18"/>
        <v>#NUM!</v>
      </c>
      <c r="K241" s="191" t="e">
        <f t="shared" si="16"/>
        <v>#NUM!</v>
      </c>
      <c r="L241" s="191"/>
      <c r="M241" s="193">
        <f t="shared" si="17"/>
        <v>0</v>
      </c>
    </row>
    <row r="242" spans="1:13" x14ac:dyDescent="0.25">
      <c r="A242" s="208"/>
      <c r="G242" s="179"/>
      <c r="H242" s="191">
        <v>237</v>
      </c>
      <c r="I242" s="192" t="str">
        <f t="shared" si="15"/>
        <v/>
      </c>
      <c r="J242" s="192" t="e">
        <f t="shared" si="18"/>
        <v>#NUM!</v>
      </c>
      <c r="K242" s="191" t="e">
        <f t="shared" si="16"/>
        <v>#NUM!</v>
      </c>
      <c r="L242" s="191"/>
      <c r="M242" s="193">
        <f t="shared" si="17"/>
        <v>0</v>
      </c>
    </row>
    <row r="243" spans="1:13" x14ac:dyDescent="0.25">
      <c r="A243" s="208"/>
      <c r="G243" s="179"/>
      <c r="H243" s="191">
        <v>238</v>
      </c>
      <c r="I243" s="192" t="str">
        <f t="shared" si="15"/>
        <v/>
      </c>
      <c r="J243" s="192" t="e">
        <f t="shared" si="18"/>
        <v>#NUM!</v>
      </c>
      <c r="K243" s="191" t="e">
        <f t="shared" si="16"/>
        <v>#NUM!</v>
      </c>
      <c r="L243" s="191"/>
      <c r="M243" s="193">
        <f t="shared" si="17"/>
        <v>0</v>
      </c>
    </row>
    <row r="244" spans="1:13" x14ac:dyDescent="0.25">
      <c r="A244" s="208"/>
      <c r="G244" s="179"/>
      <c r="H244" s="191">
        <v>239</v>
      </c>
      <c r="I244" s="192" t="str">
        <f t="shared" si="15"/>
        <v/>
      </c>
      <c r="J244" s="192" t="e">
        <f t="shared" si="18"/>
        <v>#NUM!</v>
      </c>
      <c r="K244" s="191" t="e">
        <f t="shared" si="16"/>
        <v>#NUM!</v>
      </c>
      <c r="L244" s="191"/>
      <c r="M244" s="193">
        <f t="shared" si="17"/>
        <v>0</v>
      </c>
    </row>
    <row r="245" spans="1:13" x14ac:dyDescent="0.25">
      <c r="A245" s="208"/>
      <c r="G245" s="179"/>
      <c r="H245" s="191">
        <v>240</v>
      </c>
      <c r="I245" s="192" t="str">
        <f t="shared" si="15"/>
        <v/>
      </c>
      <c r="J245" s="192" t="e">
        <f t="shared" si="18"/>
        <v>#NUM!</v>
      </c>
      <c r="K245" s="191" t="e">
        <f t="shared" si="16"/>
        <v>#NUM!</v>
      </c>
      <c r="L245" s="191"/>
      <c r="M245" s="193">
        <f t="shared" si="17"/>
        <v>0</v>
      </c>
    </row>
    <row r="246" spans="1:13" x14ac:dyDescent="0.25">
      <c r="A246" s="208"/>
      <c r="G246" s="179"/>
      <c r="H246" s="191">
        <v>241</v>
      </c>
      <c r="I246" s="192" t="str">
        <f t="shared" si="15"/>
        <v/>
      </c>
      <c r="J246" s="192" t="e">
        <f t="shared" si="18"/>
        <v>#NUM!</v>
      </c>
      <c r="K246" s="191" t="e">
        <f t="shared" si="16"/>
        <v>#NUM!</v>
      </c>
      <c r="L246" s="191"/>
      <c r="M246" s="193">
        <f t="shared" si="17"/>
        <v>0</v>
      </c>
    </row>
    <row r="247" spans="1:13" x14ac:dyDescent="0.25">
      <c r="A247" s="208"/>
      <c r="G247" s="179"/>
      <c r="H247" s="191">
        <v>242</v>
      </c>
      <c r="I247" s="192" t="str">
        <f t="shared" si="15"/>
        <v/>
      </c>
      <c r="J247" s="192" t="e">
        <f t="shared" si="18"/>
        <v>#NUM!</v>
      </c>
      <c r="K247" s="191" t="e">
        <f t="shared" si="16"/>
        <v>#NUM!</v>
      </c>
      <c r="L247" s="191"/>
      <c r="M247" s="193">
        <f t="shared" si="17"/>
        <v>0</v>
      </c>
    </row>
    <row r="248" spans="1:13" x14ac:dyDescent="0.25">
      <c r="A248" s="208"/>
      <c r="G248" s="179"/>
      <c r="H248" s="191">
        <v>243</v>
      </c>
      <c r="I248" s="192" t="str">
        <f t="shared" si="15"/>
        <v/>
      </c>
      <c r="J248" s="192" t="e">
        <f t="shared" si="18"/>
        <v>#NUM!</v>
      </c>
      <c r="K248" s="191" t="e">
        <f t="shared" si="16"/>
        <v>#NUM!</v>
      </c>
      <c r="L248" s="191"/>
      <c r="M248" s="193">
        <f t="shared" si="17"/>
        <v>0</v>
      </c>
    </row>
    <row r="249" spans="1:13" x14ac:dyDescent="0.25">
      <c r="A249" s="208"/>
      <c r="G249" s="179"/>
      <c r="H249" s="191">
        <v>244</v>
      </c>
      <c r="I249" s="192" t="str">
        <f t="shared" si="15"/>
        <v/>
      </c>
      <c r="J249" s="192" t="e">
        <f t="shared" si="18"/>
        <v>#NUM!</v>
      </c>
      <c r="K249" s="191" t="e">
        <f t="shared" si="16"/>
        <v>#NUM!</v>
      </c>
      <c r="L249" s="191"/>
      <c r="M249" s="193">
        <f t="shared" si="17"/>
        <v>0</v>
      </c>
    </row>
    <row r="250" spans="1:13" x14ac:dyDescent="0.25">
      <c r="A250" s="208"/>
      <c r="G250" s="179"/>
      <c r="H250" s="191">
        <v>245</v>
      </c>
      <c r="I250" s="192" t="str">
        <f t="shared" si="15"/>
        <v/>
      </c>
      <c r="J250" s="192" t="e">
        <f t="shared" si="18"/>
        <v>#NUM!</v>
      </c>
      <c r="K250" s="191" t="e">
        <f t="shared" si="16"/>
        <v>#NUM!</v>
      </c>
      <c r="L250" s="191"/>
      <c r="M250" s="193">
        <f t="shared" si="17"/>
        <v>0</v>
      </c>
    </row>
    <row r="251" spans="1:13" x14ac:dyDescent="0.25">
      <c r="A251" s="208"/>
      <c r="G251" s="179"/>
      <c r="H251" s="191">
        <v>246</v>
      </c>
      <c r="I251" s="192" t="str">
        <f t="shared" si="15"/>
        <v/>
      </c>
      <c r="J251" s="192" t="e">
        <f t="shared" si="18"/>
        <v>#NUM!</v>
      </c>
      <c r="K251" s="191" t="e">
        <f t="shared" si="16"/>
        <v>#NUM!</v>
      </c>
      <c r="L251" s="191"/>
      <c r="M251" s="193">
        <f t="shared" si="17"/>
        <v>0</v>
      </c>
    </row>
    <row r="252" spans="1:13" x14ac:dyDescent="0.25">
      <c r="A252" s="208"/>
      <c r="G252" s="179"/>
      <c r="H252" s="191">
        <v>247</v>
      </c>
      <c r="I252" s="192" t="str">
        <f t="shared" si="15"/>
        <v/>
      </c>
      <c r="J252" s="192" t="e">
        <f t="shared" si="18"/>
        <v>#NUM!</v>
      </c>
      <c r="K252" s="191" t="e">
        <f t="shared" si="16"/>
        <v>#NUM!</v>
      </c>
      <c r="L252" s="191"/>
      <c r="M252" s="193">
        <f t="shared" si="17"/>
        <v>0</v>
      </c>
    </row>
    <row r="253" spans="1:13" x14ac:dyDescent="0.25">
      <c r="A253" s="208"/>
      <c r="G253" s="179"/>
      <c r="H253" s="191">
        <v>248</v>
      </c>
      <c r="I253" s="192" t="str">
        <f t="shared" si="15"/>
        <v/>
      </c>
      <c r="J253" s="192" t="e">
        <f t="shared" si="18"/>
        <v>#NUM!</v>
      </c>
      <c r="K253" s="191" t="e">
        <f t="shared" si="16"/>
        <v>#NUM!</v>
      </c>
      <c r="L253" s="191"/>
      <c r="M253" s="193">
        <f t="shared" si="17"/>
        <v>0</v>
      </c>
    </row>
    <row r="254" spans="1:13" x14ac:dyDescent="0.25">
      <c r="A254" s="208"/>
      <c r="G254" s="179"/>
      <c r="H254" s="191">
        <v>249</v>
      </c>
      <c r="I254" s="192" t="str">
        <f t="shared" si="15"/>
        <v/>
      </c>
      <c r="J254" s="192" t="e">
        <f t="shared" si="18"/>
        <v>#NUM!</v>
      </c>
      <c r="K254" s="191" t="e">
        <f t="shared" si="16"/>
        <v>#NUM!</v>
      </c>
      <c r="L254" s="191"/>
      <c r="M254" s="193">
        <f t="shared" si="17"/>
        <v>0</v>
      </c>
    </row>
    <row r="255" spans="1:13" x14ac:dyDescent="0.25">
      <c r="A255" s="208"/>
      <c r="G255" s="179"/>
      <c r="H255" s="191">
        <v>250</v>
      </c>
      <c r="I255" s="192" t="str">
        <f t="shared" si="15"/>
        <v/>
      </c>
      <c r="J255" s="192" t="e">
        <f t="shared" si="18"/>
        <v>#NUM!</v>
      </c>
      <c r="K255" s="191" t="e">
        <f t="shared" si="16"/>
        <v>#NUM!</v>
      </c>
      <c r="L255" s="191"/>
      <c r="M255" s="193">
        <f t="shared" si="17"/>
        <v>0</v>
      </c>
    </row>
    <row r="256" spans="1:13" x14ac:dyDescent="0.25">
      <c r="A256" s="208"/>
      <c r="G256" s="179"/>
      <c r="H256" s="191">
        <v>251</v>
      </c>
      <c r="I256" s="192" t="str">
        <f t="shared" si="15"/>
        <v/>
      </c>
      <c r="J256" s="192" t="e">
        <f t="shared" si="18"/>
        <v>#NUM!</v>
      </c>
      <c r="K256" s="191" t="e">
        <f t="shared" si="16"/>
        <v>#NUM!</v>
      </c>
      <c r="L256" s="191"/>
      <c r="M256" s="193">
        <f t="shared" si="17"/>
        <v>0</v>
      </c>
    </row>
    <row r="257" spans="1:13" x14ac:dyDescent="0.25">
      <c r="A257" s="208"/>
      <c r="G257" s="179"/>
      <c r="H257" s="191">
        <v>252</v>
      </c>
      <c r="I257" s="192" t="str">
        <f t="shared" si="15"/>
        <v/>
      </c>
      <c r="J257" s="192" t="e">
        <f t="shared" si="18"/>
        <v>#NUM!</v>
      </c>
      <c r="K257" s="191" t="e">
        <f t="shared" si="16"/>
        <v>#NUM!</v>
      </c>
      <c r="L257" s="191"/>
      <c r="M257" s="193">
        <f t="shared" si="17"/>
        <v>0</v>
      </c>
    </row>
    <row r="258" spans="1:13" x14ac:dyDescent="0.25">
      <c r="A258" s="208"/>
      <c r="G258" s="179"/>
      <c r="H258" s="191">
        <v>253</v>
      </c>
      <c r="I258" s="192" t="str">
        <f t="shared" si="15"/>
        <v/>
      </c>
      <c r="J258" s="192" t="e">
        <f t="shared" si="18"/>
        <v>#NUM!</v>
      </c>
      <c r="K258" s="191" t="e">
        <f t="shared" si="16"/>
        <v>#NUM!</v>
      </c>
      <c r="L258" s="191"/>
      <c r="M258" s="193">
        <f t="shared" si="17"/>
        <v>0</v>
      </c>
    </row>
    <row r="259" spans="1:13" x14ac:dyDescent="0.25">
      <c r="A259" s="208"/>
      <c r="G259" s="179"/>
      <c r="H259" s="191">
        <v>254</v>
      </c>
      <c r="I259" s="192" t="str">
        <f t="shared" si="15"/>
        <v/>
      </c>
      <c r="J259" s="192" t="e">
        <f t="shared" si="18"/>
        <v>#NUM!</v>
      </c>
      <c r="K259" s="191" t="e">
        <f t="shared" si="16"/>
        <v>#NUM!</v>
      </c>
      <c r="L259" s="191"/>
      <c r="M259" s="193">
        <f t="shared" si="17"/>
        <v>0</v>
      </c>
    </row>
    <row r="260" spans="1:13" x14ac:dyDescent="0.25">
      <c r="A260" s="208"/>
      <c r="G260" s="179"/>
      <c r="H260" s="191">
        <v>255</v>
      </c>
      <c r="I260" s="192" t="str">
        <f t="shared" si="15"/>
        <v/>
      </c>
      <c r="J260" s="192" t="e">
        <f t="shared" si="18"/>
        <v>#NUM!</v>
      </c>
      <c r="K260" s="191" t="e">
        <f t="shared" si="16"/>
        <v>#NUM!</v>
      </c>
      <c r="L260" s="191"/>
      <c r="M260" s="193">
        <f t="shared" si="17"/>
        <v>0</v>
      </c>
    </row>
    <row r="261" spans="1:13" x14ac:dyDescent="0.25">
      <c r="A261" s="208"/>
      <c r="G261" s="179"/>
      <c r="H261" s="191">
        <v>256</v>
      </c>
      <c r="I261" s="192" t="str">
        <f t="shared" si="15"/>
        <v/>
      </c>
      <c r="J261" s="192" t="e">
        <f t="shared" si="18"/>
        <v>#NUM!</v>
      </c>
      <c r="K261" s="191" t="e">
        <f t="shared" si="16"/>
        <v>#NUM!</v>
      </c>
      <c r="L261" s="191"/>
      <c r="M261" s="193">
        <f t="shared" si="17"/>
        <v>0</v>
      </c>
    </row>
    <row r="262" spans="1:13" x14ac:dyDescent="0.25">
      <c r="A262" s="208"/>
      <c r="G262" s="179"/>
      <c r="H262" s="191">
        <v>257</v>
      </c>
      <c r="I262" s="192" t="str">
        <f t="shared" ref="I262:I305" si="19">IF(H262&lt;$H$2+1,($I$2-($I$2-1)*(LOG(H262)/LOG($H$2))),"")</f>
        <v/>
      </c>
      <c r="J262" s="192" t="e">
        <f t="shared" si="18"/>
        <v>#NUM!</v>
      </c>
      <c r="K262" s="191" t="e">
        <f t="shared" ref="K262:K305" si="20">J262*$J$2</f>
        <v>#NUM!</v>
      </c>
      <c r="L262" s="191"/>
      <c r="M262" s="193">
        <f t="shared" ref="M262:M305" si="21">IF(I262&lt;&gt;"",K262+I262+L262,0)</f>
        <v>0</v>
      </c>
    </row>
    <row r="263" spans="1:13" x14ac:dyDescent="0.25">
      <c r="A263" s="208"/>
      <c r="G263" s="179"/>
      <c r="H263" s="191">
        <v>258</v>
      </c>
      <c r="I263" s="192" t="str">
        <f t="shared" si="19"/>
        <v/>
      </c>
      <c r="J263" s="192" t="e">
        <f t="shared" ref="J263:J305" si="22">INT(LOG($H$2,2))-ROUNDUP(LOG(H263,2),0)+IF(OR($H$2=1,$H$2=2,$H$2=4,$H$2=8,$H$2=16,$H$2=32,$H$2=64,$H$2=128,$H$2=256),0,1)</f>
        <v>#NUM!</v>
      </c>
      <c r="K263" s="191" t="e">
        <f t="shared" si="20"/>
        <v>#NUM!</v>
      </c>
      <c r="L263" s="191"/>
      <c r="M263" s="193">
        <f t="shared" si="21"/>
        <v>0</v>
      </c>
    </row>
    <row r="264" spans="1:13" x14ac:dyDescent="0.25">
      <c r="A264" s="208"/>
      <c r="G264" s="179"/>
      <c r="H264" s="191">
        <v>259</v>
      </c>
      <c r="I264" s="192" t="str">
        <f t="shared" si="19"/>
        <v/>
      </c>
      <c r="J264" s="192" t="e">
        <f t="shared" si="22"/>
        <v>#NUM!</v>
      </c>
      <c r="K264" s="191" t="e">
        <f t="shared" si="20"/>
        <v>#NUM!</v>
      </c>
      <c r="L264" s="191"/>
      <c r="M264" s="193">
        <f t="shared" si="21"/>
        <v>0</v>
      </c>
    </row>
    <row r="265" spans="1:13" x14ac:dyDescent="0.25">
      <c r="A265" s="208"/>
      <c r="G265" s="179"/>
      <c r="H265" s="191">
        <v>260</v>
      </c>
      <c r="I265" s="192" t="str">
        <f t="shared" si="19"/>
        <v/>
      </c>
      <c r="J265" s="192" t="e">
        <f t="shared" si="22"/>
        <v>#NUM!</v>
      </c>
      <c r="K265" s="191" t="e">
        <f t="shared" si="20"/>
        <v>#NUM!</v>
      </c>
      <c r="L265" s="191"/>
      <c r="M265" s="193">
        <f t="shared" si="21"/>
        <v>0</v>
      </c>
    </row>
    <row r="266" spans="1:13" x14ac:dyDescent="0.25">
      <c r="A266" s="208"/>
      <c r="G266" s="179"/>
      <c r="H266" s="191">
        <v>261</v>
      </c>
      <c r="I266" s="192" t="str">
        <f t="shared" si="19"/>
        <v/>
      </c>
      <c r="J266" s="192" t="e">
        <f t="shared" si="22"/>
        <v>#NUM!</v>
      </c>
      <c r="K266" s="191" t="e">
        <f t="shared" si="20"/>
        <v>#NUM!</v>
      </c>
      <c r="L266" s="191"/>
      <c r="M266" s="193">
        <f t="shared" si="21"/>
        <v>0</v>
      </c>
    </row>
    <row r="267" spans="1:13" x14ac:dyDescent="0.25">
      <c r="A267" s="208"/>
      <c r="G267" s="179"/>
      <c r="H267" s="191">
        <v>262</v>
      </c>
      <c r="I267" s="192" t="str">
        <f t="shared" si="19"/>
        <v/>
      </c>
      <c r="J267" s="192" t="e">
        <f t="shared" si="22"/>
        <v>#NUM!</v>
      </c>
      <c r="K267" s="191" t="e">
        <f t="shared" si="20"/>
        <v>#NUM!</v>
      </c>
      <c r="L267" s="191"/>
      <c r="M267" s="193">
        <f t="shared" si="21"/>
        <v>0</v>
      </c>
    </row>
    <row r="268" spans="1:13" x14ac:dyDescent="0.25">
      <c r="A268" s="208"/>
      <c r="G268" s="179"/>
      <c r="H268" s="191">
        <v>263</v>
      </c>
      <c r="I268" s="192" t="str">
        <f t="shared" si="19"/>
        <v/>
      </c>
      <c r="J268" s="192" t="e">
        <f t="shared" si="22"/>
        <v>#NUM!</v>
      </c>
      <c r="K268" s="191" t="e">
        <f t="shared" si="20"/>
        <v>#NUM!</v>
      </c>
      <c r="L268" s="191"/>
      <c r="M268" s="193">
        <f t="shared" si="21"/>
        <v>0</v>
      </c>
    </row>
    <row r="269" spans="1:13" x14ac:dyDescent="0.25">
      <c r="A269" s="208"/>
      <c r="G269" s="179"/>
      <c r="H269" s="191">
        <v>264</v>
      </c>
      <c r="I269" s="192" t="str">
        <f t="shared" si="19"/>
        <v/>
      </c>
      <c r="J269" s="192" t="e">
        <f t="shared" si="22"/>
        <v>#NUM!</v>
      </c>
      <c r="K269" s="191" t="e">
        <f t="shared" si="20"/>
        <v>#NUM!</v>
      </c>
      <c r="L269" s="191"/>
      <c r="M269" s="193">
        <f t="shared" si="21"/>
        <v>0</v>
      </c>
    </row>
    <row r="270" spans="1:13" x14ac:dyDescent="0.25">
      <c r="A270" s="208"/>
      <c r="G270" s="179"/>
      <c r="H270" s="191">
        <v>265</v>
      </c>
      <c r="I270" s="192" t="str">
        <f t="shared" si="19"/>
        <v/>
      </c>
      <c r="J270" s="192" t="e">
        <f t="shared" si="22"/>
        <v>#NUM!</v>
      </c>
      <c r="K270" s="191" t="e">
        <f t="shared" si="20"/>
        <v>#NUM!</v>
      </c>
      <c r="L270" s="191"/>
      <c r="M270" s="193">
        <f t="shared" si="21"/>
        <v>0</v>
      </c>
    </row>
    <row r="271" spans="1:13" x14ac:dyDescent="0.25">
      <c r="A271" s="208"/>
      <c r="G271" s="179"/>
      <c r="H271" s="191">
        <v>266</v>
      </c>
      <c r="I271" s="192" t="str">
        <f t="shared" si="19"/>
        <v/>
      </c>
      <c r="J271" s="192" t="e">
        <f t="shared" si="22"/>
        <v>#NUM!</v>
      </c>
      <c r="K271" s="191" t="e">
        <f t="shared" si="20"/>
        <v>#NUM!</v>
      </c>
      <c r="L271" s="191"/>
      <c r="M271" s="193">
        <f t="shared" si="21"/>
        <v>0</v>
      </c>
    </row>
    <row r="272" spans="1:13" x14ac:dyDescent="0.25">
      <c r="A272" s="208"/>
      <c r="G272" s="179"/>
      <c r="H272" s="191">
        <v>267</v>
      </c>
      <c r="I272" s="192" t="str">
        <f t="shared" si="19"/>
        <v/>
      </c>
      <c r="J272" s="192" t="e">
        <f t="shared" si="22"/>
        <v>#NUM!</v>
      </c>
      <c r="K272" s="191" t="e">
        <f t="shared" si="20"/>
        <v>#NUM!</v>
      </c>
      <c r="L272" s="191"/>
      <c r="M272" s="193">
        <f t="shared" si="21"/>
        <v>0</v>
      </c>
    </row>
    <row r="273" spans="1:13" x14ac:dyDescent="0.25">
      <c r="A273" s="208"/>
      <c r="G273" s="179"/>
      <c r="H273" s="191">
        <v>268</v>
      </c>
      <c r="I273" s="192" t="str">
        <f t="shared" si="19"/>
        <v/>
      </c>
      <c r="J273" s="192" t="e">
        <f t="shared" si="22"/>
        <v>#NUM!</v>
      </c>
      <c r="K273" s="191" t="e">
        <f t="shared" si="20"/>
        <v>#NUM!</v>
      </c>
      <c r="L273" s="191"/>
      <c r="M273" s="193">
        <f t="shared" si="21"/>
        <v>0</v>
      </c>
    </row>
    <row r="274" spans="1:13" x14ac:dyDescent="0.25">
      <c r="A274" s="208"/>
      <c r="G274" s="179"/>
      <c r="H274" s="191">
        <v>269</v>
      </c>
      <c r="I274" s="192" t="str">
        <f t="shared" si="19"/>
        <v/>
      </c>
      <c r="J274" s="192" t="e">
        <f t="shared" si="22"/>
        <v>#NUM!</v>
      </c>
      <c r="K274" s="191" t="e">
        <f t="shared" si="20"/>
        <v>#NUM!</v>
      </c>
      <c r="L274" s="191"/>
      <c r="M274" s="193">
        <f t="shared" si="21"/>
        <v>0</v>
      </c>
    </row>
    <row r="275" spans="1:13" x14ac:dyDescent="0.25">
      <c r="A275" s="208"/>
      <c r="G275" s="179"/>
      <c r="H275" s="191">
        <v>270</v>
      </c>
      <c r="I275" s="192" t="str">
        <f t="shared" si="19"/>
        <v/>
      </c>
      <c r="J275" s="192" t="e">
        <f t="shared" si="22"/>
        <v>#NUM!</v>
      </c>
      <c r="K275" s="191" t="e">
        <f t="shared" si="20"/>
        <v>#NUM!</v>
      </c>
      <c r="L275" s="191"/>
      <c r="M275" s="193">
        <f t="shared" si="21"/>
        <v>0</v>
      </c>
    </row>
    <row r="276" spans="1:13" x14ac:dyDescent="0.25">
      <c r="A276" s="208"/>
      <c r="G276" s="179"/>
      <c r="H276" s="191">
        <v>271</v>
      </c>
      <c r="I276" s="192" t="str">
        <f t="shared" si="19"/>
        <v/>
      </c>
      <c r="J276" s="192" t="e">
        <f t="shared" si="22"/>
        <v>#NUM!</v>
      </c>
      <c r="K276" s="191" t="e">
        <f t="shared" si="20"/>
        <v>#NUM!</v>
      </c>
      <c r="L276" s="191"/>
      <c r="M276" s="193">
        <f t="shared" si="21"/>
        <v>0</v>
      </c>
    </row>
    <row r="277" spans="1:13" x14ac:dyDescent="0.25">
      <c r="A277" s="208"/>
      <c r="G277" s="179"/>
      <c r="H277" s="191">
        <v>272</v>
      </c>
      <c r="I277" s="192" t="str">
        <f t="shared" si="19"/>
        <v/>
      </c>
      <c r="J277" s="192" t="e">
        <f t="shared" si="22"/>
        <v>#NUM!</v>
      </c>
      <c r="K277" s="191" t="e">
        <f t="shared" si="20"/>
        <v>#NUM!</v>
      </c>
      <c r="L277" s="191"/>
      <c r="M277" s="193">
        <f t="shared" si="21"/>
        <v>0</v>
      </c>
    </row>
    <row r="278" spans="1:13" x14ac:dyDescent="0.25">
      <c r="A278" s="208"/>
      <c r="G278" s="179"/>
      <c r="H278" s="191">
        <v>273</v>
      </c>
      <c r="I278" s="192" t="str">
        <f t="shared" si="19"/>
        <v/>
      </c>
      <c r="J278" s="192" t="e">
        <f t="shared" si="22"/>
        <v>#NUM!</v>
      </c>
      <c r="K278" s="191" t="e">
        <f t="shared" si="20"/>
        <v>#NUM!</v>
      </c>
      <c r="L278" s="191"/>
      <c r="M278" s="193">
        <f t="shared" si="21"/>
        <v>0</v>
      </c>
    </row>
    <row r="279" spans="1:13" x14ac:dyDescent="0.25">
      <c r="A279" s="208"/>
      <c r="G279" s="179"/>
      <c r="H279" s="191">
        <v>274</v>
      </c>
      <c r="I279" s="192" t="str">
        <f t="shared" si="19"/>
        <v/>
      </c>
      <c r="J279" s="192" t="e">
        <f t="shared" si="22"/>
        <v>#NUM!</v>
      </c>
      <c r="K279" s="191" t="e">
        <f t="shared" si="20"/>
        <v>#NUM!</v>
      </c>
      <c r="L279" s="191"/>
      <c r="M279" s="193">
        <f t="shared" si="21"/>
        <v>0</v>
      </c>
    </row>
    <row r="280" spans="1:13" x14ac:dyDescent="0.25">
      <c r="A280" s="208"/>
      <c r="G280" s="179"/>
      <c r="H280" s="191">
        <v>275</v>
      </c>
      <c r="I280" s="192" t="str">
        <f t="shared" si="19"/>
        <v/>
      </c>
      <c r="J280" s="192" t="e">
        <f t="shared" si="22"/>
        <v>#NUM!</v>
      </c>
      <c r="K280" s="191" t="e">
        <f t="shared" si="20"/>
        <v>#NUM!</v>
      </c>
      <c r="L280" s="191"/>
      <c r="M280" s="193">
        <f t="shared" si="21"/>
        <v>0</v>
      </c>
    </row>
    <row r="281" spans="1:13" x14ac:dyDescent="0.25">
      <c r="A281" s="208"/>
      <c r="G281" s="179"/>
      <c r="H281" s="191">
        <v>276</v>
      </c>
      <c r="I281" s="192" t="str">
        <f t="shared" si="19"/>
        <v/>
      </c>
      <c r="J281" s="192" t="e">
        <f t="shared" si="22"/>
        <v>#NUM!</v>
      </c>
      <c r="K281" s="191" t="e">
        <f t="shared" si="20"/>
        <v>#NUM!</v>
      </c>
      <c r="L281" s="191"/>
      <c r="M281" s="193">
        <f t="shared" si="21"/>
        <v>0</v>
      </c>
    </row>
    <row r="282" spans="1:13" x14ac:dyDescent="0.25">
      <c r="A282" s="208"/>
      <c r="G282" s="179"/>
      <c r="H282" s="191">
        <v>277</v>
      </c>
      <c r="I282" s="192" t="str">
        <f t="shared" si="19"/>
        <v/>
      </c>
      <c r="J282" s="192" t="e">
        <f t="shared" si="22"/>
        <v>#NUM!</v>
      </c>
      <c r="K282" s="191" t="e">
        <f t="shared" si="20"/>
        <v>#NUM!</v>
      </c>
      <c r="L282" s="191"/>
      <c r="M282" s="193">
        <f t="shared" si="21"/>
        <v>0</v>
      </c>
    </row>
    <row r="283" spans="1:13" x14ac:dyDescent="0.25">
      <c r="A283" s="208"/>
      <c r="G283" s="179"/>
      <c r="H283" s="191">
        <v>278</v>
      </c>
      <c r="I283" s="192" t="str">
        <f t="shared" si="19"/>
        <v/>
      </c>
      <c r="J283" s="192" t="e">
        <f t="shared" si="22"/>
        <v>#NUM!</v>
      </c>
      <c r="K283" s="191" t="e">
        <f t="shared" si="20"/>
        <v>#NUM!</v>
      </c>
      <c r="L283" s="191"/>
      <c r="M283" s="193">
        <f t="shared" si="21"/>
        <v>0</v>
      </c>
    </row>
    <row r="284" spans="1:13" x14ac:dyDescent="0.25">
      <c r="A284" s="208"/>
      <c r="G284" s="179"/>
      <c r="H284" s="191">
        <v>279</v>
      </c>
      <c r="I284" s="192" t="str">
        <f t="shared" si="19"/>
        <v/>
      </c>
      <c r="J284" s="192" t="e">
        <f t="shared" si="22"/>
        <v>#NUM!</v>
      </c>
      <c r="K284" s="191" t="e">
        <f t="shared" si="20"/>
        <v>#NUM!</v>
      </c>
      <c r="L284" s="191"/>
      <c r="M284" s="193">
        <f t="shared" si="21"/>
        <v>0</v>
      </c>
    </row>
    <row r="285" spans="1:13" x14ac:dyDescent="0.25">
      <c r="A285" s="208"/>
      <c r="G285" s="179"/>
      <c r="H285" s="191">
        <v>280</v>
      </c>
      <c r="I285" s="192" t="str">
        <f t="shared" si="19"/>
        <v/>
      </c>
      <c r="J285" s="192" t="e">
        <f t="shared" si="22"/>
        <v>#NUM!</v>
      </c>
      <c r="K285" s="191" t="e">
        <f t="shared" si="20"/>
        <v>#NUM!</v>
      </c>
      <c r="L285" s="191"/>
      <c r="M285" s="193">
        <f t="shared" si="21"/>
        <v>0</v>
      </c>
    </row>
    <row r="286" spans="1:13" x14ac:dyDescent="0.25">
      <c r="A286" s="208"/>
      <c r="G286" s="179"/>
      <c r="H286" s="191">
        <v>281</v>
      </c>
      <c r="I286" s="192" t="str">
        <f t="shared" si="19"/>
        <v/>
      </c>
      <c r="J286" s="192" t="e">
        <f t="shared" si="22"/>
        <v>#NUM!</v>
      </c>
      <c r="K286" s="191" t="e">
        <f t="shared" si="20"/>
        <v>#NUM!</v>
      </c>
      <c r="L286" s="191"/>
      <c r="M286" s="193">
        <f t="shared" si="21"/>
        <v>0</v>
      </c>
    </row>
    <row r="287" spans="1:13" x14ac:dyDescent="0.25">
      <c r="A287" s="208"/>
      <c r="G287" s="179"/>
      <c r="H287" s="191">
        <v>282</v>
      </c>
      <c r="I287" s="192" t="str">
        <f t="shared" si="19"/>
        <v/>
      </c>
      <c r="J287" s="192" t="e">
        <f t="shared" si="22"/>
        <v>#NUM!</v>
      </c>
      <c r="K287" s="191" t="e">
        <f t="shared" si="20"/>
        <v>#NUM!</v>
      </c>
      <c r="L287" s="191"/>
      <c r="M287" s="193">
        <f t="shared" si="21"/>
        <v>0</v>
      </c>
    </row>
    <row r="288" spans="1:13" x14ac:dyDescent="0.25">
      <c r="A288" s="208"/>
      <c r="G288" s="179"/>
      <c r="H288" s="191">
        <v>283</v>
      </c>
      <c r="I288" s="192" t="str">
        <f t="shared" si="19"/>
        <v/>
      </c>
      <c r="J288" s="192" t="e">
        <f t="shared" si="22"/>
        <v>#NUM!</v>
      </c>
      <c r="K288" s="191" t="e">
        <f t="shared" si="20"/>
        <v>#NUM!</v>
      </c>
      <c r="L288" s="191"/>
      <c r="M288" s="193">
        <f t="shared" si="21"/>
        <v>0</v>
      </c>
    </row>
    <row r="289" spans="1:13" x14ac:dyDescent="0.25">
      <c r="A289" s="208"/>
      <c r="G289" s="179"/>
      <c r="H289" s="191">
        <v>284</v>
      </c>
      <c r="I289" s="192" t="str">
        <f t="shared" si="19"/>
        <v/>
      </c>
      <c r="J289" s="192" t="e">
        <f t="shared" si="22"/>
        <v>#NUM!</v>
      </c>
      <c r="K289" s="191" t="e">
        <f t="shared" si="20"/>
        <v>#NUM!</v>
      </c>
      <c r="L289" s="191"/>
      <c r="M289" s="193">
        <f t="shared" si="21"/>
        <v>0</v>
      </c>
    </row>
    <row r="290" spans="1:13" x14ac:dyDescent="0.25">
      <c r="A290" s="208"/>
      <c r="G290" s="179"/>
      <c r="H290" s="191">
        <v>285</v>
      </c>
      <c r="I290" s="192" t="str">
        <f t="shared" si="19"/>
        <v/>
      </c>
      <c r="J290" s="192" t="e">
        <f t="shared" si="22"/>
        <v>#NUM!</v>
      </c>
      <c r="K290" s="191" t="e">
        <f t="shared" si="20"/>
        <v>#NUM!</v>
      </c>
      <c r="L290" s="191"/>
      <c r="M290" s="193">
        <f t="shared" si="21"/>
        <v>0</v>
      </c>
    </row>
    <row r="291" spans="1:13" x14ac:dyDescent="0.25">
      <c r="A291" s="208"/>
      <c r="G291" s="179"/>
      <c r="H291" s="191">
        <v>286</v>
      </c>
      <c r="I291" s="192" t="str">
        <f t="shared" si="19"/>
        <v/>
      </c>
      <c r="J291" s="192" t="e">
        <f t="shared" si="22"/>
        <v>#NUM!</v>
      </c>
      <c r="K291" s="191" t="e">
        <f t="shared" si="20"/>
        <v>#NUM!</v>
      </c>
      <c r="L291" s="191"/>
      <c r="M291" s="193">
        <f t="shared" si="21"/>
        <v>0</v>
      </c>
    </row>
    <row r="292" spans="1:13" x14ac:dyDescent="0.25">
      <c r="A292" s="208"/>
      <c r="G292" s="179"/>
      <c r="H292" s="191">
        <v>287</v>
      </c>
      <c r="I292" s="192" t="str">
        <f t="shared" si="19"/>
        <v/>
      </c>
      <c r="J292" s="192" t="e">
        <f t="shared" si="22"/>
        <v>#NUM!</v>
      </c>
      <c r="K292" s="191" t="e">
        <f t="shared" si="20"/>
        <v>#NUM!</v>
      </c>
      <c r="L292" s="191"/>
      <c r="M292" s="193">
        <f t="shared" si="21"/>
        <v>0</v>
      </c>
    </row>
    <row r="293" spans="1:13" x14ac:dyDescent="0.25">
      <c r="A293" s="208"/>
      <c r="G293" s="179"/>
      <c r="H293" s="191">
        <v>288</v>
      </c>
      <c r="I293" s="192" t="str">
        <f t="shared" si="19"/>
        <v/>
      </c>
      <c r="J293" s="192" t="e">
        <f t="shared" si="22"/>
        <v>#NUM!</v>
      </c>
      <c r="K293" s="191" t="e">
        <f t="shared" si="20"/>
        <v>#NUM!</v>
      </c>
      <c r="L293" s="191"/>
      <c r="M293" s="193">
        <f t="shared" si="21"/>
        <v>0</v>
      </c>
    </row>
    <row r="294" spans="1:13" x14ac:dyDescent="0.25">
      <c r="A294" s="208"/>
      <c r="G294" s="179"/>
      <c r="H294" s="191">
        <v>289</v>
      </c>
      <c r="I294" s="192" t="str">
        <f t="shared" si="19"/>
        <v/>
      </c>
      <c r="J294" s="192" t="e">
        <f t="shared" si="22"/>
        <v>#NUM!</v>
      </c>
      <c r="K294" s="191" t="e">
        <f t="shared" si="20"/>
        <v>#NUM!</v>
      </c>
      <c r="L294" s="191"/>
      <c r="M294" s="193">
        <f t="shared" si="21"/>
        <v>0</v>
      </c>
    </row>
    <row r="295" spans="1:13" x14ac:dyDescent="0.25">
      <c r="A295" s="208"/>
      <c r="G295" s="179"/>
      <c r="H295" s="191">
        <v>290</v>
      </c>
      <c r="I295" s="192" t="str">
        <f t="shared" si="19"/>
        <v/>
      </c>
      <c r="J295" s="192" t="e">
        <f t="shared" si="22"/>
        <v>#NUM!</v>
      </c>
      <c r="K295" s="191" t="e">
        <f t="shared" si="20"/>
        <v>#NUM!</v>
      </c>
      <c r="L295" s="191"/>
      <c r="M295" s="193">
        <f t="shared" si="21"/>
        <v>0</v>
      </c>
    </row>
    <row r="296" spans="1:13" x14ac:dyDescent="0.25">
      <c r="A296" s="208"/>
      <c r="G296" s="179"/>
      <c r="H296" s="191">
        <v>291</v>
      </c>
      <c r="I296" s="192" t="str">
        <f t="shared" si="19"/>
        <v/>
      </c>
      <c r="J296" s="192" t="e">
        <f t="shared" si="22"/>
        <v>#NUM!</v>
      </c>
      <c r="K296" s="191" t="e">
        <f t="shared" si="20"/>
        <v>#NUM!</v>
      </c>
      <c r="L296" s="191"/>
      <c r="M296" s="193">
        <f t="shared" si="21"/>
        <v>0</v>
      </c>
    </row>
    <row r="297" spans="1:13" x14ac:dyDescent="0.25">
      <c r="A297" s="208"/>
      <c r="G297" s="179"/>
      <c r="H297" s="191">
        <v>292</v>
      </c>
      <c r="I297" s="192" t="str">
        <f t="shared" si="19"/>
        <v/>
      </c>
      <c r="J297" s="192" t="e">
        <f t="shared" si="22"/>
        <v>#NUM!</v>
      </c>
      <c r="K297" s="191" t="e">
        <f t="shared" si="20"/>
        <v>#NUM!</v>
      </c>
      <c r="L297" s="191"/>
      <c r="M297" s="193">
        <f t="shared" si="21"/>
        <v>0</v>
      </c>
    </row>
    <row r="298" spans="1:13" x14ac:dyDescent="0.25">
      <c r="A298" s="208"/>
      <c r="G298" s="179"/>
      <c r="H298" s="191">
        <v>293</v>
      </c>
      <c r="I298" s="192" t="str">
        <f t="shared" si="19"/>
        <v/>
      </c>
      <c r="J298" s="192" t="e">
        <f t="shared" si="22"/>
        <v>#NUM!</v>
      </c>
      <c r="K298" s="191" t="e">
        <f t="shared" si="20"/>
        <v>#NUM!</v>
      </c>
      <c r="L298" s="191"/>
      <c r="M298" s="193">
        <f t="shared" si="21"/>
        <v>0</v>
      </c>
    </row>
    <row r="299" spans="1:13" x14ac:dyDescent="0.25">
      <c r="A299" s="208"/>
      <c r="G299" s="179"/>
      <c r="H299" s="191">
        <v>294</v>
      </c>
      <c r="I299" s="192" t="str">
        <f t="shared" si="19"/>
        <v/>
      </c>
      <c r="J299" s="192" t="e">
        <f t="shared" si="22"/>
        <v>#NUM!</v>
      </c>
      <c r="K299" s="191" t="e">
        <f t="shared" si="20"/>
        <v>#NUM!</v>
      </c>
      <c r="L299" s="191"/>
      <c r="M299" s="193">
        <f t="shared" si="21"/>
        <v>0</v>
      </c>
    </row>
    <row r="300" spans="1:13" x14ac:dyDescent="0.25">
      <c r="A300" s="208"/>
      <c r="G300" s="179"/>
      <c r="H300" s="191">
        <v>295</v>
      </c>
      <c r="I300" s="192" t="str">
        <f t="shared" si="19"/>
        <v/>
      </c>
      <c r="J300" s="192" t="e">
        <f t="shared" si="22"/>
        <v>#NUM!</v>
      </c>
      <c r="K300" s="191" t="e">
        <f t="shared" si="20"/>
        <v>#NUM!</v>
      </c>
      <c r="L300" s="191"/>
      <c r="M300" s="193">
        <f t="shared" si="21"/>
        <v>0</v>
      </c>
    </row>
    <row r="301" spans="1:13" x14ac:dyDescent="0.25">
      <c r="A301" s="208"/>
      <c r="G301" s="179"/>
      <c r="H301" s="191">
        <v>296</v>
      </c>
      <c r="I301" s="192" t="str">
        <f t="shared" si="19"/>
        <v/>
      </c>
      <c r="J301" s="192" t="e">
        <f t="shared" si="22"/>
        <v>#NUM!</v>
      </c>
      <c r="K301" s="191" t="e">
        <f t="shared" si="20"/>
        <v>#NUM!</v>
      </c>
      <c r="L301" s="191"/>
      <c r="M301" s="193">
        <f t="shared" si="21"/>
        <v>0</v>
      </c>
    </row>
    <row r="302" spans="1:13" x14ac:dyDescent="0.25">
      <c r="A302" s="208"/>
      <c r="G302" s="179"/>
      <c r="H302" s="191">
        <v>297</v>
      </c>
      <c r="I302" s="192" t="str">
        <f t="shared" si="19"/>
        <v/>
      </c>
      <c r="J302" s="192" t="e">
        <f t="shared" si="22"/>
        <v>#NUM!</v>
      </c>
      <c r="K302" s="191" t="e">
        <f t="shared" si="20"/>
        <v>#NUM!</v>
      </c>
      <c r="L302" s="191"/>
      <c r="M302" s="193">
        <f t="shared" si="21"/>
        <v>0</v>
      </c>
    </row>
    <row r="303" spans="1:13" x14ac:dyDescent="0.25">
      <c r="A303" s="208"/>
      <c r="G303" s="179"/>
      <c r="H303" s="191">
        <v>298</v>
      </c>
      <c r="I303" s="192" t="str">
        <f t="shared" si="19"/>
        <v/>
      </c>
      <c r="J303" s="192" t="e">
        <f t="shared" si="22"/>
        <v>#NUM!</v>
      </c>
      <c r="K303" s="191" t="e">
        <f t="shared" si="20"/>
        <v>#NUM!</v>
      </c>
      <c r="L303" s="191"/>
      <c r="M303" s="193">
        <f t="shared" si="21"/>
        <v>0</v>
      </c>
    </row>
    <row r="304" spans="1:13" x14ac:dyDescent="0.25">
      <c r="A304" s="208"/>
      <c r="G304" s="179"/>
      <c r="H304" s="191">
        <v>299</v>
      </c>
      <c r="I304" s="192" t="str">
        <f t="shared" si="19"/>
        <v/>
      </c>
      <c r="J304" s="192" t="e">
        <f t="shared" si="22"/>
        <v>#NUM!</v>
      </c>
      <c r="K304" s="191" t="e">
        <f t="shared" si="20"/>
        <v>#NUM!</v>
      </c>
      <c r="L304" s="191"/>
      <c r="M304" s="193">
        <f t="shared" si="21"/>
        <v>0</v>
      </c>
    </row>
    <row r="305" spans="1:16" x14ac:dyDescent="0.25">
      <c r="A305" s="208"/>
      <c r="G305" s="179"/>
      <c r="H305" s="191">
        <v>300</v>
      </c>
      <c r="I305" s="192" t="str">
        <f t="shared" si="19"/>
        <v/>
      </c>
      <c r="J305" s="192" t="e">
        <f t="shared" si="22"/>
        <v>#NUM!</v>
      </c>
      <c r="K305" s="191" t="e">
        <f t="shared" si="20"/>
        <v>#NUM!</v>
      </c>
      <c r="L305" s="191"/>
      <c r="M305" s="193">
        <f t="shared" si="21"/>
        <v>0</v>
      </c>
    </row>
    <row r="306" spans="1:16" x14ac:dyDescent="0.25">
      <c r="A306" s="209"/>
    </row>
    <row r="314" spans="1:16" x14ac:dyDescent="0.25">
      <c r="L314" s="212"/>
      <c r="P314" s="202"/>
    </row>
    <row r="315" spans="1:16" x14ac:dyDescent="0.25">
      <c r="L315" s="212"/>
      <c r="P315" s="202"/>
    </row>
    <row r="316" spans="1:16" x14ac:dyDescent="0.25">
      <c r="L316" s="212"/>
      <c r="P316" s="202"/>
    </row>
    <row r="317" spans="1:16" x14ac:dyDescent="0.25">
      <c r="L317" s="212"/>
      <c r="P317" s="202"/>
    </row>
  </sheetData>
  <mergeCells count="2">
    <mergeCell ref="C2:D2"/>
    <mergeCell ref="C3:D3"/>
  </mergeCells>
  <conditionalFormatting sqref="J9:K9">
    <cfRule type="cellIs" dxfId="9" priority="1" operator="lessThanOrEqual">
      <formula>0</formula>
    </cfRule>
  </conditionalFormatting>
  <conditionalFormatting sqref="K6:K8 K10:K305">
    <cfRule type="cellIs" dxfId="8" priority="2" operator="lessThanOrEqual">
      <formula>0</formula>
    </cfRule>
  </conditionalFormatting>
  <hyperlinks>
    <hyperlink ref="C2:D2" r:id="rId1" display="Terni" xr:uid="{23B322C2-D5BC-47E4-8614-6AB85CF48B36}"/>
  </hyperlinks>
  <pageMargins left="0.7" right="0.7" top="0.75" bottom="0.75" header="0.3" footer="0.3"/>
  <pageSetup paperSize="9" orientation="portrait"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00B5E-96AA-40C5-96B4-C7AB87328F6B}">
  <sheetPr>
    <tabColor rgb="FF92D050"/>
  </sheetPr>
  <dimension ref="A1:AL317"/>
  <sheetViews>
    <sheetView workbookViewId="0">
      <selection activeCell="F17" sqref="F17"/>
    </sheetView>
  </sheetViews>
  <sheetFormatPr defaultColWidth="8.875" defaultRowHeight="14.3" x14ac:dyDescent="0.25"/>
  <cols>
    <col min="1" max="1" width="8" style="207" customWidth="1"/>
    <col min="2" max="2" width="8.25" style="207" customWidth="1"/>
    <col min="3" max="3" width="34.75" style="207" customWidth="1"/>
    <col min="4" max="4" width="11.25" style="207" customWidth="1"/>
    <col min="5" max="6" width="8.875" style="207"/>
    <col min="7" max="7" width="0.875" style="207" customWidth="1"/>
    <col min="8" max="8" width="8.875" style="210"/>
    <col min="9" max="9" width="11" style="210" customWidth="1"/>
    <col min="10" max="10" width="15" style="210" customWidth="1"/>
    <col min="11" max="11" width="8.75" style="210" customWidth="1"/>
    <col min="12" max="12" width="11" style="210" customWidth="1"/>
    <col min="13" max="13" width="11.75" style="211" customWidth="1"/>
    <col min="14" max="15" width="13.875" style="179" customWidth="1"/>
    <col min="16" max="18" width="8.875" style="179"/>
    <col min="19" max="20" width="8.875" style="184"/>
    <col min="21" max="21" width="12.125" style="184" customWidth="1"/>
    <col min="22" max="22" width="27.375" style="184" customWidth="1"/>
    <col min="23" max="38" width="8.875" style="184"/>
    <col min="39" max="16384" width="8.875" style="207"/>
  </cols>
  <sheetData>
    <row r="1" spans="1:36" x14ac:dyDescent="0.25">
      <c r="A1" s="179"/>
      <c r="B1" s="179"/>
      <c r="C1" s="179"/>
      <c r="D1" s="179"/>
      <c r="E1" s="179"/>
      <c r="F1" s="179"/>
      <c r="G1" s="179"/>
      <c r="H1" s="180" t="s">
        <v>20</v>
      </c>
      <c r="I1" s="181" t="s">
        <v>21</v>
      </c>
      <c r="J1" s="181" t="s">
        <v>22</v>
      </c>
      <c r="K1" s="182" t="s">
        <v>84</v>
      </c>
      <c r="L1" s="183"/>
      <c r="M1" s="183"/>
    </row>
    <row r="2" spans="1:36" x14ac:dyDescent="0.25">
      <c r="A2" s="179"/>
      <c r="B2" s="19" t="s">
        <v>24</v>
      </c>
      <c r="C2" s="253" t="s">
        <v>85</v>
      </c>
      <c r="D2" s="127"/>
      <c r="E2" s="20"/>
      <c r="F2" s="20"/>
      <c r="G2" s="20"/>
      <c r="H2" s="185">
        <v>0</v>
      </c>
      <c r="I2" s="186">
        <v>50</v>
      </c>
      <c r="J2" s="186">
        <v>10</v>
      </c>
      <c r="K2" s="187">
        <f>3*H2^(1/3)</f>
        <v>0</v>
      </c>
      <c r="L2" s="183"/>
      <c r="M2" s="183"/>
    </row>
    <row r="3" spans="1:36" ht="14.45" customHeight="1" x14ac:dyDescent="0.25">
      <c r="A3" s="179"/>
      <c r="B3" s="188" t="s">
        <v>26</v>
      </c>
      <c r="C3" s="68" t="s">
        <v>101</v>
      </c>
      <c r="D3" s="68"/>
      <c r="E3" s="25"/>
      <c r="F3" s="25"/>
      <c r="G3" s="25"/>
      <c r="H3" s="183"/>
      <c r="I3" s="183"/>
      <c r="J3" s="183"/>
      <c r="K3" s="183"/>
      <c r="L3" s="183"/>
      <c r="M3" s="183"/>
    </row>
    <row r="4" spans="1:36" ht="10.199999999999999" customHeight="1" x14ac:dyDescent="0.25">
      <c r="A4" s="27"/>
      <c r="B4" s="25"/>
      <c r="C4" s="27"/>
      <c r="D4" s="27"/>
      <c r="E4" s="27"/>
      <c r="F4" s="27"/>
      <c r="G4" s="27"/>
      <c r="H4" s="183"/>
      <c r="I4" s="183"/>
      <c r="J4" s="183"/>
      <c r="K4" s="183"/>
      <c r="L4" s="183"/>
      <c r="M4" s="183"/>
    </row>
    <row r="5" spans="1:36" ht="34.65" x14ac:dyDescent="0.25">
      <c r="A5" s="1" t="s">
        <v>28</v>
      </c>
      <c r="B5" s="28" t="s">
        <v>29</v>
      </c>
      <c r="C5" s="1" t="s">
        <v>30</v>
      </c>
      <c r="D5" s="1" t="s">
        <v>31</v>
      </c>
      <c r="E5" s="1" t="s">
        <v>32</v>
      </c>
      <c r="F5" s="1" t="s">
        <v>33</v>
      </c>
      <c r="G5" s="27"/>
      <c r="H5" s="189" t="s">
        <v>34</v>
      </c>
      <c r="I5" s="190" t="s">
        <v>35</v>
      </c>
      <c r="J5" s="190" t="s">
        <v>36</v>
      </c>
      <c r="K5" s="190" t="s">
        <v>37</v>
      </c>
      <c r="L5" s="190" t="s">
        <v>38</v>
      </c>
      <c r="M5" s="189" t="s">
        <v>39</v>
      </c>
    </row>
    <row r="6" spans="1:36" ht="14.45" customHeight="1" x14ac:dyDescent="0.25">
      <c r="A6" s="94">
        <f>M6</f>
        <v>0</v>
      </c>
      <c r="B6" s="33" t="str">
        <f t="shared" ref="B6:B65" si="0">IF(H6&gt;$H$2,"",(ROW()-5))</f>
        <v/>
      </c>
      <c r="C6" s="34"/>
      <c r="D6" s="34"/>
      <c r="E6" s="34"/>
      <c r="F6" s="34"/>
      <c r="G6" s="27"/>
      <c r="H6" s="191">
        <v>1</v>
      </c>
      <c r="I6" s="192" t="str">
        <f t="shared" ref="I6:I69" si="1">IF(H6&lt;$H$2+1,($I$2-($I$2-1)*(LOG(H6)/LOG($H$2))),"")</f>
        <v/>
      </c>
      <c r="J6" s="192" t="e">
        <f>INT(LOG($H$2,2))-ROUNDUP(LOG(H6,2),0)+IF(OR($H$2=1,$H$2=2,$H$2=4,$H$2=8,$H$2=16,$H$2=32,$H$2=64,$H$2=128,$H$2=256),0,1)</f>
        <v>#NUM!</v>
      </c>
      <c r="K6" s="191" t="e">
        <f t="shared" ref="K6:K69" si="2">J6*$J$2</f>
        <v>#NUM!</v>
      </c>
      <c r="L6" s="193">
        <f>3*K2</f>
        <v>0</v>
      </c>
      <c r="M6" s="193">
        <f t="shared" ref="M6:M69" si="3">IF(I6&lt;&gt;"",K6+I6+L6,0)</f>
        <v>0</v>
      </c>
    </row>
    <row r="7" spans="1:36" ht="14.45" customHeight="1" x14ac:dyDescent="0.25">
      <c r="A7" s="98">
        <f t="shared" ref="A7:A70" si="4">M7</f>
        <v>0</v>
      </c>
      <c r="B7" s="39" t="str">
        <f t="shared" si="0"/>
        <v/>
      </c>
      <c r="C7" s="40"/>
      <c r="D7" s="40"/>
      <c r="E7" s="40"/>
      <c r="F7" s="40"/>
      <c r="G7" s="27"/>
      <c r="H7" s="194">
        <v>2</v>
      </c>
      <c r="I7" s="195" t="str">
        <f t="shared" si="1"/>
        <v/>
      </c>
      <c r="J7" s="195" t="e">
        <f t="shared" ref="J7:J70" si="5">INT(LOG($H$2,2))-ROUNDUP(LOG(H7,2),0)+IF(OR($H$2=1,$H$2=2,$H$2=4,$H$2=8,$H$2=16,$H$2=32,$H$2=64,$H$2=128,$H$2=256),0,1)</f>
        <v>#NUM!</v>
      </c>
      <c r="K7" s="194" t="e">
        <f t="shared" si="2"/>
        <v>#NUM!</v>
      </c>
      <c r="L7" s="196">
        <f>2*K2</f>
        <v>0</v>
      </c>
      <c r="M7" s="196">
        <f t="shared" si="3"/>
        <v>0</v>
      </c>
    </row>
    <row r="8" spans="1:36" ht="14.45" customHeight="1" x14ac:dyDescent="0.25">
      <c r="A8" s="94">
        <f t="shared" si="4"/>
        <v>0</v>
      </c>
      <c r="B8" s="33" t="str">
        <f t="shared" si="0"/>
        <v/>
      </c>
      <c r="C8" s="34"/>
      <c r="D8" s="34"/>
      <c r="E8" s="34"/>
      <c r="F8" s="34"/>
      <c r="G8" s="27"/>
      <c r="H8" s="191">
        <v>3</v>
      </c>
      <c r="I8" s="192" t="str">
        <f t="shared" si="1"/>
        <v/>
      </c>
      <c r="J8" s="192" t="e">
        <f t="shared" si="5"/>
        <v>#NUM!</v>
      </c>
      <c r="K8" s="191" t="e">
        <f t="shared" si="2"/>
        <v>#NUM!</v>
      </c>
      <c r="L8" s="193">
        <f>K2</f>
        <v>0</v>
      </c>
      <c r="M8" s="193">
        <f t="shared" si="3"/>
        <v>0</v>
      </c>
    </row>
    <row r="9" spans="1:36" s="184" customFormat="1" ht="14.45" customHeight="1" x14ac:dyDescent="0.25">
      <c r="A9" s="98">
        <f t="shared" si="4"/>
        <v>0</v>
      </c>
      <c r="B9" s="39" t="str">
        <f>IF(H9&gt;$H$2,"",3)</f>
        <v/>
      </c>
      <c r="C9" s="40"/>
      <c r="D9" s="40"/>
      <c r="E9" s="40"/>
      <c r="F9" s="40"/>
      <c r="G9" s="27"/>
      <c r="H9" s="194">
        <v>3</v>
      </c>
      <c r="I9" s="195" t="str">
        <f t="shared" si="1"/>
        <v/>
      </c>
      <c r="J9" s="194" t="e">
        <f t="shared" si="5"/>
        <v>#NUM!</v>
      </c>
      <c r="K9" s="194" t="e">
        <f t="shared" si="2"/>
        <v>#NUM!</v>
      </c>
      <c r="L9" s="196">
        <f>K2</f>
        <v>0</v>
      </c>
      <c r="M9" s="196">
        <f t="shared" si="3"/>
        <v>0</v>
      </c>
      <c r="N9" s="179"/>
      <c r="O9" s="179"/>
      <c r="P9" s="179"/>
      <c r="Q9" s="179"/>
      <c r="R9" s="179"/>
      <c r="V9" s="197"/>
      <c r="Z9" s="198"/>
      <c r="AA9" s="198"/>
      <c r="AG9" s="199"/>
      <c r="AH9" s="184" t="s">
        <v>40</v>
      </c>
      <c r="AI9" s="184">
        <v>23</v>
      </c>
    </row>
    <row r="10" spans="1:36" ht="14.45" customHeight="1" x14ac:dyDescent="0.25">
      <c r="A10" s="94">
        <f t="shared" si="4"/>
        <v>0</v>
      </c>
      <c r="B10" s="33" t="str">
        <f t="shared" si="0"/>
        <v/>
      </c>
      <c r="C10" s="34"/>
      <c r="D10" s="34"/>
      <c r="E10" s="34"/>
      <c r="F10" s="34"/>
      <c r="G10" s="27"/>
      <c r="H10" s="191">
        <v>5</v>
      </c>
      <c r="I10" s="192" t="str">
        <f t="shared" si="1"/>
        <v/>
      </c>
      <c r="J10" s="192" t="e">
        <f t="shared" si="5"/>
        <v>#NUM!</v>
      </c>
      <c r="K10" s="191" t="e">
        <f t="shared" si="2"/>
        <v>#NUM!</v>
      </c>
      <c r="L10" s="191"/>
      <c r="M10" s="193">
        <f t="shared" si="3"/>
        <v>0</v>
      </c>
      <c r="V10" s="197"/>
      <c r="Z10" s="198"/>
      <c r="AA10" s="198"/>
      <c r="AG10" s="199"/>
      <c r="AH10" s="184" t="s">
        <v>41</v>
      </c>
      <c r="AI10" s="184">
        <v>45</v>
      </c>
    </row>
    <row r="11" spans="1:36" ht="14.45" customHeight="1" x14ac:dyDescent="0.25">
      <c r="A11" s="98">
        <f t="shared" si="4"/>
        <v>0</v>
      </c>
      <c r="B11" s="39" t="str">
        <f t="shared" si="0"/>
        <v/>
      </c>
      <c r="C11" s="40"/>
      <c r="D11" s="40"/>
      <c r="E11" s="40"/>
      <c r="F11" s="40"/>
      <c r="G11" s="27"/>
      <c r="H11" s="194">
        <v>6</v>
      </c>
      <c r="I11" s="195" t="str">
        <f t="shared" si="1"/>
        <v/>
      </c>
      <c r="J11" s="195" t="e">
        <f t="shared" si="5"/>
        <v>#NUM!</v>
      </c>
      <c r="K11" s="194" t="e">
        <f t="shared" si="2"/>
        <v>#NUM!</v>
      </c>
      <c r="L11" s="194"/>
      <c r="M11" s="196">
        <f t="shared" si="3"/>
        <v>0</v>
      </c>
      <c r="V11" s="200"/>
      <c r="Z11" s="198"/>
      <c r="AA11" s="198"/>
      <c r="AG11" s="199"/>
      <c r="AH11" s="184" t="s">
        <v>42</v>
      </c>
      <c r="AI11" s="184">
        <v>50</v>
      </c>
    </row>
    <row r="12" spans="1:36" ht="14.45" customHeight="1" x14ac:dyDescent="0.25">
      <c r="A12" s="94">
        <f t="shared" si="4"/>
        <v>0</v>
      </c>
      <c r="B12" s="33" t="str">
        <f t="shared" si="0"/>
        <v/>
      </c>
      <c r="C12" s="34"/>
      <c r="D12" s="34"/>
      <c r="E12" s="34"/>
      <c r="F12" s="34"/>
      <c r="G12" s="27"/>
      <c r="H12" s="191">
        <v>7</v>
      </c>
      <c r="I12" s="192" t="str">
        <f t="shared" si="1"/>
        <v/>
      </c>
      <c r="J12" s="192" t="e">
        <f t="shared" si="5"/>
        <v>#NUM!</v>
      </c>
      <c r="K12" s="191" t="e">
        <f t="shared" si="2"/>
        <v>#NUM!</v>
      </c>
      <c r="L12" s="191"/>
      <c r="M12" s="193">
        <f t="shared" si="3"/>
        <v>0</v>
      </c>
      <c r="Z12" s="198"/>
      <c r="AA12" s="198"/>
      <c r="AG12" s="199"/>
      <c r="AH12" s="184" t="s">
        <v>43</v>
      </c>
      <c r="AI12" s="184">
        <f>AI11-1</f>
        <v>49</v>
      </c>
    </row>
    <row r="13" spans="1:36" ht="14.45" customHeight="1" x14ac:dyDescent="0.25">
      <c r="A13" s="98">
        <f t="shared" si="4"/>
        <v>0</v>
      </c>
      <c r="B13" s="39" t="str">
        <f t="shared" si="0"/>
        <v/>
      </c>
      <c r="C13" s="40"/>
      <c r="D13" s="40"/>
      <c r="E13" s="40"/>
      <c r="F13" s="40"/>
      <c r="G13" s="27"/>
      <c r="H13" s="194">
        <v>8</v>
      </c>
      <c r="I13" s="195" t="str">
        <f t="shared" si="1"/>
        <v/>
      </c>
      <c r="J13" s="195" t="e">
        <f t="shared" si="5"/>
        <v>#NUM!</v>
      </c>
      <c r="K13" s="194" t="e">
        <f t="shared" si="2"/>
        <v>#NUM!</v>
      </c>
      <c r="L13" s="194"/>
      <c r="M13" s="196">
        <f t="shared" si="3"/>
        <v>0</v>
      </c>
      <c r="X13" s="197"/>
      <c r="AG13" s="199"/>
      <c r="AH13" s="184" t="s">
        <v>44</v>
      </c>
      <c r="AI13" s="184">
        <f>LOG(AI9)</f>
        <v>1.3617278360175928</v>
      </c>
    </row>
    <row r="14" spans="1:36" x14ac:dyDescent="0.25">
      <c r="A14" s="94">
        <f t="shared" si="4"/>
        <v>0</v>
      </c>
      <c r="B14" s="33" t="str">
        <f t="shared" si="0"/>
        <v/>
      </c>
      <c r="C14" s="34"/>
      <c r="D14" s="34"/>
      <c r="E14" s="34"/>
      <c r="F14" s="34"/>
      <c r="G14" s="27"/>
      <c r="H14" s="191">
        <v>9</v>
      </c>
      <c r="I14" s="192" t="str">
        <f t="shared" si="1"/>
        <v/>
      </c>
      <c r="J14" s="192" t="e">
        <f t="shared" si="5"/>
        <v>#NUM!</v>
      </c>
      <c r="K14" s="191" t="e">
        <f t="shared" si="2"/>
        <v>#NUM!</v>
      </c>
      <c r="L14" s="191"/>
      <c r="M14" s="193">
        <f t="shared" si="3"/>
        <v>0</v>
      </c>
      <c r="X14" s="201"/>
      <c r="Z14" s="198"/>
      <c r="AA14" s="198"/>
      <c r="AG14" s="199"/>
      <c r="AH14" s="184" t="s">
        <v>45</v>
      </c>
      <c r="AI14" s="184">
        <f>LOG(AI10)</f>
        <v>1.6532125137753437</v>
      </c>
    </row>
    <row r="15" spans="1:36" x14ac:dyDescent="0.25">
      <c r="A15" s="98">
        <f t="shared" si="4"/>
        <v>0</v>
      </c>
      <c r="B15" s="39" t="str">
        <f t="shared" si="0"/>
        <v/>
      </c>
      <c r="C15" s="40"/>
      <c r="D15" s="40"/>
      <c r="E15" s="40"/>
      <c r="F15" s="40"/>
      <c r="G15" s="27"/>
      <c r="H15" s="194">
        <v>10</v>
      </c>
      <c r="I15" s="195" t="str">
        <f t="shared" si="1"/>
        <v/>
      </c>
      <c r="J15" s="195" t="e">
        <f t="shared" si="5"/>
        <v>#NUM!</v>
      </c>
      <c r="K15" s="194" t="e">
        <f t="shared" si="2"/>
        <v>#NUM!</v>
      </c>
      <c r="L15" s="194"/>
      <c r="M15" s="196">
        <f t="shared" si="3"/>
        <v>0</v>
      </c>
      <c r="X15" s="197"/>
      <c r="Z15" s="198"/>
      <c r="AA15" s="198"/>
    </row>
    <row r="16" spans="1:36" x14ac:dyDescent="0.25">
      <c r="A16" s="94">
        <f t="shared" si="4"/>
        <v>0</v>
      </c>
      <c r="B16" s="33" t="str">
        <f t="shared" si="0"/>
        <v/>
      </c>
      <c r="C16" s="34"/>
      <c r="D16" s="34"/>
      <c r="E16" s="34"/>
      <c r="F16" s="34"/>
      <c r="G16" s="27"/>
      <c r="H16" s="191">
        <v>11</v>
      </c>
      <c r="I16" s="192" t="str">
        <f t="shared" si="1"/>
        <v/>
      </c>
      <c r="J16" s="192" t="e">
        <f t="shared" si="5"/>
        <v>#NUM!</v>
      </c>
      <c r="K16" s="191" t="e">
        <f t="shared" si="2"/>
        <v>#NUM!</v>
      </c>
      <c r="L16" s="191"/>
      <c r="M16" s="193">
        <f t="shared" si="3"/>
        <v>0</v>
      </c>
      <c r="R16" s="202"/>
      <c r="Z16" s="198"/>
      <c r="AA16" s="198"/>
      <c r="AH16" s="203" t="s">
        <v>46</v>
      </c>
      <c r="AI16" s="184">
        <f>AI11-AI12*AI13/AI14</f>
        <v>9.6393909380186855</v>
      </c>
      <c r="AJ16" s="184" t="s">
        <v>47</v>
      </c>
    </row>
    <row r="17" spans="1:19" x14ac:dyDescent="0.25">
      <c r="A17" s="98">
        <f t="shared" si="4"/>
        <v>0</v>
      </c>
      <c r="B17" s="39" t="str">
        <f t="shared" si="0"/>
        <v/>
      </c>
      <c r="C17" s="40"/>
      <c r="D17" s="40"/>
      <c r="E17" s="40"/>
      <c r="F17" s="40"/>
      <c r="G17" s="27"/>
      <c r="H17" s="194">
        <v>12</v>
      </c>
      <c r="I17" s="195" t="str">
        <f t="shared" si="1"/>
        <v/>
      </c>
      <c r="J17" s="195" t="e">
        <f t="shared" si="5"/>
        <v>#NUM!</v>
      </c>
      <c r="K17" s="194" t="e">
        <f t="shared" si="2"/>
        <v>#NUM!</v>
      </c>
      <c r="L17" s="194"/>
      <c r="M17" s="196">
        <f t="shared" si="3"/>
        <v>0</v>
      </c>
    </row>
    <row r="18" spans="1:19" x14ac:dyDescent="0.25">
      <c r="A18" s="94">
        <f t="shared" si="4"/>
        <v>0</v>
      </c>
      <c r="B18" s="33" t="str">
        <f t="shared" si="0"/>
        <v/>
      </c>
      <c r="C18" s="34"/>
      <c r="D18" s="34"/>
      <c r="E18" s="34"/>
      <c r="F18" s="34"/>
      <c r="G18" s="27"/>
      <c r="H18" s="191">
        <v>13</v>
      </c>
      <c r="I18" s="192" t="str">
        <f t="shared" si="1"/>
        <v/>
      </c>
      <c r="J18" s="192" t="e">
        <f t="shared" si="5"/>
        <v>#NUM!</v>
      </c>
      <c r="K18" s="191" t="e">
        <f t="shared" si="2"/>
        <v>#NUM!</v>
      </c>
      <c r="L18" s="191"/>
      <c r="M18" s="193">
        <f t="shared" si="3"/>
        <v>0</v>
      </c>
    </row>
    <row r="19" spans="1:19" x14ac:dyDescent="0.25">
      <c r="A19" s="98">
        <f t="shared" si="4"/>
        <v>0</v>
      </c>
      <c r="B19" s="39" t="str">
        <f t="shared" si="0"/>
        <v/>
      </c>
      <c r="C19" s="40"/>
      <c r="D19" s="40"/>
      <c r="E19" s="40"/>
      <c r="F19" s="40"/>
      <c r="G19" s="27"/>
      <c r="H19" s="194">
        <v>14</v>
      </c>
      <c r="I19" s="195" t="str">
        <f t="shared" si="1"/>
        <v/>
      </c>
      <c r="J19" s="195" t="e">
        <f t="shared" si="5"/>
        <v>#NUM!</v>
      </c>
      <c r="K19" s="194" t="e">
        <f t="shared" si="2"/>
        <v>#NUM!</v>
      </c>
      <c r="L19" s="194"/>
      <c r="M19" s="196">
        <f t="shared" si="3"/>
        <v>0</v>
      </c>
    </row>
    <row r="20" spans="1:19" x14ac:dyDescent="0.25">
      <c r="A20" s="94">
        <f t="shared" si="4"/>
        <v>0</v>
      </c>
      <c r="B20" s="33" t="str">
        <f t="shared" si="0"/>
        <v/>
      </c>
      <c r="C20" s="34"/>
      <c r="D20" s="34"/>
      <c r="E20" s="34"/>
      <c r="F20" s="34"/>
      <c r="G20" s="27"/>
      <c r="H20" s="191">
        <v>15</v>
      </c>
      <c r="I20" s="192" t="str">
        <f t="shared" si="1"/>
        <v/>
      </c>
      <c r="J20" s="192" t="e">
        <f t="shared" si="5"/>
        <v>#NUM!</v>
      </c>
      <c r="K20" s="191" t="e">
        <f t="shared" si="2"/>
        <v>#NUM!</v>
      </c>
      <c r="L20" s="191"/>
      <c r="M20" s="193">
        <f t="shared" si="3"/>
        <v>0</v>
      </c>
      <c r="R20" s="204"/>
      <c r="S20" s="205"/>
    </row>
    <row r="21" spans="1:19" x14ac:dyDescent="0.25">
      <c r="A21" s="98">
        <f t="shared" si="4"/>
        <v>0</v>
      </c>
      <c r="B21" s="39" t="str">
        <f t="shared" si="0"/>
        <v/>
      </c>
      <c r="C21" s="40"/>
      <c r="D21" s="40"/>
      <c r="E21" s="40"/>
      <c r="F21" s="40"/>
      <c r="G21" s="27"/>
      <c r="H21" s="194">
        <v>16</v>
      </c>
      <c r="I21" s="195" t="str">
        <f t="shared" si="1"/>
        <v/>
      </c>
      <c r="J21" s="195" t="e">
        <f t="shared" si="5"/>
        <v>#NUM!</v>
      </c>
      <c r="K21" s="194" t="e">
        <f t="shared" si="2"/>
        <v>#NUM!</v>
      </c>
      <c r="L21" s="194"/>
      <c r="M21" s="196">
        <f t="shared" si="3"/>
        <v>0</v>
      </c>
    </row>
    <row r="22" spans="1:19" x14ac:dyDescent="0.25">
      <c r="A22" s="94">
        <f t="shared" si="4"/>
        <v>0</v>
      </c>
      <c r="B22" s="33" t="str">
        <f t="shared" si="0"/>
        <v/>
      </c>
      <c r="C22" s="34"/>
      <c r="D22" s="34"/>
      <c r="E22" s="34"/>
      <c r="F22" s="34"/>
      <c r="G22" s="27"/>
      <c r="H22" s="191">
        <v>17</v>
      </c>
      <c r="I22" s="192" t="str">
        <f t="shared" si="1"/>
        <v/>
      </c>
      <c r="J22" s="192" t="e">
        <f t="shared" si="5"/>
        <v>#NUM!</v>
      </c>
      <c r="K22" s="191" t="e">
        <f t="shared" si="2"/>
        <v>#NUM!</v>
      </c>
      <c r="L22" s="191"/>
      <c r="M22" s="193">
        <f t="shared" si="3"/>
        <v>0</v>
      </c>
    </row>
    <row r="23" spans="1:19" x14ac:dyDescent="0.25">
      <c r="A23" s="98">
        <f t="shared" si="4"/>
        <v>0</v>
      </c>
      <c r="B23" s="39" t="str">
        <f t="shared" si="0"/>
        <v/>
      </c>
      <c r="C23" s="40"/>
      <c r="D23" s="40"/>
      <c r="E23" s="40"/>
      <c r="F23" s="40"/>
      <c r="G23" s="27"/>
      <c r="H23" s="194">
        <v>18</v>
      </c>
      <c r="I23" s="195" t="str">
        <f t="shared" si="1"/>
        <v/>
      </c>
      <c r="J23" s="195" t="e">
        <f t="shared" si="5"/>
        <v>#NUM!</v>
      </c>
      <c r="K23" s="194" t="e">
        <f t="shared" si="2"/>
        <v>#NUM!</v>
      </c>
      <c r="L23" s="194"/>
      <c r="M23" s="196">
        <f t="shared" si="3"/>
        <v>0</v>
      </c>
    </row>
    <row r="24" spans="1:19" x14ac:dyDescent="0.25">
      <c r="A24" s="94">
        <f t="shared" si="4"/>
        <v>0</v>
      </c>
      <c r="B24" s="33" t="str">
        <f t="shared" si="0"/>
        <v/>
      </c>
      <c r="C24" s="34"/>
      <c r="D24" s="34"/>
      <c r="E24" s="34"/>
      <c r="F24" s="34"/>
      <c r="G24" s="27"/>
      <c r="H24" s="191">
        <v>19</v>
      </c>
      <c r="I24" s="192" t="str">
        <f t="shared" si="1"/>
        <v/>
      </c>
      <c r="J24" s="192" t="e">
        <f t="shared" si="5"/>
        <v>#NUM!</v>
      </c>
      <c r="K24" s="191" t="e">
        <f t="shared" si="2"/>
        <v>#NUM!</v>
      </c>
      <c r="L24" s="191"/>
      <c r="M24" s="193">
        <f t="shared" si="3"/>
        <v>0</v>
      </c>
      <c r="R24" s="204"/>
      <c r="S24" s="205"/>
    </row>
    <row r="25" spans="1:19" x14ac:dyDescent="0.25">
      <c r="A25" s="98">
        <f t="shared" si="4"/>
        <v>0</v>
      </c>
      <c r="B25" s="39" t="str">
        <f t="shared" si="0"/>
        <v/>
      </c>
      <c r="C25" s="40"/>
      <c r="D25" s="40"/>
      <c r="E25" s="40"/>
      <c r="F25" s="40"/>
      <c r="G25" s="27"/>
      <c r="H25" s="194">
        <v>20</v>
      </c>
      <c r="I25" s="195" t="str">
        <f t="shared" si="1"/>
        <v/>
      </c>
      <c r="J25" s="195" t="e">
        <f t="shared" si="5"/>
        <v>#NUM!</v>
      </c>
      <c r="K25" s="194" t="e">
        <f t="shared" si="2"/>
        <v>#NUM!</v>
      </c>
      <c r="L25" s="194"/>
      <c r="M25" s="196">
        <f t="shared" si="3"/>
        <v>0</v>
      </c>
    </row>
    <row r="26" spans="1:19" x14ac:dyDescent="0.25">
      <c r="A26" s="94">
        <f t="shared" si="4"/>
        <v>0</v>
      </c>
      <c r="B26" s="33" t="str">
        <f t="shared" si="0"/>
        <v/>
      </c>
      <c r="C26" s="34"/>
      <c r="D26" s="34"/>
      <c r="E26" s="34"/>
      <c r="F26" s="34"/>
      <c r="G26" s="27"/>
      <c r="H26" s="191">
        <v>21</v>
      </c>
      <c r="I26" s="192" t="str">
        <f t="shared" si="1"/>
        <v/>
      </c>
      <c r="J26" s="192" t="e">
        <f t="shared" si="5"/>
        <v>#NUM!</v>
      </c>
      <c r="K26" s="191" t="e">
        <f t="shared" si="2"/>
        <v>#NUM!</v>
      </c>
      <c r="L26" s="191"/>
      <c r="M26" s="193">
        <f t="shared" si="3"/>
        <v>0</v>
      </c>
    </row>
    <row r="27" spans="1:19" x14ac:dyDescent="0.25">
      <c r="A27" s="98">
        <f t="shared" si="4"/>
        <v>0</v>
      </c>
      <c r="B27" s="39" t="str">
        <f t="shared" si="0"/>
        <v/>
      </c>
      <c r="C27" s="40"/>
      <c r="D27" s="40"/>
      <c r="E27" s="40"/>
      <c r="F27" s="40"/>
      <c r="G27" s="27"/>
      <c r="H27" s="194">
        <v>22</v>
      </c>
      <c r="I27" s="195" t="str">
        <f t="shared" si="1"/>
        <v/>
      </c>
      <c r="J27" s="195" t="e">
        <f t="shared" si="5"/>
        <v>#NUM!</v>
      </c>
      <c r="K27" s="194" t="e">
        <f t="shared" si="2"/>
        <v>#NUM!</v>
      </c>
      <c r="L27" s="194"/>
      <c r="M27" s="196">
        <f t="shared" si="3"/>
        <v>0</v>
      </c>
    </row>
    <row r="28" spans="1:19" x14ac:dyDescent="0.25">
      <c r="A28" s="94">
        <f t="shared" si="4"/>
        <v>0</v>
      </c>
      <c r="B28" s="33" t="str">
        <f t="shared" si="0"/>
        <v/>
      </c>
      <c r="C28" s="34"/>
      <c r="D28" s="34"/>
      <c r="E28" s="34"/>
      <c r="F28" s="34"/>
      <c r="G28" s="27"/>
      <c r="H28" s="191">
        <v>23</v>
      </c>
      <c r="I28" s="192" t="str">
        <f t="shared" si="1"/>
        <v/>
      </c>
      <c r="J28" s="192" t="e">
        <f t="shared" si="5"/>
        <v>#NUM!</v>
      </c>
      <c r="K28" s="191" t="e">
        <f t="shared" si="2"/>
        <v>#NUM!</v>
      </c>
      <c r="L28" s="191"/>
      <c r="M28" s="193">
        <f t="shared" si="3"/>
        <v>0</v>
      </c>
      <c r="R28" s="204"/>
      <c r="S28" s="205"/>
    </row>
    <row r="29" spans="1:19" x14ac:dyDescent="0.25">
      <c r="A29" s="98">
        <f t="shared" si="4"/>
        <v>0</v>
      </c>
      <c r="B29" s="39" t="str">
        <f t="shared" si="0"/>
        <v/>
      </c>
      <c r="C29" s="40"/>
      <c r="D29" s="40"/>
      <c r="E29" s="40"/>
      <c r="F29" s="40"/>
      <c r="G29" s="179"/>
      <c r="H29" s="194">
        <v>24</v>
      </c>
      <c r="I29" s="195" t="str">
        <f t="shared" si="1"/>
        <v/>
      </c>
      <c r="J29" s="195" t="e">
        <f t="shared" si="5"/>
        <v>#NUM!</v>
      </c>
      <c r="K29" s="194" t="e">
        <f t="shared" si="2"/>
        <v>#NUM!</v>
      </c>
      <c r="L29" s="194"/>
      <c r="M29" s="196">
        <f t="shared" si="3"/>
        <v>0</v>
      </c>
    </row>
    <row r="30" spans="1:19" x14ac:dyDescent="0.25">
      <c r="A30" s="94">
        <f t="shared" si="4"/>
        <v>0</v>
      </c>
      <c r="B30" s="33" t="str">
        <f t="shared" si="0"/>
        <v/>
      </c>
      <c r="C30" s="34"/>
      <c r="D30" s="34"/>
      <c r="E30" s="34"/>
      <c r="F30" s="34"/>
      <c r="G30" s="179"/>
      <c r="H30" s="191">
        <v>25</v>
      </c>
      <c r="I30" s="192" t="str">
        <f t="shared" si="1"/>
        <v/>
      </c>
      <c r="J30" s="192" t="e">
        <f t="shared" si="5"/>
        <v>#NUM!</v>
      </c>
      <c r="K30" s="191" t="e">
        <f t="shared" si="2"/>
        <v>#NUM!</v>
      </c>
      <c r="L30" s="191"/>
      <c r="M30" s="193">
        <f t="shared" si="3"/>
        <v>0</v>
      </c>
    </row>
    <row r="31" spans="1:19" x14ac:dyDescent="0.25">
      <c r="A31" s="98">
        <f t="shared" si="4"/>
        <v>0</v>
      </c>
      <c r="B31" s="39" t="str">
        <f t="shared" si="0"/>
        <v/>
      </c>
      <c r="C31" s="40"/>
      <c r="D31" s="40"/>
      <c r="E31" s="40"/>
      <c r="F31" s="40"/>
      <c r="G31" s="179"/>
      <c r="H31" s="194">
        <v>26</v>
      </c>
      <c r="I31" s="195" t="str">
        <f t="shared" si="1"/>
        <v/>
      </c>
      <c r="J31" s="195" t="e">
        <f t="shared" si="5"/>
        <v>#NUM!</v>
      </c>
      <c r="K31" s="194" t="e">
        <f t="shared" si="2"/>
        <v>#NUM!</v>
      </c>
      <c r="L31" s="194"/>
      <c r="M31" s="196">
        <f t="shared" si="3"/>
        <v>0</v>
      </c>
    </row>
    <row r="32" spans="1:19" x14ac:dyDescent="0.25">
      <c r="A32" s="94">
        <f t="shared" si="4"/>
        <v>0</v>
      </c>
      <c r="B32" s="33" t="str">
        <f t="shared" si="0"/>
        <v/>
      </c>
      <c r="C32" s="34"/>
      <c r="D32" s="34"/>
      <c r="E32" s="34"/>
      <c r="F32" s="34"/>
      <c r="G32" s="179"/>
      <c r="H32" s="191">
        <v>27</v>
      </c>
      <c r="I32" s="192" t="str">
        <f t="shared" si="1"/>
        <v/>
      </c>
      <c r="J32" s="192" t="e">
        <f t="shared" si="5"/>
        <v>#NUM!</v>
      </c>
      <c r="K32" s="191" t="e">
        <f t="shared" si="2"/>
        <v>#NUM!</v>
      </c>
      <c r="L32" s="191"/>
      <c r="M32" s="193">
        <f t="shared" si="3"/>
        <v>0</v>
      </c>
      <c r="R32" s="204"/>
      <c r="S32" s="205"/>
    </row>
    <row r="33" spans="1:21" x14ac:dyDescent="0.25">
      <c r="A33" s="98">
        <f t="shared" si="4"/>
        <v>0</v>
      </c>
      <c r="B33" s="39" t="str">
        <f t="shared" si="0"/>
        <v/>
      </c>
      <c r="C33" s="40"/>
      <c r="D33" s="40"/>
      <c r="E33" s="40"/>
      <c r="F33" s="40"/>
      <c r="G33" s="179"/>
      <c r="H33" s="194">
        <v>28</v>
      </c>
      <c r="I33" s="195" t="str">
        <f t="shared" si="1"/>
        <v/>
      </c>
      <c r="J33" s="195" t="e">
        <f t="shared" si="5"/>
        <v>#NUM!</v>
      </c>
      <c r="K33" s="194" t="e">
        <f t="shared" si="2"/>
        <v>#NUM!</v>
      </c>
      <c r="L33" s="194"/>
      <c r="M33" s="196">
        <f t="shared" si="3"/>
        <v>0</v>
      </c>
    </row>
    <row r="34" spans="1:21" x14ac:dyDescent="0.25">
      <c r="A34" s="94">
        <f t="shared" si="4"/>
        <v>0</v>
      </c>
      <c r="B34" s="33" t="str">
        <f t="shared" si="0"/>
        <v/>
      </c>
      <c r="C34" s="34"/>
      <c r="D34" s="34"/>
      <c r="E34" s="34"/>
      <c r="F34" s="34"/>
      <c r="G34" s="179"/>
      <c r="H34" s="191">
        <v>29</v>
      </c>
      <c r="I34" s="192" t="str">
        <f t="shared" si="1"/>
        <v/>
      </c>
      <c r="J34" s="192" t="e">
        <f t="shared" si="5"/>
        <v>#NUM!</v>
      </c>
      <c r="K34" s="191" t="e">
        <f t="shared" si="2"/>
        <v>#NUM!</v>
      </c>
      <c r="L34" s="191"/>
      <c r="M34" s="193">
        <f t="shared" si="3"/>
        <v>0</v>
      </c>
    </row>
    <row r="35" spans="1:21" x14ac:dyDescent="0.25">
      <c r="A35" s="98">
        <f t="shared" si="4"/>
        <v>0</v>
      </c>
      <c r="B35" s="39" t="str">
        <f t="shared" si="0"/>
        <v/>
      </c>
      <c r="C35" s="40"/>
      <c r="D35" s="40"/>
      <c r="E35" s="40"/>
      <c r="F35" s="40"/>
      <c r="G35" s="179"/>
      <c r="H35" s="194">
        <v>30</v>
      </c>
      <c r="I35" s="195" t="str">
        <f t="shared" si="1"/>
        <v/>
      </c>
      <c r="J35" s="195" t="e">
        <f t="shared" si="5"/>
        <v>#NUM!</v>
      </c>
      <c r="K35" s="194" t="e">
        <f t="shared" si="2"/>
        <v>#NUM!</v>
      </c>
      <c r="L35" s="194"/>
      <c r="M35" s="196">
        <f t="shared" si="3"/>
        <v>0</v>
      </c>
    </row>
    <row r="36" spans="1:21" x14ac:dyDescent="0.25">
      <c r="A36" s="94">
        <f t="shared" si="4"/>
        <v>0</v>
      </c>
      <c r="B36" s="33" t="str">
        <f t="shared" si="0"/>
        <v/>
      </c>
      <c r="C36" s="34"/>
      <c r="D36" s="34"/>
      <c r="E36" s="34"/>
      <c r="F36" s="34"/>
      <c r="G36" s="179"/>
      <c r="H36" s="191">
        <v>31</v>
      </c>
      <c r="I36" s="192" t="str">
        <f t="shared" si="1"/>
        <v/>
      </c>
      <c r="J36" s="192" t="e">
        <f t="shared" si="5"/>
        <v>#NUM!</v>
      </c>
      <c r="K36" s="191" t="e">
        <f t="shared" si="2"/>
        <v>#NUM!</v>
      </c>
      <c r="L36" s="191"/>
      <c r="M36" s="193">
        <f t="shared" si="3"/>
        <v>0</v>
      </c>
      <c r="R36" s="204"/>
      <c r="S36" s="205"/>
    </row>
    <row r="37" spans="1:21" x14ac:dyDescent="0.25">
      <c r="A37" s="98">
        <f t="shared" si="4"/>
        <v>0</v>
      </c>
      <c r="B37" s="39" t="str">
        <f t="shared" si="0"/>
        <v/>
      </c>
      <c r="C37" s="40"/>
      <c r="D37" s="40"/>
      <c r="E37" s="40"/>
      <c r="F37" s="40"/>
      <c r="G37" s="179"/>
      <c r="H37" s="194">
        <v>32</v>
      </c>
      <c r="I37" s="195" t="str">
        <f t="shared" si="1"/>
        <v/>
      </c>
      <c r="J37" s="195" t="e">
        <f t="shared" si="5"/>
        <v>#NUM!</v>
      </c>
      <c r="K37" s="194" t="e">
        <f t="shared" si="2"/>
        <v>#NUM!</v>
      </c>
      <c r="L37" s="194"/>
      <c r="M37" s="196">
        <f t="shared" si="3"/>
        <v>0</v>
      </c>
    </row>
    <row r="38" spans="1:21" x14ac:dyDescent="0.25">
      <c r="A38" s="98">
        <f t="shared" si="4"/>
        <v>0</v>
      </c>
      <c r="B38" s="33" t="str">
        <f t="shared" si="0"/>
        <v/>
      </c>
      <c r="C38" s="34"/>
      <c r="D38" s="34"/>
      <c r="E38" s="34"/>
      <c r="F38" s="34"/>
      <c r="G38" s="179"/>
      <c r="H38" s="191">
        <v>33</v>
      </c>
      <c r="I38" s="192" t="str">
        <f t="shared" si="1"/>
        <v/>
      </c>
      <c r="J38" s="192" t="e">
        <f t="shared" si="5"/>
        <v>#NUM!</v>
      </c>
      <c r="K38" s="191" t="e">
        <f t="shared" si="2"/>
        <v>#NUM!</v>
      </c>
      <c r="L38" s="191"/>
      <c r="M38" s="193">
        <f t="shared" si="3"/>
        <v>0</v>
      </c>
    </row>
    <row r="39" spans="1:21" x14ac:dyDescent="0.25">
      <c r="A39" s="98">
        <f t="shared" si="4"/>
        <v>0</v>
      </c>
      <c r="B39" s="39" t="str">
        <f t="shared" si="0"/>
        <v/>
      </c>
      <c r="C39" s="40"/>
      <c r="D39" s="40"/>
      <c r="E39" s="40"/>
      <c r="F39" s="40"/>
      <c r="G39" s="179"/>
      <c r="H39" s="194">
        <v>34</v>
      </c>
      <c r="I39" s="195" t="str">
        <f t="shared" si="1"/>
        <v/>
      </c>
      <c r="J39" s="195" t="e">
        <f t="shared" si="5"/>
        <v>#NUM!</v>
      </c>
      <c r="K39" s="194" t="e">
        <f t="shared" si="2"/>
        <v>#NUM!</v>
      </c>
      <c r="L39" s="194"/>
      <c r="M39" s="196">
        <f t="shared" si="3"/>
        <v>0</v>
      </c>
    </row>
    <row r="40" spans="1:21" x14ac:dyDescent="0.25">
      <c r="A40" s="98">
        <f t="shared" si="4"/>
        <v>0</v>
      </c>
      <c r="B40" s="33" t="str">
        <f t="shared" si="0"/>
        <v/>
      </c>
      <c r="C40" s="34"/>
      <c r="D40" s="34"/>
      <c r="E40" s="34"/>
      <c r="F40" s="34"/>
      <c r="G40" s="179"/>
      <c r="H40" s="191">
        <v>35</v>
      </c>
      <c r="I40" s="192" t="str">
        <f t="shared" si="1"/>
        <v/>
      </c>
      <c r="J40" s="192" t="e">
        <f t="shared" si="5"/>
        <v>#NUM!</v>
      </c>
      <c r="K40" s="191" t="e">
        <f t="shared" si="2"/>
        <v>#NUM!</v>
      </c>
      <c r="L40" s="191"/>
      <c r="M40" s="193">
        <f t="shared" si="3"/>
        <v>0</v>
      </c>
    </row>
    <row r="41" spans="1:21" x14ac:dyDescent="0.25">
      <c r="A41" s="98">
        <f t="shared" si="4"/>
        <v>0</v>
      </c>
      <c r="B41" s="39" t="str">
        <f t="shared" si="0"/>
        <v/>
      </c>
      <c r="C41" s="40"/>
      <c r="D41" s="40"/>
      <c r="E41" s="40"/>
      <c r="F41" s="40"/>
      <c r="G41" s="179"/>
      <c r="H41" s="194">
        <v>36</v>
      </c>
      <c r="I41" s="195" t="str">
        <f t="shared" si="1"/>
        <v/>
      </c>
      <c r="J41" s="195" t="e">
        <f t="shared" si="5"/>
        <v>#NUM!</v>
      </c>
      <c r="K41" s="194" t="e">
        <f t="shared" si="2"/>
        <v>#NUM!</v>
      </c>
      <c r="L41" s="194"/>
      <c r="M41" s="196">
        <f t="shared" si="3"/>
        <v>0</v>
      </c>
      <c r="S41" s="206"/>
    </row>
    <row r="42" spans="1:21" x14ac:dyDescent="0.25">
      <c r="A42" s="98">
        <f t="shared" si="4"/>
        <v>0</v>
      </c>
      <c r="B42" s="33" t="str">
        <f t="shared" si="0"/>
        <v/>
      </c>
      <c r="C42" s="34"/>
      <c r="D42" s="34"/>
      <c r="E42" s="34"/>
      <c r="F42" s="34"/>
      <c r="G42" s="179"/>
      <c r="H42" s="191">
        <v>37</v>
      </c>
      <c r="I42" s="192" t="str">
        <f t="shared" si="1"/>
        <v/>
      </c>
      <c r="J42" s="192" t="e">
        <f t="shared" si="5"/>
        <v>#NUM!</v>
      </c>
      <c r="K42" s="191" t="e">
        <f t="shared" si="2"/>
        <v>#NUM!</v>
      </c>
      <c r="L42" s="191"/>
      <c r="M42" s="193">
        <f t="shared" si="3"/>
        <v>0</v>
      </c>
    </row>
    <row r="43" spans="1:21" x14ac:dyDescent="0.25">
      <c r="A43" s="98">
        <f t="shared" si="4"/>
        <v>0</v>
      </c>
      <c r="B43" s="39" t="str">
        <f t="shared" si="0"/>
        <v/>
      </c>
      <c r="C43" s="40"/>
      <c r="D43" s="40"/>
      <c r="E43" s="40"/>
      <c r="F43" s="40"/>
      <c r="G43" s="179"/>
      <c r="H43" s="194">
        <v>38</v>
      </c>
      <c r="I43" s="195" t="str">
        <f t="shared" si="1"/>
        <v/>
      </c>
      <c r="J43" s="195" t="e">
        <f t="shared" si="5"/>
        <v>#NUM!</v>
      </c>
      <c r="K43" s="194" t="e">
        <f t="shared" si="2"/>
        <v>#NUM!</v>
      </c>
      <c r="L43" s="194"/>
      <c r="M43" s="196">
        <f t="shared" si="3"/>
        <v>0</v>
      </c>
    </row>
    <row r="44" spans="1:21" x14ac:dyDescent="0.25">
      <c r="A44" s="98">
        <f t="shared" si="4"/>
        <v>0</v>
      </c>
      <c r="B44" s="33" t="str">
        <f t="shared" si="0"/>
        <v/>
      </c>
      <c r="C44" s="34"/>
      <c r="D44" s="34"/>
      <c r="E44" s="34"/>
      <c r="F44" s="34"/>
      <c r="G44" s="179"/>
      <c r="H44" s="191">
        <v>39</v>
      </c>
      <c r="I44" s="192" t="str">
        <f t="shared" si="1"/>
        <v/>
      </c>
      <c r="J44" s="192" t="e">
        <f t="shared" si="5"/>
        <v>#NUM!</v>
      </c>
      <c r="K44" s="191" t="e">
        <f t="shared" si="2"/>
        <v>#NUM!</v>
      </c>
      <c r="L44" s="191"/>
      <c r="M44" s="193">
        <f t="shared" si="3"/>
        <v>0</v>
      </c>
    </row>
    <row r="45" spans="1:21" x14ac:dyDescent="0.25">
      <c r="A45" s="98">
        <f t="shared" si="4"/>
        <v>0</v>
      </c>
      <c r="B45" s="39" t="str">
        <f t="shared" si="0"/>
        <v/>
      </c>
      <c r="C45" s="40"/>
      <c r="D45" s="40"/>
      <c r="E45" s="40"/>
      <c r="F45" s="40"/>
      <c r="G45" s="179"/>
      <c r="H45" s="194">
        <v>40</v>
      </c>
      <c r="I45" s="195" t="str">
        <f t="shared" si="1"/>
        <v/>
      </c>
      <c r="J45" s="195" t="e">
        <f t="shared" si="5"/>
        <v>#NUM!</v>
      </c>
      <c r="K45" s="194" t="e">
        <f t="shared" si="2"/>
        <v>#NUM!</v>
      </c>
      <c r="L45" s="194"/>
      <c r="M45" s="196">
        <f t="shared" si="3"/>
        <v>0</v>
      </c>
    </row>
    <row r="46" spans="1:21" x14ac:dyDescent="0.25">
      <c r="A46" s="98">
        <f t="shared" si="4"/>
        <v>0</v>
      </c>
      <c r="B46" s="33" t="str">
        <f t="shared" si="0"/>
        <v/>
      </c>
      <c r="C46" s="34"/>
      <c r="D46" s="34"/>
      <c r="E46" s="34"/>
      <c r="F46" s="34"/>
      <c r="G46" s="179"/>
      <c r="H46" s="191">
        <v>41</v>
      </c>
      <c r="I46" s="192" t="str">
        <f t="shared" si="1"/>
        <v/>
      </c>
      <c r="J46" s="192" t="e">
        <f t="shared" si="5"/>
        <v>#NUM!</v>
      </c>
      <c r="K46" s="191" t="e">
        <f t="shared" si="2"/>
        <v>#NUM!</v>
      </c>
      <c r="L46" s="191"/>
      <c r="M46" s="193">
        <f t="shared" si="3"/>
        <v>0</v>
      </c>
      <c r="R46" s="179" t="e">
        <f>LOG($H$2,2)</f>
        <v>#NUM!</v>
      </c>
      <c r="T46" s="184">
        <f>LOG(H38,2)</f>
        <v>5.0443941193584534</v>
      </c>
      <c r="U46" s="184" t="e">
        <f>R46-T46</f>
        <v>#NUM!</v>
      </c>
    </row>
    <row r="47" spans="1:21" x14ac:dyDescent="0.25">
      <c r="A47" s="98">
        <f t="shared" si="4"/>
        <v>0</v>
      </c>
      <c r="B47" s="39" t="str">
        <f t="shared" si="0"/>
        <v/>
      </c>
      <c r="C47" s="40"/>
      <c r="D47" s="40"/>
      <c r="E47" s="40"/>
      <c r="F47" s="40"/>
      <c r="G47" s="179"/>
      <c r="H47" s="194">
        <v>42</v>
      </c>
      <c r="I47" s="195" t="str">
        <f t="shared" si="1"/>
        <v/>
      </c>
      <c r="J47" s="195" t="e">
        <f t="shared" si="5"/>
        <v>#NUM!</v>
      </c>
      <c r="K47" s="194" t="e">
        <f t="shared" si="2"/>
        <v>#NUM!</v>
      </c>
      <c r="L47" s="194"/>
      <c r="M47" s="196">
        <f t="shared" si="3"/>
        <v>0</v>
      </c>
    </row>
    <row r="48" spans="1:21" x14ac:dyDescent="0.25">
      <c r="A48" s="98">
        <f t="shared" si="4"/>
        <v>0</v>
      </c>
      <c r="B48" s="33" t="str">
        <f t="shared" si="0"/>
        <v/>
      </c>
      <c r="C48" s="34"/>
      <c r="D48" s="34"/>
      <c r="E48" s="34"/>
      <c r="F48" s="34"/>
      <c r="G48" s="179"/>
      <c r="H48" s="191">
        <v>43</v>
      </c>
      <c r="I48" s="192" t="str">
        <f t="shared" si="1"/>
        <v/>
      </c>
      <c r="J48" s="192" t="e">
        <f t="shared" si="5"/>
        <v>#NUM!</v>
      </c>
      <c r="K48" s="191" t="e">
        <f t="shared" si="2"/>
        <v>#NUM!</v>
      </c>
      <c r="L48" s="191"/>
      <c r="M48" s="193">
        <f t="shared" si="3"/>
        <v>0</v>
      </c>
    </row>
    <row r="49" spans="1:13" x14ac:dyDescent="0.25">
      <c r="A49" s="98">
        <f t="shared" si="4"/>
        <v>0</v>
      </c>
      <c r="B49" s="39" t="str">
        <f t="shared" si="0"/>
        <v/>
      </c>
      <c r="C49" s="40"/>
      <c r="D49" s="40"/>
      <c r="E49" s="40"/>
      <c r="F49" s="40"/>
      <c r="G49" s="179"/>
      <c r="H49" s="194">
        <v>44</v>
      </c>
      <c r="I49" s="195" t="str">
        <f t="shared" si="1"/>
        <v/>
      </c>
      <c r="J49" s="195" t="e">
        <f t="shared" si="5"/>
        <v>#NUM!</v>
      </c>
      <c r="K49" s="194" t="e">
        <f t="shared" si="2"/>
        <v>#NUM!</v>
      </c>
      <c r="L49" s="194"/>
      <c r="M49" s="196">
        <f t="shared" si="3"/>
        <v>0</v>
      </c>
    </row>
    <row r="50" spans="1:13" x14ac:dyDescent="0.25">
      <c r="A50" s="98">
        <f t="shared" si="4"/>
        <v>0</v>
      </c>
      <c r="B50" s="33" t="str">
        <f t="shared" si="0"/>
        <v/>
      </c>
      <c r="C50" s="34"/>
      <c r="D50" s="34"/>
      <c r="E50" s="34"/>
      <c r="F50" s="34"/>
      <c r="G50" s="179"/>
      <c r="H50" s="191">
        <v>45</v>
      </c>
      <c r="I50" s="192" t="str">
        <f t="shared" si="1"/>
        <v/>
      </c>
      <c r="J50" s="192" t="e">
        <f t="shared" si="5"/>
        <v>#NUM!</v>
      </c>
      <c r="K50" s="191" t="e">
        <f t="shared" si="2"/>
        <v>#NUM!</v>
      </c>
      <c r="L50" s="191"/>
      <c r="M50" s="193">
        <f t="shared" si="3"/>
        <v>0</v>
      </c>
    </row>
    <row r="51" spans="1:13" x14ac:dyDescent="0.25">
      <c r="A51" s="98">
        <f t="shared" si="4"/>
        <v>0</v>
      </c>
      <c r="B51" s="39" t="str">
        <f t="shared" si="0"/>
        <v/>
      </c>
      <c r="C51" s="40"/>
      <c r="D51" s="40"/>
      <c r="E51" s="40"/>
      <c r="F51" s="40"/>
      <c r="G51" s="179"/>
      <c r="H51" s="194">
        <v>46</v>
      </c>
      <c r="I51" s="195" t="str">
        <f t="shared" si="1"/>
        <v/>
      </c>
      <c r="J51" s="195" t="e">
        <f t="shared" si="5"/>
        <v>#NUM!</v>
      </c>
      <c r="K51" s="194" t="e">
        <f t="shared" si="2"/>
        <v>#NUM!</v>
      </c>
      <c r="L51" s="194"/>
      <c r="M51" s="196">
        <f t="shared" si="3"/>
        <v>0</v>
      </c>
    </row>
    <row r="52" spans="1:13" x14ac:dyDescent="0.25">
      <c r="A52" s="98">
        <f t="shared" si="4"/>
        <v>0</v>
      </c>
      <c r="B52" s="33" t="str">
        <f t="shared" si="0"/>
        <v/>
      </c>
      <c r="C52" s="34"/>
      <c r="D52" s="34"/>
      <c r="E52" s="34"/>
      <c r="F52" s="34"/>
      <c r="G52" s="179"/>
      <c r="H52" s="191">
        <v>47</v>
      </c>
      <c r="I52" s="192" t="str">
        <f t="shared" si="1"/>
        <v/>
      </c>
      <c r="J52" s="192" t="e">
        <f t="shared" si="5"/>
        <v>#NUM!</v>
      </c>
      <c r="K52" s="191" t="e">
        <f t="shared" si="2"/>
        <v>#NUM!</v>
      </c>
      <c r="L52" s="191"/>
      <c r="M52" s="193">
        <f t="shared" si="3"/>
        <v>0</v>
      </c>
    </row>
    <row r="53" spans="1:13" x14ac:dyDescent="0.25">
      <c r="A53" s="98">
        <f t="shared" si="4"/>
        <v>0</v>
      </c>
      <c r="B53" s="39" t="str">
        <f t="shared" si="0"/>
        <v/>
      </c>
      <c r="C53" s="40"/>
      <c r="D53" s="40"/>
      <c r="E53" s="40"/>
      <c r="F53" s="40"/>
      <c r="G53" s="179"/>
      <c r="H53" s="194">
        <v>48</v>
      </c>
      <c r="I53" s="195" t="str">
        <f t="shared" si="1"/>
        <v/>
      </c>
      <c r="J53" s="195" t="e">
        <f t="shared" si="5"/>
        <v>#NUM!</v>
      </c>
      <c r="K53" s="194" t="e">
        <f t="shared" si="2"/>
        <v>#NUM!</v>
      </c>
      <c r="L53" s="194"/>
      <c r="M53" s="196">
        <f t="shared" si="3"/>
        <v>0</v>
      </c>
    </row>
    <row r="54" spans="1:13" x14ac:dyDescent="0.25">
      <c r="A54" s="98">
        <f t="shared" si="4"/>
        <v>0</v>
      </c>
      <c r="B54" s="33" t="str">
        <f t="shared" si="0"/>
        <v/>
      </c>
      <c r="C54" s="34"/>
      <c r="D54" s="34"/>
      <c r="E54" s="34"/>
      <c r="F54" s="34"/>
      <c r="G54" s="179"/>
      <c r="H54" s="191">
        <v>49</v>
      </c>
      <c r="I54" s="192" t="str">
        <f t="shared" si="1"/>
        <v/>
      </c>
      <c r="J54" s="192" t="e">
        <f t="shared" si="5"/>
        <v>#NUM!</v>
      </c>
      <c r="K54" s="191" t="e">
        <f t="shared" si="2"/>
        <v>#NUM!</v>
      </c>
      <c r="L54" s="191"/>
      <c r="M54" s="193">
        <f t="shared" si="3"/>
        <v>0</v>
      </c>
    </row>
    <row r="55" spans="1:13" x14ac:dyDescent="0.25">
      <c r="A55" s="98">
        <f t="shared" si="4"/>
        <v>0</v>
      </c>
      <c r="B55" s="39" t="str">
        <f t="shared" si="0"/>
        <v/>
      </c>
      <c r="C55" s="40"/>
      <c r="D55" s="40"/>
      <c r="E55" s="40"/>
      <c r="F55" s="40"/>
      <c r="G55" s="179"/>
      <c r="H55" s="194">
        <v>50</v>
      </c>
      <c r="I55" s="195" t="str">
        <f t="shared" si="1"/>
        <v/>
      </c>
      <c r="J55" s="195" t="e">
        <f t="shared" si="5"/>
        <v>#NUM!</v>
      </c>
      <c r="K55" s="194" t="e">
        <f t="shared" si="2"/>
        <v>#NUM!</v>
      </c>
      <c r="L55" s="194"/>
      <c r="M55" s="196">
        <f t="shared" si="3"/>
        <v>0</v>
      </c>
    </row>
    <row r="56" spans="1:13" x14ac:dyDescent="0.25">
      <c r="A56" s="98">
        <f t="shared" si="4"/>
        <v>0</v>
      </c>
      <c r="B56" s="33" t="str">
        <f t="shared" si="0"/>
        <v/>
      </c>
      <c r="C56" s="34"/>
      <c r="D56" s="34"/>
      <c r="E56" s="34"/>
      <c r="F56" s="34"/>
      <c r="G56" s="179"/>
      <c r="H56" s="191">
        <v>51</v>
      </c>
      <c r="I56" s="192" t="str">
        <f t="shared" si="1"/>
        <v/>
      </c>
      <c r="J56" s="192" t="e">
        <f t="shared" si="5"/>
        <v>#NUM!</v>
      </c>
      <c r="K56" s="191" t="e">
        <f t="shared" si="2"/>
        <v>#NUM!</v>
      </c>
      <c r="L56" s="191"/>
      <c r="M56" s="193">
        <f t="shared" si="3"/>
        <v>0</v>
      </c>
    </row>
    <row r="57" spans="1:13" x14ac:dyDescent="0.25">
      <c r="A57" s="98">
        <f t="shared" si="4"/>
        <v>0</v>
      </c>
      <c r="B57" s="39" t="str">
        <f t="shared" si="0"/>
        <v/>
      </c>
      <c r="C57" s="40"/>
      <c r="D57" s="40"/>
      <c r="E57" s="40"/>
      <c r="F57" s="40"/>
      <c r="G57" s="179"/>
      <c r="H57" s="194">
        <v>52</v>
      </c>
      <c r="I57" s="195" t="str">
        <f t="shared" si="1"/>
        <v/>
      </c>
      <c r="J57" s="195" t="e">
        <f t="shared" si="5"/>
        <v>#NUM!</v>
      </c>
      <c r="K57" s="194" t="e">
        <f t="shared" si="2"/>
        <v>#NUM!</v>
      </c>
      <c r="L57" s="194"/>
      <c r="M57" s="196">
        <f t="shared" si="3"/>
        <v>0</v>
      </c>
    </row>
    <row r="58" spans="1:13" x14ac:dyDescent="0.25">
      <c r="A58" s="98">
        <f t="shared" si="4"/>
        <v>0</v>
      </c>
      <c r="B58" s="33" t="str">
        <f t="shared" si="0"/>
        <v/>
      </c>
      <c r="C58" s="34"/>
      <c r="D58" s="34"/>
      <c r="E58" s="34"/>
      <c r="F58" s="34"/>
      <c r="G58" s="179"/>
      <c r="H58" s="191">
        <v>53</v>
      </c>
      <c r="I58" s="192" t="str">
        <f t="shared" si="1"/>
        <v/>
      </c>
      <c r="J58" s="192" t="e">
        <f t="shared" si="5"/>
        <v>#NUM!</v>
      </c>
      <c r="K58" s="191" t="e">
        <f t="shared" si="2"/>
        <v>#NUM!</v>
      </c>
      <c r="L58" s="191"/>
      <c r="M58" s="193">
        <f t="shared" si="3"/>
        <v>0</v>
      </c>
    </row>
    <row r="59" spans="1:13" x14ac:dyDescent="0.25">
      <c r="A59" s="98">
        <f t="shared" si="4"/>
        <v>0</v>
      </c>
      <c r="B59" s="39" t="str">
        <f t="shared" si="0"/>
        <v/>
      </c>
      <c r="C59" s="40"/>
      <c r="D59" s="40"/>
      <c r="E59" s="40"/>
      <c r="F59" s="40"/>
      <c r="G59" s="179"/>
      <c r="H59" s="194">
        <v>54</v>
      </c>
      <c r="I59" s="195" t="str">
        <f t="shared" si="1"/>
        <v/>
      </c>
      <c r="J59" s="195" t="e">
        <f t="shared" si="5"/>
        <v>#NUM!</v>
      </c>
      <c r="K59" s="194" t="e">
        <f t="shared" si="2"/>
        <v>#NUM!</v>
      </c>
      <c r="L59" s="194"/>
      <c r="M59" s="196">
        <f t="shared" si="3"/>
        <v>0</v>
      </c>
    </row>
    <row r="60" spans="1:13" x14ac:dyDescent="0.25">
      <c r="A60" s="98">
        <f t="shared" si="4"/>
        <v>0</v>
      </c>
      <c r="B60" s="33" t="str">
        <f t="shared" si="0"/>
        <v/>
      </c>
      <c r="C60" s="34"/>
      <c r="D60" s="34"/>
      <c r="E60" s="34"/>
      <c r="F60" s="34"/>
      <c r="G60" s="179"/>
      <c r="H60" s="191">
        <v>55</v>
      </c>
      <c r="I60" s="192" t="str">
        <f t="shared" si="1"/>
        <v/>
      </c>
      <c r="J60" s="192" t="e">
        <f t="shared" si="5"/>
        <v>#NUM!</v>
      </c>
      <c r="K60" s="191" t="e">
        <f t="shared" si="2"/>
        <v>#NUM!</v>
      </c>
      <c r="L60" s="191"/>
      <c r="M60" s="193">
        <f t="shared" si="3"/>
        <v>0</v>
      </c>
    </row>
    <row r="61" spans="1:13" x14ac:dyDescent="0.25">
      <c r="A61" s="98">
        <f t="shared" si="4"/>
        <v>0</v>
      </c>
      <c r="B61" s="39" t="str">
        <f t="shared" si="0"/>
        <v/>
      </c>
      <c r="C61" s="40"/>
      <c r="D61" s="40"/>
      <c r="E61" s="40"/>
      <c r="F61" s="40"/>
      <c r="G61" s="179"/>
      <c r="H61" s="194">
        <v>56</v>
      </c>
      <c r="I61" s="195" t="str">
        <f t="shared" si="1"/>
        <v/>
      </c>
      <c r="J61" s="195" t="e">
        <f t="shared" si="5"/>
        <v>#NUM!</v>
      </c>
      <c r="K61" s="194" t="e">
        <f t="shared" si="2"/>
        <v>#NUM!</v>
      </c>
      <c r="L61" s="194"/>
      <c r="M61" s="196">
        <f t="shared" si="3"/>
        <v>0</v>
      </c>
    </row>
    <row r="62" spans="1:13" x14ac:dyDescent="0.25">
      <c r="A62" s="98">
        <f t="shared" si="4"/>
        <v>0</v>
      </c>
      <c r="B62" s="33" t="str">
        <f t="shared" si="0"/>
        <v/>
      </c>
      <c r="C62" s="34"/>
      <c r="D62" s="34"/>
      <c r="E62" s="34"/>
      <c r="F62" s="34"/>
      <c r="G62" s="179"/>
      <c r="H62" s="191">
        <v>57</v>
      </c>
      <c r="I62" s="192" t="str">
        <f t="shared" si="1"/>
        <v/>
      </c>
      <c r="J62" s="192" t="e">
        <f t="shared" si="5"/>
        <v>#NUM!</v>
      </c>
      <c r="K62" s="191" t="e">
        <f t="shared" si="2"/>
        <v>#NUM!</v>
      </c>
      <c r="L62" s="191"/>
      <c r="M62" s="193">
        <f t="shared" si="3"/>
        <v>0</v>
      </c>
    </row>
    <row r="63" spans="1:13" x14ac:dyDescent="0.25">
      <c r="A63" s="98">
        <f t="shared" si="4"/>
        <v>0</v>
      </c>
      <c r="B63" s="39" t="str">
        <f t="shared" si="0"/>
        <v/>
      </c>
      <c r="C63" s="40"/>
      <c r="D63" s="40"/>
      <c r="E63" s="40"/>
      <c r="F63" s="40"/>
      <c r="G63" s="179"/>
      <c r="H63" s="194">
        <v>58</v>
      </c>
      <c r="I63" s="195" t="str">
        <f t="shared" si="1"/>
        <v/>
      </c>
      <c r="J63" s="195" t="e">
        <f t="shared" si="5"/>
        <v>#NUM!</v>
      </c>
      <c r="K63" s="194" t="e">
        <f t="shared" si="2"/>
        <v>#NUM!</v>
      </c>
      <c r="L63" s="194"/>
      <c r="M63" s="196">
        <f t="shared" si="3"/>
        <v>0</v>
      </c>
    </row>
    <row r="64" spans="1:13" x14ac:dyDescent="0.25">
      <c r="A64" s="98">
        <f t="shared" si="4"/>
        <v>0</v>
      </c>
      <c r="B64" s="33" t="str">
        <f t="shared" si="0"/>
        <v/>
      </c>
      <c r="C64" s="34"/>
      <c r="D64" s="34"/>
      <c r="E64" s="34"/>
      <c r="F64" s="34"/>
      <c r="G64" s="179"/>
      <c r="H64" s="191">
        <v>59</v>
      </c>
      <c r="I64" s="192" t="str">
        <f t="shared" si="1"/>
        <v/>
      </c>
      <c r="J64" s="192" t="e">
        <f t="shared" si="5"/>
        <v>#NUM!</v>
      </c>
      <c r="K64" s="191" t="e">
        <f t="shared" si="2"/>
        <v>#NUM!</v>
      </c>
      <c r="L64" s="191"/>
      <c r="M64" s="193">
        <f t="shared" si="3"/>
        <v>0</v>
      </c>
    </row>
    <row r="65" spans="1:13" x14ac:dyDescent="0.25">
      <c r="A65" s="98">
        <f t="shared" si="4"/>
        <v>0</v>
      </c>
      <c r="B65" s="39" t="str">
        <f t="shared" si="0"/>
        <v/>
      </c>
      <c r="C65" s="40"/>
      <c r="D65" s="40"/>
      <c r="E65" s="40"/>
      <c r="F65" s="40"/>
      <c r="G65" s="179"/>
      <c r="H65" s="194">
        <v>60</v>
      </c>
      <c r="I65" s="195" t="str">
        <f t="shared" si="1"/>
        <v/>
      </c>
      <c r="J65" s="195" t="e">
        <f t="shared" si="5"/>
        <v>#NUM!</v>
      </c>
      <c r="K65" s="194" t="e">
        <f t="shared" si="2"/>
        <v>#NUM!</v>
      </c>
      <c r="L65" s="194"/>
      <c r="M65" s="196">
        <f t="shared" si="3"/>
        <v>0</v>
      </c>
    </row>
    <row r="66" spans="1:13" x14ac:dyDescent="0.25">
      <c r="A66" s="98">
        <f t="shared" si="4"/>
        <v>0</v>
      </c>
      <c r="B66" s="33"/>
      <c r="G66" s="179"/>
      <c r="H66" s="191">
        <v>61</v>
      </c>
      <c r="I66" s="192" t="str">
        <f t="shared" si="1"/>
        <v/>
      </c>
      <c r="J66" s="192" t="e">
        <f t="shared" si="5"/>
        <v>#NUM!</v>
      </c>
      <c r="K66" s="191" t="e">
        <f t="shared" si="2"/>
        <v>#NUM!</v>
      </c>
      <c r="L66" s="191"/>
      <c r="M66" s="193">
        <f t="shared" si="3"/>
        <v>0</v>
      </c>
    </row>
    <row r="67" spans="1:13" x14ac:dyDescent="0.25">
      <c r="A67" s="98">
        <f t="shared" si="4"/>
        <v>0</v>
      </c>
      <c r="B67" s="39"/>
      <c r="G67" s="179"/>
      <c r="H67" s="191">
        <v>62</v>
      </c>
      <c r="I67" s="192" t="str">
        <f t="shared" si="1"/>
        <v/>
      </c>
      <c r="J67" s="192" t="e">
        <f t="shared" si="5"/>
        <v>#NUM!</v>
      </c>
      <c r="K67" s="191" t="e">
        <f t="shared" si="2"/>
        <v>#NUM!</v>
      </c>
      <c r="L67" s="191"/>
      <c r="M67" s="193">
        <f t="shared" si="3"/>
        <v>0</v>
      </c>
    </row>
    <row r="68" spans="1:13" x14ac:dyDescent="0.25">
      <c r="A68" s="98">
        <f t="shared" si="4"/>
        <v>0</v>
      </c>
      <c r="B68" s="33"/>
      <c r="G68" s="179"/>
      <c r="H68" s="191">
        <v>63</v>
      </c>
      <c r="I68" s="192" t="str">
        <f t="shared" si="1"/>
        <v/>
      </c>
      <c r="J68" s="192" t="e">
        <f t="shared" si="5"/>
        <v>#NUM!</v>
      </c>
      <c r="K68" s="191" t="e">
        <f t="shared" si="2"/>
        <v>#NUM!</v>
      </c>
      <c r="L68" s="191"/>
      <c r="M68" s="193">
        <f t="shared" si="3"/>
        <v>0</v>
      </c>
    </row>
    <row r="69" spans="1:13" x14ac:dyDescent="0.25">
      <c r="A69" s="98">
        <f t="shared" si="4"/>
        <v>0</v>
      </c>
      <c r="B69" s="39"/>
      <c r="G69" s="179"/>
      <c r="H69" s="191">
        <v>64</v>
      </c>
      <c r="I69" s="192" t="str">
        <f t="shared" si="1"/>
        <v/>
      </c>
      <c r="J69" s="192" t="e">
        <f t="shared" si="5"/>
        <v>#NUM!</v>
      </c>
      <c r="K69" s="191" t="e">
        <f t="shared" si="2"/>
        <v>#NUM!</v>
      </c>
      <c r="L69" s="191"/>
      <c r="M69" s="193">
        <f t="shared" si="3"/>
        <v>0</v>
      </c>
    </row>
    <row r="70" spans="1:13" x14ac:dyDescent="0.25">
      <c r="A70" s="98">
        <f t="shared" si="4"/>
        <v>0</v>
      </c>
      <c r="G70" s="179"/>
      <c r="H70" s="191">
        <v>65</v>
      </c>
      <c r="I70" s="192" t="str">
        <f t="shared" ref="I70:I133" si="6">IF(H70&lt;$H$2+1,($I$2-($I$2-1)*(LOG(H70)/LOG($H$2))),"")</f>
        <v/>
      </c>
      <c r="J70" s="192" t="e">
        <f t="shared" si="5"/>
        <v>#NUM!</v>
      </c>
      <c r="K70" s="191" t="e">
        <f t="shared" ref="K70:K133" si="7">J70*$J$2</f>
        <v>#NUM!</v>
      </c>
      <c r="L70" s="191"/>
      <c r="M70" s="193">
        <f t="shared" ref="M70:M133" si="8">IF(I70&lt;&gt;"",K70+I70+L70,0)</f>
        <v>0</v>
      </c>
    </row>
    <row r="71" spans="1:13" x14ac:dyDescent="0.25">
      <c r="A71" s="98">
        <f t="shared" ref="A71:A79" si="9">M71</f>
        <v>0</v>
      </c>
      <c r="G71" s="179"/>
      <c r="H71" s="191">
        <v>66</v>
      </c>
      <c r="I71" s="192" t="str">
        <f t="shared" si="6"/>
        <v/>
      </c>
      <c r="J71" s="192" t="e">
        <f t="shared" ref="J71:J134" si="10">INT(LOG($H$2,2))-ROUNDUP(LOG(H71,2),0)+IF(OR($H$2=1,$H$2=2,$H$2=4,$H$2=8,$H$2=16,$H$2=32,$H$2=64,$H$2=128,$H$2=256),0,1)</f>
        <v>#NUM!</v>
      </c>
      <c r="K71" s="191" t="e">
        <f t="shared" si="7"/>
        <v>#NUM!</v>
      </c>
      <c r="L71" s="191"/>
      <c r="M71" s="193">
        <f t="shared" si="8"/>
        <v>0</v>
      </c>
    </row>
    <row r="72" spans="1:13" x14ac:dyDescent="0.25">
      <c r="A72" s="98">
        <f t="shared" si="9"/>
        <v>0</v>
      </c>
      <c r="G72" s="179"/>
      <c r="H72" s="191">
        <v>67</v>
      </c>
      <c r="I72" s="192" t="str">
        <f t="shared" si="6"/>
        <v/>
      </c>
      <c r="J72" s="192" t="e">
        <f t="shared" si="10"/>
        <v>#NUM!</v>
      </c>
      <c r="K72" s="191" t="e">
        <f t="shared" si="7"/>
        <v>#NUM!</v>
      </c>
      <c r="L72" s="191"/>
      <c r="M72" s="193">
        <f t="shared" si="8"/>
        <v>0</v>
      </c>
    </row>
    <row r="73" spans="1:13" x14ac:dyDescent="0.25">
      <c r="A73" s="98">
        <f t="shared" si="9"/>
        <v>0</v>
      </c>
      <c r="G73" s="179"/>
      <c r="H73" s="191">
        <v>68</v>
      </c>
      <c r="I73" s="192" t="str">
        <f t="shared" si="6"/>
        <v/>
      </c>
      <c r="J73" s="192" t="e">
        <f t="shared" si="10"/>
        <v>#NUM!</v>
      </c>
      <c r="K73" s="191" t="e">
        <f t="shared" si="7"/>
        <v>#NUM!</v>
      </c>
      <c r="L73" s="191"/>
      <c r="M73" s="193">
        <f t="shared" si="8"/>
        <v>0</v>
      </c>
    </row>
    <row r="74" spans="1:13" x14ac:dyDescent="0.25">
      <c r="A74" s="98">
        <f t="shared" si="9"/>
        <v>0</v>
      </c>
      <c r="G74" s="179"/>
      <c r="H74" s="191">
        <v>69</v>
      </c>
      <c r="I74" s="192" t="str">
        <f t="shared" si="6"/>
        <v/>
      </c>
      <c r="J74" s="192" t="e">
        <f t="shared" si="10"/>
        <v>#NUM!</v>
      </c>
      <c r="K74" s="191" t="e">
        <f t="shared" si="7"/>
        <v>#NUM!</v>
      </c>
      <c r="L74" s="191"/>
      <c r="M74" s="193">
        <f t="shared" si="8"/>
        <v>0</v>
      </c>
    </row>
    <row r="75" spans="1:13" x14ac:dyDescent="0.25">
      <c r="A75" s="98">
        <f t="shared" si="9"/>
        <v>0</v>
      </c>
      <c r="G75" s="179"/>
      <c r="H75" s="191">
        <v>70</v>
      </c>
      <c r="I75" s="192" t="str">
        <f t="shared" si="6"/>
        <v/>
      </c>
      <c r="J75" s="192" t="e">
        <f t="shared" si="10"/>
        <v>#NUM!</v>
      </c>
      <c r="K75" s="191" t="e">
        <f t="shared" si="7"/>
        <v>#NUM!</v>
      </c>
      <c r="L75" s="191"/>
      <c r="M75" s="193">
        <f t="shared" si="8"/>
        <v>0</v>
      </c>
    </row>
    <row r="76" spans="1:13" x14ac:dyDescent="0.25">
      <c r="A76" s="98">
        <f t="shared" si="9"/>
        <v>0</v>
      </c>
      <c r="G76" s="179"/>
      <c r="H76" s="191">
        <v>71</v>
      </c>
      <c r="I76" s="192" t="str">
        <f t="shared" si="6"/>
        <v/>
      </c>
      <c r="J76" s="192" t="e">
        <f t="shared" si="10"/>
        <v>#NUM!</v>
      </c>
      <c r="K76" s="191" t="e">
        <f t="shared" si="7"/>
        <v>#NUM!</v>
      </c>
      <c r="L76" s="191"/>
      <c r="M76" s="193">
        <f t="shared" si="8"/>
        <v>0</v>
      </c>
    </row>
    <row r="77" spans="1:13" x14ac:dyDescent="0.25">
      <c r="A77" s="98">
        <f t="shared" si="9"/>
        <v>0</v>
      </c>
      <c r="G77" s="179"/>
      <c r="H77" s="191">
        <v>72</v>
      </c>
      <c r="I77" s="192" t="str">
        <f t="shared" si="6"/>
        <v/>
      </c>
      <c r="J77" s="192" t="e">
        <f t="shared" si="10"/>
        <v>#NUM!</v>
      </c>
      <c r="K77" s="191" t="e">
        <f t="shared" si="7"/>
        <v>#NUM!</v>
      </c>
      <c r="L77" s="191"/>
      <c r="M77" s="193">
        <f t="shared" si="8"/>
        <v>0</v>
      </c>
    </row>
    <row r="78" spans="1:13" x14ac:dyDescent="0.25">
      <c r="A78" s="98">
        <f t="shared" si="9"/>
        <v>0</v>
      </c>
      <c r="G78" s="179"/>
      <c r="H78" s="191">
        <v>73</v>
      </c>
      <c r="I78" s="192" t="str">
        <f t="shared" si="6"/>
        <v/>
      </c>
      <c r="J78" s="192" t="e">
        <f t="shared" si="10"/>
        <v>#NUM!</v>
      </c>
      <c r="K78" s="191" t="e">
        <f t="shared" si="7"/>
        <v>#NUM!</v>
      </c>
      <c r="L78" s="191"/>
      <c r="M78" s="193">
        <f t="shared" si="8"/>
        <v>0</v>
      </c>
    </row>
    <row r="79" spans="1:13" x14ac:dyDescent="0.25">
      <c r="A79" s="98">
        <f t="shared" si="9"/>
        <v>0</v>
      </c>
      <c r="G79" s="179"/>
      <c r="H79" s="191">
        <v>74</v>
      </c>
      <c r="I79" s="192" t="str">
        <f t="shared" si="6"/>
        <v/>
      </c>
      <c r="J79" s="192" t="e">
        <f t="shared" si="10"/>
        <v>#NUM!</v>
      </c>
      <c r="K79" s="191" t="e">
        <f t="shared" si="7"/>
        <v>#NUM!</v>
      </c>
      <c r="L79" s="191"/>
      <c r="M79" s="193">
        <f t="shared" si="8"/>
        <v>0</v>
      </c>
    </row>
    <row r="80" spans="1:13" x14ac:dyDescent="0.25">
      <c r="A80" s="94"/>
      <c r="G80" s="179"/>
      <c r="H80" s="191">
        <v>75</v>
      </c>
      <c r="I80" s="192" t="str">
        <f t="shared" si="6"/>
        <v/>
      </c>
      <c r="J80" s="192" t="e">
        <f t="shared" si="10"/>
        <v>#NUM!</v>
      </c>
      <c r="K80" s="191" t="e">
        <f t="shared" si="7"/>
        <v>#NUM!</v>
      </c>
      <c r="L80" s="191"/>
      <c r="M80" s="193">
        <f t="shared" si="8"/>
        <v>0</v>
      </c>
    </row>
    <row r="81" spans="1:13" x14ac:dyDescent="0.25">
      <c r="A81" s="208"/>
      <c r="G81" s="179"/>
      <c r="H81" s="191">
        <v>76</v>
      </c>
      <c r="I81" s="192" t="str">
        <f t="shared" si="6"/>
        <v/>
      </c>
      <c r="J81" s="192" t="e">
        <f t="shared" si="10"/>
        <v>#NUM!</v>
      </c>
      <c r="K81" s="191" t="e">
        <f t="shared" si="7"/>
        <v>#NUM!</v>
      </c>
      <c r="L81" s="191"/>
      <c r="M81" s="193">
        <f t="shared" si="8"/>
        <v>0</v>
      </c>
    </row>
    <row r="82" spans="1:13" x14ac:dyDescent="0.25">
      <c r="A82" s="208"/>
      <c r="G82" s="179"/>
      <c r="H82" s="191">
        <v>77</v>
      </c>
      <c r="I82" s="192" t="str">
        <f t="shared" si="6"/>
        <v/>
      </c>
      <c r="J82" s="192" t="e">
        <f t="shared" si="10"/>
        <v>#NUM!</v>
      </c>
      <c r="K82" s="191" t="e">
        <f t="shared" si="7"/>
        <v>#NUM!</v>
      </c>
      <c r="L82" s="191"/>
      <c r="M82" s="193">
        <f t="shared" si="8"/>
        <v>0</v>
      </c>
    </row>
    <row r="83" spans="1:13" x14ac:dyDescent="0.25">
      <c r="A83" s="208"/>
      <c r="G83" s="179"/>
      <c r="H83" s="191">
        <v>78</v>
      </c>
      <c r="I83" s="192" t="str">
        <f t="shared" si="6"/>
        <v/>
      </c>
      <c r="J83" s="192" t="e">
        <f t="shared" si="10"/>
        <v>#NUM!</v>
      </c>
      <c r="K83" s="191" t="e">
        <f t="shared" si="7"/>
        <v>#NUM!</v>
      </c>
      <c r="L83" s="191"/>
      <c r="M83" s="193">
        <f t="shared" si="8"/>
        <v>0</v>
      </c>
    </row>
    <row r="84" spans="1:13" x14ac:dyDescent="0.25">
      <c r="A84" s="208"/>
      <c r="G84" s="179"/>
      <c r="H84" s="191">
        <v>79</v>
      </c>
      <c r="I84" s="192" t="str">
        <f t="shared" si="6"/>
        <v/>
      </c>
      <c r="J84" s="192" t="e">
        <f t="shared" si="10"/>
        <v>#NUM!</v>
      </c>
      <c r="K84" s="191" t="e">
        <f t="shared" si="7"/>
        <v>#NUM!</v>
      </c>
      <c r="L84" s="191"/>
      <c r="M84" s="193">
        <f t="shared" si="8"/>
        <v>0</v>
      </c>
    </row>
    <row r="85" spans="1:13" x14ac:dyDescent="0.25">
      <c r="A85" s="208"/>
      <c r="G85" s="179"/>
      <c r="H85" s="191">
        <v>80</v>
      </c>
      <c r="I85" s="192" t="str">
        <f t="shared" si="6"/>
        <v/>
      </c>
      <c r="J85" s="192" t="e">
        <f t="shared" si="10"/>
        <v>#NUM!</v>
      </c>
      <c r="K85" s="191" t="e">
        <f t="shared" si="7"/>
        <v>#NUM!</v>
      </c>
      <c r="L85" s="191"/>
      <c r="M85" s="193">
        <f t="shared" si="8"/>
        <v>0</v>
      </c>
    </row>
    <row r="86" spans="1:13" x14ac:dyDescent="0.25">
      <c r="A86" s="208"/>
      <c r="G86" s="179"/>
      <c r="H86" s="191">
        <v>81</v>
      </c>
      <c r="I86" s="192" t="str">
        <f t="shared" si="6"/>
        <v/>
      </c>
      <c r="J86" s="192" t="e">
        <f t="shared" si="10"/>
        <v>#NUM!</v>
      </c>
      <c r="K86" s="191" t="e">
        <f t="shared" si="7"/>
        <v>#NUM!</v>
      </c>
      <c r="L86" s="191"/>
      <c r="M86" s="193">
        <f t="shared" si="8"/>
        <v>0</v>
      </c>
    </row>
    <row r="87" spans="1:13" x14ac:dyDescent="0.25">
      <c r="A87" s="208"/>
      <c r="G87" s="179"/>
      <c r="H87" s="191">
        <v>82</v>
      </c>
      <c r="I87" s="192" t="str">
        <f t="shared" si="6"/>
        <v/>
      </c>
      <c r="J87" s="192" t="e">
        <f t="shared" si="10"/>
        <v>#NUM!</v>
      </c>
      <c r="K87" s="191" t="e">
        <f t="shared" si="7"/>
        <v>#NUM!</v>
      </c>
      <c r="L87" s="191"/>
      <c r="M87" s="193">
        <f t="shared" si="8"/>
        <v>0</v>
      </c>
    </row>
    <row r="88" spans="1:13" x14ac:dyDescent="0.25">
      <c r="A88" s="208"/>
      <c r="G88" s="179"/>
      <c r="H88" s="191">
        <v>83</v>
      </c>
      <c r="I88" s="192" t="str">
        <f t="shared" si="6"/>
        <v/>
      </c>
      <c r="J88" s="192" t="e">
        <f t="shared" si="10"/>
        <v>#NUM!</v>
      </c>
      <c r="K88" s="191" t="e">
        <f t="shared" si="7"/>
        <v>#NUM!</v>
      </c>
      <c r="L88" s="191"/>
      <c r="M88" s="193">
        <f t="shared" si="8"/>
        <v>0</v>
      </c>
    </row>
    <row r="89" spans="1:13" x14ac:dyDescent="0.25">
      <c r="A89" s="208"/>
      <c r="G89" s="179"/>
      <c r="H89" s="191">
        <v>84</v>
      </c>
      <c r="I89" s="192" t="str">
        <f t="shared" si="6"/>
        <v/>
      </c>
      <c r="J89" s="192" t="e">
        <f t="shared" si="10"/>
        <v>#NUM!</v>
      </c>
      <c r="K89" s="191" t="e">
        <f t="shared" si="7"/>
        <v>#NUM!</v>
      </c>
      <c r="L89" s="191"/>
      <c r="M89" s="193">
        <f t="shared" si="8"/>
        <v>0</v>
      </c>
    </row>
    <row r="90" spans="1:13" x14ac:dyDescent="0.25">
      <c r="A90" s="208"/>
      <c r="G90" s="179"/>
      <c r="H90" s="191">
        <v>85</v>
      </c>
      <c r="I90" s="192" t="str">
        <f t="shared" si="6"/>
        <v/>
      </c>
      <c r="J90" s="192" t="e">
        <f t="shared" si="10"/>
        <v>#NUM!</v>
      </c>
      <c r="K90" s="191" t="e">
        <f t="shared" si="7"/>
        <v>#NUM!</v>
      </c>
      <c r="L90" s="191"/>
      <c r="M90" s="193">
        <f t="shared" si="8"/>
        <v>0</v>
      </c>
    </row>
    <row r="91" spans="1:13" x14ac:dyDescent="0.25">
      <c r="A91" s="208"/>
      <c r="G91" s="179"/>
      <c r="H91" s="191">
        <v>86</v>
      </c>
      <c r="I91" s="192" t="str">
        <f t="shared" si="6"/>
        <v/>
      </c>
      <c r="J91" s="192" t="e">
        <f t="shared" si="10"/>
        <v>#NUM!</v>
      </c>
      <c r="K91" s="191" t="e">
        <f t="shared" si="7"/>
        <v>#NUM!</v>
      </c>
      <c r="L91" s="191"/>
      <c r="M91" s="193">
        <f t="shared" si="8"/>
        <v>0</v>
      </c>
    </row>
    <row r="92" spans="1:13" x14ac:dyDescent="0.25">
      <c r="A92" s="208"/>
      <c r="G92" s="179"/>
      <c r="H92" s="191">
        <v>87</v>
      </c>
      <c r="I92" s="192" t="str">
        <f t="shared" si="6"/>
        <v/>
      </c>
      <c r="J92" s="192" t="e">
        <f t="shared" si="10"/>
        <v>#NUM!</v>
      </c>
      <c r="K92" s="191" t="e">
        <f t="shared" si="7"/>
        <v>#NUM!</v>
      </c>
      <c r="L92" s="191"/>
      <c r="M92" s="193">
        <f t="shared" si="8"/>
        <v>0</v>
      </c>
    </row>
    <row r="93" spans="1:13" x14ac:dyDescent="0.25">
      <c r="A93" s="208"/>
      <c r="G93" s="179"/>
      <c r="H93" s="191">
        <v>88</v>
      </c>
      <c r="I93" s="192" t="str">
        <f t="shared" si="6"/>
        <v/>
      </c>
      <c r="J93" s="192" t="e">
        <f t="shared" si="10"/>
        <v>#NUM!</v>
      </c>
      <c r="K93" s="191" t="e">
        <f t="shared" si="7"/>
        <v>#NUM!</v>
      </c>
      <c r="L93" s="191"/>
      <c r="M93" s="193">
        <f t="shared" si="8"/>
        <v>0</v>
      </c>
    </row>
    <row r="94" spans="1:13" x14ac:dyDescent="0.25">
      <c r="A94" s="208"/>
      <c r="G94" s="179"/>
      <c r="H94" s="191">
        <v>89</v>
      </c>
      <c r="I94" s="192" t="str">
        <f t="shared" si="6"/>
        <v/>
      </c>
      <c r="J94" s="192" t="e">
        <f t="shared" si="10"/>
        <v>#NUM!</v>
      </c>
      <c r="K94" s="191" t="e">
        <f t="shared" si="7"/>
        <v>#NUM!</v>
      </c>
      <c r="L94" s="191"/>
      <c r="M94" s="193">
        <f t="shared" si="8"/>
        <v>0</v>
      </c>
    </row>
    <row r="95" spans="1:13" x14ac:dyDescent="0.25">
      <c r="A95" s="208"/>
      <c r="G95" s="179"/>
      <c r="H95" s="191">
        <v>90</v>
      </c>
      <c r="I95" s="192" t="str">
        <f t="shared" si="6"/>
        <v/>
      </c>
      <c r="J95" s="192" t="e">
        <f t="shared" si="10"/>
        <v>#NUM!</v>
      </c>
      <c r="K95" s="191" t="e">
        <f t="shared" si="7"/>
        <v>#NUM!</v>
      </c>
      <c r="L95" s="191"/>
      <c r="M95" s="193">
        <f t="shared" si="8"/>
        <v>0</v>
      </c>
    </row>
    <row r="96" spans="1:13" x14ac:dyDescent="0.25">
      <c r="A96" s="208"/>
      <c r="G96" s="179"/>
      <c r="H96" s="191">
        <v>91</v>
      </c>
      <c r="I96" s="192" t="str">
        <f t="shared" si="6"/>
        <v/>
      </c>
      <c r="J96" s="192" t="e">
        <f t="shared" si="10"/>
        <v>#NUM!</v>
      </c>
      <c r="K96" s="191" t="e">
        <f t="shared" si="7"/>
        <v>#NUM!</v>
      </c>
      <c r="L96" s="191"/>
      <c r="M96" s="193">
        <f t="shared" si="8"/>
        <v>0</v>
      </c>
    </row>
    <row r="97" spans="1:13" x14ac:dyDescent="0.25">
      <c r="A97" s="208"/>
      <c r="G97" s="179"/>
      <c r="H97" s="191">
        <v>92</v>
      </c>
      <c r="I97" s="192" t="str">
        <f t="shared" si="6"/>
        <v/>
      </c>
      <c r="J97" s="192" t="e">
        <f t="shared" si="10"/>
        <v>#NUM!</v>
      </c>
      <c r="K97" s="191" t="e">
        <f t="shared" si="7"/>
        <v>#NUM!</v>
      </c>
      <c r="L97" s="191"/>
      <c r="M97" s="193">
        <f t="shared" si="8"/>
        <v>0</v>
      </c>
    </row>
    <row r="98" spans="1:13" x14ac:dyDescent="0.25">
      <c r="A98" s="208"/>
      <c r="G98" s="179"/>
      <c r="H98" s="191">
        <v>93</v>
      </c>
      <c r="I98" s="192" t="str">
        <f t="shared" si="6"/>
        <v/>
      </c>
      <c r="J98" s="192" t="e">
        <f t="shared" si="10"/>
        <v>#NUM!</v>
      </c>
      <c r="K98" s="191" t="e">
        <f t="shared" si="7"/>
        <v>#NUM!</v>
      </c>
      <c r="L98" s="191"/>
      <c r="M98" s="193">
        <f t="shared" si="8"/>
        <v>0</v>
      </c>
    </row>
    <row r="99" spans="1:13" x14ac:dyDescent="0.25">
      <c r="A99" s="208"/>
      <c r="G99" s="179"/>
      <c r="H99" s="191">
        <v>94</v>
      </c>
      <c r="I99" s="192" t="str">
        <f t="shared" si="6"/>
        <v/>
      </c>
      <c r="J99" s="192" t="e">
        <f t="shared" si="10"/>
        <v>#NUM!</v>
      </c>
      <c r="K99" s="191" t="e">
        <f t="shared" si="7"/>
        <v>#NUM!</v>
      </c>
      <c r="L99" s="191"/>
      <c r="M99" s="193">
        <f t="shared" si="8"/>
        <v>0</v>
      </c>
    </row>
    <row r="100" spans="1:13" x14ac:dyDescent="0.25">
      <c r="A100" s="208"/>
      <c r="G100" s="179"/>
      <c r="H100" s="191">
        <v>95</v>
      </c>
      <c r="I100" s="192" t="str">
        <f t="shared" si="6"/>
        <v/>
      </c>
      <c r="J100" s="192" t="e">
        <f t="shared" si="10"/>
        <v>#NUM!</v>
      </c>
      <c r="K100" s="191" t="e">
        <f t="shared" si="7"/>
        <v>#NUM!</v>
      </c>
      <c r="L100" s="191"/>
      <c r="M100" s="193">
        <f t="shared" si="8"/>
        <v>0</v>
      </c>
    </row>
    <row r="101" spans="1:13" x14ac:dyDescent="0.25">
      <c r="A101" s="208"/>
      <c r="G101" s="179"/>
      <c r="H101" s="191">
        <v>96</v>
      </c>
      <c r="I101" s="192" t="str">
        <f t="shared" si="6"/>
        <v/>
      </c>
      <c r="J101" s="192" t="e">
        <f t="shared" si="10"/>
        <v>#NUM!</v>
      </c>
      <c r="K101" s="191" t="e">
        <f t="shared" si="7"/>
        <v>#NUM!</v>
      </c>
      <c r="L101" s="191"/>
      <c r="M101" s="193">
        <f t="shared" si="8"/>
        <v>0</v>
      </c>
    </row>
    <row r="102" spans="1:13" x14ac:dyDescent="0.25">
      <c r="A102" s="208"/>
      <c r="G102" s="179"/>
      <c r="H102" s="191">
        <v>97</v>
      </c>
      <c r="I102" s="192" t="str">
        <f t="shared" si="6"/>
        <v/>
      </c>
      <c r="J102" s="192" t="e">
        <f t="shared" si="10"/>
        <v>#NUM!</v>
      </c>
      <c r="K102" s="191" t="e">
        <f t="shared" si="7"/>
        <v>#NUM!</v>
      </c>
      <c r="L102" s="191"/>
      <c r="M102" s="193">
        <f t="shared" si="8"/>
        <v>0</v>
      </c>
    </row>
    <row r="103" spans="1:13" x14ac:dyDescent="0.25">
      <c r="A103" s="208"/>
      <c r="G103" s="179"/>
      <c r="H103" s="191">
        <v>98</v>
      </c>
      <c r="I103" s="192" t="str">
        <f t="shared" si="6"/>
        <v/>
      </c>
      <c r="J103" s="192" t="e">
        <f t="shared" si="10"/>
        <v>#NUM!</v>
      </c>
      <c r="K103" s="191" t="e">
        <f t="shared" si="7"/>
        <v>#NUM!</v>
      </c>
      <c r="L103" s="191"/>
      <c r="M103" s="193">
        <f t="shared" si="8"/>
        <v>0</v>
      </c>
    </row>
    <row r="104" spans="1:13" x14ac:dyDescent="0.25">
      <c r="A104" s="208"/>
      <c r="G104" s="179"/>
      <c r="H104" s="191">
        <v>99</v>
      </c>
      <c r="I104" s="192" t="str">
        <f t="shared" si="6"/>
        <v/>
      </c>
      <c r="J104" s="192" t="e">
        <f t="shared" si="10"/>
        <v>#NUM!</v>
      </c>
      <c r="K104" s="191" t="e">
        <f t="shared" si="7"/>
        <v>#NUM!</v>
      </c>
      <c r="L104" s="191"/>
      <c r="M104" s="193">
        <f t="shared" si="8"/>
        <v>0</v>
      </c>
    </row>
    <row r="105" spans="1:13" x14ac:dyDescent="0.25">
      <c r="A105" s="208"/>
      <c r="G105" s="179"/>
      <c r="H105" s="191">
        <v>100</v>
      </c>
      <c r="I105" s="192" t="str">
        <f t="shared" si="6"/>
        <v/>
      </c>
      <c r="J105" s="192" t="e">
        <f t="shared" si="10"/>
        <v>#NUM!</v>
      </c>
      <c r="K105" s="191" t="e">
        <f t="shared" si="7"/>
        <v>#NUM!</v>
      </c>
      <c r="L105" s="191"/>
      <c r="M105" s="193">
        <f t="shared" si="8"/>
        <v>0</v>
      </c>
    </row>
    <row r="106" spans="1:13" x14ac:dyDescent="0.25">
      <c r="A106" s="208"/>
      <c r="G106" s="179"/>
      <c r="H106" s="191">
        <v>101</v>
      </c>
      <c r="I106" s="192" t="str">
        <f t="shared" si="6"/>
        <v/>
      </c>
      <c r="J106" s="192" t="e">
        <f t="shared" si="10"/>
        <v>#NUM!</v>
      </c>
      <c r="K106" s="191" t="e">
        <f t="shared" si="7"/>
        <v>#NUM!</v>
      </c>
      <c r="L106" s="191"/>
      <c r="M106" s="193">
        <f t="shared" si="8"/>
        <v>0</v>
      </c>
    </row>
    <row r="107" spans="1:13" x14ac:dyDescent="0.25">
      <c r="A107" s="208"/>
      <c r="G107" s="179"/>
      <c r="H107" s="191">
        <v>102</v>
      </c>
      <c r="I107" s="192" t="str">
        <f t="shared" si="6"/>
        <v/>
      </c>
      <c r="J107" s="192" t="e">
        <f t="shared" si="10"/>
        <v>#NUM!</v>
      </c>
      <c r="K107" s="191" t="e">
        <f t="shared" si="7"/>
        <v>#NUM!</v>
      </c>
      <c r="L107" s="191"/>
      <c r="M107" s="193">
        <f t="shared" si="8"/>
        <v>0</v>
      </c>
    </row>
    <row r="108" spans="1:13" x14ac:dyDescent="0.25">
      <c r="A108" s="208"/>
      <c r="G108" s="179"/>
      <c r="H108" s="191">
        <v>103</v>
      </c>
      <c r="I108" s="192" t="str">
        <f t="shared" si="6"/>
        <v/>
      </c>
      <c r="J108" s="192" t="e">
        <f t="shared" si="10"/>
        <v>#NUM!</v>
      </c>
      <c r="K108" s="191" t="e">
        <f t="shared" si="7"/>
        <v>#NUM!</v>
      </c>
      <c r="L108" s="191"/>
      <c r="M108" s="193">
        <f t="shared" si="8"/>
        <v>0</v>
      </c>
    </row>
    <row r="109" spans="1:13" x14ac:dyDescent="0.25">
      <c r="A109" s="208"/>
      <c r="G109" s="179"/>
      <c r="H109" s="191">
        <v>104</v>
      </c>
      <c r="I109" s="192" t="str">
        <f t="shared" si="6"/>
        <v/>
      </c>
      <c r="J109" s="192" t="e">
        <f t="shared" si="10"/>
        <v>#NUM!</v>
      </c>
      <c r="K109" s="191" t="e">
        <f t="shared" si="7"/>
        <v>#NUM!</v>
      </c>
      <c r="L109" s="191"/>
      <c r="M109" s="193">
        <f t="shared" si="8"/>
        <v>0</v>
      </c>
    </row>
    <row r="110" spans="1:13" x14ac:dyDescent="0.25">
      <c r="A110" s="208"/>
      <c r="G110" s="179"/>
      <c r="H110" s="191">
        <v>105</v>
      </c>
      <c r="I110" s="192" t="str">
        <f t="shared" si="6"/>
        <v/>
      </c>
      <c r="J110" s="192" t="e">
        <f t="shared" si="10"/>
        <v>#NUM!</v>
      </c>
      <c r="K110" s="191" t="e">
        <f t="shared" si="7"/>
        <v>#NUM!</v>
      </c>
      <c r="L110" s="191"/>
      <c r="M110" s="193">
        <f t="shared" si="8"/>
        <v>0</v>
      </c>
    </row>
    <row r="111" spans="1:13" x14ac:dyDescent="0.25">
      <c r="A111" s="208"/>
      <c r="G111" s="179"/>
      <c r="H111" s="191">
        <v>106</v>
      </c>
      <c r="I111" s="192" t="str">
        <f t="shared" si="6"/>
        <v/>
      </c>
      <c r="J111" s="192" t="e">
        <f t="shared" si="10"/>
        <v>#NUM!</v>
      </c>
      <c r="K111" s="191" t="e">
        <f t="shared" si="7"/>
        <v>#NUM!</v>
      </c>
      <c r="L111" s="191"/>
      <c r="M111" s="193">
        <f t="shared" si="8"/>
        <v>0</v>
      </c>
    </row>
    <row r="112" spans="1:13" x14ac:dyDescent="0.25">
      <c r="A112" s="208"/>
      <c r="G112" s="179"/>
      <c r="H112" s="191">
        <v>107</v>
      </c>
      <c r="I112" s="192" t="str">
        <f t="shared" si="6"/>
        <v/>
      </c>
      <c r="J112" s="192" t="e">
        <f t="shared" si="10"/>
        <v>#NUM!</v>
      </c>
      <c r="K112" s="191" t="e">
        <f t="shared" si="7"/>
        <v>#NUM!</v>
      </c>
      <c r="L112" s="191"/>
      <c r="M112" s="193">
        <f t="shared" si="8"/>
        <v>0</v>
      </c>
    </row>
    <row r="113" spans="1:13" x14ac:dyDescent="0.25">
      <c r="A113" s="208"/>
      <c r="G113" s="179"/>
      <c r="H113" s="191">
        <v>108</v>
      </c>
      <c r="I113" s="192" t="str">
        <f t="shared" si="6"/>
        <v/>
      </c>
      <c r="J113" s="192" t="e">
        <f t="shared" si="10"/>
        <v>#NUM!</v>
      </c>
      <c r="K113" s="191" t="e">
        <f t="shared" si="7"/>
        <v>#NUM!</v>
      </c>
      <c r="L113" s="191"/>
      <c r="M113" s="193">
        <f t="shared" si="8"/>
        <v>0</v>
      </c>
    </row>
    <row r="114" spans="1:13" x14ac:dyDescent="0.25">
      <c r="A114" s="208"/>
      <c r="G114" s="179"/>
      <c r="H114" s="191">
        <v>109</v>
      </c>
      <c r="I114" s="192" t="str">
        <f t="shared" si="6"/>
        <v/>
      </c>
      <c r="J114" s="192" t="e">
        <f t="shared" si="10"/>
        <v>#NUM!</v>
      </c>
      <c r="K114" s="191" t="e">
        <f t="shared" si="7"/>
        <v>#NUM!</v>
      </c>
      <c r="L114" s="191"/>
      <c r="M114" s="193">
        <f t="shared" si="8"/>
        <v>0</v>
      </c>
    </row>
    <row r="115" spans="1:13" x14ac:dyDescent="0.25">
      <c r="A115" s="208"/>
      <c r="G115" s="179"/>
      <c r="H115" s="191">
        <v>110</v>
      </c>
      <c r="I115" s="192" t="str">
        <f t="shared" si="6"/>
        <v/>
      </c>
      <c r="J115" s="192" t="e">
        <f t="shared" si="10"/>
        <v>#NUM!</v>
      </c>
      <c r="K115" s="191" t="e">
        <f t="shared" si="7"/>
        <v>#NUM!</v>
      </c>
      <c r="L115" s="191"/>
      <c r="M115" s="193">
        <f t="shared" si="8"/>
        <v>0</v>
      </c>
    </row>
    <row r="116" spans="1:13" x14ac:dyDescent="0.25">
      <c r="A116" s="208"/>
      <c r="G116" s="179"/>
      <c r="H116" s="191">
        <v>111</v>
      </c>
      <c r="I116" s="192" t="str">
        <f t="shared" si="6"/>
        <v/>
      </c>
      <c r="J116" s="192" t="e">
        <f t="shared" si="10"/>
        <v>#NUM!</v>
      </c>
      <c r="K116" s="191" t="e">
        <f t="shared" si="7"/>
        <v>#NUM!</v>
      </c>
      <c r="L116" s="191"/>
      <c r="M116" s="193">
        <f t="shared" si="8"/>
        <v>0</v>
      </c>
    </row>
    <row r="117" spans="1:13" x14ac:dyDescent="0.25">
      <c r="A117" s="208"/>
      <c r="G117" s="179"/>
      <c r="H117" s="191">
        <v>112</v>
      </c>
      <c r="I117" s="192" t="str">
        <f t="shared" si="6"/>
        <v/>
      </c>
      <c r="J117" s="192" t="e">
        <f t="shared" si="10"/>
        <v>#NUM!</v>
      </c>
      <c r="K117" s="191" t="e">
        <f t="shared" si="7"/>
        <v>#NUM!</v>
      </c>
      <c r="L117" s="191"/>
      <c r="M117" s="193">
        <f t="shared" si="8"/>
        <v>0</v>
      </c>
    </row>
    <row r="118" spans="1:13" x14ac:dyDescent="0.25">
      <c r="A118" s="208"/>
      <c r="G118" s="179"/>
      <c r="H118" s="191">
        <v>113</v>
      </c>
      <c r="I118" s="192" t="str">
        <f t="shared" si="6"/>
        <v/>
      </c>
      <c r="J118" s="192" t="e">
        <f t="shared" si="10"/>
        <v>#NUM!</v>
      </c>
      <c r="K118" s="191" t="e">
        <f t="shared" si="7"/>
        <v>#NUM!</v>
      </c>
      <c r="L118" s="191"/>
      <c r="M118" s="193">
        <f t="shared" si="8"/>
        <v>0</v>
      </c>
    </row>
    <row r="119" spans="1:13" x14ac:dyDescent="0.25">
      <c r="A119" s="208"/>
      <c r="G119" s="179"/>
      <c r="H119" s="191">
        <v>114</v>
      </c>
      <c r="I119" s="192" t="str">
        <f t="shared" si="6"/>
        <v/>
      </c>
      <c r="J119" s="192" t="e">
        <f t="shared" si="10"/>
        <v>#NUM!</v>
      </c>
      <c r="K119" s="191" t="e">
        <f t="shared" si="7"/>
        <v>#NUM!</v>
      </c>
      <c r="L119" s="191"/>
      <c r="M119" s="193">
        <f t="shared" si="8"/>
        <v>0</v>
      </c>
    </row>
    <row r="120" spans="1:13" x14ac:dyDescent="0.25">
      <c r="A120" s="208"/>
      <c r="G120" s="179"/>
      <c r="H120" s="191">
        <v>115</v>
      </c>
      <c r="I120" s="192" t="str">
        <f t="shared" si="6"/>
        <v/>
      </c>
      <c r="J120" s="192" t="e">
        <f t="shared" si="10"/>
        <v>#NUM!</v>
      </c>
      <c r="K120" s="191" t="e">
        <f t="shared" si="7"/>
        <v>#NUM!</v>
      </c>
      <c r="L120" s="191"/>
      <c r="M120" s="193">
        <f t="shared" si="8"/>
        <v>0</v>
      </c>
    </row>
    <row r="121" spans="1:13" x14ac:dyDescent="0.25">
      <c r="A121" s="208"/>
      <c r="G121" s="179"/>
      <c r="H121" s="191">
        <v>116</v>
      </c>
      <c r="I121" s="192" t="str">
        <f t="shared" si="6"/>
        <v/>
      </c>
      <c r="J121" s="192" t="e">
        <f t="shared" si="10"/>
        <v>#NUM!</v>
      </c>
      <c r="K121" s="191" t="e">
        <f t="shared" si="7"/>
        <v>#NUM!</v>
      </c>
      <c r="L121" s="191"/>
      <c r="M121" s="193">
        <f t="shared" si="8"/>
        <v>0</v>
      </c>
    </row>
    <row r="122" spans="1:13" x14ac:dyDescent="0.25">
      <c r="A122" s="208"/>
      <c r="G122" s="179"/>
      <c r="H122" s="191">
        <v>117</v>
      </c>
      <c r="I122" s="192" t="str">
        <f t="shared" si="6"/>
        <v/>
      </c>
      <c r="J122" s="192" t="e">
        <f t="shared" si="10"/>
        <v>#NUM!</v>
      </c>
      <c r="K122" s="191" t="e">
        <f t="shared" si="7"/>
        <v>#NUM!</v>
      </c>
      <c r="L122" s="191"/>
      <c r="M122" s="193">
        <f t="shared" si="8"/>
        <v>0</v>
      </c>
    </row>
    <row r="123" spans="1:13" x14ac:dyDescent="0.25">
      <c r="A123" s="208"/>
      <c r="G123" s="179"/>
      <c r="H123" s="191">
        <v>118</v>
      </c>
      <c r="I123" s="192" t="str">
        <f t="shared" si="6"/>
        <v/>
      </c>
      <c r="J123" s="192" t="e">
        <f t="shared" si="10"/>
        <v>#NUM!</v>
      </c>
      <c r="K123" s="191" t="e">
        <f t="shared" si="7"/>
        <v>#NUM!</v>
      </c>
      <c r="L123" s="191"/>
      <c r="M123" s="193">
        <f t="shared" si="8"/>
        <v>0</v>
      </c>
    </row>
    <row r="124" spans="1:13" x14ac:dyDescent="0.25">
      <c r="A124" s="208"/>
      <c r="G124" s="179"/>
      <c r="H124" s="191">
        <v>119</v>
      </c>
      <c r="I124" s="192" t="str">
        <f t="shared" si="6"/>
        <v/>
      </c>
      <c r="J124" s="192" t="e">
        <f t="shared" si="10"/>
        <v>#NUM!</v>
      </c>
      <c r="K124" s="191" t="e">
        <f t="shared" si="7"/>
        <v>#NUM!</v>
      </c>
      <c r="L124" s="191"/>
      <c r="M124" s="193">
        <f t="shared" si="8"/>
        <v>0</v>
      </c>
    </row>
    <row r="125" spans="1:13" x14ac:dyDescent="0.25">
      <c r="A125" s="208"/>
      <c r="G125" s="179"/>
      <c r="H125" s="191">
        <v>120</v>
      </c>
      <c r="I125" s="192" t="str">
        <f t="shared" si="6"/>
        <v/>
      </c>
      <c r="J125" s="192" t="e">
        <f t="shared" si="10"/>
        <v>#NUM!</v>
      </c>
      <c r="K125" s="191" t="e">
        <f t="shared" si="7"/>
        <v>#NUM!</v>
      </c>
      <c r="L125" s="191"/>
      <c r="M125" s="193">
        <f t="shared" si="8"/>
        <v>0</v>
      </c>
    </row>
    <row r="126" spans="1:13" x14ac:dyDescent="0.25">
      <c r="A126" s="208"/>
      <c r="G126" s="179"/>
      <c r="H126" s="191">
        <v>121</v>
      </c>
      <c r="I126" s="192" t="str">
        <f t="shared" si="6"/>
        <v/>
      </c>
      <c r="J126" s="192" t="e">
        <f t="shared" si="10"/>
        <v>#NUM!</v>
      </c>
      <c r="K126" s="191" t="e">
        <f t="shared" si="7"/>
        <v>#NUM!</v>
      </c>
      <c r="L126" s="191"/>
      <c r="M126" s="193">
        <f t="shared" si="8"/>
        <v>0</v>
      </c>
    </row>
    <row r="127" spans="1:13" x14ac:dyDescent="0.25">
      <c r="A127" s="208"/>
      <c r="G127" s="179"/>
      <c r="H127" s="191">
        <v>122</v>
      </c>
      <c r="I127" s="192" t="str">
        <f t="shared" si="6"/>
        <v/>
      </c>
      <c r="J127" s="192" t="e">
        <f t="shared" si="10"/>
        <v>#NUM!</v>
      </c>
      <c r="K127" s="191" t="e">
        <f t="shared" si="7"/>
        <v>#NUM!</v>
      </c>
      <c r="L127" s="191"/>
      <c r="M127" s="193">
        <f t="shared" si="8"/>
        <v>0</v>
      </c>
    </row>
    <row r="128" spans="1:13" x14ac:dyDescent="0.25">
      <c r="A128" s="208"/>
      <c r="G128" s="179"/>
      <c r="H128" s="191">
        <v>123</v>
      </c>
      <c r="I128" s="192" t="str">
        <f t="shared" si="6"/>
        <v/>
      </c>
      <c r="J128" s="192" t="e">
        <f t="shared" si="10"/>
        <v>#NUM!</v>
      </c>
      <c r="K128" s="191" t="e">
        <f t="shared" si="7"/>
        <v>#NUM!</v>
      </c>
      <c r="L128" s="191"/>
      <c r="M128" s="193">
        <f t="shared" si="8"/>
        <v>0</v>
      </c>
    </row>
    <row r="129" spans="1:13" x14ac:dyDescent="0.25">
      <c r="A129" s="208"/>
      <c r="G129" s="179"/>
      <c r="H129" s="191">
        <v>124</v>
      </c>
      <c r="I129" s="192" t="str">
        <f t="shared" si="6"/>
        <v/>
      </c>
      <c r="J129" s="192" t="e">
        <f t="shared" si="10"/>
        <v>#NUM!</v>
      </c>
      <c r="K129" s="191" t="e">
        <f t="shared" si="7"/>
        <v>#NUM!</v>
      </c>
      <c r="L129" s="191"/>
      <c r="M129" s="193">
        <f t="shared" si="8"/>
        <v>0</v>
      </c>
    </row>
    <row r="130" spans="1:13" x14ac:dyDescent="0.25">
      <c r="A130" s="208"/>
      <c r="G130" s="179"/>
      <c r="H130" s="191">
        <v>125</v>
      </c>
      <c r="I130" s="192" t="str">
        <f t="shared" si="6"/>
        <v/>
      </c>
      <c r="J130" s="192" t="e">
        <f t="shared" si="10"/>
        <v>#NUM!</v>
      </c>
      <c r="K130" s="191" t="e">
        <f t="shared" si="7"/>
        <v>#NUM!</v>
      </c>
      <c r="L130" s="191"/>
      <c r="M130" s="193">
        <f t="shared" si="8"/>
        <v>0</v>
      </c>
    </row>
    <row r="131" spans="1:13" x14ac:dyDescent="0.25">
      <c r="A131" s="208"/>
      <c r="G131" s="179"/>
      <c r="H131" s="191">
        <v>126</v>
      </c>
      <c r="I131" s="192" t="str">
        <f t="shared" si="6"/>
        <v/>
      </c>
      <c r="J131" s="192" t="e">
        <f t="shared" si="10"/>
        <v>#NUM!</v>
      </c>
      <c r="K131" s="191" t="e">
        <f t="shared" si="7"/>
        <v>#NUM!</v>
      </c>
      <c r="L131" s="191"/>
      <c r="M131" s="193">
        <f t="shared" si="8"/>
        <v>0</v>
      </c>
    </row>
    <row r="132" spans="1:13" x14ac:dyDescent="0.25">
      <c r="A132" s="208"/>
      <c r="G132" s="179"/>
      <c r="H132" s="191">
        <v>127</v>
      </c>
      <c r="I132" s="192" t="str">
        <f t="shared" si="6"/>
        <v/>
      </c>
      <c r="J132" s="192" t="e">
        <f t="shared" si="10"/>
        <v>#NUM!</v>
      </c>
      <c r="K132" s="191" t="e">
        <f t="shared" si="7"/>
        <v>#NUM!</v>
      </c>
      <c r="L132" s="191"/>
      <c r="M132" s="193">
        <f t="shared" si="8"/>
        <v>0</v>
      </c>
    </row>
    <row r="133" spans="1:13" x14ac:dyDescent="0.25">
      <c r="A133" s="208"/>
      <c r="G133" s="179"/>
      <c r="H133" s="191">
        <v>128</v>
      </c>
      <c r="I133" s="192" t="str">
        <f t="shared" si="6"/>
        <v/>
      </c>
      <c r="J133" s="192" t="e">
        <f t="shared" si="10"/>
        <v>#NUM!</v>
      </c>
      <c r="K133" s="191" t="e">
        <f t="shared" si="7"/>
        <v>#NUM!</v>
      </c>
      <c r="L133" s="191"/>
      <c r="M133" s="193">
        <f t="shared" si="8"/>
        <v>0</v>
      </c>
    </row>
    <row r="134" spans="1:13" x14ac:dyDescent="0.25">
      <c r="A134" s="208"/>
      <c r="G134" s="179"/>
      <c r="H134" s="191">
        <v>129</v>
      </c>
      <c r="I134" s="192" t="str">
        <f t="shared" ref="I134:I197" si="11">IF(H134&lt;$H$2+1,($I$2-($I$2-1)*(LOG(H134)/LOG($H$2))),"")</f>
        <v/>
      </c>
      <c r="J134" s="192" t="e">
        <f t="shared" si="10"/>
        <v>#NUM!</v>
      </c>
      <c r="K134" s="191" t="e">
        <f t="shared" ref="K134:K197" si="12">J134*$J$2</f>
        <v>#NUM!</v>
      </c>
      <c r="L134" s="191"/>
      <c r="M134" s="193">
        <f t="shared" ref="M134:M197" si="13">IF(I134&lt;&gt;"",K134+I134+L134,0)</f>
        <v>0</v>
      </c>
    </row>
    <row r="135" spans="1:13" x14ac:dyDescent="0.25">
      <c r="A135" s="208"/>
      <c r="G135" s="179"/>
      <c r="H135" s="191">
        <v>130</v>
      </c>
      <c r="I135" s="192" t="str">
        <f t="shared" si="11"/>
        <v/>
      </c>
      <c r="J135" s="192" t="e">
        <f t="shared" ref="J135:J198" si="14">INT(LOG($H$2,2))-ROUNDUP(LOG(H135,2),0)+IF(OR($H$2=1,$H$2=2,$H$2=4,$H$2=8,$H$2=16,$H$2=32,$H$2=64,$H$2=128,$H$2=256),0,1)</f>
        <v>#NUM!</v>
      </c>
      <c r="K135" s="191" t="e">
        <f t="shared" si="12"/>
        <v>#NUM!</v>
      </c>
      <c r="L135" s="191"/>
      <c r="M135" s="193">
        <f t="shared" si="13"/>
        <v>0</v>
      </c>
    </row>
    <row r="136" spans="1:13" x14ac:dyDescent="0.25">
      <c r="A136" s="208"/>
      <c r="G136" s="179"/>
      <c r="H136" s="191">
        <v>131</v>
      </c>
      <c r="I136" s="192" t="str">
        <f t="shared" si="11"/>
        <v/>
      </c>
      <c r="J136" s="192" t="e">
        <f t="shared" si="14"/>
        <v>#NUM!</v>
      </c>
      <c r="K136" s="191" t="e">
        <f t="shared" si="12"/>
        <v>#NUM!</v>
      </c>
      <c r="L136" s="191"/>
      <c r="M136" s="193">
        <f t="shared" si="13"/>
        <v>0</v>
      </c>
    </row>
    <row r="137" spans="1:13" x14ac:dyDescent="0.25">
      <c r="A137" s="208"/>
      <c r="G137" s="179"/>
      <c r="H137" s="191">
        <v>132</v>
      </c>
      <c r="I137" s="192" t="str">
        <f t="shared" si="11"/>
        <v/>
      </c>
      <c r="J137" s="192" t="e">
        <f t="shared" si="14"/>
        <v>#NUM!</v>
      </c>
      <c r="K137" s="191" t="e">
        <f t="shared" si="12"/>
        <v>#NUM!</v>
      </c>
      <c r="L137" s="191"/>
      <c r="M137" s="193">
        <f t="shared" si="13"/>
        <v>0</v>
      </c>
    </row>
    <row r="138" spans="1:13" x14ac:dyDescent="0.25">
      <c r="A138" s="208"/>
      <c r="G138" s="179"/>
      <c r="H138" s="191">
        <v>133</v>
      </c>
      <c r="I138" s="192" t="str">
        <f t="shared" si="11"/>
        <v/>
      </c>
      <c r="J138" s="192" t="e">
        <f t="shared" si="14"/>
        <v>#NUM!</v>
      </c>
      <c r="K138" s="191" t="e">
        <f t="shared" si="12"/>
        <v>#NUM!</v>
      </c>
      <c r="L138" s="191"/>
      <c r="M138" s="193">
        <f t="shared" si="13"/>
        <v>0</v>
      </c>
    </row>
    <row r="139" spans="1:13" x14ac:dyDescent="0.25">
      <c r="A139" s="208"/>
      <c r="G139" s="179"/>
      <c r="H139" s="191">
        <v>134</v>
      </c>
      <c r="I139" s="192" t="str">
        <f t="shared" si="11"/>
        <v/>
      </c>
      <c r="J139" s="192" t="e">
        <f t="shared" si="14"/>
        <v>#NUM!</v>
      </c>
      <c r="K139" s="191" t="e">
        <f t="shared" si="12"/>
        <v>#NUM!</v>
      </c>
      <c r="L139" s="191"/>
      <c r="M139" s="193">
        <f t="shared" si="13"/>
        <v>0</v>
      </c>
    </row>
    <row r="140" spans="1:13" x14ac:dyDescent="0.25">
      <c r="A140" s="208"/>
      <c r="G140" s="179"/>
      <c r="H140" s="191">
        <v>135</v>
      </c>
      <c r="I140" s="192" t="str">
        <f t="shared" si="11"/>
        <v/>
      </c>
      <c r="J140" s="192" t="e">
        <f t="shared" si="14"/>
        <v>#NUM!</v>
      </c>
      <c r="K140" s="191" t="e">
        <f t="shared" si="12"/>
        <v>#NUM!</v>
      </c>
      <c r="L140" s="191"/>
      <c r="M140" s="193">
        <f t="shared" si="13"/>
        <v>0</v>
      </c>
    </row>
    <row r="141" spans="1:13" x14ac:dyDescent="0.25">
      <c r="A141" s="208"/>
      <c r="G141" s="179"/>
      <c r="H141" s="191">
        <v>136</v>
      </c>
      <c r="I141" s="192" t="str">
        <f t="shared" si="11"/>
        <v/>
      </c>
      <c r="J141" s="192" t="e">
        <f t="shared" si="14"/>
        <v>#NUM!</v>
      </c>
      <c r="K141" s="191" t="e">
        <f t="shared" si="12"/>
        <v>#NUM!</v>
      </c>
      <c r="L141" s="191"/>
      <c r="M141" s="193">
        <f t="shared" si="13"/>
        <v>0</v>
      </c>
    </row>
    <row r="142" spans="1:13" x14ac:dyDescent="0.25">
      <c r="A142" s="208"/>
      <c r="G142" s="179"/>
      <c r="H142" s="191">
        <v>137</v>
      </c>
      <c r="I142" s="192" t="str">
        <f t="shared" si="11"/>
        <v/>
      </c>
      <c r="J142" s="192" t="e">
        <f t="shared" si="14"/>
        <v>#NUM!</v>
      </c>
      <c r="K142" s="191" t="e">
        <f t="shared" si="12"/>
        <v>#NUM!</v>
      </c>
      <c r="L142" s="191"/>
      <c r="M142" s="193">
        <f t="shared" si="13"/>
        <v>0</v>
      </c>
    </row>
    <row r="143" spans="1:13" x14ac:dyDescent="0.25">
      <c r="A143" s="208"/>
      <c r="G143" s="179"/>
      <c r="H143" s="191">
        <v>138</v>
      </c>
      <c r="I143" s="192" t="str">
        <f t="shared" si="11"/>
        <v/>
      </c>
      <c r="J143" s="192" t="e">
        <f t="shared" si="14"/>
        <v>#NUM!</v>
      </c>
      <c r="K143" s="191" t="e">
        <f t="shared" si="12"/>
        <v>#NUM!</v>
      </c>
      <c r="L143" s="191"/>
      <c r="M143" s="193">
        <f t="shared" si="13"/>
        <v>0</v>
      </c>
    </row>
    <row r="144" spans="1:13" x14ac:dyDescent="0.25">
      <c r="A144" s="208"/>
      <c r="G144" s="179"/>
      <c r="H144" s="191">
        <v>139</v>
      </c>
      <c r="I144" s="192" t="str">
        <f t="shared" si="11"/>
        <v/>
      </c>
      <c r="J144" s="192" t="e">
        <f t="shared" si="14"/>
        <v>#NUM!</v>
      </c>
      <c r="K144" s="191" t="e">
        <f t="shared" si="12"/>
        <v>#NUM!</v>
      </c>
      <c r="L144" s="191"/>
      <c r="M144" s="193">
        <f t="shared" si="13"/>
        <v>0</v>
      </c>
    </row>
    <row r="145" spans="1:13" x14ac:dyDescent="0.25">
      <c r="A145" s="208"/>
      <c r="G145" s="179"/>
      <c r="H145" s="191">
        <v>140</v>
      </c>
      <c r="I145" s="192" t="str">
        <f t="shared" si="11"/>
        <v/>
      </c>
      <c r="J145" s="192" t="e">
        <f t="shared" si="14"/>
        <v>#NUM!</v>
      </c>
      <c r="K145" s="191" t="e">
        <f t="shared" si="12"/>
        <v>#NUM!</v>
      </c>
      <c r="L145" s="191"/>
      <c r="M145" s="193">
        <f t="shared" si="13"/>
        <v>0</v>
      </c>
    </row>
    <row r="146" spans="1:13" x14ac:dyDescent="0.25">
      <c r="A146" s="208"/>
      <c r="G146" s="179"/>
      <c r="H146" s="191">
        <v>141</v>
      </c>
      <c r="I146" s="192" t="str">
        <f t="shared" si="11"/>
        <v/>
      </c>
      <c r="J146" s="192" t="e">
        <f t="shared" si="14"/>
        <v>#NUM!</v>
      </c>
      <c r="K146" s="191" t="e">
        <f t="shared" si="12"/>
        <v>#NUM!</v>
      </c>
      <c r="L146" s="191"/>
      <c r="M146" s="193">
        <f t="shared" si="13"/>
        <v>0</v>
      </c>
    </row>
    <row r="147" spans="1:13" x14ac:dyDescent="0.25">
      <c r="A147" s="208"/>
      <c r="G147" s="179"/>
      <c r="H147" s="191">
        <v>142</v>
      </c>
      <c r="I147" s="192" t="str">
        <f t="shared" si="11"/>
        <v/>
      </c>
      <c r="J147" s="192" t="e">
        <f t="shared" si="14"/>
        <v>#NUM!</v>
      </c>
      <c r="K147" s="191" t="e">
        <f t="shared" si="12"/>
        <v>#NUM!</v>
      </c>
      <c r="L147" s="191"/>
      <c r="M147" s="193">
        <f t="shared" si="13"/>
        <v>0</v>
      </c>
    </row>
    <row r="148" spans="1:13" x14ac:dyDescent="0.25">
      <c r="A148" s="208"/>
      <c r="G148" s="179"/>
      <c r="H148" s="191">
        <v>143</v>
      </c>
      <c r="I148" s="192" t="str">
        <f t="shared" si="11"/>
        <v/>
      </c>
      <c r="J148" s="192" t="e">
        <f t="shared" si="14"/>
        <v>#NUM!</v>
      </c>
      <c r="K148" s="191" t="e">
        <f t="shared" si="12"/>
        <v>#NUM!</v>
      </c>
      <c r="L148" s="191"/>
      <c r="M148" s="193">
        <f t="shared" si="13"/>
        <v>0</v>
      </c>
    </row>
    <row r="149" spans="1:13" x14ac:dyDescent="0.25">
      <c r="A149" s="208"/>
      <c r="G149" s="179"/>
      <c r="H149" s="191">
        <v>144</v>
      </c>
      <c r="I149" s="192" t="str">
        <f t="shared" si="11"/>
        <v/>
      </c>
      <c r="J149" s="192" t="e">
        <f t="shared" si="14"/>
        <v>#NUM!</v>
      </c>
      <c r="K149" s="191" t="e">
        <f t="shared" si="12"/>
        <v>#NUM!</v>
      </c>
      <c r="L149" s="191"/>
      <c r="M149" s="193">
        <f t="shared" si="13"/>
        <v>0</v>
      </c>
    </row>
    <row r="150" spans="1:13" x14ac:dyDescent="0.25">
      <c r="A150" s="208"/>
      <c r="G150" s="179"/>
      <c r="H150" s="191">
        <v>145</v>
      </c>
      <c r="I150" s="192" t="str">
        <f t="shared" si="11"/>
        <v/>
      </c>
      <c r="J150" s="192" t="e">
        <f t="shared" si="14"/>
        <v>#NUM!</v>
      </c>
      <c r="K150" s="191" t="e">
        <f t="shared" si="12"/>
        <v>#NUM!</v>
      </c>
      <c r="L150" s="191"/>
      <c r="M150" s="193">
        <f t="shared" si="13"/>
        <v>0</v>
      </c>
    </row>
    <row r="151" spans="1:13" x14ac:dyDescent="0.25">
      <c r="A151" s="208"/>
      <c r="G151" s="179"/>
      <c r="H151" s="191">
        <v>146</v>
      </c>
      <c r="I151" s="192" t="str">
        <f t="shared" si="11"/>
        <v/>
      </c>
      <c r="J151" s="192" t="e">
        <f t="shared" si="14"/>
        <v>#NUM!</v>
      </c>
      <c r="K151" s="191" t="e">
        <f t="shared" si="12"/>
        <v>#NUM!</v>
      </c>
      <c r="L151" s="191"/>
      <c r="M151" s="193">
        <f t="shared" si="13"/>
        <v>0</v>
      </c>
    </row>
    <row r="152" spans="1:13" x14ac:dyDescent="0.25">
      <c r="A152" s="208"/>
      <c r="G152" s="179"/>
      <c r="H152" s="191">
        <v>147</v>
      </c>
      <c r="I152" s="192" t="str">
        <f t="shared" si="11"/>
        <v/>
      </c>
      <c r="J152" s="192" t="e">
        <f t="shared" si="14"/>
        <v>#NUM!</v>
      </c>
      <c r="K152" s="191" t="e">
        <f t="shared" si="12"/>
        <v>#NUM!</v>
      </c>
      <c r="L152" s="191"/>
      <c r="M152" s="193">
        <f t="shared" si="13"/>
        <v>0</v>
      </c>
    </row>
    <row r="153" spans="1:13" x14ac:dyDescent="0.25">
      <c r="A153" s="208"/>
      <c r="G153" s="179"/>
      <c r="H153" s="191">
        <v>148</v>
      </c>
      <c r="I153" s="192" t="str">
        <f t="shared" si="11"/>
        <v/>
      </c>
      <c r="J153" s="192" t="e">
        <f t="shared" si="14"/>
        <v>#NUM!</v>
      </c>
      <c r="K153" s="191" t="e">
        <f t="shared" si="12"/>
        <v>#NUM!</v>
      </c>
      <c r="L153" s="191"/>
      <c r="M153" s="193">
        <f t="shared" si="13"/>
        <v>0</v>
      </c>
    </row>
    <row r="154" spans="1:13" x14ac:dyDescent="0.25">
      <c r="A154" s="208"/>
      <c r="G154" s="179"/>
      <c r="H154" s="191">
        <v>149</v>
      </c>
      <c r="I154" s="192" t="str">
        <f t="shared" si="11"/>
        <v/>
      </c>
      <c r="J154" s="192" t="e">
        <f t="shared" si="14"/>
        <v>#NUM!</v>
      </c>
      <c r="K154" s="191" t="e">
        <f t="shared" si="12"/>
        <v>#NUM!</v>
      </c>
      <c r="L154" s="191"/>
      <c r="M154" s="193">
        <f t="shared" si="13"/>
        <v>0</v>
      </c>
    </row>
    <row r="155" spans="1:13" x14ac:dyDescent="0.25">
      <c r="A155" s="208"/>
      <c r="G155" s="179"/>
      <c r="H155" s="191">
        <v>150</v>
      </c>
      <c r="I155" s="192" t="str">
        <f t="shared" si="11"/>
        <v/>
      </c>
      <c r="J155" s="192" t="e">
        <f t="shared" si="14"/>
        <v>#NUM!</v>
      </c>
      <c r="K155" s="191" t="e">
        <f t="shared" si="12"/>
        <v>#NUM!</v>
      </c>
      <c r="L155" s="191"/>
      <c r="M155" s="193">
        <f t="shared" si="13"/>
        <v>0</v>
      </c>
    </row>
    <row r="156" spans="1:13" x14ac:dyDescent="0.25">
      <c r="A156" s="208"/>
      <c r="G156" s="179"/>
      <c r="H156" s="191">
        <v>151</v>
      </c>
      <c r="I156" s="192" t="str">
        <f t="shared" si="11"/>
        <v/>
      </c>
      <c r="J156" s="192" t="e">
        <f t="shared" si="14"/>
        <v>#NUM!</v>
      </c>
      <c r="K156" s="191" t="e">
        <f t="shared" si="12"/>
        <v>#NUM!</v>
      </c>
      <c r="L156" s="191"/>
      <c r="M156" s="193">
        <f t="shared" si="13"/>
        <v>0</v>
      </c>
    </row>
    <row r="157" spans="1:13" x14ac:dyDescent="0.25">
      <c r="A157" s="208"/>
      <c r="G157" s="179"/>
      <c r="H157" s="191">
        <v>152</v>
      </c>
      <c r="I157" s="192" t="str">
        <f t="shared" si="11"/>
        <v/>
      </c>
      <c r="J157" s="192" t="e">
        <f t="shared" si="14"/>
        <v>#NUM!</v>
      </c>
      <c r="K157" s="191" t="e">
        <f t="shared" si="12"/>
        <v>#NUM!</v>
      </c>
      <c r="L157" s="191"/>
      <c r="M157" s="193">
        <f t="shared" si="13"/>
        <v>0</v>
      </c>
    </row>
    <row r="158" spans="1:13" x14ac:dyDescent="0.25">
      <c r="A158" s="208"/>
      <c r="G158" s="179"/>
      <c r="H158" s="191">
        <v>153</v>
      </c>
      <c r="I158" s="192" t="str">
        <f t="shared" si="11"/>
        <v/>
      </c>
      <c r="J158" s="192" t="e">
        <f t="shared" si="14"/>
        <v>#NUM!</v>
      </c>
      <c r="K158" s="191" t="e">
        <f t="shared" si="12"/>
        <v>#NUM!</v>
      </c>
      <c r="L158" s="191"/>
      <c r="M158" s="193">
        <f t="shared" si="13"/>
        <v>0</v>
      </c>
    </row>
    <row r="159" spans="1:13" x14ac:dyDescent="0.25">
      <c r="A159" s="208"/>
      <c r="G159" s="179"/>
      <c r="H159" s="191">
        <v>154</v>
      </c>
      <c r="I159" s="192" t="str">
        <f t="shared" si="11"/>
        <v/>
      </c>
      <c r="J159" s="192" t="e">
        <f t="shared" si="14"/>
        <v>#NUM!</v>
      </c>
      <c r="K159" s="191" t="e">
        <f t="shared" si="12"/>
        <v>#NUM!</v>
      </c>
      <c r="L159" s="191"/>
      <c r="M159" s="193">
        <f t="shared" si="13"/>
        <v>0</v>
      </c>
    </row>
    <row r="160" spans="1:13" x14ac:dyDescent="0.25">
      <c r="A160" s="208"/>
      <c r="G160" s="179"/>
      <c r="H160" s="191">
        <v>155</v>
      </c>
      <c r="I160" s="192" t="str">
        <f t="shared" si="11"/>
        <v/>
      </c>
      <c r="J160" s="192" t="e">
        <f t="shared" si="14"/>
        <v>#NUM!</v>
      </c>
      <c r="K160" s="191" t="e">
        <f t="shared" si="12"/>
        <v>#NUM!</v>
      </c>
      <c r="L160" s="191"/>
      <c r="M160" s="193">
        <f t="shared" si="13"/>
        <v>0</v>
      </c>
    </row>
    <row r="161" spans="1:13" x14ac:dyDescent="0.25">
      <c r="A161" s="208"/>
      <c r="G161" s="179"/>
      <c r="H161" s="191">
        <v>156</v>
      </c>
      <c r="I161" s="192" t="str">
        <f t="shared" si="11"/>
        <v/>
      </c>
      <c r="J161" s="192" t="e">
        <f t="shared" si="14"/>
        <v>#NUM!</v>
      </c>
      <c r="K161" s="191" t="e">
        <f t="shared" si="12"/>
        <v>#NUM!</v>
      </c>
      <c r="L161" s="191"/>
      <c r="M161" s="193">
        <f t="shared" si="13"/>
        <v>0</v>
      </c>
    </row>
    <row r="162" spans="1:13" x14ac:dyDescent="0.25">
      <c r="A162" s="208"/>
      <c r="G162" s="179"/>
      <c r="H162" s="191">
        <v>157</v>
      </c>
      <c r="I162" s="192" t="str">
        <f t="shared" si="11"/>
        <v/>
      </c>
      <c r="J162" s="192" t="e">
        <f t="shared" si="14"/>
        <v>#NUM!</v>
      </c>
      <c r="K162" s="191" t="e">
        <f t="shared" si="12"/>
        <v>#NUM!</v>
      </c>
      <c r="L162" s="191"/>
      <c r="M162" s="193">
        <f t="shared" si="13"/>
        <v>0</v>
      </c>
    </row>
    <row r="163" spans="1:13" x14ac:dyDescent="0.25">
      <c r="A163" s="208"/>
      <c r="G163" s="179"/>
      <c r="H163" s="191">
        <v>158</v>
      </c>
      <c r="I163" s="192" t="str">
        <f t="shared" si="11"/>
        <v/>
      </c>
      <c r="J163" s="192" t="e">
        <f t="shared" si="14"/>
        <v>#NUM!</v>
      </c>
      <c r="K163" s="191" t="e">
        <f t="shared" si="12"/>
        <v>#NUM!</v>
      </c>
      <c r="L163" s="191"/>
      <c r="M163" s="193">
        <f t="shared" si="13"/>
        <v>0</v>
      </c>
    </row>
    <row r="164" spans="1:13" x14ac:dyDescent="0.25">
      <c r="A164" s="208"/>
      <c r="G164" s="179"/>
      <c r="H164" s="191">
        <v>159</v>
      </c>
      <c r="I164" s="192" t="str">
        <f t="shared" si="11"/>
        <v/>
      </c>
      <c r="J164" s="192" t="e">
        <f t="shared" si="14"/>
        <v>#NUM!</v>
      </c>
      <c r="K164" s="191" t="e">
        <f t="shared" si="12"/>
        <v>#NUM!</v>
      </c>
      <c r="L164" s="191"/>
      <c r="M164" s="193">
        <f t="shared" si="13"/>
        <v>0</v>
      </c>
    </row>
    <row r="165" spans="1:13" x14ac:dyDescent="0.25">
      <c r="A165" s="208"/>
      <c r="G165" s="179"/>
      <c r="H165" s="191">
        <v>160</v>
      </c>
      <c r="I165" s="192" t="str">
        <f t="shared" si="11"/>
        <v/>
      </c>
      <c r="J165" s="192" t="e">
        <f t="shared" si="14"/>
        <v>#NUM!</v>
      </c>
      <c r="K165" s="191" t="e">
        <f t="shared" si="12"/>
        <v>#NUM!</v>
      </c>
      <c r="L165" s="191"/>
      <c r="M165" s="193">
        <f t="shared" si="13"/>
        <v>0</v>
      </c>
    </row>
    <row r="166" spans="1:13" x14ac:dyDescent="0.25">
      <c r="A166" s="208"/>
      <c r="G166" s="179"/>
      <c r="H166" s="191">
        <v>161</v>
      </c>
      <c r="I166" s="192" t="str">
        <f t="shared" si="11"/>
        <v/>
      </c>
      <c r="J166" s="192" t="e">
        <f t="shared" si="14"/>
        <v>#NUM!</v>
      </c>
      <c r="K166" s="191" t="e">
        <f t="shared" si="12"/>
        <v>#NUM!</v>
      </c>
      <c r="L166" s="191"/>
      <c r="M166" s="193">
        <f t="shared" si="13"/>
        <v>0</v>
      </c>
    </row>
    <row r="167" spans="1:13" x14ac:dyDescent="0.25">
      <c r="A167" s="208"/>
      <c r="G167" s="179"/>
      <c r="H167" s="191">
        <v>162</v>
      </c>
      <c r="I167" s="192" t="str">
        <f t="shared" si="11"/>
        <v/>
      </c>
      <c r="J167" s="192" t="e">
        <f t="shared" si="14"/>
        <v>#NUM!</v>
      </c>
      <c r="K167" s="191" t="e">
        <f t="shared" si="12"/>
        <v>#NUM!</v>
      </c>
      <c r="L167" s="191"/>
      <c r="M167" s="193">
        <f t="shared" si="13"/>
        <v>0</v>
      </c>
    </row>
    <row r="168" spans="1:13" x14ac:dyDescent="0.25">
      <c r="A168" s="208"/>
      <c r="G168" s="179"/>
      <c r="H168" s="191">
        <v>163</v>
      </c>
      <c r="I168" s="192" t="str">
        <f t="shared" si="11"/>
        <v/>
      </c>
      <c r="J168" s="192" t="e">
        <f t="shared" si="14"/>
        <v>#NUM!</v>
      </c>
      <c r="K168" s="191" t="e">
        <f t="shared" si="12"/>
        <v>#NUM!</v>
      </c>
      <c r="L168" s="191"/>
      <c r="M168" s="193">
        <f t="shared" si="13"/>
        <v>0</v>
      </c>
    </row>
    <row r="169" spans="1:13" x14ac:dyDescent="0.25">
      <c r="A169" s="208"/>
      <c r="C169" s="207" t="s">
        <v>40</v>
      </c>
      <c r="G169" s="179"/>
      <c r="H169" s="191">
        <v>164</v>
      </c>
      <c r="I169" s="192" t="str">
        <f t="shared" si="11"/>
        <v/>
      </c>
      <c r="J169" s="192" t="e">
        <f t="shared" si="14"/>
        <v>#NUM!</v>
      </c>
      <c r="K169" s="191" t="e">
        <f t="shared" si="12"/>
        <v>#NUM!</v>
      </c>
      <c r="L169" s="191"/>
      <c r="M169" s="193">
        <f t="shared" si="13"/>
        <v>0</v>
      </c>
    </row>
    <row r="170" spans="1:13" x14ac:dyDescent="0.25">
      <c r="A170" s="208"/>
      <c r="G170" s="179"/>
      <c r="H170" s="191">
        <v>165</v>
      </c>
      <c r="I170" s="192" t="str">
        <f t="shared" si="11"/>
        <v/>
      </c>
      <c r="J170" s="192" t="e">
        <f t="shared" si="14"/>
        <v>#NUM!</v>
      </c>
      <c r="K170" s="191" t="e">
        <f t="shared" si="12"/>
        <v>#NUM!</v>
      </c>
      <c r="L170" s="191"/>
      <c r="M170" s="193">
        <f t="shared" si="13"/>
        <v>0</v>
      </c>
    </row>
    <row r="171" spans="1:13" x14ac:dyDescent="0.25">
      <c r="A171" s="208"/>
      <c r="G171" s="179"/>
      <c r="H171" s="191">
        <v>166</v>
      </c>
      <c r="I171" s="192" t="str">
        <f t="shared" si="11"/>
        <v/>
      </c>
      <c r="J171" s="192" t="e">
        <f t="shared" si="14"/>
        <v>#NUM!</v>
      </c>
      <c r="K171" s="191" t="e">
        <f t="shared" si="12"/>
        <v>#NUM!</v>
      </c>
      <c r="L171" s="191"/>
      <c r="M171" s="193">
        <f t="shared" si="13"/>
        <v>0</v>
      </c>
    </row>
    <row r="172" spans="1:13" x14ac:dyDescent="0.25">
      <c r="A172" s="208"/>
      <c r="G172" s="179"/>
      <c r="H172" s="191">
        <v>167</v>
      </c>
      <c r="I172" s="192" t="str">
        <f t="shared" si="11"/>
        <v/>
      </c>
      <c r="J172" s="192" t="e">
        <f t="shared" si="14"/>
        <v>#NUM!</v>
      </c>
      <c r="K172" s="191" t="e">
        <f t="shared" si="12"/>
        <v>#NUM!</v>
      </c>
      <c r="L172" s="191"/>
      <c r="M172" s="193">
        <f t="shared" si="13"/>
        <v>0</v>
      </c>
    </row>
    <row r="173" spans="1:13" x14ac:dyDescent="0.25">
      <c r="A173" s="208"/>
      <c r="G173" s="179"/>
      <c r="H173" s="191">
        <v>168</v>
      </c>
      <c r="I173" s="192" t="str">
        <f t="shared" si="11"/>
        <v/>
      </c>
      <c r="J173" s="192" t="e">
        <f t="shared" si="14"/>
        <v>#NUM!</v>
      </c>
      <c r="K173" s="191" t="e">
        <f t="shared" si="12"/>
        <v>#NUM!</v>
      </c>
      <c r="L173" s="191"/>
      <c r="M173" s="193">
        <f t="shared" si="13"/>
        <v>0</v>
      </c>
    </row>
    <row r="174" spans="1:13" x14ac:dyDescent="0.25">
      <c r="A174" s="208"/>
      <c r="G174" s="179"/>
      <c r="H174" s="191">
        <v>169</v>
      </c>
      <c r="I174" s="192" t="str">
        <f t="shared" si="11"/>
        <v/>
      </c>
      <c r="J174" s="192" t="e">
        <f t="shared" si="14"/>
        <v>#NUM!</v>
      </c>
      <c r="K174" s="191" t="e">
        <f t="shared" si="12"/>
        <v>#NUM!</v>
      </c>
      <c r="L174" s="191"/>
      <c r="M174" s="193">
        <f t="shared" si="13"/>
        <v>0</v>
      </c>
    </row>
    <row r="175" spans="1:13" x14ac:dyDescent="0.25">
      <c r="A175" s="208"/>
      <c r="G175" s="179"/>
      <c r="H175" s="191">
        <v>170</v>
      </c>
      <c r="I175" s="192" t="str">
        <f t="shared" si="11"/>
        <v/>
      </c>
      <c r="J175" s="192" t="e">
        <f t="shared" si="14"/>
        <v>#NUM!</v>
      </c>
      <c r="K175" s="191" t="e">
        <f t="shared" si="12"/>
        <v>#NUM!</v>
      </c>
      <c r="L175" s="191"/>
      <c r="M175" s="193">
        <f t="shared" si="13"/>
        <v>0</v>
      </c>
    </row>
    <row r="176" spans="1:13" x14ac:dyDescent="0.25">
      <c r="A176" s="208"/>
      <c r="G176" s="179"/>
      <c r="H176" s="191">
        <v>171</v>
      </c>
      <c r="I176" s="192" t="str">
        <f t="shared" si="11"/>
        <v/>
      </c>
      <c r="J176" s="192" t="e">
        <f t="shared" si="14"/>
        <v>#NUM!</v>
      </c>
      <c r="K176" s="191" t="e">
        <f t="shared" si="12"/>
        <v>#NUM!</v>
      </c>
      <c r="L176" s="191"/>
      <c r="M176" s="193">
        <f t="shared" si="13"/>
        <v>0</v>
      </c>
    </row>
    <row r="177" spans="1:13" x14ac:dyDescent="0.25">
      <c r="A177" s="208"/>
      <c r="G177" s="179"/>
      <c r="H177" s="191">
        <v>172</v>
      </c>
      <c r="I177" s="192" t="str">
        <f t="shared" si="11"/>
        <v/>
      </c>
      <c r="J177" s="192" t="e">
        <f t="shared" si="14"/>
        <v>#NUM!</v>
      </c>
      <c r="K177" s="191" t="e">
        <f t="shared" si="12"/>
        <v>#NUM!</v>
      </c>
      <c r="L177" s="191"/>
      <c r="M177" s="193">
        <f t="shared" si="13"/>
        <v>0</v>
      </c>
    </row>
    <row r="178" spans="1:13" x14ac:dyDescent="0.25">
      <c r="A178" s="208"/>
      <c r="G178" s="179"/>
      <c r="H178" s="191">
        <v>173</v>
      </c>
      <c r="I178" s="192" t="str">
        <f t="shared" si="11"/>
        <v/>
      </c>
      <c r="J178" s="192" t="e">
        <f t="shared" si="14"/>
        <v>#NUM!</v>
      </c>
      <c r="K178" s="191" t="e">
        <f t="shared" si="12"/>
        <v>#NUM!</v>
      </c>
      <c r="L178" s="191"/>
      <c r="M178" s="193">
        <f t="shared" si="13"/>
        <v>0</v>
      </c>
    </row>
    <row r="179" spans="1:13" x14ac:dyDescent="0.25">
      <c r="A179" s="208"/>
      <c r="G179" s="179"/>
      <c r="H179" s="191">
        <v>174</v>
      </c>
      <c r="I179" s="192" t="str">
        <f t="shared" si="11"/>
        <v/>
      </c>
      <c r="J179" s="192" t="e">
        <f t="shared" si="14"/>
        <v>#NUM!</v>
      </c>
      <c r="K179" s="191" t="e">
        <f t="shared" si="12"/>
        <v>#NUM!</v>
      </c>
      <c r="L179" s="191"/>
      <c r="M179" s="193">
        <f t="shared" si="13"/>
        <v>0</v>
      </c>
    </row>
    <row r="180" spans="1:13" x14ac:dyDescent="0.25">
      <c r="A180" s="208"/>
      <c r="G180" s="179"/>
      <c r="H180" s="191">
        <v>175</v>
      </c>
      <c r="I180" s="192" t="str">
        <f t="shared" si="11"/>
        <v/>
      </c>
      <c r="J180" s="192" t="e">
        <f t="shared" si="14"/>
        <v>#NUM!</v>
      </c>
      <c r="K180" s="191" t="e">
        <f t="shared" si="12"/>
        <v>#NUM!</v>
      </c>
      <c r="L180" s="191"/>
      <c r="M180" s="193">
        <f t="shared" si="13"/>
        <v>0</v>
      </c>
    </row>
    <row r="181" spans="1:13" x14ac:dyDescent="0.25">
      <c r="A181" s="208"/>
      <c r="G181" s="179"/>
      <c r="H181" s="191">
        <v>176</v>
      </c>
      <c r="I181" s="192" t="str">
        <f t="shared" si="11"/>
        <v/>
      </c>
      <c r="J181" s="192" t="e">
        <f t="shared" si="14"/>
        <v>#NUM!</v>
      </c>
      <c r="K181" s="191" t="e">
        <f t="shared" si="12"/>
        <v>#NUM!</v>
      </c>
      <c r="L181" s="191"/>
      <c r="M181" s="193">
        <f t="shared" si="13"/>
        <v>0</v>
      </c>
    </row>
    <row r="182" spans="1:13" x14ac:dyDescent="0.25">
      <c r="A182" s="208"/>
      <c r="G182" s="179"/>
      <c r="H182" s="191">
        <v>177</v>
      </c>
      <c r="I182" s="192" t="str">
        <f t="shared" si="11"/>
        <v/>
      </c>
      <c r="J182" s="192" t="e">
        <f t="shared" si="14"/>
        <v>#NUM!</v>
      </c>
      <c r="K182" s="191" t="e">
        <f t="shared" si="12"/>
        <v>#NUM!</v>
      </c>
      <c r="L182" s="191"/>
      <c r="M182" s="193">
        <f t="shared" si="13"/>
        <v>0</v>
      </c>
    </row>
    <row r="183" spans="1:13" x14ac:dyDescent="0.25">
      <c r="A183" s="208"/>
      <c r="G183" s="179"/>
      <c r="H183" s="191">
        <v>178</v>
      </c>
      <c r="I183" s="192" t="str">
        <f t="shared" si="11"/>
        <v/>
      </c>
      <c r="J183" s="192" t="e">
        <f t="shared" si="14"/>
        <v>#NUM!</v>
      </c>
      <c r="K183" s="191" t="e">
        <f t="shared" si="12"/>
        <v>#NUM!</v>
      </c>
      <c r="L183" s="191"/>
      <c r="M183" s="193">
        <f t="shared" si="13"/>
        <v>0</v>
      </c>
    </row>
    <row r="184" spans="1:13" x14ac:dyDescent="0.25">
      <c r="A184" s="208"/>
      <c r="G184" s="179"/>
      <c r="H184" s="191">
        <v>179</v>
      </c>
      <c r="I184" s="192" t="str">
        <f t="shared" si="11"/>
        <v/>
      </c>
      <c r="J184" s="192" t="e">
        <f t="shared" si="14"/>
        <v>#NUM!</v>
      </c>
      <c r="K184" s="191" t="e">
        <f t="shared" si="12"/>
        <v>#NUM!</v>
      </c>
      <c r="L184" s="191"/>
      <c r="M184" s="193">
        <f t="shared" si="13"/>
        <v>0</v>
      </c>
    </row>
    <row r="185" spans="1:13" x14ac:dyDescent="0.25">
      <c r="A185" s="208"/>
      <c r="G185" s="179"/>
      <c r="H185" s="191">
        <v>180</v>
      </c>
      <c r="I185" s="192" t="str">
        <f t="shared" si="11"/>
        <v/>
      </c>
      <c r="J185" s="192" t="e">
        <f t="shared" si="14"/>
        <v>#NUM!</v>
      </c>
      <c r="K185" s="191" t="e">
        <f t="shared" si="12"/>
        <v>#NUM!</v>
      </c>
      <c r="L185" s="191"/>
      <c r="M185" s="193">
        <f t="shared" si="13"/>
        <v>0</v>
      </c>
    </row>
    <row r="186" spans="1:13" x14ac:dyDescent="0.25">
      <c r="A186" s="208"/>
      <c r="G186" s="179"/>
      <c r="H186" s="191">
        <v>181</v>
      </c>
      <c r="I186" s="192" t="str">
        <f t="shared" si="11"/>
        <v/>
      </c>
      <c r="J186" s="192" t="e">
        <f t="shared" si="14"/>
        <v>#NUM!</v>
      </c>
      <c r="K186" s="191" t="e">
        <f t="shared" si="12"/>
        <v>#NUM!</v>
      </c>
      <c r="L186" s="191"/>
      <c r="M186" s="193">
        <f t="shared" si="13"/>
        <v>0</v>
      </c>
    </row>
    <row r="187" spans="1:13" x14ac:dyDescent="0.25">
      <c r="A187" s="208"/>
      <c r="G187" s="179"/>
      <c r="H187" s="191">
        <v>182</v>
      </c>
      <c r="I187" s="192" t="str">
        <f t="shared" si="11"/>
        <v/>
      </c>
      <c r="J187" s="192" t="e">
        <f t="shared" si="14"/>
        <v>#NUM!</v>
      </c>
      <c r="K187" s="191" t="e">
        <f t="shared" si="12"/>
        <v>#NUM!</v>
      </c>
      <c r="L187" s="191"/>
      <c r="M187" s="193">
        <f t="shared" si="13"/>
        <v>0</v>
      </c>
    </row>
    <row r="188" spans="1:13" x14ac:dyDescent="0.25">
      <c r="A188" s="208"/>
      <c r="G188" s="179"/>
      <c r="H188" s="191">
        <v>183</v>
      </c>
      <c r="I188" s="192" t="str">
        <f t="shared" si="11"/>
        <v/>
      </c>
      <c r="J188" s="192" t="e">
        <f t="shared" si="14"/>
        <v>#NUM!</v>
      </c>
      <c r="K188" s="191" t="e">
        <f t="shared" si="12"/>
        <v>#NUM!</v>
      </c>
      <c r="L188" s="191"/>
      <c r="M188" s="193">
        <f t="shared" si="13"/>
        <v>0</v>
      </c>
    </row>
    <row r="189" spans="1:13" x14ac:dyDescent="0.25">
      <c r="A189" s="208"/>
      <c r="G189" s="179"/>
      <c r="H189" s="191">
        <v>184</v>
      </c>
      <c r="I189" s="192" t="str">
        <f t="shared" si="11"/>
        <v/>
      </c>
      <c r="J189" s="192" t="e">
        <f t="shared" si="14"/>
        <v>#NUM!</v>
      </c>
      <c r="K189" s="191" t="e">
        <f t="shared" si="12"/>
        <v>#NUM!</v>
      </c>
      <c r="L189" s="191"/>
      <c r="M189" s="193">
        <f t="shared" si="13"/>
        <v>0</v>
      </c>
    </row>
    <row r="190" spans="1:13" x14ac:dyDescent="0.25">
      <c r="A190" s="208"/>
      <c r="G190" s="179"/>
      <c r="H190" s="191">
        <v>185</v>
      </c>
      <c r="I190" s="192" t="str">
        <f t="shared" si="11"/>
        <v/>
      </c>
      <c r="J190" s="192" t="e">
        <f t="shared" si="14"/>
        <v>#NUM!</v>
      </c>
      <c r="K190" s="191" t="e">
        <f t="shared" si="12"/>
        <v>#NUM!</v>
      </c>
      <c r="L190" s="191"/>
      <c r="M190" s="193">
        <f t="shared" si="13"/>
        <v>0</v>
      </c>
    </row>
    <row r="191" spans="1:13" x14ac:dyDescent="0.25">
      <c r="A191" s="208"/>
      <c r="G191" s="179"/>
      <c r="H191" s="191">
        <v>186</v>
      </c>
      <c r="I191" s="192" t="str">
        <f t="shared" si="11"/>
        <v/>
      </c>
      <c r="J191" s="192" t="e">
        <f t="shared" si="14"/>
        <v>#NUM!</v>
      </c>
      <c r="K191" s="191" t="e">
        <f t="shared" si="12"/>
        <v>#NUM!</v>
      </c>
      <c r="L191" s="191"/>
      <c r="M191" s="193">
        <f t="shared" si="13"/>
        <v>0</v>
      </c>
    </row>
    <row r="192" spans="1:13" x14ac:dyDescent="0.25">
      <c r="A192" s="208"/>
      <c r="G192" s="179"/>
      <c r="H192" s="191">
        <v>187</v>
      </c>
      <c r="I192" s="192" t="str">
        <f t="shared" si="11"/>
        <v/>
      </c>
      <c r="J192" s="192" t="e">
        <f t="shared" si="14"/>
        <v>#NUM!</v>
      </c>
      <c r="K192" s="191" t="e">
        <f t="shared" si="12"/>
        <v>#NUM!</v>
      </c>
      <c r="L192" s="191"/>
      <c r="M192" s="193">
        <f t="shared" si="13"/>
        <v>0</v>
      </c>
    </row>
    <row r="193" spans="1:13" x14ac:dyDescent="0.25">
      <c r="A193" s="208"/>
      <c r="G193" s="179"/>
      <c r="H193" s="191">
        <v>188</v>
      </c>
      <c r="I193" s="192" t="str">
        <f t="shared" si="11"/>
        <v/>
      </c>
      <c r="J193" s="192" t="e">
        <f t="shared" si="14"/>
        <v>#NUM!</v>
      </c>
      <c r="K193" s="191" t="e">
        <f t="shared" si="12"/>
        <v>#NUM!</v>
      </c>
      <c r="L193" s="191"/>
      <c r="M193" s="193">
        <f t="shared" si="13"/>
        <v>0</v>
      </c>
    </row>
    <row r="194" spans="1:13" x14ac:dyDescent="0.25">
      <c r="A194" s="208"/>
      <c r="G194" s="179"/>
      <c r="H194" s="191">
        <v>189</v>
      </c>
      <c r="I194" s="192" t="str">
        <f t="shared" si="11"/>
        <v/>
      </c>
      <c r="J194" s="192" t="e">
        <f t="shared" si="14"/>
        <v>#NUM!</v>
      </c>
      <c r="K194" s="191" t="e">
        <f t="shared" si="12"/>
        <v>#NUM!</v>
      </c>
      <c r="L194" s="191"/>
      <c r="M194" s="193">
        <f t="shared" si="13"/>
        <v>0</v>
      </c>
    </row>
    <row r="195" spans="1:13" x14ac:dyDescent="0.25">
      <c r="A195" s="208"/>
      <c r="G195" s="179"/>
      <c r="H195" s="191">
        <v>190</v>
      </c>
      <c r="I195" s="192" t="str">
        <f t="shared" si="11"/>
        <v/>
      </c>
      <c r="J195" s="192" t="e">
        <f t="shared" si="14"/>
        <v>#NUM!</v>
      </c>
      <c r="K195" s="191" t="e">
        <f t="shared" si="12"/>
        <v>#NUM!</v>
      </c>
      <c r="L195" s="191"/>
      <c r="M195" s="193">
        <f t="shared" si="13"/>
        <v>0</v>
      </c>
    </row>
    <row r="196" spans="1:13" x14ac:dyDescent="0.25">
      <c r="A196" s="208"/>
      <c r="G196" s="179"/>
      <c r="H196" s="191">
        <v>191</v>
      </c>
      <c r="I196" s="192" t="str">
        <f t="shared" si="11"/>
        <v/>
      </c>
      <c r="J196" s="192" t="e">
        <f t="shared" si="14"/>
        <v>#NUM!</v>
      </c>
      <c r="K196" s="191" t="e">
        <f t="shared" si="12"/>
        <v>#NUM!</v>
      </c>
      <c r="L196" s="191"/>
      <c r="M196" s="193">
        <f t="shared" si="13"/>
        <v>0</v>
      </c>
    </row>
    <row r="197" spans="1:13" x14ac:dyDescent="0.25">
      <c r="A197" s="208"/>
      <c r="G197" s="179"/>
      <c r="H197" s="191">
        <v>192</v>
      </c>
      <c r="I197" s="192" t="str">
        <f t="shared" si="11"/>
        <v/>
      </c>
      <c r="J197" s="192" t="e">
        <f t="shared" si="14"/>
        <v>#NUM!</v>
      </c>
      <c r="K197" s="191" t="e">
        <f t="shared" si="12"/>
        <v>#NUM!</v>
      </c>
      <c r="L197" s="191"/>
      <c r="M197" s="193">
        <f t="shared" si="13"/>
        <v>0</v>
      </c>
    </row>
    <row r="198" spans="1:13" x14ac:dyDescent="0.25">
      <c r="A198" s="208"/>
      <c r="G198" s="179"/>
      <c r="H198" s="191">
        <v>193</v>
      </c>
      <c r="I198" s="192" t="str">
        <f t="shared" ref="I198:I261" si="15">IF(H198&lt;$H$2+1,($I$2-($I$2-1)*(LOG(H198)/LOG($H$2))),"")</f>
        <v/>
      </c>
      <c r="J198" s="192" t="e">
        <f t="shared" si="14"/>
        <v>#NUM!</v>
      </c>
      <c r="K198" s="191" t="e">
        <f t="shared" ref="K198:K261" si="16">J198*$J$2</f>
        <v>#NUM!</v>
      </c>
      <c r="L198" s="191"/>
      <c r="M198" s="193">
        <f t="shared" ref="M198:M261" si="17">IF(I198&lt;&gt;"",K198+I198+L198,0)</f>
        <v>0</v>
      </c>
    </row>
    <row r="199" spans="1:13" x14ac:dyDescent="0.25">
      <c r="A199" s="208"/>
      <c r="G199" s="179"/>
      <c r="H199" s="191">
        <v>194</v>
      </c>
      <c r="I199" s="192" t="str">
        <f t="shared" si="15"/>
        <v/>
      </c>
      <c r="J199" s="192" t="e">
        <f t="shared" ref="J199:J262" si="18">INT(LOG($H$2,2))-ROUNDUP(LOG(H199,2),0)+IF(OR($H$2=1,$H$2=2,$H$2=4,$H$2=8,$H$2=16,$H$2=32,$H$2=64,$H$2=128,$H$2=256),0,1)</f>
        <v>#NUM!</v>
      </c>
      <c r="K199" s="191" t="e">
        <f t="shared" si="16"/>
        <v>#NUM!</v>
      </c>
      <c r="L199" s="191"/>
      <c r="M199" s="193">
        <f t="shared" si="17"/>
        <v>0</v>
      </c>
    </row>
    <row r="200" spans="1:13" x14ac:dyDescent="0.25">
      <c r="A200" s="208"/>
      <c r="G200" s="179"/>
      <c r="H200" s="191">
        <v>195</v>
      </c>
      <c r="I200" s="192" t="str">
        <f t="shared" si="15"/>
        <v/>
      </c>
      <c r="J200" s="192" t="e">
        <f t="shared" si="18"/>
        <v>#NUM!</v>
      </c>
      <c r="K200" s="191" t="e">
        <f t="shared" si="16"/>
        <v>#NUM!</v>
      </c>
      <c r="L200" s="191"/>
      <c r="M200" s="193">
        <f t="shared" si="17"/>
        <v>0</v>
      </c>
    </row>
    <row r="201" spans="1:13" x14ac:dyDescent="0.25">
      <c r="A201" s="208"/>
      <c r="G201" s="179"/>
      <c r="H201" s="191">
        <v>196</v>
      </c>
      <c r="I201" s="192" t="str">
        <f t="shared" si="15"/>
        <v/>
      </c>
      <c r="J201" s="192" t="e">
        <f t="shared" si="18"/>
        <v>#NUM!</v>
      </c>
      <c r="K201" s="191" t="e">
        <f t="shared" si="16"/>
        <v>#NUM!</v>
      </c>
      <c r="L201" s="191"/>
      <c r="M201" s="193">
        <f t="shared" si="17"/>
        <v>0</v>
      </c>
    </row>
    <row r="202" spans="1:13" x14ac:dyDescent="0.25">
      <c r="A202" s="208"/>
      <c r="G202" s="179"/>
      <c r="H202" s="191">
        <v>197</v>
      </c>
      <c r="I202" s="192" t="str">
        <f t="shared" si="15"/>
        <v/>
      </c>
      <c r="J202" s="192" t="e">
        <f t="shared" si="18"/>
        <v>#NUM!</v>
      </c>
      <c r="K202" s="191" t="e">
        <f t="shared" si="16"/>
        <v>#NUM!</v>
      </c>
      <c r="L202" s="191"/>
      <c r="M202" s="193">
        <f t="shared" si="17"/>
        <v>0</v>
      </c>
    </row>
    <row r="203" spans="1:13" x14ac:dyDescent="0.25">
      <c r="A203" s="208"/>
      <c r="G203" s="179"/>
      <c r="H203" s="191">
        <v>198</v>
      </c>
      <c r="I203" s="192" t="str">
        <f t="shared" si="15"/>
        <v/>
      </c>
      <c r="J203" s="192" t="e">
        <f t="shared" si="18"/>
        <v>#NUM!</v>
      </c>
      <c r="K203" s="191" t="e">
        <f t="shared" si="16"/>
        <v>#NUM!</v>
      </c>
      <c r="L203" s="191"/>
      <c r="M203" s="193">
        <f t="shared" si="17"/>
        <v>0</v>
      </c>
    </row>
    <row r="204" spans="1:13" x14ac:dyDescent="0.25">
      <c r="A204" s="208"/>
      <c r="G204" s="179"/>
      <c r="H204" s="191">
        <v>199</v>
      </c>
      <c r="I204" s="192" t="str">
        <f t="shared" si="15"/>
        <v/>
      </c>
      <c r="J204" s="192" t="e">
        <f t="shared" si="18"/>
        <v>#NUM!</v>
      </c>
      <c r="K204" s="191" t="e">
        <f t="shared" si="16"/>
        <v>#NUM!</v>
      </c>
      <c r="L204" s="191"/>
      <c r="M204" s="193">
        <f t="shared" si="17"/>
        <v>0</v>
      </c>
    </row>
    <row r="205" spans="1:13" x14ac:dyDescent="0.25">
      <c r="A205" s="208"/>
      <c r="G205" s="179"/>
      <c r="H205" s="191">
        <v>200</v>
      </c>
      <c r="I205" s="192" t="str">
        <f t="shared" si="15"/>
        <v/>
      </c>
      <c r="J205" s="192" t="e">
        <f t="shared" si="18"/>
        <v>#NUM!</v>
      </c>
      <c r="K205" s="191" t="e">
        <f t="shared" si="16"/>
        <v>#NUM!</v>
      </c>
      <c r="L205" s="191"/>
      <c r="M205" s="193">
        <f t="shared" si="17"/>
        <v>0</v>
      </c>
    </row>
    <row r="206" spans="1:13" x14ac:dyDescent="0.25">
      <c r="A206" s="208"/>
      <c r="G206" s="179"/>
      <c r="H206" s="191">
        <v>201</v>
      </c>
      <c r="I206" s="192" t="str">
        <f t="shared" si="15"/>
        <v/>
      </c>
      <c r="J206" s="192" t="e">
        <f t="shared" si="18"/>
        <v>#NUM!</v>
      </c>
      <c r="K206" s="191" t="e">
        <f t="shared" si="16"/>
        <v>#NUM!</v>
      </c>
      <c r="L206" s="191"/>
      <c r="M206" s="193">
        <f t="shared" si="17"/>
        <v>0</v>
      </c>
    </row>
    <row r="207" spans="1:13" x14ac:dyDescent="0.25">
      <c r="A207" s="208"/>
      <c r="G207" s="179"/>
      <c r="H207" s="191">
        <v>202</v>
      </c>
      <c r="I207" s="192" t="str">
        <f t="shared" si="15"/>
        <v/>
      </c>
      <c r="J207" s="192" t="e">
        <f t="shared" si="18"/>
        <v>#NUM!</v>
      </c>
      <c r="K207" s="191" t="e">
        <f t="shared" si="16"/>
        <v>#NUM!</v>
      </c>
      <c r="L207" s="191"/>
      <c r="M207" s="193">
        <f t="shared" si="17"/>
        <v>0</v>
      </c>
    </row>
    <row r="208" spans="1:13" x14ac:dyDescent="0.25">
      <c r="A208" s="208"/>
      <c r="G208" s="179"/>
      <c r="H208" s="191">
        <v>203</v>
      </c>
      <c r="I208" s="192" t="str">
        <f t="shared" si="15"/>
        <v/>
      </c>
      <c r="J208" s="192" t="e">
        <f t="shared" si="18"/>
        <v>#NUM!</v>
      </c>
      <c r="K208" s="191" t="e">
        <f t="shared" si="16"/>
        <v>#NUM!</v>
      </c>
      <c r="L208" s="191"/>
      <c r="M208" s="193">
        <f t="shared" si="17"/>
        <v>0</v>
      </c>
    </row>
    <row r="209" spans="1:13" x14ac:dyDescent="0.25">
      <c r="A209" s="208"/>
      <c r="G209" s="179"/>
      <c r="H209" s="191">
        <v>204</v>
      </c>
      <c r="I209" s="192" t="str">
        <f t="shared" si="15"/>
        <v/>
      </c>
      <c r="J209" s="192" t="e">
        <f t="shared" si="18"/>
        <v>#NUM!</v>
      </c>
      <c r="K209" s="191" t="e">
        <f t="shared" si="16"/>
        <v>#NUM!</v>
      </c>
      <c r="L209" s="191"/>
      <c r="M209" s="193">
        <f t="shared" si="17"/>
        <v>0</v>
      </c>
    </row>
    <row r="210" spans="1:13" x14ac:dyDescent="0.25">
      <c r="A210" s="208"/>
      <c r="G210" s="179"/>
      <c r="H210" s="191">
        <v>205</v>
      </c>
      <c r="I210" s="192" t="str">
        <f t="shared" si="15"/>
        <v/>
      </c>
      <c r="J210" s="192" t="e">
        <f t="shared" si="18"/>
        <v>#NUM!</v>
      </c>
      <c r="K210" s="191" t="e">
        <f t="shared" si="16"/>
        <v>#NUM!</v>
      </c>
      <c r="L210" s="191"/>
      <c r="M210" s="193">
        <f t="shared" si="17"/>
        <v>0</v>
      </c>
    </row>
    <row r="211" spans="1:13" x14ac:dyDescent="0.25">
      <c r="A211" s="208"/>
      <c r="G211" s="179"/>
      <c r="H211" s="191">
        <v>206</v>
      </c>
      <c r="I211" s="192" t="str">
        <f t="shared" si="15"/>
        <v/>
      </c>
      <c r="J211" s="192" t="e">
        <f t="shared" si="18"/>
        <v>#NUM!</v>
      </c>
      <c r="K211" s="191" t="e">
        <f t="shared" si="16"/>
        <v>#NUM!</v>
      </c>
      <c r="L211" s="191"/>
      <c r="M211" s="193">
        <f t="shared" si="17"/>
        <v>0</v>
      </c>
    </row>
    <row r="212" spans="1:13" x14ac:dyDescent="0.25">
      <c r="A212" s="208"/>
      <c r="G212" s="179"/>
      <c r="H212" s="191">
        <v>207</v>
      </c>
      <c r="I212" s="192" t="str">
        <f t="shared" si="15"/>
        <v/>
      </c>
      <c r="J212" s="192" t="e">
        <f t="shared" si="18"/>
        <v>#NUM!</v>
      </c>
      <c r="K212" s="191" t="e">
        <f t="shared" si="16"/>
        <v>#NUM!</v>
      </c>
      <c r="L212" s="191"/>
      <c r="M212" s="193">
        <f t="shared" si="17"/>
        <v>0</v>
      </c>
    </row>
    <row r="213" spans="1:13" x14ac:dyDescent="0.25">
      <c r="A213" s="208"/>
      <c r="G213" s="179"/>
      <c r="H213" s="191">
        <v>208</v>
      </c>
      <c r="I213" s="192" t="str">
        <f t="shared" si="15"/>
        <v/>
      </c>
      <c r="J213" s="192" t="e">
        <f t="shared" si="18"/>
        <v>#NUM!</v>
      </c>
      <c r="K213" s="191" t="e">
        <f t="shared" si="16"/>
        <v>#NUM!</v>
      </c>
      <c r="L213" s="191"/>
      <c r="M213" s="193">
        <f t="shared" si="17"/>
        <v>0</v>
      </c>
    </row>
    <row r="214" spans="1:13" x14ac:dyDescent="0.25">
      <c r="A214" s="208"/>
      <c r="G214" s="179"/>
      <c r="H214" s="191">
        <v>209</v>
      </c>
      <c r="I214" s="192" t="str">
        <f t="shared" si="15"/>
        <v/>
      </c>
      <c r="J214" s="192" t="e">
        <f t="shared" si="18"/>
        <v>#NUM!</v>
      </c>
      <c r="K214" s="191" t="e">
        <f t="shared" si="16"/>
        <v>#NUM!</v>
      </c>
      <c r="L214" s="191"/>
      <c r="M214" s="193">
        <f t="shared" si="17"/>
        <v>0</v>
      </c>
    </row>
    <row r="215" spans="1:13" x14ac:dyDescent="0.25">
      <c r="A215" s="208"/>
      <c r="G215" s="179"/>
      <c r="H215" s="191">
        <v>210</v>
      </c>
      <c r="I215" s="192" t="str">
        <f t="shared" si="15"/>
        <v/>
      </c>
      <c r="J215" s="192" t="e">
        <f t="shared" si="18"/>
        <v>#NUM!</v>
      </c>
      <c r="K215" s="191" t="e">
        <f t="shared" si="16"/>
        <v>#NUM!</v>
      </c>
      <c r="L215" s="191"/>
      <c r="M215" s="193">
        <f t="shared" si="17"/>
        <v>0</v>
      </c>
    </row>
    <row r="216" spans="1:13" x14ac:dyDescent="0.25">
      <c r="A216" s="208"/>
      <c r="G216" s="179"/>
      <c r="H216" s="191">
        <v>211</v>
      </c>
      <c r="I216" s="192" t="str">
        <f t="shared" si="15"/>
        <v/>
      </c>
      <c r="J216" s="192" t="e">
        <f t="shared" si="18"/>
        <v>#NUM!</v>
      </c>
      <c r="K216" s="191" t="e">
        <f t="shared" si="16"/>
        <v>#NUM!</v>
      </c>
      <c r="L216" s="191"/>
      <c r="M216" s="193">
        <f t="shared" si="17"/>
        <v>0</v>
      </c>
    </row>
    <row r="217" spans="1:13" x14ac:dyDescent="0.25">
      <c r="A217" s="208"/>
      <c r="G217" s="179"/>
      <c r="H217" s="191">
        <v>212</v>
      </c>
      <c r="I217" s="192" t="str">
        <f t="shared" si="15"/>
        <v/>
      </c>
      <c r="J217" s="192" t="e">
        <f t="shared" si="18"/>
        <v>#NUM!</v>
      </c>
      <c r="K217" s="191" t="e">
        <f t="shared" si="16"/>
        <v>#NUM!</v>
      </c>
      <c r="L217" s="191"/>
      <c r="M217" s="193">
        <f t="shared" si="17"/>
        <v>0</v>
      </c>
    </row>
    <row r="218" spans="1:13" x14ac:dyDescent="0.25">
      <c r="A218" s="208"/>
      <c r="G218" s="179"/>
      <c r="H218" s="191">
        <v>213</v>
      </c>
      <c r="I218" s="192" t="str">
        <f t="shared" si="15"/>
        <v/>
      </c>
      <c r="J218" s="192" t="e">
        <f t="shared" si="18"/>
        <v>#NUM!</v>
      </c>
      <c r="K218" s="191" t="e">
        <f t="shared" si="16"/>
        <v>#NUM!</v>
      </c>
      <c r="L218" s="191"/>
      <c r="M218" s="193">
        <f t="shared" si="17"/>
        <v>0</v>
      </c>
    </row>
    <row r="219" spans="1:13" x14ac:dyDescent="0.25">
      <c r="A219" s="208"/>
      <c r="G219" s="179"/>
      <c r="H219" s="191">
        <v>214</v>
      </c>
      <c r="I219" s="192" t="str">
        <f t="shared" si="15"/>
        <v/>
      </c>
      <c r="J219" s="192" t="e">
        <f t="shared" si="18"/>
        <v>#NUM!</v>
      </c>
      <c r="K219" s="191" t="e">
        <f t="shared" si="16"/>
        <v>#NUM!</v>
      </c>
      <c r="L219" s="191"/>
      <c r="M219" s="193">
        <f t="shared" si="17"/>
        <v>0</v>
      </c>
    </row>
    <row r="220" spans="1:13" x14ac:dyDescent="0.25">
      <c r="A220" s="208"/>
      <c r="G220" s="179"/>
      <c r="H220" s="191">
        <v>215</v>
      </c>
      <c r="I220" s="192" t="str">
        <f t="shared" si="15"/>
        <v/>
      </c>
      <c r="J220" s="192" t="e">
        <f t="shared" si="18"/>
        <v>#NUM!</v>
      </c>
      <c r="K220" s="191" t="e">
        <f t="shared" si="16"/>
        <v>#NUM!</v>
      </c>
      <c r="L220" s="191"/>
      <c r="M220" s="193">
        <f t="shared" si="17"/>
        <v>0</v>
      </c>
    </row>
    <row r="221" spans="1:13" x14ac:dyDescent="0.25">
      <c r="A221" s="208"/>
      <c r="G221" s="179"/>
      <c r="H221" s="191">
        <v>216</v>
      </c>
      <c r="I221" s="192" t="str">
        <f t="shared" si="15"/>
        <v/>
      </c>
      <c r="J221" s="192" t="e">
        <f t="shared" si="18"/>
        <v>#NUM!</v>
      </c>
      <c r="K221" s="191" t="e">
        <f t="shared" si="16"/>
        <v>#NUM!</v>
      </c>
      <c r="L221" s="191"/>
      <c r="M221" s="193">
        <f t="shared" si="17"/>
        <v>0</v>
      </c>
    </row>
    <row r="222" spans="1:13" x14ac:dyDescent="0.25">
      <c r="A222" s="208"/>
      <c r="G222" s="179"/>
      <c r="H222" s="191">
        <v>217</v>
      </c>
      <c r="I222" s="192" t="str">
        <f t="shared" si="15"/>
        <v/>
      </c>
      <c r="J222" s="192" t="e">
        <f t="shared" si="18"/>
        <v>#NUM!</v>
      </c>
      <c r="K222" s="191" t="e">
        <f t="shared" si="16"/>
        <v>#NUM!</v>
      </c>
      <c r="L222" s="191"/>
      <c r="M222" s="193">
        <f t="shared" si="17"/>
        <v>0</v>
      </c>
    </row>
    <row r="223" spans="1:13" x14ac:dyDescent="0.25">
      <c r="A223" s="208"/>
      <c r="G223" s="179"/>
      <c r="H223" s="191">
        <v>218</v>
      </c>
      <c r="I223" s="192" t="str">
        <f t="shared" si="15"/>
        <v/>
      </c>
      <c r="J223" s="192" t="e">
        <f t="shared" si="18"/>
        <v>#NUM!</v>
      </c>
      <c r="K223" s="191" t="e">
        <f t="shared" si="16"/>
        <v>#NUM!</v>
      </c>
      <c r="L223" s="191"/>
      <c r="M223" s="193">
        <f t="shared" si="17"/>
        <v>0</v>
      </c>
    </row>
    <row r="224" spans="1:13" x14ac:dyDescent="0.25">
      <c r="A224" s="208"/>
      <c r="G224" s="179"/>
      <c r="H224" s="191">
        <v>219</v>
      </c>
      <c r="I224" s="192" t="str">
        <f t="shared" si="15"/>
        <v/>
      </c>
      <c r="J224" s="192" t="e">
        <f t="shared" si="18"/>
        <v>#NUM!</v>
      </c>
      <c r="K224" s="191" t="e">
        <f t="shared" si="16"/>
        <v>#NUM!</v>
      </c>
      <c r="L224" s="191"/>
      <c r="M224" s="193">
        <f t="shared" si="17"/>
        <v>0</v>
      </c>
    </row>
    <row r="225" spans="1:13" x14ac:dyDescent="0.25">
      <c r="A225" s="208"/>
      <c r="G225" s="179"/>
      <c r="H225" s="191">
        <v>220</v>
      </c>
      <c r="I225" s="192" t="str">
        <f t="shared" si="15"/>
        <v/>
      </c>
      <c r="J225" s="192" t="e">
        <f t="shared" si="18"/>
        <v>#NUM!</v>
      </c>
      <c r="K225" s="191" t="e">
        <f t="shared" si="16"/>
        <v>#NUM!</v>
      </c>
      <c r="L225" s="191"/>
      <c r="M225" s="193">
        <f t="shared" si="17"/>
        <v>0</v>
      </c>
    </row>
    <row r="226" spans="1:13" x14ac:dyDescent="0.25">
      <c r="A226" s="208"/>
      <c r="G226" s="179"/>
      <c r="H226" s="191">
        <v>221</v>
      </c>
      <c r="I226" s="192" t="str">
        <f t="shared" si="15"/>
        <v/>
      </c>
      <c r="J226" s="192" t="e">
        <f t="shared" si="18"/>
        <v>#NUM!</v>
      </c>
      <c r="K226" s="191" t="e">
        <f t="shared" si="16"/>
        <v>#NUM!</v>
      </c>
      <c r="L226" s="191"/>
      <c r="M226" s="193">
        <f t="shared" si="17"/>
        <v>0</v>
      </c>
    </row>
    <row r="227" spans="1:13" x14ac:dyDescent="0.25">
      <c r="A227" s="208"/>
      <c r="G227" s="179"/>
      <c r="H227" s="191">
        <v>222</v>
      </c>
      <c r="I227" s="192" t="str">
        <f t="shared" si="15"/>
        <v/>
      </c>
      <c r="J227" s="192" t="e">
        <f t="shared" si="18"/>
        <v>#NUM!</v>
      </c>
      <c r="K227" s="191" t="e">
        <f t="shared" si="16"/>
        <v>#NUM!</v>
      </c>
      <c r="L227" s="191"/>
      <c r="M227" s="193">
        <f t="shared" si="17"/>
        <v>0</v>
      </c>
    </row>
    <row r="228" spans="1:13" x14ac:dyDescent="0.25">
      <c r="A228" s="208"/>
      <c r="G228" s="179"/>
      <c r="H228" s="191">
        <v>223</v>
      </c>
      <c r="I228" s="192" t="str">
        <f t="shared" si="15"/>
        <v/>
      </c>
      <c r="J228" s="192" t="e">
        <f t="shared" si="18"/>
        <v>#NUM!</v>
      </c>
      <c r="K228" s="191" t="e">
        <f t="shared" si="16"/>
        <v>#NUM!</v>
      </c>
      <c r="L228" s="191"/>
      <c r="M228" s="193">
        <f t="shared" si="17"/>
        <v>0</v>
      </c>
    </row>
    <row r="229" spans="1:13" x14ac:dyDescent="0.25">
      <c r="A229" s="208"/>
      <c r="G229" s="179"/>
      <c r="H229" s="191">
        <v>224</v>
      </c>
      <c r="I229" s="192" t="str">
        <f t="shared" si="15"/>
        <v/>
      </c>
      <c r="J229" s="192" t="e">
        <f t="shared" si="18"/>
        <v>#NUM!</v>
      </c>
      <c r="K229" s="191" t="e">
        <f t="shared" si="16"/>
        <v>#NUM!</v>
      </c>
      <c r="L229" s="191"/>
      <c r="M229" s="193">
        <f t="shared" si="17"/>
        <v>0</v>
      </c>
    </row>
    <row r="230" spans="1:13" x14ac:dyDescent="0.25">
      <c r="A230" s="208"/>
      <c r="G230" s="179"/>
      <c r="H230" s="191">
        <v>225</v>
      </c>
      <c r="I230" s="192" t="str">
        <f t="shared" si="15"/>
        <v/>
      </c>
      <c r="J230" s="192" t="e">
        <f t="shared" si="18"/>
        <v>#NUM!</v>
      </c>
      <c r="K230" s="191" t="e">
        <f t="shared" si="16"/>
        <v>#NUM!</v>
      </c>
      <c r="L230" s="191"/>
      <c r="M230" s="193">
        <f t="shared" si="17"/>
        <v>0</v>
      </c>
    </row>
    <row r="231" spans="1:13" x14ac:dyDescent="0.25">
      <c r="A231" s="208"/>
      <c r="G231" s="179"/>
      <c r="H231" s="191">
        <v>226</v>
      </c>
      <c r="I231" s="192" t="str">
        <f t="shared" si="15"/>
        <v/>
      </c>
      <c r="J231" s="192" t="e">
        <f t="shared" si="18"/>
        <v>#NUM!</v>
      </c>
      <c r="K231" s="191" t="e">
        <f t="shared" si="16"/>
        <v>#NUM!</v>
      </c>
      <c r="L231" s="191"/>
      <c r="M231" s="193">
        <f t="shared" si="17"/>
        <v>0</v>
      </c>
    </row>
    <row r="232" spans="1:13" x14ac:dyDescent="0.25">
      <c r="A232" s="208"/>
      <c r="G232" s="179"/>
      <c r="H232" s="191">
        <v>227</v>
      </c>
      <c r="I232" s="192" t="str">
        <f t="shared" si="15"/>
        <v/>
      </c>
      <c r="J232" s="192" t="e">
        <f t="shared" si="18"/>
        <v>#NUM!</v>
      </c>
      <c r="K232" s="191" t="e">
        <f t="shared" si="16"/>
        <v>#NUM!</v>
      </c>
      <c r="L232" s="191"/>
      <c r="M232" s="193">
        <f t="shared" si="17"/>
        <v>0</v>
      </c>
    </row>
    <row r="233" spans="1:13" x14ac:dyDescent="0.25">
      <c r="A233" s="208"/>
      <c r="G233" s="179"/>
      <c r="H233" s="191">
        <v>228</v>
      </c>
      <c r="I233" s="192" t="str">
        <f t="shared" si="15"/>
        <v/>
      </c>
      <c r="J233" s="192" t="e">
        <f t="shared" si="18"/>
        <v>#NUM!</v>
      </c>
      <c r="K233" s="191" t="e">
        <f t="shared" si="16"/>
        <v>#NUM!</v>
      </c>
      <c r="L233" s="191"/>
      <c r="M233" s="193">
        <f t="shared" si="17"/>
        <v>0</v>
      </c>
    </row>
    <row r="234" spans="1:13" x14ac:dyDescent="0.25">
      <c r="A234" s="208"/>
      <c r="G234" s="179"/>
      <c r="H234" s="191">
        <v>229</v>
      </c>
      <c r="I234" s="192" t="str">
        <f t="shared" si="15"/>
        <v/>
      </c>
      <c r="J234" s="192" t="e">
        <f t="shared" si="18"/>
        <v>#NUM!</v>
      </c>
      <c r="K234" s="191" t="e">
        <f t="shared" si="16"/>
        <v>#NUM!</v>
      </c>
      <c r="L234" s="191"/>
      <c r="M234" s="193">
        <f t="shared" si="17"/>
        <v>0</v>
      </c>
    </row>
    <row r="235" spans="1:13" x14ac:dyDescent="0.25">
      <c r="A235" s="208"/>
      <c r="G235" s="179"/>
      <c r="H235" s="191">
        <v>230</v>
      </c>
      <c r="I235" s="192" t="str">
        <f t="shared" si="15"/>
        <v/>
      </c>
      <c r="J235" s="192" t="e">
        <f t="shared" si="18"/>
        <v>#NUM!</v>
      </c>
      <c r="K235" s="191" t="e">
        <f t="shared" si="16"/>
        <v>#NUM!</v>
      </c>
      <c r="L235" s="191"/>
      <c r="M235" s="193">
        <f t="shared" si="17"/>
        <v>0</v>
      </c>
    </row>
    <row r="236" spans="1:13" x14ac:dyDescent="0.25">
      <c r="A236" s="208"/>
      <c r="G236" s="179"/>
      <c r="H236" s="191">
        <v>231</v>
      </c>
      <c r="I236" s="192" t="str">
        <f t="shared" si="15"/>
        <v/>
      </c>
      <c r="J236" s="192" t="e">
        <f t="shared" si="18"/>
        <v>#NUM!</v>
      </c>
      <c r="K236" s="191" t="e">
        <f t="shared" si="16"/>
        <v>#NUM!</v>
      </c>
      <c r="L236" s="191"/>
      <c r="M236" s="193">
        <f t="shared" si="17"/>
        <v>0</v>
      </c>
    </row>
    <row r="237" spans="1:13" x14ac:dyDescent="0.25">
      <c r="A237" s="208"/>
      <c r="G237" s="179"/>
      <c r="H237" s="191">
        <v>232</v>
      </c>
      <c r="I237" s="192" t="str">
        <f t="shared" si="15"/>
        <v/>
      </c>
      <c r="J237" s="192" t="e">
        <f t="shared" si="18"/>
        <v>#NUM!</v>
      </c>
      <c r="K237" s="191" t="e">
        <f t="shared" si="16"/>
        <v>#NUM!</v>
      </c>
      <c r="L237" s="191"/>
      <c r="M237" s="193">
        <f t="shared" si="17"/>
        <v>0</v>
      </c>
    </row>
    <row r="238" spans="1:13" x14ac:dyDescent="0.25">
      <c r="A238" s="208"/>
      <c r="G238" s="179"/>
      <c r="H238" s="191">
        <v>233</v>
      </c>
      <c r="I238" s="192" t="str">
        <f t="shared" si="15"/>
        <v/>
      </c>
      <c r="J238" s="192" t="e">
        <f t="shared" si="18"/>
        <v>#NUM!</v>
      </c>
      <c r="K238" s="191" t="e">
        <f t="shared" si="16"/>
        <v>#NUM!</v>
      </c>
      <c r="L238" s="191"/>
      <c r="M238" s="193">
        <f t="shared" si="17"/>
        <v>0</v>
      </c>
    </row>
    <row r="239" spans="1:13" x14ac:dyDescent="0.25">
      <c r="A239" s="208"/>
      <c r="G239" s="179"/>
      <c r="H239" s="191">
        <v>234</v>
      </c>
      <c r="I239" s="192" t="str">
        <f t="shared" si="15"/>
        <v/>
      </c>
      <c r="J239" s="192" t="e">
        <f t="shared" si="18"/>
        <v>#NUM!</v>
      </c>
      <c r="K239" s="191" t="e">
        <f t="shared" si="16"/>
        <v>#NUM!</v>
      </c>
      <c r="L239" s="191"/>
      <c r="M239" s="193">
        <f t="shared" si="17"/>
        <v>0</v>
      </c>
    </row>
    <row r="240" spans="1:13" x14ac:dyDescent="0.25">
      <c r="A240" s="208"/>
      <c r="G240" s="179"/>
      <c r="H240" s="191">
        <v>235</v>
      </c>
      <c r="I240" s="192" t="str">
        <f t="shared" si="15"/>
        <v/>
      </c>
      <c r="J240" s="192" t="e">
        <f t="shared" si="18"/>
        <v>#NUM!</v>
      </c>
      <c r="K240" s="191" t="e">
        <f t="shared" si="16"/>
        <v>#NUM!</v>
      </c>
      <c r="L240" s="191"/>
      <c r="M240" s="193">
        <f t="shared" si="17"/>
        <v>0</v>
      </c>
    </row>
    <row r="241" spans="1:13" x14ac:dyDescent="0.25">
      <c r="A241" s="208"/>
      <c r="G241" s="179"/>
      <c r="H241" s="191">
        <v>236</v>
      </c>
      <c r="I241" s="192" t="str">
        <f t="shared" si="15"/>
        <v/>
      </c>
      <c r="J241" s="192" t="e">
        <f t="shared" si="18"/>
        <v>#NUM!</v>
      </c>
      <c r="K241" s="191" t="e">
        <f t="shared" si="16"/>
        <v>#NUM!</v>
      </c>
      <c r="L241" s="191"/>
      <c r="M241" s="193">
        <f t="shared" si="17"/>
        <v>0</v>
      </c>
    </row>
    <row r="242" spans="1:13" x14ac:dyDescent="0.25">
      <c r="A242" s="208"/>
      <c r="G242" s="179"/>
      <c r="H242" s="191">
        <v>237</v>
      </c>
      <c r="I242" s="192" t="str">
        <f t="shared" si="15"/>
        <v/>
      </c>
      <c r="J242" s="192" t="e">
        <f t="shared" si="18"/>
        <v>#NUM!</v>
      </c>
      <c r="K242" s="191" t="e">
        <f t="shared" si="16"/>
        <v>#NUM!</v>
      </c>
      <c r="L242" s="191"/>
      <c r="M242" s="193">
        <f t="shared" si="17"/>
        <v>0</v>
      </c>
    </row>
    <row r="243" spans="1:13" x14ac:dyDescent="0.25">
      <c r="A243" s="208"/>
      <c r="G243" s="179"/>
      <c r="H243" s="191">
        <v>238</v>
      </c>
      <c r="I243" s="192" t="str">
        <f t="shared" si="15"/>
        <v/>
      </c>
      <c r="J243" s="192" t="e">
        <f t="shared" si="18"/>
        <v>#NUM!</v>
      </c>
      <c r="K243" s="191" t="e">
        <f t="shared" si="16"/>
        <v>#NUM!</v>
      </c>
      <c r="L243" s="191"/>
      <c r="M243" s="193">
        <f t="shared" si="17"/>
        <v>0</v>
      </c>
    </row>
    <row r="244" spans="1:13" x14ac:dyDescent="0.25">
      <c r="A244" s="208"/>
      <c r="G244" s="179"/>
      <c r="H244" s="191">
        <v>239</v>
      </c>
      <c r="I244" s="192" t="str">
        <f t="shared" si="15"/>
        <v/>
      </c>
      <c r="J244" s="192" t="e">
        <f t="shared" si="18"/>
        <v>#NUM!</v>
      </c>
      <c r="K244" s="191" t="e">
        <f t="shared" si="16"/>
        <v>#NUM!</v>
      </c>
      <c r="L244" s="191"/>
      <c r="M244" s="193">
        <f t="shared" si="17"/>
        <v>0</v>
      </c>
    </row>
    <row r="245" spans="1:13" x14ac:dyDescent="0.25">
      <c r="A245" s="208"/>
      <c r="G245" s="179"/>
      <c r="H245" s="191">
        <v>240</v>
      </c>
      <c r="I245" s="192" t="str">
        <f t="shared" si="15"/>
        <v/>
      </c>
      <c r="J245" s="192" t="e">
        <f t="shared" si="18"/>
        <v>#NUM!</v>
      </c>
      <c r="K245" s="191" t="e">
        <f t="shared" si="16"/>
        <v>#NUM!</v>
      </c>
      <c r="L245" s="191"/>
      <c r="M245" s="193">
        <f t="shared" si="17"/>
        <v>0</v>
      </c>
    </row>
    <row r="246" spans="1:13" x14ac:dyDescent="0.25">
      <c r="A246" s="208"/>
      <c r="G246" s="179"/>
      <c r="H246" s="191">
        <v>241</v>
      </c>
      <c r="I246" s="192" t="str">
        <f t="shared" si="15"/>
        <v/>
      </c>
      <c r="J246" s="192" t="e">
        <f t="shared" si="18"/>
        <v>#NUM!</v>
      </c>
      <c r="K246" s="191" t="e">
        <f t="shared" si="16"/>
        <v>#NUM!</v>
      </c>
      <c r="L246" s="191"/>
      <c r="M246" s="193">
        <f t="shared" si="17"/>
        <v>0</v>
      </c>
    </row>
    <row r="247" spans="1:13" x14ac:dyDescent="0.25">
      <c r="A247" s="208"/>
      <c r="G247" s="179"/>
      <c r="H247" s="191">
        <v>242</v>
      </c>
      <c r="I247" s="192" t="str">
        <f t="shared" si="15"/>
        <v/>
      </c>
      <c r="J247" s="192" t="e">
        <f t="shared" si="18"/>
        <v>#NUM!</v>
      </c>
      <c r="K247" s="191" t="e">
        <f t="shared" si="16"/>
        <v>#NUM!</v>
      </c>
      <c r="L247" s="191"/>
      <c r="M247" s="193">
        <f t="shared" si="17"/>
        <v>0</v>
      </c>
    </row>
    <row r="248" spans="1:13" x14ac:dyDescent="0.25">
      <c r="A248" s="208"/>
      <c r="G248" s="179"/>
      <c r="H248" s="191">
        <v>243</v>
      </c>
      <c r="I248" s="192" t="str">
        <f t="shared" si="15"/>
        <v/>
      </c>
      <c r="J248" s="192" t="e">
        <f t="shared" si="18"/>
        <v>#NUM!</v>
      </c>
      <c r="K248" s="191" t="e">
        <f t="shared" si="16"/>
        <v>#NUM!</v>
      </c>
      <c r="L248" s="191"/>
      <c r="M248" s="193">
        <f t="shared" si="17"/>
        <v>0</v>
      </c>
    </row>
    <row r="249" spans="1:13" x14ac:dyDescent="0.25">
      <c r="A249" s="208"/>
      <c r="G249" s="179"/>
      <c r="H249" s="191">
        <v>244</v>
      </c>
      <c r="I249" s="192" t="str">
        <f t="shared" si="15"/>
        <v/>
      </c>
      <c r="J249" s="192" t="e">
        <f t="shared" si="18"/>
        <v>#NUM!</v>
      </c>
      <c r="K249" s="191" t="e">
        <f t="shared" si="16"/>
        <v>#NUM!</v>
      </c>
      <c r="L249" s="191"/>
      <c r="M249" s="193">
        <f t="shared" si="17"/>
        <v>0</v>
      </c>
    </row>
    <row r="250" spans="1:13" x14ac:dyDescent="0.25">
      <c r="A250" s="208"/>
      <c r="G250" s="179"/>
      <c r="H250" s="191">
        <v>245</v>
      </c>
      <c r="I250" s="192" t="str">
        <f t="shared" si="15"/>
        <v/>
      </c>
      <c r="J250" s="192" t="e">
        <f t="shared" si="18"/>
        <v>#NUM!</v>
      </c>
      <c r="K250" s="191" t="e">
        <f t="shared" si="16"/>
        <v>#NUM!</v>
      </c>
      <c r="L250" s="191"/>
      <c r="M250" s="193">
        <f t="shared" si="17"/>
        <v>0</v>
      </c>
    </row>
    <row r="251" spans="1:13" x14ac:dyDescent="0.25">
      <c r="A251" s="208"/>
      <c r="G251" s="179"/>
      <c r="H251" s="191">
        <v>246</v>
      </c>
      <c r="I251" s="192" t="str">
        <f t="shared" si="15"/>
        <v/>
      </c>
      <c r="J251" s="192" t="e">
        <f t="shared" si="18"/>
        <v>#NUM!</v>
      </c>
      <c r="K251" s="191" t="e">
        <f t="shared" si="16"/>
        <v>#NUM!</v>
      </c>
      <c r="L251" s="191"/>
      <c r="M251" s="193">
        <f t="shared" si="17"/>
        <v>0</v>
      </c>
    </row>
    <row r="252" spans="1:13" x14ac:dyDescent="0.25">
      <c r="A252" s="208"/>
      <c r="G252" s="179"/>
      <c r="H252" s="191">
        <v>247</v>
      </c>
      <c r="I252" s="192" t="str">
        <f t="shared" si="15"/>
        <v/>
      </c>
      <c r="J252" s="192" t="e">
        <f t="shared" si="18"/>
        <v>#NUM!</v>
      </c>
      <c r="K252" s="191" t="e">
        <f t="shared" si="16"/>
        <v>#NUM!</v>
      </c>
      <c r="L252" s="191"/>
      <c r="M252" s="193">
        <f t="shared" si="17"/>
        <v>0</v>
      </c>
    </row>
    <row r="253" spans="1:13" x14ac:dyDescent="0.25">
      <c r="A253" s="208"/>
      <c r="G253" s="179"/>
      <c r="H253" s="191">
        <v>248</v>
      </c>
      <c r="I253" s="192" t="str">
        <f t="shared" si="15"/>
        <v/>
      </c>
      <c r="J253" s="192" t="e">
        <f t="shared" si="18"/>
        <v>#NUM!</v>
      </c>
      <c r="K253" s="191" t="e">
        <f t="shared" si="16"/>
        <v>#NUM!</v>
      </c>
      <c r="L253" s="191"/>
      <c r="M253" s="193">
        <f t="shared" si="17"/>
        <v>0</v>
      </c>
    </row>
    <row r="254" spans="1:13" x14ac:dyDescent="0.25">
      <c r="A254" s="208"/>
      <c r="G254" s="179"/>
      <c r="H254" s="191">
        <v>249</v>
      </c>
      <c r="I254" s="192" t="str">
        <f t="shared" si="15"/>
        <v/>
      </c>
      <c r="J254" s="192" t="e">
        <f t="shared" si="18"/>
        <v>#NUM!</v>
      </c>
      <c r="K254" s="191" t="e">
        <f t="shared" si="16"/>
        <v>#NUM!</v>
      </c>
      <c r="L254" s="191"/>
      <c r="M254" s="193">
        <f t="shared" si="17"/>
        <v>0</v>
      </c>
    </row>
    <row r="255" spans="1:13" x14ac:dyDescent="0.25">
      <c r="A255" s="208"/>
      <c r="G255" s="179"/>
      <c r="H255" s="191">
        <v>250</v>
      </c>
      <c r="I255" s="192" t="str">
        <f t="shared" si="15"/>
        <v/>
      </c>
      <c r="J255" s="192" t="e">
        <f t="shared" si="18"/>
        <v>#NUM!</v>
      </c>
      <c r="K255" s="191" t="e">
        <f t="shared" si="16"/>
        <v>#NUM!</v>
      </c>
      <c r="L255" s="191"/>
      <c r="M255" s="193">
        <f t="shared" si="17"/>
        <v>0</v>
      </c>
    </row>
    <row r="256" spans="1:13" x14ac:dyDescent="0.25">
      <c r="A256" s="208"/>
      <c r="G256" s="179"/>
      <c r="H256" s="191">
        <v>251</v>
      </c>
      <c r="I256" s="192" t="str">
        <f t="shared" si="15"/>
        <v/>
      </c>
      <c r="J256" s="192" t="e">
        <f t="shared" si="18"/>
        <v>#NUM!</v>
      </c>
      <c r="K256" s="191" t="e">
        <f t="shared" si="16"/>
        <v>#NUM!</v>
      </c>
      <c r="L256" s="191"/>
      <c r="M256" s="193">
        <f t="shared" si="17"/>
        <v>0</v>
      </c>
    </row>
    <row r="257" spans="1:13" x14ac:dyDescent="0.25">
      <c r="A257" s="208"/>
      <c r="G257" s="179"/>
      <c r="H257" s="191">
        <v>252</v>
      </c>
      <c r="I257" s="192" t="str">
        <f t="shared" si="15"/>
        <v/>
      </c>
      <c r="J257" s="192" t="e">
        <f t="shared" si="18"/>
        <v>#NUM!</v>
      </c>
      <c r="K257" s="191" t="e">
        <f t="shared" si="16"/>
        <v>#NUM!</v>
      </c>
      <c r="L257" s="191"/>
      <c r="M257" s="193">
        <f t="shared" si="17"/>
        <v>0</v>
      </c>
    </row>
    <row r="258" spans="1:13" x14ac:dyDescent="0.25">
      <c r="A258" s="208"/>
      <c r="G258" s="179"/>
      <c r="H258" s="191">
        <v>253</v>
      </c>
      <c r="I258" s="192" t="str">
        <f t="shared" si="15"/>
        <v/>
      </c>
      <c r="J258" s="192" t="e">
        <f t="shared" si="18"/>
        <v>#NUM!</v>
      </c>
      <c r="K258" s="191" t="e">
        <f t="shared" si="16"/>
        <v>#NUM!</v>
      </c>
      <c r="L258" s="191"/>
      <c r="M258" s="193">
        <f t="shared" si="17"/>
        <v>0</v>
      </c>
    </row>
    <row r="259" spans="1:13" x14ac:dyDescent="0.25">
      <c r="A259" s="208"/>
      <c r="G259" s="179"/>
      <c r="H259" s="191">
        <v>254</v>
      </c>
      <c r="I259" s="192" t="str">
        <f t="shared" si="15"/>
        <v/>
      </c>
      <c r="J259" s="192" t="e">
        <f t="shared" si="18"/>
        <v>#NUM!</v>
      </c>
      <c r="K259" s="191" t="e">
        <f t="shared" si="16"/>
        <v>#NUM!</v>
      </c>
      <c r="L259" s="191"/>
      <c r="M259" s="193">
        <f t="shared" si="17"/>
        <v>0</v>
      </c>
    </row>
    <row r="260" spans="1:13" x14ac:dyDescent="0.25">
      <c r="A260" s="208"/>
      <c r="G260" s="179"/>
      <c r="H260" s="191">
        <v>255</v>
      </c>
      <c r="I260" s="192" t="str">
        <f t="shared" si="15"/>
        <v/>
      </c>
      <c r="J260" s="192" t="e">
        <f t="shared" si="18"/>
        <v>#NUM!</v>
      </c>
      <c r="K260" s="191" t="e">
        <f t="shared" si="16"/>
        <v>#NUM!</v>
      </c>
      <c r="L260" s="191"/>
      <c r="M260" s="193">
        <f t="shared" si="17"/>
        <v>0</v>
      </c>
    </row>
    <row r="261" spans="1:13" x14ac:dyDescent="0.25">
      <c r="A261" s="208"/>
      <c r="G261" s="179"/>
      <c r="H261" s="191">
        <v>256</v>
      </c>
      <c r="I261" s="192" t="str">
        <f t="shared" si="15"/>
        <v/>
      </c>
      <c r="J261" s="192" t="e">
        <f t="shared" si="18"/>
        <v>#NUM!</v>
      </c>
      <c r="K261" s="191" t="e">
        <f t="shared" si="16"/>
        <v>#NUM!</v>
      </c>
      <c r="L261" s="191"/>
      <c r="M261" s="193">
        <f t="shared" si="17"/>
        <v>0</v>
      </c>
    </row>
    <row r="262" spans="1:13" x14ac:dyDescent="0.25">
      <c r="A262" s="208"/>
      <c r="G262" s="179"/>
      <c r="H262" s="191">
        <v>257</v>
      </c>
      <c r="I262" s="192" t="str">
        <f t="shared" ref="I262:I305" si="19">IF(H262&lt;$H$2+1,($I$2-($I$2-1)*(LOG(H262)/LOG($H$2))),"")</f>
        <v/>
      </c>
      <c r="J262" s="192" t="e">
        <f t="shared" si="18"/>
        <v>#NUM!</v>
      </c>
      <c r="K262" s="191" t="e">
        <f t="shared" ref="K262:K305" si="20">J262*$J$2</f>
        <v>#NUM!</v>
      </c>
      <c r="L262" s="191"/>
      <c r="M262" s="193">
        <f t="shared" ref="M262:M305" si="21">IF(I262&lt;&gt;"",K262+I262+L262,0)</f>
        <v>0</v>
      </c>
    </row>
    <row r="263" spans="1:13" x14ac:dyDescent="0.25">
      <c r="A263" s="208"/>
      <c r="G263" s="179"/>
      <c r="H263" s="191">
        <v>258</v>
      </c>
      <c r="I263" s="192" t="str">
        <f t="shared" si="19"/>
        <v/>
      </c>
      <c r="J263" s="192" t="e">
        <f t="shared" ref="J263:J305" si="22">INT(LOG($H$2,2))-ROUNDUP(LOG(H263,2),0)+IF(OR($H$2=1,$H$2=2,$H$2=4,$H$2=8,$H$2=16,$H$2=32,$H$2=64,$H$2=128,$H$2=256),0,1)</f>
        <v>#NUM!</v>
      </c>
      <c r="K263" s="191" t="e">
        <f t="shared" si="20"/>
        <v>#NUM!</v>
      </c>
      <c r="L263" s="191"/>
      <c r="M263" s="193">
        <f t="shared" si="21"/>
        <v>0</v>
      </c>
    </row>
    <row r="264" spans="1:13" x14ac:dyDescent="0.25">
      <c r="A264" s="208"/>
      <c r="G264" s="179"/>
      <c r="H264" s="191">
        <v>259</v>
      </c>
      <c r="I264" s="192" t="str">
        <f t="shared" si="19"/>
        <v/>
      </c>
      <c r="J264" s="192" t="e">
        <f t="shared" si="22"/>
        <v>#NUM!</v>
      </c>
      <c r="K264" s="191" t="e">
        <f t="shared" si="20"/>
        <v>#NUM!</v>
      </c>
      <c r="L264" s="191"/>
      <c r="M264" s="193">
        <f t="shared" si="21"/>
        <v>0</v>
      </c>
    </row>
    <row r="265" spans="1:13" x14ac:dyDescent="0.25">
      <c r="A265" s="208"/>
      <c r="G265" s="179"/>
      <c r="H265" s="191">
        <v>260</v>
      </c>
      <c r="I265" s="192" t="str">
        <f t="shared" si="19"/>
        <v/>
      </c>
      <c r="J265" s="192" t="e">
        <f t="shared" si="22"/>
        <v>#NUM!</v>
      </c>
      <c r="K265" s="191" t="e">
        <f t="shared" si="20"/>
        <v>#NUM!</v>
      </c>
      <c r="L265" s="191"/>
      <c r="M265" s="193">
        <f t="shared" si="21"/>
        <v>0</v>
      </c>
    </row>
    <row r="266" spans="1:13" x14ac:dyDescent="0.25">
      <c r="A266" s="208"/>
      <c r="G266" s="179"/>
      <c r="H266" s="191">
        <v>261</v>
      </c>
      <c r="I266" s="192" t="str">
        <f t="shared" si="19"/>
        <v/>
      </c>
      <c r="J266" s="192" t="e">
        <f t="shared" si="22"/>
        <v>#NUM!</v>
      </c>
      <c r="K266" s="191" t="e">
        <f t="shared" si="20"/>
        <v>#NUM!</v>
      </c>
      <c r="L266" s="191"/>
      <c r="M266" s="193">
        <f t="shared" si="21"/>
        <v>0</v>
      </c>
    </row>
    <row r="267" spans="1:13" x14ac:dyDescent="0.25">
      <c r="A267" s="208"/>
      <c r="G267" s="179"/>
      <c r="H267" s="191">
        <v>262</v>
      </c>
      <c r="I267" s="192" t="str">
        <f t="shared" si="19"/>
        <v/>
      </c>
      <c r="J267" s="192" t="e">
        <f t="shared" si="22"/>
        <v>#NUM!</v>
      </c>
      <c r="K267" s="191" t="e">
        <f t="shared" si="20"/>
        <v>#NUM!</v>
      </c>
      <c r="L267" s="191"/>
      <c r="M267" s="193">
        <f t="shared" si="21"/>
        <v>0</v>
      </c>
    </row>
    <row r="268" spans="1:13" x14ac:dyDescent="0.25">
      <c r="A268" s="208"/>
      <c r="G268" s="179"/>
      <c r="H268" s="191">
        <v>263</v>
      </c>
      <c r="I268" s="192" t="str">
        <f t="shared" si="19"/>
        <v/>
      </c>
      <c r="J268" s="192" t="e">
        <f t="shared" si="22"/>
        <v>#NUM!</v>
      </c>
      <c r="K268" s="191" t="e">
        <f t="shared" si="20"/>
        <v>#NUM!</v>
      </c>
      <c r="L268" s="191"/>
      <c r="M268" s="193">
        <f t="shared" si="21"/>
        <v>0</v>
      </c>
    </row>
    <row r="269" spans="1:13" x14ac:dyDescent="0.25">
      <c r="A269" s="208"/>
      <c r="G269" s="179"/>
      <c r="H269" s="191">
        <v>264</v>
      </c>
      <c r="I269" s="192" t="str">
        <f t="shared" si="19"/>
        <v/>
      </c>
      <c r="J269" s="192" t="e">
        <f t="shared" si="22"/>
        <v>#NUM!</v>
      </c>
      <c r="K269" s="191" t="e">
        <f t="shared" si="20"/>
        <v>#NUM!</v>
      </c>
      <c r="L269" s="191"/>
      <c r="M269" s="193">
        <f t="shared" si="21"/>
        <v>0</v>
      </c>
    </row>
    <row r="270" spans="1:13" x14ac:dyDescent="0.25">
      <c r="A270" s="208"/>
      <c r="G270" s="179"/>
      <c r="H270" s="191">
        <v>265</v>
      </c>
      <c r="I270" s="192" t="str">
        <f t="shared" si="19"/>
        <v/>
      </c>
      <c r="J270" s="192" t="e">
        <f t="shared" si="22"/>
        <v>#NUM!</v>
      </c>
      <c r="K270" s="191" t="e">
        <f t="shared" si="20"/>
        <v>#NUM!</v>
      </c>
      <c r="L270" s="191"/>
      <c r="M270" s="193">
        <f t="shared" si="21"/>
        <v>0</v>
      </c>
    </row>
    <row r="271" spans="1:13" x14ac:dyDescent="0.25">
      <c r="A271" s="208"/>
      <c r="G271" s="179"/>
      <c r="H271" s="191">
        <v>266</v>
      </c>
      <c r="I271" s="192" t="str">
        <f t="shared" si="19"/>
        <v/>
      </c>
      <c r="J271" s="192" t="e">
        <f t="shared" si="22"/>
        <v>#NUM!</v>
      </c>
      <c r="K271" s="191" t="e">
        <f t="shared" si="20"/>
        <v>#NUM!</v>
      </c>
      <c r="L271" s="191"/>
      <c r="M271" s="193">
        <f t="shared" si="21"/>
        <v>0</v>
      </c>
    </row>
    <row r="272" spans="1:13" x14ac:dyDescent="0.25">
      <c r="A272" s="208"/>
      <c r="G272" s="179"/>
      <c r="H272" s="191">
        <v>267</v>
      </c>
      <c r="I272" s="192" t="str">
        <f t="shared" si="19"/>
        <v/>
      </c>
      <c r="J272" s="192" t="e">
        <f t="shared" si="22"/>
        <v>#NUM!</v>
      </c>
      <c r="K272" s="191" t="e">
        <f t="shared" si="20"/>
        <v>#NUM!</v>
      </c>
      <c r="L272" s="191"/>
      <c r="M272" s="193">
        <f t="shared" si="21"/>
        <v>0</v>
      </c>
    </row>
    <row r="273" spans="1:13" x14ac:dyDescent="0.25">
      <c r="A273" s="208"/>
      <c r="G273" s="179"/>
      <c r="H273" s="191">
        <v>268</v>
      </c>
      <c r="I273" s="192" t="str">
        <f t="shared" si="19"/>
        <v/>
      </c>
      <c r="J273" s="192" t="e">
        <f t="shared" si="22"/>
        <v>#NUM!</v>
      </c>
      <c r="K273" s="191" t="e">
        <f t="shared" si="20"/>
        <v>#NUM!</v>
      </c>
      <c r="L273" s="191"/>
      <c r="M273" s="193">
        <f t="shared" si="21"/>
        <v>0</v>
      </c>
    </row>
    <row r="274" spans="1:13" x14ac:dyDescent="0.25">
      <c r="A274" s="208"/>
      <c r="G274" s="179"/>
      <c r="H274" s="191">
        <v>269</v>
      </c>
      <c r="I274" s="192" t="str">
        <f t="shared" si="19"/>
        <v/>
      </c>
      <c r="J274" s="192" t="e">
        <f t="shared" si="22"/>
        <v>#NUM!</v>
      </c>
      <c r="K274" s="191" t="e">
        <f t="shared" si="20"/>
        <v>#NUM!</v>
      </c>
      <c r="L274" s="191"/>
      <c r="M274" s="193">
        <f t="shared" si="21"/>
        <v>0</v>
      </c>
    </row>
    <row r="275" spans="1:13" x14ac:dyDescent="0.25">
      <c r="A275" s="208"/>
      <c r="G275" s="179"/>
      <c r="H275" s="191">
        <v>270</v>
      </c>
      <c r="I275" s="192" t="str">
        <f t="shared" si="19"/>
        <v/>
      </c>
      <c r="J275" s="192" t="e">
        <f t="shared" si="22"/>
        <v>#NUM!</v>
      </c>
      <c r="K275" s="191" t="e">
        <f t="shared" si="20"/>
        <v>#NUM!</v>
      </c>
      <c r="L275" s="191"/>
      <c r="M275" s="193">
        <f t="shared" si="21"/>
        <v>0</v>
      </c>
    </row>
    <row r="276" spans="1:13" x14ac:dyDescent="0.25">
      <c r="A276" s="208"/>
      <c r="G276" s="179"/>
      <c r="H276" s="191">
        <v>271</v>
      </c>
      <c r="I276" s="192" t="str">
        <f t="shared" si="19"/>
        <v/>
      </c>
      <c r="J276" s="192" t="e">
        <f t="shared" si="22"/>
        <v>#NUM!</v>
      </c>
      <c r="K276" s="191" t="e">
        <f t="shared" si="20"/>
        <v>#NUM!</v>
      </c>
      <c r="L276" s="191"/>
      <c r="M276" s="193">
        <f t="shared" si="21"/>
        <v>0</v>
      </c>
    </row>
    <row r="277" spans="1:13" x14ac:dyDescent="0.25">
      <c r="A277" s="208"/>
      <c r="G277" s="179"/>
      <c r="H277" s="191">
        <v>272</v>
      </c>
      <c r="I277" s="192" t="str">
        <f t="shared" si="19"/>
        <v/>
      </c>
      <c r="J277" s="192" t="e">
        <f t="shared" si="22"/>
        <v>#NUM!</v>
      </c>
      <c r="K277" s="191" t="e">
        <f t="shared" si="20"/>
        <v>#NUM!</v>
      </c>
      <c r="L277" s="191"/>
      <c r="M277" s="193">
        <f t="shared" si="21"/>
        <v>0</v>
      </c>
    </row>
    <row r="278" spans="1:13" x14ac:dyDescent="0.25">
      <c r="A278" s="208"/>
      <c r="G278" s="179"/>
      <c r="H278" s="191">
        <v>273</v>
      </c>
      <c r="I278" s="192" t="str">
        <f t="shared" si="19"/>
        <v/>
      </c>
      <c r="J278" s="192" t="e">
        <f t="shared" si="22"/>
        <v>#NUM!</v>
      </c>
      <c r="K278" s="191" t="e">
        <f t="shared" si="20"/>
        <v>#NUM!</v>
      </c>
      <c r="L278" s="191"/>
      <c r="M278" s="193">
        <f t="shared" si="21"/>
        <v>0</v>
      </c>
    </row>
    <row r="279" spans="1:13" x14ac:dyDescent="0.25">
      <c r="A279" s="208"/>
      <c r="G279" s="179"/>
      <c r="H279" s="191">
        <v>274</v>
      </c>
      <c r="I279" s="192" t="str">
        <f t="shared" si="19"/>
        <v/>
      </c>
      <c r="J279" s="192" t="e">
        <f t="shared" si="22"/>
        <v>#NUM!</v>
      </c>
      <c r="K279" s="191" t="e">
        <f t="shared" si="20"/>
        <v>#NUM!</v>
      </c>
      <c r="L279" s="191"/>
      <c r="M279" s="193">
        <f t="shared" si="21"/>
        <v>0</v>
      </c>
    </row>
    <row r="280" spans="1:13" x14ac:dyDescent="0.25">
      <c r="A280" s="208"/>
      <c r="G280" s="179"/>
      <c r="H280" s="191">
        <v>275</v>
      </c>
      <c r="I280" s="192" t="str">
        <f t="shared" si="19"/>
        <v/>
      </c>
      <c r="J280" s="192" t="e">
        <f t="shared" si="22"/>
        <v>#NUM!</v>
      </c>
      <c r="K280" s="191" t="e">
        <f t="shared" si="20"/>
        <v>#NUM!</v>
      </c>
      <c r="L280" s="191"/>
      <c r="M280" s="193">
        <f t="shared" si="21"/>
        <v>0</v>
      </c>
    </row>
    <row r="281" spans="1:13" x14ac:dyDescent="0.25">
      <c r="A281" s="208"/>
      <c r="G281" s="179"/>
      <c r="H281" s="191">
        <v>276</v>
      </c>
      <c r="I281" s="192" t="str">
        <f t="shared" si="19"/>
        <v/>
      </c>
      <c r="J281" s="192" t="e">
        <f t="shared" si="22"/>
        <v>#NUM!</v>
      </c>
      <c r="K281" s="191" t="e">
        <f t="shared" si="20"/>
        <v>#NUM!</v>
      </c>
      <c r="L281" s="191"/>
      <c r="M281" s="193">
        <f t="shared" si="21"/>
        <v>0</v>
      </c>
    </row>
    <row r="282" spans="1:13" x14ac:dyDescent="0.25">
      <c r="A282" s="208"/>
      <c r="G282" s="179"/>
      <c r="H282" s="191">
        <v>277</v>
      </c>
      <c r="I282" s="192" t="str">
        <f t="shared" si="19"/>
        <v/>
      </c>
      <c r="J282" s="192" t="e">
        <f t="shared" si="22"/>
        <v>#NUM!</v>
      </c>
      <c r="K282" s="191" t="e">
        <f t="shared" si="20"/>
        <v>#NUM!</v>
      </c>
      <c r="L282" s="191"/>
      <c r="M282" s="193">
        <f t="shared" si="21"/>
        <v>0</v>
      </c>
    </row>
    <row r="283" spans="1:13" x14ac:dyDescent="0.25">
      <c r="A283" s="208"/>
      <c r="G283" s="179"/>
      <c r="H283" s="191">
        <v>278</v>
      </c>
      <c r="I283" s="192" t="str">
        <f t="shared" si="19"/>
        <v/>
      </c>
      <c r="J283" s="192" t="e">
        <f t="shared" si="22"/>
        <v>#NUM!</v>
      </c>
      <c r="K283" s="191" t="e">
        <f t="shared" si="20"/>
        <v>#NUM!</v>
      </c>
      <c r="L283" s="191"/>
      <c r="M283" s="193">
        <f t="shared" si="21"/>
        <v>0</v>
      </c>
    </row>
    <row r="284" spans="1:13" x14ac:dyDescent="0.25">
      <c r="A284" s="208"/>
      <c r="G284" s="179"/>
      <c r="H284" s="191">
        <v>279</v>
      </c>
      <c r="I284" s="192" t="str">
        <f t="shared" si="19"/>
        <v/>
      </c>
      <c r="J284" s="192" t="e">
        <f t="shared" si="22"/>
        <v>#NUM!</v>
      </c>
      <c r="K284" s="191" t="e">
        <f t="shared" si="20"/>
        <v>#NUM!</v>
      </c>
      <c r="L284" s="191"/>
      <c r="M284" s="193">
        <f t="shared" si="21"/>
        <v>0</v>
      </c>
    </row>
    <row r="285" spans="1:13" x14ac:dyDescent="0.25">
      <c r="A285" s="208"/>
      <c r="G285" s="179"/>
      <c r="H285" s="191">
        <v>280</v>
      </c>
      <c r="I285" s="192" t="str">
        <f t="shared" si="19"/>
        <v/>
      </c>
      <c r="J285" s="192" t="e">
        <f t="shared" si="22"/>
        <v>#NUM!</v>
      </c>
      <c r="K285" s="191" t="e">
        <f t="shared" si="20"/>
        <v>#NUM!</v>
      </c>
      <c r="L285" s="191"/>
      <c r="M285" s="193">
        <f t="shared" si="21"/>
        <v>0</v>
      </c>
    </row>
    <row r="286" spans="1:13" x14ac:dyDescent="0.25">
      <c r="A286" s="208"/>
      <c r="G286" s="179"/>
      <c r="H286" s="191">
        <v>281</v>
      </c>
      <c r="I286" s="192" t="str">
        <f t="shared" si="19"/>
        <v/>
      </c>
      <c r="J286" s="192" t="e">
        <f t="shared" si="22"/>
        <v>#NUM!</v>
      </c>
      <c r="K286" s="191" t="e">
        <f t="shared" si="20"/>
        <v>#NUM!</v>
      </c>
      <c r="L286" s="191"/>
      <c r="M286" s="193">
        <f t="shared" si="21"/>
        <v>0</v>
      </c>
    </row>
    <row r="287" spans="1:13" x14ac:dyDescent="0.25">
      <c r="A287" s="208"/>
      <c r="G287" s="179"/>
      <c r="H287" s="191">
        <v>282</v>
      </c>
      <c r="I287" s="192" t="str">
        <f t="shared" si="19"/>
        <v/>
      </c>
      <c r="J287" s="192" t="e">
        <f t="shared" si="22"/>
        <v>#NUM!</v>
      </c>
      <c r="K287" s="191" t="e">
        <f t="shared" si="20"/>
        <v>#NUM!</v>
      </c>
      <c r="L287" s="191"/>
      <c r="M287" s="193">
        <f t="shared" si="21"/>
        <v>0</v>
      </c>
    </row>
    <row r="288" spans="1:13" x14ac:dyDescent="0.25">
      <c r="A288" s="208"/>
      <c r="G288" s="179"/>
      <c r="H288" s="191">
        <v>283</v>
      </c>
      <c r="I288" s="192" t="str">
        <f t="shared" si="19"/>
        <v/>
      </c>
      <c r="J288" s="192" t="e">
        <f t="shared" si="22"/>
        <v>#NUM!</v>
      </c>
      <c r="K288" s="191" t="e">
        <f t="shared" si="20"/>
        <v>#NUM!</v>
      </c>
      <c r="L288" s="191"/>
      <c r="M288" s="193">
        <f t="shared" si="21"/>
        <v>0</v>
      </c>
    </row>
    <row r="289" spans="1:13" x14ac:dyDescent="0.25">
      <c r="A289" s="208"/>
      <c r="G289" s="179"/>
      <c r="H289" s="191">
        <v>284</v>
      </c>
      <c r="I289" s="192" t="str">
        <f t="shared" si="19"/>
        <v/>
      </c>
      <c r="J289" s="192" t="e">
        <f t="shared" si="22"/>
        <v>#NUM!</v>
      </c>
      <c r="K289" s="191" t="e">
        <f t="shared" si="20"/>
        <v>#NUM!</v>
      </c>
      <c r="L289" s="191"/>
      <c r="M289" s="193">
        <f t="shared" si="21"/>
        <v>0</v>
      </c>
    </row>
    <row r="290" spans="1:13" x14ac:dyDescent="0.25">
      <c r="A290" s="208"/>
      <c r="G290" s="179"/>
      <c r="H290" s="191">
        <v>285</v>
      </c>
      <c r="I290" s="192" t="str">
        <f t="shared" si="19"/>
        <v/>
      </c>
      <c r="J290" s="192" t="e">
        <f t="shared" si="22"/>
        <v>#NUM!</v>
      </c>
      <c r="K290" s="191" t="e">
        <f t="shared" si="20"/>
        <v>#NUM!</v>
      </c>
      <c r="L290" s="191"/>
      <c r="M290" s="193">
        <f t="shared" si="21"/>
        <v>0</v>
      </c>
    </row>
    <row r="291" spans="1:13" x14ac:dyDescent="0.25">
      <c r="A291" s="208"/>
      <c r="G291" s="179"/>
      <c r="H291" s="191">
        <v>286</v>
      </c>
      <c r="I291" s="192" t="str">
        <f t="shared" si="19"/>
        <v/>
      </c>
      <c r="J291" s="192" t="e">
        <f t="shared" si="22"/>
        <v>#NUM!</v>
      </c>
      <c r="K291" s="191" t="e">
        <f t="shared" si="20"/>
        <v>#NUM!</v>
      </c>
      <c r="L291" s="191"/>
      <c r="M291" s="193">
        <f t="shared" si="21"/>
        <v>0</v>
      </c>
    </row>
    <row r="292" spans="1:13" x14ac:dyDescent="0.25">
      <c r="A292" s="208"/>
      <c r="G292" s="179"/>
      <c r="H292" s="191">
        <v>287</v>
      </c>
      <c r="I292" s="192" t="str">
        <f t="shared" si="19"/>
        <v/>
      </c>
      <c r="J292" s="192" t="e">
        <f t="shared" si="22"/>
        <v>#NUM!</v>
      </c>
      <c r="K292" s="191" t="e">
        <f t="shared" si="20"/>
        <v>#NUM!</v>
      </c>
      <c r="L292" s="191"/>
      <c r="M292" s="193">
        <f t="shared" si="21"/>
        <v>0</v>
      </c>
    </row>
    <row r="293" spans="1:13" x14ac:dyDescent="0.25">
      <c r="A293" s="208"/>
      <c r="G293" s="179"/>
      <c r="H293" s="191">
        <v>288</v>
      </c>
      <c r="I293" s="192" t="str">
        <f t="shared" si="19"/>
        <v/>
      </c>
      <c r="J293" s="192" t="e">
        <f t="shared" si="22"/>
        <v>#NUM!</v>
      </c>
      <c r="K293" s="191" t="e">
        <f t="shared" si="20"/>
        <v>#NUM!</v>
      </c>
      <c r="L293" s="191"/>
      <c r="M293" s="193">
        <f t="shared" si="21"/>
        <v>0</v>
      </c>
    </row>
    <row r="294" spans="1:13" x14ac:dyDescent="0.25">
      <c r="A294" s="208"/>
      <c r="G294" s="179"/>
      <c r="H294" s="191">
        <v>289</v>
      </c>
      <c r="I294" s="192" t="str">
        <f t="shared" si="19"/>
        <v/>
      </c>
      <c r="J294" s="192" t="e">
        <f t="shared" si="22"/>
        <v>#NUM!</v>
      </c>
      <c r="K294" s="191" t="e">
        <f t="shared" si="20"/>
        <v>#NUM!</v>
      </c>
      <c r="L294" s="191"/>
      <c r="M294" s="193">
        <f t="shared" si="21"/>
        <v>0</v>
      </c>
    </row>
    <row r="295" spans="1:13" x14ac:dyDescent="0.25">
      <c r="A295" s="208"/>
      <c r="G295" s="179"/>
      <c r="H295" s="191">
        <v>290</v>
      </c>
      <c r="I295" s="192" t="str">
        <f t="shared" si="19"/>
        <v/>
      </c>
      <c r="J295" s="192" t="e">
        <f t="shared" si="22"/>
        <v>#NUM!</v>
      </c>
      <c r="K295" s="191" t="e">
        <f t="shared" si="20"/>
        <v>#NUM!</v>
      </c>
      <c r="L295" s="191"/>
      <c r="M295" s="193">
        <f t="shared" si="21"/>
        <v>0</v>
      </c>
    </row>
    <row r="296" spans="1:13" x14ac:dyDescent="0.25">
      <c r="A296" s="208"/>
      <c r="G296" s="179"/>
      <c r="H296" s="191">
        <v>291</v>
      </c>
      <c r="I296" s="192" t="str">
        <f t="shared" si="19"/>
        <v/>
      </c>
      <c r="J296" s="192" t="e">
        <f t="shared" si="22"/>
        <v>#NUM!</v>
      </c>
      <c r="K296" s="191" t="e">
        <f t="shared" si="20"/>
        <v>#NUM!</v>
      </c>
      <c r="L296" s="191"/>
      <c r="M296" s="193">
        <f t="shared" si="21"/>
        <v>0</v>
      </c>
    </row>
    <row r="297" spans="1:13" x14ac:dyDescent="0.25">
      <c r="A297" s="208"/>
      <c r="G297" s="179"/>
      <c r="H297" s="191">
        <v>292</v>
      </c>
      <c r="I297" s="192" t="str">
        <f t="shared" si="19"/>
        <v/>
      </c>
      <c r="J297" s="192" t="e">
        <f t="shared" si="22"/>
        <v>#NUM!</v>
      </c>
      <c r="K297" s="191" t="e">
        <f t="shared" si="20"/>
        <v>#NUM!</v>
      </c>
      <c r="L297" s="191"/>
      <c r="M297" s="193">
        <f t="shared" si="21"/>
        <v>0</v>
      </c>
    </row>
    <row r="298" spans="1:13" x14ac:dyDescent="0.25">
      <c r="A298" s="208"/>
      <c r="G298" s="179"/>
      <c r="H298" s="191">
        <v>293</v>
      </c>
      <c r="I298" s="192" t="str">
        <f t="shared" si="19"/>
        <v/>
      </c>
      <c r="J298" s="192" t="e">
        <f t="shared" si="22"/>
        <v>#NUM!</v>
      </c>
      <c r="K298" s="191" t="e">
        <f t="shared" si="20"/>
        <v>#NUM!</v>
      </c>
      <c r="L298" s="191"/>
      <c r="M298" s="193">
        <f t="shared" si="21"/>
        <v>0</v>
      </c>
    </row>
    <row r="299" spans="1:13" x14ac:dyDescent="0.25">
      <c r="A299" s="208"/>
      <c r="G299" s="179"/>
      <c r="H299" s="191">
        <v>294</v>
      </c>
      <c r="I299" s="192" t="str">
        <f t="shared" si="19"/>
        <v/>
      </c>
      <c r="J299" s="192" t="e">
        <f t="shared" si="22"/>
        <v>#NUM!</v>
      </c>
      <c r="K299" s="191" t="e">
        <f t="shared" si="20"/>
        <v>#NUM!</v>
      </c>
      <c r="L299" s="191"/>
      <c r="M299" s="193">
        <f t="shared" si="21"/>
        <v>0</v>
      </c>
    </row>
    <row r="300" spans="1:13" x14ac:dyDescent="0.25">
      <c r="A300" s="208"/>
      <c r="G300" s="179"/>
      <c r="H300" s="191">
        <v>295</v>
      </c>
      <c r="I300" s="192" t="str">
        <f t="shared" si="19"/>
        <v/>
      </c>
      <c r="J300" s="192" t="e">
        <f t="shared" si="22"/>
        <v>#NUM!</v>
      </c>
      <c r="K300" s="191" t="e">
        <f t="shared" si="20"/>
        <v>#NUM!</v>
      </c>
      <c r="L300" s="191"/>
      <c r="M300" s="193">
        <f t="shared" si="21"/>
        <v>0</v>
      </c>
    </row>
    <row r="301" spans="1:13" x14ac:dyDescent="0.25">
      <c r="A301" s="208"/>
      <c r="G301" s="179"/>
      <c r="H301" s="191">
        <v>296</v>
      </c>
      <c r="I301" s="192" t="str">
        <f t="shared" si="19"/>
        <v/>
      </c>
      <c r="J301" s="192" t="e">
        <f t="shared" si="22"/>
        <v>#NUM!</v>
      </c>
      <c r="K301" s="191" t="e">
        <f t="shared" si="20"/>
        <v>#NUM!</v>
      </c>
      <c r="L301" s="191"/>
      <c r="M301" s="193">
        <f t="shared" si="21"/>
        <v>0</v>
      </c>
    </row>
    <row r="302" spans="1:13" x14ac:dyDescent="0.25">
      <c r="A302" s="208"/>
      <c r="G302" s="179"/>
      <c r="H302" s="191">
        <v>297</v>
      </c>
      <c r="I302" s="192" t="str">
        <f t="shared" si="19"/>
        <v/>
      </c>
      <c r="J302" s="192" t="e">
        <f t="shared" si="22"/>
        <v>#NUM!</v>
      </c>
      <c r="K302" s="191" t="e">
        <f t="shared" si="20"/>
        <v>#NUM!</v>
      </c>
      <c r="L302" s="191"/>
      <c r="M302" s="193">
        <f t="shared" si="21"/>
        <v>0</v>
      </c>
    </row>
    <row r="303" spans="1:13" x14ac:dyDescent="0.25">
      <c r="A303" s="208"/>
      <c r="G303" s="179"/>
      <c r="H303" s="191">
        <v>298</v>
      </c>
      <c r="I303" s="192" t="str">
        <f t="shared" si="19"/>
        <v/>
      </c>
      <c r="J303" s="192" t="e">
        <f t="shared" si="22"/>
        <v>#NUM!</v>
      </c>
      <c r="K303" s="191" t="e">
        <f t="shared" si="20"/>
        <v>#NUM!</v>
      </c>
      <c r="L303" s="191"/>
      <c r="M303" s="193">
        <f t="shared" si="21"/>
        <v>0</v>
      </c>
    </row>
    <row r="304" spans="1:13" x14ac:dyDescent="0.25">
      <c r="A304" s="208"/>
      <c r="G304" s="179"/>
      <c r="H304" s="191">
        <v>299</v>
      </c>
      <c r="I304" s="192" t="str">
        <f t="shared" si="19"/>
        <v/>
      </c>
      <c r="J304" s="192" t="e">
        <f t="shared" si="22"/>
        <v>#NUM!</v>
      </c>
      <c r="K304" s="191" t="e">
        <f t="shared" si="20"/>
        <v>#NUM!</v>
      </c>
      <c r="L304" s="191"/>
      <c r="M304" s="193">
        <f t="shared" si="21"/>
        <v>0</v>
      </c>
    </row>
    <row r="305" spans="1:16" x14ac:dyDescent="0.25">
      <c r="A305" s="208"/>
      <c r="G305" s="179"/>
      <c r="H305" s="191">
        <v>300</v>
      </c>
      <c r="I305" s="192" t="str">
        <f t="shared" si="19"/>
        <v/>
      </c>
      <c r="J305" s="192" t="e">
        <f t="shared" si="22"/>
        <v>#NUM!</v>
      </c>
      <c r="K305" s="191" t="e">
        <f t="shared" si="20"/>
        <v>#NUM!</v>
      </c>
      <c r="L305" s="191"/>
      <c r="M305" s="193">
        <f t="shared" si="21"/>
        <v>0</v>
      </c>
    </row>
    <row r="306" spans="1:16" x14ac:dyDescent="0.25">
      <c r="A306" s="209"/>
    </row>
    <row r="314" spans="1:16" x14ac:dyDescent="0.25">
      <c r="L314" s="212"/>
      <c r="P314" s="202"/>
    </row>
    <row r="315" spans="1:16" x14ac:dyDescent="0.25">
      <c r="L315" s="212"/>
      <c r="P315" s="202"/>
    </row>
    <row r="316" spans="1:16" x14ac:dyDescent="0.25">
      <c r="L316" s="212"/>
      <c r="P316" s="202"/>
    </row>
    <row r="317" spans="1:16" x14ac:dyDescent="0.25">
      <c r="L317" s="212"/>
      <c r="P317" s="202"/>
    </row>
  </sheetData>
  <conditionalFormatting sqref="J9:K9">
    <cfRule type="cellIs" dxfId="7" priority="1" operator="lessThanOrEqual">
      <formula>0</formula>
    </cfRule>
  </conditionalFormatting>
  <conditionalFormatting sqref="K6:K8 K10:K305">
    <cfRule type="cellIs" dxfId="6" priority="2" operator="lessThanOrEqual">
      <formula>0</formula>
    </cfRule>
  </conditionalFormatting>
  <hyperlinks>
    <hyperlink ref="C2" r:id="rId1" xr:uid="{8E8037B5-192C-435E-80D8-E2D05D9337DE}"/>
  </hyperlinks>
  <pageMargins left="0.7" right="0.7" top="0.75" bottom="0.75" header="0.3" footer="0.3"/>
  <pageSetup paperSize="9" orientation="portrait"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13664-5888-478F-8332-FDB8B3A89C09}">
  <sheetPr>
    <tabColor rgb="FF92D050"/>
  </sheetPr>
  <dimension ref="A1:AL374"/>
  <sheetViews>
    <sheetView zoomScaleNormal="100" workbookViewId="0">
      <selection activeCell="C17" sqref="C17"/>
    </sheetView>
  </sheetViews>
  <sheetFormatPr defaultColWidth="8.875" defaultRowHeight="14.3" x14ac:dyDescent="0.25"/>
  <cols>
    <col min="1" max="1" width="8" style="207" customWidth="1"/>
    <col min="2" max="2" width="8.25" style="207" customWidth="1"/>
    <col min="3" max="3" width="34.75" style="207" customWidth="1"/>
    <col min="4" max="4" width="11.25" style="207" customWidth="1"/>
    <col min="5" max="6" width="8.875" style="207"/>
    <col min="7" max="7" width="0.875" style="207" customWidth="1"/>
    <col min="8" max="8" width="8.875" style="210"/>
    <col min="9" max="9" width="11" style="210" customWidth="1"/>
    <col min="10" max="10" width="15.25" style="210" customWidth="1"/>
    <col min="11" max="11" width="8.75" style="210" customWidth="1"/>
    <col min="12" max="12" width="11" style="210" customWidth="1"/>
    <col min="13" max="13" width="12.25" style="211" customWidth="1"/>
    <col min="14" max="15" width="13.875" style="179" customWidth="1"/>
    <col min="16" max="18" width="8.875" style="179"/>
    <col min="19" max="20" width="8.875" style="184"/>
    <col min="21" max="21" width="12.125" style="184" customWidth="1"/>
    <col min="22" max="22" width="27.375" style="184" customWidth="1"/>
    <col min="23" max="38" width="8.875" style="184"/>
    <col min="39" max="16384" width="8.875" style="207"/>
  </cols>
  <sheetData>
    <row r="1" spans="1:36" x14ac:dyDescent="0.25">
      <c r="A1" s="179"/>
      <c r="B1" s="179"/>
      <c r="C1" s="179"/>
      <c r="D1" s="179"/>
      <c r="E1" s="179"/>
      <c r="F1" s="179"/>
      <c r="G1" s="179"/>
      <c r="H1" s="180" t="s">
        <v>20</v>
      </c>
      <c r="I1" s="181" t="s">
        <v>21</v>
      </c>
      <c r="J1" s="181" t="s">
        <v>22</v>
      </c>
      <c r="K1" s="182" t="s">
        <v>84</v>
      </c>
      <c r="L1" s="183"/>
      <c r="M1" s="183"/>
    </row>
    <row r="2" spans="1:36" x14ac:dyDescent="0.25">
      <c r="A2" s="179"/>
      <c r="B2" s="19" t="s">
        <v>24</v>
      </c>
      <c r="C2" s="127" t="s">
        <v>88</v>
      </c>
      <c r="D2" s="67"/>
      <c r="E2" s="20"/>
      <c r="F2" s="20"/>
      <c r="G2" s="20"/>
      <c r="H2" s="185">
        <v>0</v>
      </c>
      <c r="I2" s="186">
        <v>50</v>
      </c>
      <c r="J2" s="186">
        <v>10</v>
      </c>
      <c r="K2" s="213">
        <f>3*H2^(1/3)</f>
        <v>0</v>
      </c>
      <c r="L2" s="183"/>
      <c r="M2" s="183"/>
    </row>
    <row r="3" spans="1:36" x14ac:dyDescent="0.25">
      <c r="A3" s="179"/>
      <c r="B3" s="188" t="s">
        <v>26</v>
      </c>
      <c r="C3" s="68" t="s">
        <v>102</v>
      </c>
      <c r="D3" s="68"/>
      <c r="E3" s="25"/>
      <c r="F3" s="25"/>
      <c r="G3" s="25"/>
      <c r="H3" s="183"/>
      <c r="I3" s="183"/>
      <c r="J3" s="214"/>
      <c r="K3" s="183"/>
      <c r="L3" s="183"/>
      <c r="M3" s="183"/>
    </row>
    <row r="4" spans="1:36" ht="10.199999999999999" customHeight="1" x14ac:dyDescent="0.25">
      <c r="A4" s="27"/>
      <c r="B4" s="25"/>
      <c r="C4" s="27"/>
      <c r="D4" s="27"/>
      <c r="E4" s="27"/>
      <c r="F4" s="27"/>
      <c r="G4" s="27"/>
      <c r="H4" s="183"/>
      <c r="I4" s="183"/>
      <c r="J4" s="214"/>
      <c r="K4" s="183"/>
      <c r="L4" s="183"/>
      <c r="M4" s="183"/>
    </row>
    <row r="5" spans="1:36" ht="34.65" x14ac:dyDescent="0.25">
      <c r="A5" s="1" t="s">
        <v>28</v>
      </c>
      <c r="B5" s="28" t="s">
        <v>29</v>
      </c>
      <c r="C5" s="1" t="s">
        <v>30</v>
      </c>
      <c r="D5" s="1" t="s">
        <v>31</v>
      </c>
      <c r="E5" s="1" t="s">
        <v>32</v>
      </c>
      <c r="F5" s="1" t="s">
        <v>33</v>
      </c>
      <c r="G5" s="27"/>
      <c r="H5" s="189" t="s">
        <v>34</v>
      </c>
      <c r="I5" s="190" t="s">
        <v>35</v>
      </c>
      <c r="J5" s="215" t="s">
        <v>36</v>
      </c>
      <c r="K5" s="190" t="s">
        <v>37</v>
      </c>
      <c r="L5" s="190" t="s">
        <v>38</v>
      </c>
      <c r="M5" s="189" t="s">
        <v>39</v>
      </c>
    </row>
    <row r="6" spans="1:36" ht="14.45" customHeight="1" x14ac:dyDescent="0.25">
      <c r="A6" s="94">
        <f>M6</f>
        <v>0</v>
      </c>
      <c r="B6" s="33" t="str">
        <f>IF(H6&gt;$H$2,"",(ROW()-5))</f>
        <v/>
      </c>
      <c r="C6" s="34"/>
      <c r="D6" s="34"/>
      <c r="E6" s="34"/>
      <c r="F6" s="34" t="s">
        <v>87</v>
      </c>
      <c r="G6" s="27"/>
      <c r="H6" s="191">
        <v>1</v>
      </c>
      <c r="I6" s="192" t="str">
        <f t="shared" ref="I6:I69" si="0">IF(H6&lt;$H$2+1,($I$2-($I$2-1)*(LOG(H6)/LOG($H$2))),"")</f>
        <v/>
      </c>
      <c r="J6" s="191" t="e">
        <f>INT(LOG($H$2,2))-ROUNDUP(LOG(H6,2),0)+IF(OR($H$2=1,$H$2=2,$H$2=4,$H$2=8,$H$2=16,$H$2=32,$H$2=64,$H$2=128,$H$2=256),0,1)</f>
        <v>#NUM!</v>
      </c>
      <c r="K6" s="191" t="e">
        <f t="shared" ref="K6:K69" si="1">J6*$J$2</f>
        <v>#NUM!</v>
      </c>
      <c r="L6" s="193">
        <f>3*K2</f>
        <v>0</v>
      </c>
      <c r="M6" s="193">
        <f t="shared" ref="M6:M69" si="2">IF(I6&lt;&gt;"",K6+I6+L6,0)</f>
        <v>0</v>
      </c>
    </row>
    <row r="7" spans="1:36" ht="14.45" customHeight="1" x14ac:dyDescent="0.25">
      <c r="A7" s="98">
        <f t="shared" ref="A7:A37" si="3">M7</f>
        <v>0</v>
      </c>
      <c r="B7" s="39" t="str">
        <f t="shared" ref="B7:B65" si="4">IF(H7&gt;$H$2,"",(ROW()-5))</f>
        <v/>
      </c>
      <c r="C7" s="40"/>
      <c r="D7" s="40"/>
      <c r="E7" s="40"/>
      <c r="F7" s="40" t="s">
        <v>87</v>
      </c>
      <c r="G7" s="27"/>
      <c r="H7" s="194">
        <v>2</v>
      </c>
      <c r="I7" s="195" t="str">
        <f t="shared" si="0"/>
        <v/>
      </c>
      <c r="J7" s="194" t="e">
        <f t="shared" ref="J7:J70" si="5">INT(LOG($H$2,2))-ROUNDUP(LOG(H7,2),0)+IF(OR($H$2=1,$H$2=2,$H$2=4,$H$2=8,$H$2=16,$H$2=32,$H$2=64,$H$2=128,$H$2=256),0,1)</f>
        <v>#NUM!</v>
      </c>
      <c r="K7" s="194" t="e">
        <f t="shared" si="1"/>
        <v>#NUM!</v>
      </c>
      <c r="L7" s="196">
        <f>2*K2</f>
        <v>0</v>
      </c>
      <c r="M7" s="196">
        <f t="shared" si="2"/>
        <v>0</v>
      </c>
    </row>
    <row r="8" spans="1:36" ht="14.45" customHeight="1" x14ac:dyDescent="0.25">
      <c r="A8" s="94">
        <f t="shared" si="3"/>
        <v>0</v>
      </c>
      <c r="B8" s="33" t="str">
        <f t="shared" si="4"/>
        <v/>
      </c>
      <c r="C8" s="34"/>
      <c r="D8" s="34"/>
      <c r="E8" s="34"/>
      <c r="F8" s="34" t="s">
        <v>87</v>
      </c>
      <c r="G8" s="27"/>
      <c r="H8" s="191">
        <v>3</v>
      </c>
      <c r="I8" s="192" t="str">
        <f t="shared" si="0"/>
        <v/>
      </c>
      <c r="J8" s="191" t="e">
        <f t="shared" si="5"/>
        <v>#NUM!</v>
      </c>
      <c r="K8" s="191" t="e">
        <f t="shared" si="1"/>
        <v>#NUM!</v>
      </c>
      <c r="L8" s="193">
        <f>K2</f>
        <v>0</v>
      </c>
      <c r="M8" s="193">
        <f t="shared" si="2"/>
        <v>0</v>
      </c>
    </row>
    <row r="9" spans="1:36" s="184" customFormat="1" ht="14.45" customHeight="1" x14ac:dyDescent="0.25">
      <c r="A9" s="98">
        <f t="shared" si="3"/>
        <v>0</v>
      </c>
      <c r="B9" s="39" t="str">
        <f>IF(H9&gt;$H$2,"",3)</f>
        <v/>
      </c>
      <c r="C9" s="40"/>
      <c r="D9" s="40"/>
      <c r="E9" s="40"/>
      <c r="F9" s="40"/>
      <c r="G9" s="27"/>
      <c r="H9" s="194">
        <v>3</v>
      </c>
      <c r="I9" s="195" t="str">
        <f t="shared" si="0"/>
        <v/>
      </c>
      <c r="J9" s="194" t="e">
        <f t="shared" si="5"/>
        <v>#NUM!</v>
      </c>
      <c r="K9" s="194" t="e">
        <f t="shared" si="1"/>
        <v>#NUM!</v>
      </c>
      <c r="L9" s="196">
        <f>K2</f>
        <v>0</v>
      </c>
      <c r="M9" s="196">
        <f t="shared" si="2"/>
        <v>0</v>
      </c>
      <c r="N9" s="179"/>
      <c r="O9" s="179"/>
      <c r="P9" s="179"/>
      <c r="Q9" s="179"/>
      <c r="R9" s="179"/>
      <c r="V9" s="197"/>
      <c r="Z9" s="198"/>
      <c r="AA9" s="198"/>
      <c r="AG9" s="199"/>
      <c r="AH9" s="184" t="s">
        <v>40</v>
      </c>
      <c r="AI9" s="184">
        <v>23</v>
      </c>
    </row>
    <row r="10" spans="1:36" ht="14.45" customHeight="1" x14ac:dyDescent="0.25">
      <c r="A10" s="94">
        <f t="shared" si="3"/>
        <v>0</v>
      </c>
      <c r="B10" s="33" t="str">
        <f t="shared" si="4"/>
        <v/>
      </c>
      <c r="C10" s="34"/>
      <c r="D10" s="34"/>
      <c r="E10" s="34"/>
      <c r="F10" s="34"/>
      <c r="G10" s="27"/>
      <c r="H10" s="191">
        <v>5</v>
      </c>
      <c r="I10" s="192" t="str">
        <f t="shared" si="0"/>
        <v/>
      </c>
      <c r="J10" s="191" t="e">
        <f t="shared" si="5"/>
        <v>#NUM!</v>
      </c>
      <c r="K10" s="191" t="e">
        <f t="shared" si="1"/>
        <v>#NUM!</v>
      </c>
      <c r="L10" s="191"/>
      <c r="M10" s="193">
        <f t="shared" si="2"/>
        <v>0</v>
      </c>
      <c r="V10" s="197"/>
      <c r="Z10" s="198"/>
      <c r="AA10" s="198"/>
      <c r="AG10" s="199"/>
      <c r="AH10" s="184" t="s">
        <v>41</v>
      </c>
      <c r="AI10" s="184">
        <v>45</v>
      </c>
    </row>
    <row r="11" spans="1:36" ht="14.45" customHeight="1" x14ac:dyDescent="0.25">
      <c r="A11" s="98">
        <f t="shared" si="3"/>
        <v>0</v>
      </c>
      <c r="B11" s="39" t="str">
        <f t="shared" si="4"/>
        <v/>
      </c>
      <c r="C11" s="40"/>
      <c r="D11" s="40"/>
      <c r="E11" s="40"/>
      <c r="F11" s="40"/>
      <c r="G11" s="27"/>
      <c r="H11" s="194">
        <v>6</v>
      </c>
      <c r="I11" s="195" t="str">
        <f t="shared" si="0"/>
        <v/>
      </c>
      <c r="J11" s="194" t="e">
        <f t="shared" si="5"/>
        <v>#NUM!</v>
      </c>
      <c r="K11" s="194" t="e">
        <f t="shared" si="1"/>
        <v>#NUM!</v>
      </c>
      <c r="L11" s="194"/>
      <c r="M11" s="196">
        <f t="shared" si="2"/>
        <v>0</v>
      </c>
      <c r="V11" s="200"/>
      <c r="Z11" s="198"/>
      <c r="AA11" s="198"/>
      <c r="AG11" s="199"/>
      <c r="AH11" s="184" t="s">
        <v>42</v>
      </c>
      <c r="AI11" s="184">
        <v>50</v>
      </c>
    </row>
    <row r="12" spans="1:36" ht="14.45" customHeight="1" x14ac:dyDescent="0.25">
      <c r="A12" s="94">
        <f t="shared" si="3"/>
        <v>0</v>
      </c>
      <c r="B12" s="33" t="str">
        <f t="shared" si="4"/>
        <v/>
      </c>
      <c r="C12" s="34"/>
      <c r="D12" s="34"/>
      <c r="E12" s="34"/>
      <c r="F12" s="34"/>
      <c r="G12" s="27"/>
      <c r="H12" s="191">
        <v>7</v>
      </c>
      <c r="I12" s="192" t="str">
        <f t="shared" si="0"/>
        <v/>
      </c>
      <c r="J12" s="191" t="e">
        <f t="shared" si="5"/>
        <v>#NUM!</v>
      </c>
      <c r="K12" s="191" t="e">
        <f t="shared" si="1"/>
        <v>#NUM!</v>
      </c>
      <c r="L12" s="191"/>
      <c r="M12" s="193">
        <f t="shared" si="2"/>
        <v>0</v>
      </c>
      <c r="Z12" s="198"/>
      <c r="AA12" s="198"/>
      <c r="AG12" s="199"/>
      <c r="AH12" s="184" t="s">
        <v>43</v>
      </c>
      <c r="AI12" s="184">
        <f>AI11-1</f>
        <v>49</v>
      </c>
    </row>
    <row r="13" spans="1:36" ht="14.45" customHeight="1" x14ac:dyDescent="0.25">
      <c r="A13" s="98">
        <f t="shared" si="3"/>
        <v>0</v>
      </c>
      <c r="B13" s="39" t="str">
        <f t="shared" si="4"/>
        <v/>
      </c>
      <c r="C13" s="40"/>
      <c r="D13" s="40"/>
      <c r="E13" s="40"/>
      <c r="F13" s="40"/>
      <c r="G13" s="27"/>
      <c r="H13" s="194">
        <v>8</v>
      </c>
      <c r="I13" s="195" t="str">
        <f t="shared" si="0"/>
        <v/>
      </c>
      <c r="J13" s="194" t="e">
        <f t="shared" si="5"/>
        <v>#NUM!</v>
      </c>
      <c r="K13" s="194" t="e">
        <f t="shared" si="1"/>
        <v>#NUM!</v>
      </c>
      <c r="L13" s="194"/>
      <c r="M13" s="196">
        <f t="shared" si="2"/>
        <v>0</v>
      </c>
      <c r="X13" s="197"/>
      <c r="AG13" s="199"/>
      <c r="AH13" s="184" t="s">
        <v>44</v>
      </c>
      <c r="AI13" s="184">
        <f>LOG(AI9)</f>
        <v>1.3617278360175928</v>
      </c>
    </row>
    <row r="14" spans="1:36" x14ac:dyDescent="0.25">
      <c r="A14" s="94">
        <f t="shared" si="3"/>
        <v>0</v>
      </c>
      <c r="B14" s="33" t="str">
        <f t="shared" si="4"/>
        <v/>
      </c>
      <c r="C14" s="34"/>
      <c r="D14" s="34"/>
      <c r="E14" s="34"/>
      <c r="F14" s="34"/>
      <c r="G14" s="27"/>
      <c r="H14" s="191">
        <v>9</v>
      </c>
      <c r="I14" s="192" t="str">
        <f t="shared" si="0"/>
        <v/>
      </c>
      <c r="J14" s="191" t="e">
        <f t="shared" si="5"/>
        <v>#NUM!</v>
      </c>
      <c r="K14" s="191" t="e">
        <f t="shared" si="1"/>
        <v>#NUM!</v>
      </c>
      <c r="L14" s="191"/>
      <c r="M14" s="193">
        <f t="shared" si="2"/>
        <v>0</v>
      </c>
      <c r="X14" s="201"/>
      <c r="Z14" s="198"/>
      <c r="AA14" s="198"/>
      <c r="AG14" s="199"/>
      <c r="AH14" s="184" t="s">
        <v>45</v>
      </c>
      <c r="AI14" s="184">
        <f>LOG(AI10)</f>
        <v>1.6532125137753437</v>
      </c>
    </row>
    <row r="15" spans="1:36" x14ac:dyDescent="0.25">
      <c r="A15" s="98">
        <f t="shared" si="3"/>
        <v>0</v>
      </c>
      <c r="B15" s="39" t="str">
        <f t="shared" si="4"/>
        <v/>
      </c>
      <c r="C15" s="40"/>
      <c r="D15" s="40"/>
      <c r="E15" s="40"/>
      <c r="F15" s="40"/>
      <c r="G15" s="27"/>
      <c r="H15" s="194">
        <v>10</v>
      </c>
      <c r="I15" s="195" t="str">
        <f t="shared" si="0"/>
        <v/>
      </c>
      <c r="J15" s="194" t="e">
        <f t="shared" si="5"/>
        <v>#NUM!</v>
      </c>
      <c r="K15" s="194" t="e">
        <f t="shared" si="1"/>
        <v>#NUM!</v>
      </c>
      <c r="L15" s="194"/>
      <c r="M15" s="196">
        <f t="shared" si="2"/>
        <v>0</v>
      </c>
      <c r="X15" s="197"/>
      <c r="Z15" s="198"/>
      <c r="AA15" s="198"/>
    </row>
    <row r="16" spans="1:36" x14ac:dyDescent="0.25">
      <c r="A16" s="94">
        <f t="shared" si="3"/>
        <v>0</v>
      </c>
      <c r="B16" s="33" t="str">
        <f t="shared" si="4"/>
        <v/>
      </c>
      <c r="C16" s="34"/>
      <c r="D16" s="34"/>
      <c r="E16" s="34"/>
      <c r="F16" s="34"/>
      <c r="G16" s="27"/>
      <c r="H16" s="191">
        <v>11</v>
      </c>
      <c r="I16" s="192" t="str">
        <f t="shared" si="0"/>
        <v/>
      </c>
      <c r="J16" s="191" t="e">
        <f t="shared" si="5"/>
        <v>#NUM!</v>
      </c>
      <c r="K16" s="191" t="e">
        <f t="shared" si="1"/>
        <v>#NUM!</v>
      </c>
      <c r="L16" s="191"/>
      <c r="M16" s="193">
        <f t="shared" si="2"/>
        <v>0</v>
      </c>
      <c r="R16" s="202"/>
      <c r="Z16" s="198"/>
      <c r="AA16" s="198"/>
      <c r="AH16" s="203" t="s">
        <v>46</v>
      </c>
      <c r="AI16" s="184">
        <f>AI11-AI12*AI13/AI14</f>
        <v>9.6393909380186855</v>
      </c>
      <c r="AJ16" s="184" t="s">
        <v>47</v>
      </c>
    </row>
    <row r="17" spans="1:19" x14ac:dyDescent="0.25">
      <c r="A17" s="98">
        <f t="shared" si="3"/>
        <v>0</v>
      </c>
      <c r="B17" s="39" t="str">
        <f t="shared" si="4"/>
        <v/>
      </c>
      <c r="C17" s="40"/>
      <c r="D17" s="40"/>
      <c r="E17" s="40"/>
      <c r="F17" s="40"/>
      <c r="G17" s="27"/>
      <c r="H17" s="194">
        <v>12</v>
      </c>
      <c r="I17" s="195" t="str">
        <f t="shared" si="0"/>
        <v/>
      </c>
      <c r="J17" s="194" t="e">
        <f t="shared" si="5"/>
        <v>#NUM!</v>
      </c>
      <c r="K17" s="194" t="e">
        <f t="shared" si="1"/>
        <v>#NUM!</v>
      </c>
      <c r="L17" s="194"/>
      <c r="M17" s="196">
        <f t="shared" si="2"/>
        <v>0</v>
      </c>
    </row>
    <row r="18" spans="1:19" x14ac:dyDescent="0.25">
      <c r="A18" s="94">
        <f t="shared" si="3"/>
        <v>0</v>
      </c>
      <c r="B18" s="33" t="str">
        <f t="shared" si="4"/>
        <v/>
      </c>
      <c r="C18" s="34"/>
      <c r="D18" s="34"/>
      <c r="E18" s="34"/>
      <c r="F18" s="34"/>
      <c r="G18" s="27"/>
      <c r="H18" s="191">
        <v>13</v>
      </c>
      <c r="I18" s="192" t="str">
        <f t="shared" si="0"/>
        <v/>
      </c>
      <c r="J18" s="191" t="e">
        <f t="shared" si="5"/>
        <v>#NUM!</v>
      </c>
      <c r="K18" s="191" t="e">
        <f t="shared" si="1"/>
        <v>#NUM!</v>
      </c>
      <c r="L18" s="191"/>
      <c r="M18" s="193">
        <f t="shared" si="2"/>
        <v>0</v>
      </c>
    </row>
    <row r="19" spans="1:19" x14ac:dyDescent="0.25">
      <c r="A19" s="98">
        <f t="shared" si="3"/>
        <v>0</v>
      </c>
      <c r="B19" s="39" t="str">
        <f t="shared" si="4"/>
        <v/>
      </c>
      <c r="C19" s="40"/>
      <c r="D19" s="40"/>
      <c r="E19" s="40"/>
      <c r="F19" s="40"/>
      <c r="G19" s="27"/>
      <c r="H19" s="194">
        <v>14</v>
      </c>
      <c r="I19" s="195" t="str">
        <f t="shared" si="0"/>
        <v/>
      </c>
      <c r="J19" s="194" t="e">
        <f t="shared" si="5"/>
        <v>#NUM!</v>
      </c>
      <c r="K19" s="194" t="e">
        <f t="shared" si="1"/>
        <v>#NUM!</v>
      </c>
      <c r="L19" s="194"/>
      <c r="M19" s="196">
        <f t="shared" si="2"/>
        <v>0</v>
      </c>
    </row>
    <row r="20" spans="1:19" x14ac:dyDescent="0.25">
      <c r="A20" s="94">
        <f t="shared" si="3"/>
        <v>0</v>
      </c>
      <c r="B20" s="33" t="str">
        <f t="shared" si="4"/>
        <v/>
      </c>
      <c r="C20" s="34"/>
      <c r="D20" s="34"/>
      <c r="E20" s="34"/>
      <c r="F20" s="34"/>
      <c r="G20" s="27"/>
      <c r="H20" s="191">
        <v>15</v>
      </c>
      <c r="I20" s="192" t="str">
        <f t="shared" si="0"/>
        <v/>
      </c>
      <c r="J20" s="191" t="e">
        <f t="shared" si="5"/>
        <v>#NUM!</v>
      </c>
      <c r="K20" s="191" t="e">
        <f t="shared" si="1"/>
        <v>#NUM!</v>
      </c>
      <c r="L20" s="191"/>
      <c r="M20" s="193">
        <f t="shared" si="2"/>
        <v>0</v>
      </c>
      <c r="R20" s="204"/>
      <c r="S20" s="205"/>
    </row>
    <row r="21" spans="1:19" x14ac:dyDescent="0.25">
      <c r="A21" s="98">
        <f t="shared" si="3"/>
        <v>0</v>
      </c>
      <c r="B21" s="39" t="str">
        <f t="shared" si="4"/>
        <v/>
      </c>
      <c r="C21" s="40"/>
      <c r="D21" s="40"/>
      <c r="E21" s="40"/>
      <c r="F21" s="40"/>
      <c r="G21" s="27"/>
      <c r="H21" s="194">
        <v>16</v>
      </c>
      <c r="I21" s="195" t="str">
        <f t="shared" si="0"/>
        <v/>
      </c>
      <c r="J21" s="194" t="e">
        <f t="shared" si="5"/>
        <v>#NUM!</v>
      </c>
      <c r="K21" s="194" t="e">
        <f t="shared" si="1"/>
        <v>#NUM!</v>
      </c>
      <c r="L21" s="194"/>
      <c r="M21" s="196">
        <f t="shared" si="2"/>
        <v>0</v>
      </c>
    </row>
    <row r="22" spans="1:19" x14ac:dyDescent="0.25">
      <c r="A22" s="94">
        <f t="shared" si="3"/>
        <v>0</v>
      </c>
      <c r="B22" s="33" t="str">
        <f t="shared" si="4"/>
        <v/>
      </c>
      <c r="C22" s="34"/>
      <c r="D22" s="34"/>
      <c r="E22" s="34"/>
      <c r="F22" s="34"/>
      <c r="G22" s="27"/>
      <c r="H22" s="191">
        <v>17</v>
      </c>
      <c r="I22" s="192" t="str">
        <f t="shared" si="0"/>
        <v/>
      </c>
      <c r="J22" s="191" t="e">
        <f t="shared" si="5"/>
        <v>#NUM!</v>
      </c>
      <c r="K22" s="191" t="e">
        <f t="shared" si="1"/>
        <v>#NUM!</v>
      </c>
      <c r="L22" s="191"/>
      <c r="M22" s="193">
        <f t="shared" si="2"/>
        <v>0</v>
      </c>
    </row>
    <row r="23" spans="1:19" x14ac:dyDescent="0.25">
      <c r="A23" s="98">
        <f t="shared" si="3"/>
        <v>0</v>
      </c>
      <c r="B23" s="39" t="str">
        <f t="shared" si="4"/>
        <v/>
      </c>
      <c r="C23" s="40"/>
      <c r="D23" s="40"/>
      <c r="E23" s="40"/>
      <c r="F23" s="40"/>
      <c r="G23" s="27"/>
      <c r="H23" s="194">
        <v>18</v>
      </c>
      <c r="I23" s="195" t="str">
        <f t="shared" si="0"/>
        <v/>
      </c>
      <c r="J23" s="194" t="e">
        <f t="shared" si="5"/>
        <v>#NUM!</v>
      </c>
      <c r="K23" s="194" t="e">
        <f t="shared" si="1"/>
        <v>#NUM!</v>
      </c>
      <c r="L23" s="194"/>
      <c r="M23" s="196">
        <f t="shared" si="2"/>
        <v>0</v>
      </c>
    </row>
    <row r="24" spans="1:19" x14ac:dyDescent="0.25">
      <c r="A24" s="94">
        <f t="shared" si="3"/>
        <v>0</v>
      </c>
      <c r="B24" s="33" t="str">
        <f t="shared" si="4"/>
        <v/>
      </c>
      <c r="C24" s="34"/>
      <c r="D24" s="34"/>
      <c r="E24" s="34"/>
      <c r="F24" s="34"/>
      <c r="G24" s="27"/>
      <c r="H24" s="191">
        <v>19</v>
      </c>
      <c r="I24" s="192" t="str">
        <f t="shared" si="0"/>
        <v/>
      </c>
      <c r="J24" s="191" t="e">
        <f t="shared" si="5"/>
        <v>#NUM!</v>
      </c>
      <c r="K24" s="191" t="e">
        <f t="shared" si="1"/>
        <v>#NUM!</v>
      </c>
      <c r="L24" s="191"/>
      <c r="M24" s="193">
        <f t="shared" si="2"/>
        <v>0</v>
      </c>
      <c r="R24" s="204"/>
      <c r="S24" s="205"/>
    </row>
    <row r="25" spans="1:19" x14ac:dyDescent="0.25">
      <c r="A25" s="98">
        <f t="shared" si="3"/>
        <v>0</v>
      </c>
      <c r="B25" s="39" t="str">
        <f t="shared" si="4"/>
        <v/>
      </c>
      <c r="C25" s="40"/>
      <c r="D25" s="40"/>
      <c r="E25" s="40"/>
      <c r="F25" s="40"/>
      <c r="G25" s="27"/>
      <c r="H25" s="194">
        <v>20</v>
      </c>
      <c r="I25" s="195" t="str">
        <f t="shared" si="0"/>
        <v/>
      </c>
      <c r="J25" s="194" t="e">
        <f t="shared" si="5"/>
        <v>#NUM!</v>
      </c>
      <c r="K25" s="194" t="e">
        <f t="shared" si="1"/>
        <v>#NUM!</v>
      </c>
      <c r="L25" s="194"/>
      <c r="M25" s="196">
        <f t="shared" si="2"/>
        <v>0</v>
      </c>
    </row>
    <row r="26" spans="1:19" x14ac:dyDescent="0.25">
      <c r="A26" s="94">
        <f t="shared" si="3"/>
        <v>0</v>
      </c>
      <c r="B26" s="33" t="str">
        <f t="shared" si="4"/>
        <v/>
      </c>
      <c r="C26" s="34"/>
      <c r="D26" s="34"/>
      <c r="E26" s="34"/>
      <c r="F26" s="34"/>
      <c r="G26" s="27"/>
      <c r="H26" s="191">
        <v>21</v>
      </c>
      <c r="I26" s="192" t="str">
        <f t="shared" si="0"/>
        <v/>
      </c>
      <c r="J26" s="191" t="e">
        <f t="shared" si="5"/>
        <v>#NUM!</v>
      </c>
      <c r="K26" s="191" t="e">
        <f t="shared" si="1"/>
        <v>#NUM!</v>
      </c>
      <c r="L26" s="191"/>
      <c r="M26" s="193">
        <f t="shared" si="2"/>
        <v>0</v>
      </c>
    </row>
    <row r="27" spans="1:19" x14ac:dyDescent="0.25">
      <c r="A27" s="98">
        <f t="shared" si="3"/>
        <v>0</v>
      </c>
      <c r="B27" s="39" t="str">
        <f t="shared" si="4"/>
        <v/>
      </c>
      <c r="C27" s="40"/>
      <c r="D27" s="40"/>
      <c r="E27" s="40"/>
      <c r="F27" s="40"/>
      <c r="G27" s="27"/>
      <c r="H27" s="194">
        <v>22</v>
      </c>
      <c r="I27" s="195" t="str">
        <f t="shared" si="0"/>
        <v/>
      </c>
      <c r="J27" s="194" t="e">
        <f t="shared" si="5"/>
        <v>#NUM!</v>
      </c>
      <c r="K27" s="194" t="e">
        <f t="shared" si="1"/>
        <v>#NUM!</v>
      </c>
      <c r="L27" s="194"/>
      <c r="M27" s="196">
        <f t="shared" si="2"/>
        <v>0</v>
      </c>
    </row>
    <row r="28" spans="1:19" x14ac:dyDescent="0.25">
      <c r="A28" s="94">
        <f t="shared" si="3"/>
        <v>0</v>
      </c>
      <c r="B28" s="33" t="str">
        <f t="shared" si="4"/>
        <v/>
      </c>
      <c r="C28" s="34"/>
      <c r="D28" s="34"/>
      <c r="E28" s="34"/>
      <c r="F28" s="34"/>
      <c r="G28" s="27"/>
      <c r="H28" s="191">
        <v>23</v>
      </c>
      <c r="I28" s="192" t="str">
        <f t="shared" si="0"/>
        <v/>
      </c>
      <c r="J28" s="191" t="e">
        <f t="shared" si="5"/>
        <v>#NUM!</v>
      </c>
      <c r="K28" s="191" t="e">
        <f t="shared" si="1"/>
        <v>#NUM!</v>
      </c>
      <c r="L28" s="191"/>
      <c r="M28" s="193">
        <f t="shared" si="2"/>
        <v>0</v>
      </c>
      <c r="R28" s="204"/>
      <c r="S28" s="205"/>
    </row>
    <row r="29" spans="1:19" x14ac:dyDescent="0.25">
      <c r="A29" s="98">
        <f t="shared" si="3"/>
        <v>0</v>
      </c>
      <c r="B29" s="39" t="str">
        <f t="shared" si="4"/>
        <v/>
      </c>
      <c r="C29" s="40"/>
      <c r="D29" s="40"/>
      <c r="E29" s="40"/>
      <c r="F29" s="40"/>
      <c r="G29" s="179"/>
      <c r="H29" s="194">
        <v>24</v>
      </c>
      <c r="I29" s="195" t="str">
        <f t="shared" si="0"/>
        <v/>
      </c>
      <c r="J29" s="194" t="e">
        <f t="shared" si="5"/>
        <v>#NUM!</v>
      </c>
      <c r="K29" s="194" t="e">
        <f t="shared" si="1"/>
        <v>#NUM!</v>
      </c>
      <c r="L29" s="194"/>
      <c r="M29" s="196">
        <f t="shared" si="2"/>
        <v>0</v>
      </c>
    </row>
    <row r="30" spans="1:19" x14ac:dyDescent="0.25">
      <c r="A30" s="94">
        <f t="shared" si="3"/>
        <v>0</v>
      </c>
      <c r="B30" s="33" t="str">
        <f t="shared" si="4"/>
        <v/>
      </c>
      <c r="C30" s="34"/>
      <c r="D30" s="34"/>
      <c r="E30" s="34"/>
      <c r="F30" s="34"/>
      <c r="G30" s="179"/>
      <c r="H30" s="191">
        <v>25</v>
      </c>
      <c r="I30" s="192" t="str">
        <f t="shared" si="0"/>
        <v/>
      </c>
      <c r="J30" s="191" t="e">
        <f t="shared" si="5"/>
        <v>#NUM!</v>
      </c>
      <c r="K30" s="191" t="e">
        <f t="shared" si="1"/>
        <v>#NUM!</v>
      </c>
      <c r="L30" s="191"/>
      <c r="M30" s="193">
        <f t="shared" si="2"/>
        <v>0</v>
      </c>
    </row>
    <row r="31" spans="1:19" x14ac:dyDescent="0.25">
      <c r="A31" s="98">
        <f t="shared" si="3"/>
        <v>0</v>
      </c>
      <c r="B31" s="39" t="str">
        <f t="shared" si="4"/>
        <v/>
      </c>
      <c r="C31" s="40"/>
      <c r="D31" s="40"/>
      <c r="E31" s="40"/>
      <c r="F31" s="40"/>
      <c r="G31" s="179"/>
      <c r="H31" s="194">
        <v>26</v>
      </c>
      <c r="I31" s="195" t="str">
        <f t="shared" si="0"/>
        <v/>
      </c>
      <c r="J31" s="194" t="e">
        <f t="shared" si="5"/>
        <v>#NUM!</v>
      </c>
      <c r="K31" s="194" t="e">
        <f t="shared" si="1"/>
        <v>#NUM!</v>
      </c>
      <c r="L31" s="194"/>
      <c r="M31" s="196">
        <f t="shared" si="2"/>
        <v>0</v>
      </c>
    </row>
    <row r="32" spans="1:19" x14ac:dyDescent="0.25">
      <c r="A32" s="94">
        <f t="shared" si="3"/>
        <v>0</v>
      </c>
      <c r="B32" s="33" t="str">
        <f t="shared" si="4"/>
        <v/>
      </c>
      <c r="C32" s="34"/>
      <c r="D32" s="34"/>
      <c r="E32" s="34"/>
      <c r="F32" s="34"/>
      <c r="G32" s="179"/>
      <c r="H32" s="191">
        <v>27</v>
      </c>
      <c r="I32" s="192" t="str">
        <f t="shared" si="0"/>
        <v/>
      </c>
      <c r="J32" s="191" t="e">
        <f t="shared" si="5"/>
        <v>#NUM!</v>
      </c>
      <c r="K32" s="191" t="e">
        <f t="shared" si="1"/>
        <v>#NUM!</v>
      </c>
      <c r="L32" s="191"/>
      <c r="M32" s="193">
        <f t="shared" si="2"/>
        <v>0</v>
      </c>
      <c r="R32" s="204"/>
      <c r="S32" s="205"/>
    </row>
    <row r="33" spans="1:21" x14ac:dyDescent="0.25">
      <c r="A33" s="98">
        <f t="shared" si="3"/>
        <v>0</v>
      </c>
      <c r="B33" s="39" t="str">
        <f t="shared" si="4"/>
        <v/>
      </c>
      <c r="C33" s="40"/>
      <c r="D33" s="40"/>
      <c r="E33" s="40"/>
      <c r="F33" s="40"/>
      <c r="G33" s="179"/>
      <c r="H33" s="194">
        <v>28</v>
      </c>
      <c r="I33" s="195" t="str">
        <f t="shared" si="0"/>
        <v/>
      </c>
      <c r="J33" s="194" t="e">
        <f t="shared" si="5"/>
        <v>#NUM!</v>
      </c>
      <c r="K33" s="194" t="e">
        <f t="shared" si="1"/>
        <v>#NUM!</v>
      </c>
      <c r="L33" s="194"/>
      <c r="M33" s="196">
        <f t="shared" si="2"/>
        <v>0</v>
      </c>
    </row>
    <row r="34" spans="1:21" x14ac:dyDescent="0.25">
      <c r="A34" s="94">
        <f t="shared" si="3"/>
        <v>0</v>
      </c>
      <c r="B34" s="33" t="str">
        <f t="shared" si="4"/>
        <v/>
      </c>
      <c r="C34" s="34"/>
      <c r="D34" s="34"/>
      <c r="E34" s="34"/>
      <c r="F34" s="34"/>
      <c r="G34" s="179"/>
      <c r="H34" s="191">
        <v>29</v>
      </c>
      <c r="I34" s="192" t="str">
        <f t="shared" si="0"/>
        <v/>
      </c>
      <c r="J34" s="191" t="e">
        <f t="shared" si="5"/>
        <v>#NUM!</v>
      </c>
      <c r="K34" s="191" t="e">
        <f t="shared" si="1"/>
        <v>#NUM!</v>
      </c>
      <c r="L34" s="191"/>
      <c r="M34" s="193">
        <f t="shared" si="2"/>
        <v>0</v>
      </c>
    </row>
    <row r="35" spans="1:21" x14ac:dyDescent="0.25">
      <c r="A35" s="98">
        <f t="shared" si="3"/>
        <v>0</v>
      </c>
      <c r="B35" s="39" t="str">
        <f t="shared" si="4"/>
        <v/>
      </c>
      <c r="C35" s="40"/>
      <c r="D35" s="40"/>
      <c r="E35" s="40"/>
      <c r="F35" s="40"/>
      <c r="G35" s="179"/>
      <c r="H35" s="194">
        <v>30</v>
      </c>
      <c r="I35" s="195" t="str">
        <f t="shared" si="0"/>
        <v/>
      </c>
      <c r="J35" s="194" t="e">
        <f t="shared" si="5"/>
        <v>#NUM!</v>
      </c>
      <c r="K35" s="194" t="e">
        <f t="shared" si="1"/>
        <v>#NUM!</v>
      </c>
      <c r="L35" s="194"/>
      <c r="M35" s="196">
        <f t="shared" si="2"/>
        <v>0</v>
      </c>
    </row>
    <row r="36" spans="1:21" x14ac:dyDescent="0.25">
      <c r="A36" s="94">
        <f t="shared" si="3"/>
        <v>0</v>
      </c>
      <c r="B36" s="33" t="str">
        <f t="shared" si="4"/>
        <v/>
      </c>
      <c r="C36" s="34"/>
      <c r="D36" s="34"/>
      <c r="E36" s="34"/>
      <c r="F36" s="34"/>
      <c r="G36" s="179"/>
      <c r="H36" s="191">
        <v>31</v>
      </c>
      <c r="I36" s="192" t="str">
        <f t="shared" si="0"/>
        <v/>
      </c>
      <c r="J36" s="191" t="e">
        <f t="shared" si="5"/>
        <v>#NUM!</v>
      </c>
      <c r="K36" s="191" t="e">
        <f t="shared" si="1"/>
        <v>#NUM!</v>
      </c>
      <c r="L36" s="191"/>
      <c r="M36" s="193">
        <f t="shared" si="2"/>
        <v>0</v>
      </c>
      <c r="R36" s="204"/>
      <c r="S36" s="205"/>
    </row>
    <row r="37" spans="1:21" x14ac:dyDescent="0.25">
      <c r="A37" s="98">
        <f t="shared" si="3"/>
        <v>0</v>
      </c>
      <c r="B37" s="39" t="str">
        <f t="shared" si="4"/>
        <v/>
      </c>
      <c r="C37" s="40"/>
      <c r="D37" s="40"/>
      <c r="E37" s="40"/>
      <c r="F37" s="40"/>
      <c r="G37" s="179"/>
      <c r="H37" s="194">
        <v>32</v>
      </c>
      <c r="I37" s="195" t="str">
        <f t="shared" si="0"/>
        <v/>
      </c>
      <c r="J37" s="194" t="e">
        <f t="shared" si="5"/>
        <v>#NUM!</v>
      </c>
      <c r="K37" s="194" t="e">
        <f t="shared" si="1"/>
        <v>#NUM!</v>
      </c>
      <c r="L37" s="194"/>
      <c r="M37" s="196">
        <f t="shared" si="2"/>
        <v>0</v>
      </c>
    </row>
    <row r="38" spans="1:21" x14ac:dyDescent="0.25">
      <c r="A38" s="94"/>
      <c r="B38" s="33" t="str">
        <f t="shared" si="4"/>
        <v/>
      </c>
      <c r="C38" s="34"/>
      <c r="D38" s="34"/>
      <c r="E38" s="34"/>
      <c r="F38" s="34"/>
      <c r="G38" s="179"/>
      <c r="H38" s="191">
        <v>33</v>
      </c>
      <c r="I38" s="192" t="str">
        <f t="shared" si="0"/>
        <v/>
      </c>
      <c r="J38" s="191" t="e">
        <f t="shared" si="5"/>
        <v>#NUM!</v>
      </c>
      <c r="K38" s="191" t="e">
        <f t="shared" si="1"/>
        <v>#NUM!</v>
      </c>
      <c r="L38" s="191"/>
      <c r="M38" s="193">
        <f t="shared" si="2"/>
        <v>0</v>
      </c>
    </row>
    <row r="39" spans="1:21" x14ac:dyDescent="0.25">
      <c r="A39" s="98"/>
      <c r="B39" s="39" t="str">
        <f t="shared" si="4"/>
        <v/>
      </c>
      <c r="C39" s="40"/>
      <c r="D39" s="40"/>
      <c r="E39" s="40"/>
      <c r="F39" s="40"/>
      <c r="G39" s="179"/>
      <c r="H39" s="194">
        <v>34</v>
      </c>
      <c r="I39" s="195" t="str">
        <f t="shared" si="0"/>
        <v/>
      </c>
      <c r="J39" s="194" t="e">
        <f t="shared" si="5"/>
        <v>#NUM!</v>
      </c>
      <c r="K39" s="194" t="e">
        <f t="shared" si="1"/>
        <v>#NUM!</v>
      </c>
      <c r="L39" s="194"/>
      <c r="M39" s="196">
        <f t="shared" si="2"/>
        <v>0</v>
      </c>
    </row>
    <row r="40" spans="1:21" x14ac:dyDescent="0.25">
      <c r="A40" s="94"/>
      <c r="B40" s="33" t="str">
        <f t="shared" si="4"/>
        <v/>
      </c>
      <c r="C40" s="34"/>
      <c r="D40" s="34"/>
      <c r="E40" s="34"/>
      <c r="F40" s="34"/>
      <c r="G40" s="179"/>
      <c r="H40" s="191">
        <v>35</v>
      </c>
      <c r="I40" s="192" t="str">
        <f t="shared" si="0"/>
        <v/>
      </c>
      <c r="J40" s="191" t="e">
        <f t="shared" si="5"/>
        <v>#NUM!</v>
      </c>
      <c r="K40" s="191" t="e">
        <f t="shared" si="1"/>
        <v>#NUM!</v>
      </c>
      <c r="L40" s="191"/>
      <c r="M40" s="193">
        <f t="shared" si="2"/>
        <v>0</v>
      </c>
    </row>
    <row r="41" spans="1:21" x14ac:dyDescent="0.25">
      <c r="A41" s="98"/>
      <c r="B41" s="39" t="str">
        <f t="shared" si="4"/>
        <v/>
      </c>
      <c r="C41" s="40"/>
      <c r="D41" s="40"/>
      <c r="E41" s="40"/>
      <c r="F41" s="40"/>
      <c r="G41" s="179"/>
      <c r="H41" s="194">
        <v>36</v>
      </c>
      <c r="I41" s="195" t="str">
        <f t="shared" si="0"/>
        <v/>
      </c>
      <c r="J41" s="194" t="e">
        <f t="shared" si="5"/>
        <v>#NUM!</v>
      </c>
      <c r="K41" s="194" t="e">
        <f t="shared" si="1"/>
        <v>#NUM!</v>
      </c>
      <c r="L41" s="194"/>
      <c r="M41" s="196">
        <f t="shared" si="2"/>
        <v>0</v>
      </c>
      <c r="S41" s="206"/>
    </row>
    <row r="42" spans="1:21" x14ac:dyDescent="0.25">
      <c r="A42" s="94"/>
      <c r="B42" s="33" t="str">
        <f t="shared" si="4"/>
        <v/>
      </c>
      <c r="C42" s="34"/>
      <c r="D42" s="34"/>
      <c r="E42" s="34"/>
      <c r="F42" s="34"/>
      <c r="G42" s="179"/>
      <c r="H42" s="191">
        <v>37</v>
      </c>
      <c r="I42" s="192" t="str">
        <f t="shared" si="0"/>
        <v/>
      </c>
      <c r="J42" s="191" t="e">
        <f t="shared" si="5"/>
        <v>#NUM!</v>
      </c>
      <c r="K42" s="191" t="e">
        <f t="shared" si="1"/>
        <v>#NUM!</v>
      </c>
      <c r="L42" s="191"/>
      <c r="M42" s="193">
        <f t="shared" si="2"/>
        <v>0</v>
      </c>
    </row>
    <row r="43" spans="1:21" x14ac:dyDescent="0.25">
      <c r="A43" s="98"/>
      <c r="B43" s="39" t="str">
        <f t="shared" si="4"/>
        <v/>
      </c>
      <c r="C43" s="40"/>
      <c r="D43" s="40"/>
      <c r="E43" s="40"/>
      <c r="F43" s="40"/>
      <c r="G43" s="179"/>
      <c r="H43" s="194">
        <v>38</v>
      </c>
      <c r="I43" s="195" t="str">
        <f t="shared" si="0"/>
        <v/>
      </c>
      <c r="J43" s="194" t="e">
        <f t="shared" si="5"/>
        <v>#NUM!</v>
      </c>
      <c r="K43" s="194" t="e">
        <f t="shared" si="1"/>
        <v>#NUM!</v>
      </c>
      <c r="L43" s="194"/>
      <c r="M43" s="196">
        <f t="shared" si="2"/>
        <v>0</v>
      </c>
    </row>
    <row r="44" spans="1:21" x14ac:dyDescent="0.25">
      <c r="A44" s="94"/>
      <c r="B44" s="33" t="str">
        <f t="shared" si="4"/>
        <v/>
      </c>
      <c r="C44" s="34"/>
      <c r="D44" s="34"/>
      <c r="E44" s="34"/>
      <c r="F44" s="34"/>
      <c r="G44" s="179"/>
      <c r="H44" s="191">
        <v>39</v>
      </c>
      <c r="I44" s="192" t="str">
        <f t="shared" si="0"/>
        <v/>
      </c>
      <c r="J44" s="191" t="e">
        <f t="shared" si="5"/>
        <v>#NUM!</v>
      </c>
      <c r="K44" s="191" t="e">
        <f t="shared" si="1"/>
        <v>#NUM!</v>
      </c>
      <c r="L44" s="191"/>
      <c r="M44" s="193">
        <f t="shared" si="2"/>
        <v>0</v>
      </c>
    </row>
    <row r="45" spans="1:21" x14ac:dyDescent="0.25">
      <c r="A45" s="98"/>
      <c r="B45" s="39" t="str">
        <f t="shared" si="4"/>
        <v/>
      </c>
      <c r="C45" s="40"/>
      <c r="D45" s="40"/>
      <c r="E45" s="40"/>
      <c r="F45" s="40"/>
      <c r="G45" s="179"/>
      <c r="H45" s="194">
        <v>40</v>
      </c>
      <c r="I45" s="195" t="str">
        <f t="shared" si="0"/>
        <v/>
      </c>
      <c r="J45" s="194" t="e">
        <f t="shared" si="5"/>
        <v>#NUM!</v>
      </c>
      <c r="K45" s="194" t="e">
        <f t="shared" si="1"/>
        <v>#NUM!</v>
      </c>
      <c r="L45" s="194"/>
      <c r="M45" s="196">
        <f t="shared" si="2"/>
        <v>0</v>
      </c>
    </row>
    <row r="46" spans="1:21" x14ac:dyDescent="0.25">
      <c r="A46" s="94"/>
      <c r="B46" s="33" t="str">
        <f t="shared" si="4"/>
        <v/>
      </c>
      <c r="C46" s="34"/>
      <c r="D46" s="34"/>
      <c r="E46" s="34"/>
      <c r="F46" s="34"/>
      <c r="G46" s="179"/>
      <c r="H46" s="191">
        <v>41</v>
      </c>
      <c r="I46" s="192" t="str">
        <f t="shared" si="0"/>
        <v/>
      </c>
      <c r="J46" s="191" t="e">
        <f t="shared" si="5"/>
        <v>#NUM!</v>
      </c>
      <c r="K46" s="191" t="e">
        <f t="shared" si="1"/>
        <v>#NUM!</v>
      </c>
      <c r="L46" s="191"/>
      <c r="M46" s="193">
        <f t="shared" si="2"/>
        <v>0</v>
      </c>
      <c r="R46" s="179" t="e">
        <f>LOG($H$2,2)</f>
        <v>#NUM!</v>
      </c>
      <c r="T46" s="184">
        <f>LOG(H38,2)</f>
        <v>5.0443941193584534</v>
      </c>
      <c r="U46" s="184" t="e">
        <f>R46-T46</f>
        <v>#NUM!</v>
      </c>
    </row>
    <row r="47" spans="1:21" x14ac:dyDescent="0.25">
      <c r="A47" s="98"/>
      <c r="B47" s="39" t="str">
        <f t="shared" si="4"/>
        <v/>
      </c>
      <c r="C47" s="40"/>
      <c r="D47" s="40"/>
      <c r="E47" s="40"/>
      <c r="F47" s="40"/>
      <c r="G47" s="179"/>
      <c r="H47" s="194">
        <v>42</v>
      </c>
      <c r="I47" s="195" t="str">
        <f t="shared" si="0"/>
        <v/>
      </c>
      <c r="J47" s="194" t="e">
        <f t="shared" si="5"/>
        <v>#NUM!</v>
      </c>
      <c r="K47" s="194" t="e">
        <f t="shared" si="1"/>
        <v>#NUM!</v>
      </c>
      <c r="L47" s="194"/>
      <c r="M47" s="196">
        <f t="shared" si="2"/>
        <v>0</v>
      </c>
    </row>
    <row r="48" spans="1:21" x14ac:dyDescent="0.25">
      <c r="A48" s="94"/>
      <c r="B48" s="33" t="str">
        <f t="shared" si="4"/>
        <v/>
      </c>
      <c r="C48" s="34"/>
      <c r="D48" s="34"/>
      <c r="E48" s="34"/>
      <c r="F48" s="34"/>
      <c r="G48" s="179"/>
      <c r="H48" s="191">
        <v>43</v>
      </c>
      <c r="I48" s="192" t="str">
        <f t="shared" si="0"/>
        <v/>
      </c>
      <c r="J48" s="191" t="e">
        <f t="shared" si="5"/>
        <v>#NUM!</v>
      </c>
      <c r="K48" s="191" t="e">
        <f t="shared" si="1"/>
        <v>#NUM!</v>
      </c>
      <c r="L48" s="191"/>
      <c r="M48" s="193">
        <f t="shared" si="2"/>
        <v>0</v>
      </c>
    </row>
    <row r="49" spans="1:13" x14ac:dyDescent="0.25">
      <c r="A49" s="98"/>
      <c r="B49" s="39" t="str">
        <f t="shared" si="4"/>
        <v/>
      </c>
      <c r="C49" s="40"/>
      <c r="D49" s="40"/>
      <c r="E49" s="40"/>
      <c r="F49" s="40"/>
      <c r="G49" s="179"/>
      <c r="H49" s="194">
        <v>44</v>
      </c>
      <c r="I49" s="195" t="str">
        <f t="shared" si="0"/>
        <v/>
      </c>
      <c r="J49" s="194" t="e">
        <f t="shared" si="5"/>
        <v>#NUM!</v>
      </c>
      <c r="K49" s="194" t="e">
        <f t="shared" si="1"/>
        <v>#NUM!</v>
      </c>
      <c r="L49" s="194"/>
      <c r="M49" s="196">
        <f t="shared" si="2"/>
        <v>0</v>
      </c>
    </row>
    <row r="50" spans="1:13" x14ac:dyDescent="0.25">
      <c r="A50" s="94"/>
      <c r="B50" s="33" t="str">
        <f t="shared" si="4"/>
        <v/>
      </c>
      <c r="C50" s="34"/>
      <c r="D50" s="34"/>
      <c r="E50" s="34"/>
      <c r="F50" s="34"/>
      <c r="G50" s="179"/>
      <c r="H50" s="191">
        <v>45</v>
      </c>
      <c r="I50" s="192" t="str">
        <f t="shared" si="0"/>
        <v/>
      </c>
      <c r="J50" s="191" t="e">
        <f t="shared" si="5"/>
        <v>#NUM!</v>
      </c>
      <c r="K50" s="191" t="e">
        <f t="shared" si="1"/>
        <v>#NUM!</v>
      </c>
      <c r="L50" s="191"/>
      <c r="M50" s="193">
        <f t="shared" si="2"/>
        <v>0</v>
      </c>
    </row>
    <row r="51" spans="1:13" x14ac:dyDescent="0.25">
      <c r="A51" s="98"/>
      <c r="B51" s="39" t="str">
        <f t="shared" si="4"/>
        <v/>
      </c>
      <c r="C51" s="40"/>
      <c r="D51" s="40"/>
      <c r="E51" s="40"/>
      <c r="F51" s="40"/>
      <c r="G51" s="179"/>
      <c r="H51" s="194">
        <v>46</v>
      </c>
      <c r="I51" s="195" t="str">
        <f t="shared" si="0"/>
        <v/>
      </c>
      <c r="J51" s="194" t="e">
        <f t="shared" si="5"/>
        <v>#NUM!</v>
      </c>
      <c r="K51" s="194" t="e">
        <f t="shared" si="1"/>
        <v>#NUM!</v>
      </c>
      <c r="L51" s="194"/>
      <c r="M51" s="196">
        <f t="shared" si="2"/>
        <v>0</v>
      </c>
    </row>
    <row r="52" spans="1:13" x14ac:dyDescent="0.25">
      <c r="A52" s="94"/>
      <c r="B52" s="33" t="str">
        <f t="shared" si="4"/>
        <v/>
      </c>
      <c r="C52" s="34"/>
      <c r="D52" s="34"/>
      <c r="E52" s="34"/>
      <c r="F52" s="34"/>
      <c r="G52" s="179"/>
      <c r="H52" s="191">
        <v>47</v>
      </c>
      <c r="I52" s="192" t="str">
        <f t="shared" si="0"/>
        <v/>
      </c>
      <c r="J52" s="191" t="e">
        <f t="shared" si="5"/>
        <v>#NUM!</v>
      </c>
      <c r="K52" s="191" t="e">
        <f t="shared" si="1"/>
        <v>#NUM!</v>
      </c>
      <c r="L52" s="191"/>
      <c r="M52" s="193">
        <f t="shared" si="2"/>
        <v>0</v>
      </c>
    </row>
    <row r="53" spans="1:13" x14ac:dyDescent="0.25">
      <c r="A53" s="98"/>
      <c r="B53" s="39" t="str">
        <f t="shared" si="4"/>
        <v/>
      </c>
      <c r="C53" s="40"/>
      <c r="D53" s="40"/>
      <c r="E53" s="40"/>
      <c r="F53" s="40"/>
      <c r="G53" s="179"/>
      <c r="H53" s="194">
        <v>48</v>
      </c>
      <c r="I53" s="195" t="str">
        <f t="shared" si="0"/>
        <v/>
      </c>
      <c r="J53" s="194" t="e">
        <f t="shared" si="5"/>
        <v>#NUM!</v>
      </c>
      <c r="K53" s="194" t="e">
        <f t="shared" si="1"/>
        <v>#NUM!</v>
      </c>
      <c r="L53" s="194"/>
      <c r="M53" s="196">
        <f t="shared" si="2"/>
        <v>0</v>
      </c>
    </row>
    <row r="54" spans="1:13" x14ac:dyDescent="0.25">
      <c r="A54" s="94"/>
      <c r="B54" s="33" t="str">
        <f t="shared" si="4"/>
        <v/>
      </c>
      <c r="C54" s="34"/>
      <c r="D54" s="34"/>
      <c r="E54" s="34"/>
      <c r="F54" s="34"/>
      <c r="G54" s="179"/>
      <c r="H54" s="191">
        <v>49</v>
      </c>
      <c r="I54" s="192" t="str">
        <f t="shared" si="0"/>
        <v/>
      </c>
      <c r="J54" s="191" t="e">
        <f t="shared" si="5"/>
        <v>#NUM!</v>
      </c>
      <c r="K54" s="191" t="e">
        <f t="shared" si="1"/>
        <v>#NUM!</v>
      </c>
      <c r="L54" s="191"/>
      <c r="M54" s="193">
        <f t="shared" si="2"/>
        <v>0</v>
      </c>
    </row>
    <row r="55" spans="1:13" x14ac:dyDescent="0.25">
      <c r="A55" s="98"/>
      <c r="B55" s="39" t="str">
        <f t="shared" si="4"/>
        <v/>
      </c>
      <c r="C55" s="40"/>
      <c r="D55" s="40"/>
      <c r="E55" s="40"/>
      <c r="F55" s="40"/>
      <c r="G55" s="179"/>
      <c r="H55" s="194">
        <v>50</v>
      </c>
      <c r="I55" s="195" t="str">
        <f t="shared" si="0"/>
        <v/>
      </c>
      <c r="J55" s="194" t="e">
        <f t="shared" si="5"/>
        <v>#NUM!</v>
      </c>
      <c r="K55" s="194" t="e">
        <f t="shared" si="1"/>
        <v>#NUM!</v>
      </c>
      <c r="L55" s="194"/>
      <c r="M55" s="196">
        <f t="shared" si="2"/>
        <v>0</v>
      </c>
    </row>
    <row r="56" spans="1:13" x14ac:dyDescent="0.25">
      <c r="A56" s="94"/>
      <c r="B56" s="33" t="str">
        <f t="shared" si="4"/>
        <v/>
      </c>
      <c r="C56" s="34"/>
      <c r="D56" s="34"/>
      <c r="E56" s="34"/>
      <c r="F56" s="34"/>
      <c r="G56" s="179"/>
      <c r="H56" s="191">
        <v>51</v>
      </c>
      <c r="I56" s="192" t="str">
        <f t="shared" si="0"/>
        <v/>
      </c>
      <c r="J56" s="191" t="e">
        <f t="shared" si="5"/>
        <v>#NUM!</v>
      </c>
      <c r="K56" s="191" t="e">
        <f t="shared" si="1"/>
        <v>#NUM!</v>
      </c>
      <c r="L56" s="191"/>
      <c r="M56" s="193">
        <f t="shared" si="2"/>
        <v>0</v>
      </c>
    </row>
    <row r="57" spans="1:13" x14ac:dyDescent="0.25">
      <c r="A57" s="98"/>
      <c r="B57" s="39" t="str">
        <f t="shared" si="4"/>
        <v/>
      </c>
      <c r="C57" s="40"/>
      <c r="D57" s="40"/>
      <c r="E57" s="40"/>
      <c r="F57" s="40"/>
      <c r="G57" s="179"/>
      <c r="H57" s="194">
        <v>52</v>
      </c>
      <c r="I57" s="195" t="str">
        <f t="shared" si="0"/>
        <v/>
      </c>
      <c r="J57" s="194" t="e">
        <f t="shared" si="5"/>
        <v>#NUM!</v>
      </c>
      <c r="K57" s="194" t="e">
        <f t="shared" si="1"/>
        <v>#NUM!</v>
      </c>
      <c r="L57" s="194"/>
      <c r="M57" s="196">
        <f t="shared" si="2"/>
        <v>0</v>
      </c>
    </row>
    <row r="58" spans="1:13" x14ac:dyDescent="0.25">
      <c r="A58" s="94"/>
      <c r="B58" s="33" t="str">
        <f t="shared" si="4"/>
        <v/>
      </c>
      <c r="C58" s="34"/>
      <c r="D58" s="34"/>
      <c r="E58" s="34"/>
      <c r="F58" s="34"/>
      <c r="G58" s="179"/>
      <c r="H58" s="191">
        <v>53</v>
      </c>
      <c r="I58" s="192" t="str">
        <f t="shared" si="0"/>
        <v/>
      </c>
      <c r="J58" s="191" t="e">
        <f t="shared" si="5"/>
        <v>#NUM!</v>
      </c>
      <c r="K58" s="191" t="e">
        <f t="shared" si="1"/>
        <v>#NUM!</v>
      </c>
      <c r="L58" s="191"/>
      <c r="M58" s="193">
        <f t="shared" si="2"/>
        <v>0</v>
      </c>
    </row>
    <row r="59" spans="1:13" x14ac:dyDescent="0.25">
      <c r="A59" s="98"/>
      <c r="B59" s="39" t="str">
        <f t="shared" si="4"/>
        <v/>
      </c>
      <c r="C59" s="40"/>
      <c r="D59" s="40"/>
      <c r="E59" s="40"/>
      <c r="F59" s="40"/>
      <c r="G59" s="179"/>
      <c r="H59" s="194">
        <v>54</v>
      </c>
      <c r="I59" s="195" t="str">
        <f t="shared" si="0"/>
        <v/>
      </c>
      <c r="J59" s="194" t="e">
        <f t="shared" si="5"/>
        <v>#NUM!</v>
      </c>
      <c r="K59" s="194" t="e">
        <f t="shared" si="1"/>
        <v>#NUM!</v>
      </c>
      <c r="L59" s="194"/>
      <c r="M59" s="196">
        <f t="shared" si="2"/>
        <v>0</v>
      </c>
    </row>
    <row r="60" spans="1:13" x14ac:dyDescent="0.25">
      <c r="A60" s="94"/>
      <c r="B60" s="33" t="str">
        <f t="shared" si="4"/>
        <v/>
      </c>
      <c r="C60" s="34"/>
      <c r="D60" s="34"/>
      <c r="E60" s="34"/>
      <c r="F60" s="34"/>
      <c r="G60" s="179"/>
      <c r="H60" s="191">
        <v>55</v>
      </c>
      <c r="I60" s="192" t="str">
        <f t="shared" si="0"/>
        <v/>
      </c>
      <c r="J60" s="191" t="e">
        <f t="shared" si="5"/>
        <v>#NUM!</v>
      </c>
      <c r="K60" s="191" t="e">
        <f t="shared" si="1"/>
        <v>#NUM!</v>
      </c>
      <c r="L60" s="191"/>
      <c r="M60" s="193">
        <f t="shared" si="2"/>
        <v>0</v>
      </c>
    </row>
    <row r="61" spans="1:13" x14ac:dyDescent="0.25">
      <c r="A61" s="98"/>
      <c r="B61" s="39" t="str">
        <f t="shared" si="4"/>
        <v/>
      </c>
      <c r="C61" s="40"/>
      <c r="D61" s="40"/>
      <c r="E61" s="40"/>
      <c r="F61" s="40"/>
      <c r="G61" s="179"/>
      <c r="H61" s="194">
        <v>56</v>
      </c>
      <c r="I61" s="195" t="str">
        <f t="shared" si="0"/>
        <v/>
      </c>
      <c r="J61" s="194" t="e">
        <f t="shared" si="5"/>
        <v>#NUM!</v>
      </c>
      <c r="K61" s="194" t="e">
        <f t="shared" si="1"/>
        <v>#NUM!</v>
      </c>
      <c r="L61" s="194"/>
      <c r="M61" s="196">
        <f t="shared" si="2"/>
        <v>0</v>
      </c>
    </row>
    <row r="62" spans="1:13" x14ac:dyDescent="0.25">
      <c r="A62" s="94"/>
      <c r="B62" s="33" t="str">
        <f t="shared" si="4"/>
        <v/>
      </c>
      <c r="C62" s="34"/>
      <c r="D62" s="34"/>
      <c r="E62" s="34"/>
      <c r="F62" s="34"/>
      <c r="G62" s="179"/>
      <c r="H62" s="191">
        <v>57</v>
      </c>
      <c r="I62" s="192" t="str">
        <f t="shared" si="0"/>
        <v/>
      </c>
      <c r="J62" s="191" t="e">
        <f t="shared" si="5"/>
        <v>#NUM!</v>
      </c>
      <c r="K62" s="191" t="e">
        <f t="shared" si="1"/>
        <v>#NUM!</v>
      </c>
      <c r="L62" s="191"/>
      <c r="M62" s="193">
        <f t="shared" si="2"/>
        <v>0</v>
      </c>
    </row>
    <row r="63" spans="1:13" x14ac:dyDescent="0.25">
      <c r="A63" s="98"/>
      <c r="B63" s="39" t="str">
        <f t="shared" si="4"/>
        <v/>
      </c>
      <c r="C63" s="40"/>
      <c r="D63" s="40"/>
      <c r="E63" s="40"/>
      <c r="F63" s="40"/>
      <c r="G63" s="179"/>
      <c r="H63" s="194">
        <v>58</v>
      </c>
      <c r="I63" s="195" t="str">
        <f t="shared" si="0"/>
        <v/>
      </c>
      <c r="J63" s="194" t="e">
        <f t="shared" si="5"/>
        <v>#NUM!</v>
      </c>
      <c r="K63" s="194" t="e">
        <f t="shared" si="1"/>
        <v>#NUM!</v>
      </c>
      <c r="L63" s="194"/>
      <c r="M63" s="196">
        <f t="shared" si="2"/>
        <v>0</v>
      </c>
    </row>
    <row r="64" spans="1:13" x14ac:dyDescent="0.25">
      <c r="A64" s="94"/>
      <c r="B64" s="33" t="str">
        <f t="shared" si="4"/>
        <v/>
      </c>
      <c r="C64" s="34"/>
      <c r="D64" s="34"/>
      <c r="E64" s="34"/>
      <c r="F64" s="34"/>
      <c r="G64" s="179"/>
      <c r="H64" s="191">
        <v>59</v>
      </c>
      <c r="I64" s="192" t="str">
        <f t="shared" si="0"/>
        <v/>
      </c>
      <c r="J64" s="191" t="e">
        <f t="shared" si="5"/>
        <v>#NUM!</v>
      </c>
      <c r="K64" s="191" t="e">
        <f t="shared" si="1"/>
        <v>#NUM!</v>
      </c>
      <c r="L64" s="191"/>
      <c r="M64" s="193">
        <f t="shared" si="2"/>
        <v>0</v>
      </c>
    </row>
    <row r="65" spans="1:13" x14ac:dyDescent="0.25">
      <c r="A65" s="98"/>
      <c r="B65" s="39" t="str">
        <f t="shared" si="4"/>
        <v/>
      </c>
      <c r="C65" s="40"/>
      <c r="D65" s="40"/>
      <c r="E65" s="40"/>
      <c r="F65" s="40"/>
      <c r="G65" s="179"/>
      <c r="H65" s="194">
        <v>60</v>
      </c>
      <c r="I65" s="195" t="str">
        <f t="shared" si="0"/>
        <v/>
      </c>
      <c r="J65" s="194" t="e">
        <f t="shared" si="5"/>
        <v>#NUM!</v>
      </c>
      <c r="K65" s="194" t="e">
        <f t="shared" si="1"/>
        <v>#NUM!</v>
      </c>
      <c r="L65" s="194"/>
      <c r="M65" s="196">
        <f t="shared" si="2"/>
        <v>0</v>
      </c>
    </row>
    <row r="66" spans="1:13" x14ac:dyDescent="0.25">
      <c r="A66" s="216"/>
      <c r="B66" s="33"/>
      <c r="G66" s="179"/>
      <c r="H66" s="191">
        <v>61</v>
      </c>
      <c r="I66" s="192" t="str">
        <f t="shared" si="0"/>
        <v/>
      </c>
      <c r="J66" s="191" t="e">
        <f t="shared" si="5"/>
        <v>#NUM!</v>
      </c>
      <c r="K66" s="191" t="e">
        <f t="shared" si="1"/>
        <v>#NUM!</v>
      </c>
      <c r="L66" s="191"/>
      <c r="M66" s="193">
        <f t="shared" si="2"/>
        <v>0</v>
      </c>
    </row>
    <row r="67" spans="1:13" x14ac:dyDescent="0.25">
      <c r="A67" s="216"/>
      <c r="B67" s="39"/>
      <c r="G67" s="179"/>
      <c r="H67" s="191">
        <v>62</v>
      </c>
      <c r="I67" s="192" t="str">
        <f t="shared" si="0"/>
        <v/>
      </c>
      <c r="J67" s="191" t="e">
        <f t="shared" si="5"/>
        <v>#NUM!</v>
      </c>
      <c r="K67" s="191" t="e">
        <f t="shared" si="1"/>
        <v>#NUM!</v>
      </c>
      <c r="L67" s="191"/>
      <c r="M67" s="193">
        <f t="shared" si="2"/>
        <v>0</v>
      </c>
    </row>
    <row r="68" spans="1:13" x14ac:dyDescent="0.25">
      <c r="A68" s="216"/>
      <c r="B68" s="33"/>
      <c r="G68" s="179"/>
      <c r="H68" s="191">
        <v>63</v>
      </c>
      <c r="I68" s="192" t="str">
        <f t="shared" si="0"/>
        <v/>
      </c>
      <c r="J68" s="191" t="e">
        <f t="shared" si="5"/>
        <v>#NUM!</v>
      </c>
      <c r="K68" s="191" t="e">
        <f t="shared" si="1"/>
        <v>#NUM!</v>
      </c>
      <c r="L68" s="191"/>
      <c r="M68" s="193">
        <f t="shared" si="2"/>
        <v>0</v>
      </c>
    </row>
    <row r="69" spans="1:13" x14ac:dyDescent="0.25">
      <c r="A69" s="216"/>
      <c r="B69" s="39"/>
      <c r="G69" s="179"/>
      <c r="H69" s="191">
        <v>64</v>
      </c>
      <c r="I69" s="192" t="str">
        <f t="shared" si="0"/>
        <v/>
      </c>
      <c r="J69" s="191" t="e">
        <f t="shared" si="5"/>
        <v>#NUM!</v>
      </c>
      <c r="K69" s="191" t="e">
        <f t="shared" si="1"/>
        <v>#NUM!</v>
      </c>
      <c r="L69" s="191"/>
      <c r="M69" s="193">
        <f t="shared" si="2"/>
        <v>0</v>
      </c>
    </row>
    <row r="70" spans="1:13" x14ac:dyDescent="0.25">
      <c r="A70" s="216"/>
      <c r="G70" s="179"/>
      <c r="H70" s="191">
        <v>65</v>
      </c>
      <c r="I70" s="192" t="str">
        <f t="shared" ref="I70:I133" si="6">IF(H70&lt;$H$2+1,($I$2-($I$2-1)*(LOG(H70)/LOG($H$2))),"")</f>
        <v/>
      </c>
      <c r="J70" s="191" t="e">
        <f t="shared" si="5"/>
        <v>#NUM!</v>
      </c>
      <c r="K70" s="191" t="e">
        <f t="shared" ref="K70:K133" si="7">J70*$J$2</f>
        <v>#NUM!</v>
      </c>
      <c r="L70" s="191"/>
      <c r="M70" s="193">
        <f t="shared" ref="M70:M133" si="8">IF(I70&lt;&gt;"",K70+I70+L70,0)</f>
        <v>0</v>
      </c>
    </row>
    <row r="71" spans="1:13" x14ac:dyDescent="0.25">
      <c r="A71" s="216"/>
      <c r="G71" s="179"/>
      <c r="H71" s="191">
        <v>66</v>
      </c>
      <c r="I71" s="192" t="str">
        <f t="shared" si="6"/>
        <v/>
      </c>
      <c r="J71" s="191" t="e">
        <f t="shared" ref="J71:J134" si="9">INT(LOG($H$2,2))-ROUNDUP(LOG(H71,2),0)+IF(OR($H$2=1,$H$2=2,$H$2=4,$H$2=8,$H$2=16,$H$2=32,$H$2=64,$H$2=128,$H$2=256),0,1)</f>
        <v>#NUM!</v>
      </c>
      <c r="K71" s="191" t="e">
        <f t="shared" si="7"/>
        <v>#NUM!</v>
      </c>
      <c r="L71" s="191"/>
      <c r="M71" s="193">
        <f t="shared" si="8"/>
        <v>0</v>
      </c>
    </row>
    <row r="72" spans="1:13" x14ac:dyDescent="0.25">
      <c r="A72" s="216"/>
      <c r="G72" s="179"/>
      <c r="H72" s="191">
        <v>67</v>
      </c>
      <c r="I72" s="192" t="str">
        <f t="shared" si="6"/>
        <v/>
      </c>
      <c r="J72" s="191" t="e">
        <f t="shared" si="9"/>
        <v>#NUM!</v>
      </c>
      <c r="K72" s="191" t="e">
        <f t="shared" si="7"/>
        <v>#NUM!</v>
      </c>
      <c r="L72" s="191"/>
      <c r="M72" s="193">
        <f t="shared" si="8"/>
        <v>0</v>
      </c>
    </row>
    <row r="73" spans="1:13" x14ac:dyDescent="0.25">
      <c r="A73" s="216"/>
      <c r="G73" s="179"/>
      <c r="H73" s="191">
        <v>68</v>
      </c>
      <c r="I73" s="192" t="str">
        <f t="shared" si="6"/>
        <v/>
      </c>
      <c r="J73" s="191" t="e">
        <f t="shared" si="9"/>
        <v>#NUM!</v>
      </c>
      <c r="K73" s="191" t="e">
        <f t="shared" si="7"/>
        <v>#NUM!</v>
      </c>
      <c r="L73" s="191"/>
      <c r="M73" s="193">
        <f t="shared" si="8"/>
        <v>0</v>
      </c>
    </row>
    <row r="74" spans="1:13" x14ac:dyDescent="0.25">
      <c r="A74" s="216"/>
      <c r="G74" s="179"/>
      <c r="H74" s="191">
        <v>69</v>
      </c>
      <c r="I74" s="192" t="str">
        <f t="shared" si="6"/>
        <v/>
      </c>
      <c r="J74" s="191" t="e">
        <f t="shared" si="9"/>
        <v>#NUM!</v>
      </c>
      <c r="K74" s="191" t="e">
        <f t="shared" si="7"/>
        <v>#NUM!</v>
      </c>
      <c r="L74" s="191"/>
      <c r="M74" s="193">
        <f t="shared" si="8"/>
        <v>0</v>
      </c>
    </row>
    <row r="75" spans="1:13" x14ac:dyDescent="0.25">
      <c r="A75" s="216"/>
      <c r="G75" s="179"/>
      <c r="H75" s="191">
        <v>70</v>
      </c>
      <c r="I75" s="192" t="str">
        <f t="shared" si="6"/>
        <v/>
      </c>
      <c r="J75" s="191" t="e">
        <f t="shared" si="9"/>
        <v>#NUM!</v>
      </c>
      <c r="K75" s="191" t="e">
        <f t="shared" si="7"/>
        <v>#NUM!</v>
      </c>
      <c r="L75" s="191"/>
      <c r="M75" s="193">
        <f t="shared" si="8"/>
        <v>0</v>
      </c>
    </row>
    <row r="76" spans="1:13" x14ac:dyDescent="0.25">
      <c r="A76" s="216"/>
      <c r="G76" s="179"/>
      <c r="H76" s="191">
        <v>71</v>
      </c>
      <c r="I76" s="192" t="str">
        <f t="shared" si="6"/>
        <v/>
      </c>
      <c r="J76" s="191" t="e">
        <f t="shared" si="9"/>
        <v>#NUM!</v>
      </c>
      <c r="K76" s="191" t="e">
        <f t="shared" si="7"/>
        <v>#NUM!</v>
      </c>
      <c r="L76" s="191"/>
      <c r="M76" s="193">
        <f t="shared" si="8"/>
        <v>0</v>
      </c>
    </row>
    <row r="77" spans="1:13" x14ac:dyDescent="0.25">
      <c r="A77" s="216"/>
      <c r="G77" s="179"/>
      <c r="H77" s="191">
        <v>72</v>
      </c>
      <c r="I77" s="192" t="str">
        <f t="shared" si="6"/>
        <v/>
      </c>
      <c r="J77" s="191" t="e">
        <f t="shared" si="9"/>
        <v>#NUM!</v>
      </c>
      <c r="K77" s="191" t="e">
        <f t="shared" si="7"/>
        <v>#NUM!</v>
      </c>
      <c r="L77" s="191"/>
      <c r="M77" s="193">
        <f t="shared" si="8"/>
        <v>0</v>
      </c>
    </row>
    <row r="78" spans="1:13" x14ac:dyDescent="0.25">
      <c r="A78" s="216"/>
      <c r="G78" s="179"/>
      <c r="H78" s="191">
        <v>73</v>
      </c>
      <c r="I78" s="192" t="str">
        <f t="shared" si="6"/>
        <v/>
      </c>
      <c r="J78" s="191" t="e">
        <f t="shared" si="9"/>
        <v>#NUM!</v>
      </c>
      <c r="K78" s="191" t="e">
        <f t="shared" si="7"/>
        <v>#NUM!</v>
      </c>
      <c r="L78" s="191"/>
      <c r="M78" s="193">
        <f t="shared" si="8"/>
        <v>0</v>
      </c>
    </row>
    <row r="79" spans="1:13" x14ac:dyDescent="0.25">
      <c r="A79" s="216"/>
      <c r="G79" s="179"/>
      <c r="H79" s="191">
        <v>74</v>
      </c>
      <c r="I79" s="192" t="str">
        <f t="shared" si="6"/>
        <v/>
      </c>
      <c r="J79" s="191" t="e">
        <f t="shared" si="9"/>
        <v>#NUM!</v>
      </c>
      <c r="K79" s="191" t="e">
        <f t="shared" si="7"/>
        <v>#NUM!</v>
      </c>
      <c r="L79" s="191"/>
      <c r="M79" s="193">
        <f t="shared" si="8"/>
        <v>0</v>
      </c>
    </row>
    <row r="80" spans="1:13" x14ac:dyDescent="0.25">
      <c r="A80" s="216"/>
      <c r="G80" s="179"/>
      <c r="H80" s="191">
        <v>75</v>
      </c>
      <c r="I80" s="192" t="str">
        <f t="shared" si="6"/>
        <v/>
      </c>
      <c r="J80" s="191" t="e">
        <f t="shared" si="9"/>
        <v>#NUM!</v>
      </c>
      <c r="K80" s="191" t="e">
        <f t="shared" si="7"/>
        <v>#NUM!</v>
      </c>
      <c r="L80" s="191"/>
      <c r="M80" s="193">
        <f t="shared" si="8"/>
        <v>0</v>
      </c>
    </row>
    <row r="81" spans="1:13" x14ac:dyDescent="0.25">
      <c r="A81" s="216"/>
      <c r="G81" s="179"/>
      <c r="H81" s="191">
        <v>76</v>
      </c>
      <c r="I81" s="192" t="str">
        <f t="shared" si="6"/>
        <v/>
      </c>
      <c r="J81" s="191" t="e">
        <f t="shared" si="9"/>
        <v>#NUM!</v>
      </c>
      <c r="K81" s="191" t="e">
        <f t="shared" si="7"/>
        <v>#NUM!</v>
      </c>
      <c r="L81" s="191"/>
      <c r="M81" s="193">
        <f t="shared" si="8"/>
        <v>0</v>
      </c>
    </row>
    <row r="82" spans="1:13" x14ac:dyDescent="0.25">
      <c r="A82" s="216"/>
      <c r="G82" s="179"/>
      <c r="H82" s="191">
        <v>77</v>
      </c>
      <c r="I82" s="192" t="str">
        <f t="shared" si="6"/>
        <v/>
      </c>
      <c r="J82" s="191" t="e">
        <f t="shared" si="9"/>
        <v>#NUM!</v>
      </c>
      <c r="K82" s="191" t="e">
        <f t="shared" si="7"/>
        <v>#NUM!</v>
      </c>
      <c r="L82" s="191"/>
      <c r="M82" s="193">
        <f t="shared" si="8"/>
        <v>0</v>
      </c>
    </row>
    <row r="83" spans="1:13" x14ac:dyDescent="0.25">
      <c r="A83" s="216"/>
      <c r="G83" s="179"/>
      <c r="H83" s="191">
        <v>78</v>
      </c>
      <c r="I83" s="192" t="str">
        <f t="shared" si="6"/>
        <v/>
      </c>
      <c r="J83" s="191" t="e">
        <f t="shared" si="9"/>
        <v>#NUM!</v>
      </c>
      <c r="K83" s="191" t="e">
        <f t="shared" si="7"/>
        <v>#NUM!</v>
      </c>
      <c r="L83" s="191"/>
      <c r="M83" s="193">
        <f t="shared" si="8"/>
        <v>0</v>
      </c>
    </row>
    <row r="84" spans="1:13" x14ac:dyDescent="0.25">
      <c r="A84" s="216"/>
      <c r="G84" s="179"/>
      <c r="H84" s="191">
        <v>79</v>
      </c>
      <c r="I84" s="192" t="str">
        <f t="shared" si="6"/>
        <v/>
      </c>
      <c r="J84" s="191" t="e">
        <f t="shared" si="9"/>
        <v>#NUM!</v>
      </c>
      <c r="K84" s="191" t="e">
        <f t="shared" si="7"/>
        <v>#NUM!</v>
      </c>
      <c r="L84" s="191"/>
      <c r="M84" s="193">
        <f t="shared" si="8"/>
        <v>0</v>
      </c>
    </row>
    <row r="85" spans="1:13" x14ac:dyDescent="0.25">
      <c r="A85" s="216"/>
      <c r="G85" s="179"/>
      <c r="H85" s="191">
        <v>80</v>
      </c>
      <c r="I85" s="192" t="str">
        <f t="shared" si="6"/>
        <v/>
      </c>
      <c r="J85" s="191" t="e">
        <f t="shared" si="9"/>
        <v>#NUM!</v>
      </c>
      <c r="K85" s="191" t="e">
        <f t="shared" si="7"/>
        <v>#NUM!</v>
      </c>
      <c r="L85" s="191"/>
      <c r="M85" s="193">
        <f t="shared" si="8"/>
        <v>0</v>
      </c>
    </row>
    <row r="86" spans="1:13" x14ac:dyDescent="0.25">
      <c r="A86" s="216"/>
      <c r="G86" s="179"/>
      <c r="H86" s="191">
        <v>81</v>
      </c>
      <c r="I86" s="192" t="str">
        <f t="shared" si="6"/>
        <v/>
      </c>
      <c r="J86" s="191" t="e">
        <f t="shared" si="9"/>
        <v>#NUM!</v>
      </c>
      <c r="K86" s="191" t="e">
        <f t="shared" si="7"/>
        <v>#NUM!</v>
      </c>
      <c r="L86" s="191"/>
      <c r="M86" s="193">
        <f t="shared" si="8"/>
        <v>0</v>
      </c>
    </row>
    <row r="87" spans="1:13" x14ac:dyDescent="0.25">
      <c r="A87" s="216"/>
      <c r="G87" s="179"/>
      <c r="H87" s="191">
        <v>82</v>
      </c>
      <c r="I87" s="192" t="str">
        <f t="shared" si="6"/>
        <v/>
      </c>
      <c r="J87" s="191" t="e">
        <f t="shared" si="9"/>
        <v>#NUM!</v>
      </c>
      <c r="K87" s="191" t="e">
        <f t="shared" si="7"/>
        <v>#NUM!</v>
      </c>
      <c r="L87" s="191"/>
      <c r="M87" s="193">
        <f t="shared" si="8"/>
        <v>0</v>
      </c>
    </row>
    <row r="88" spans="1:13" x14ac:dyDescent="0.25">
      <c r="A88" s="216"/>
      <c r="G88" s="179"/>
      <c r="H88" s="191">
        <v>83</v>
      </c>
      <c r="I88" s="192" t="str">
        <f t="shared" si="6"/>
        <v/>
      </c>
      <c r="J88" s="191" t="e">
        <f t="shared" si="9"/>
        <v>#NUM!</v>
      </c>
      <c r="K88" s="191" t="e">
        <f t="shared" si="7"/>
        <v>#NUM!</v>
      </c>
      <c r="L88" s="191"/>
      <c r="M88" s="193">
        <f t="shared" si="8"/>
        <v>0</v>
      </c>
    </row>
    <row r="89" spans="1:13" x14ac:dyDescent="0.25">
      <c r="A89" s="216"/>
      <c r="G89" s="179"/>
      <c r="H89" s="191">
        <v>84</v>
      </c>
      <c r="I89" s="192" t="str">
        <f t="shared" si="6"/>
        <v/>
      </c>
      <c r="J89" s="191" t="e">
        <f t="shared" si="9"/>
        <v>#NUM!</v>
      </c>
      <c r="K89" s="191" t="e">
        <f t="shared" si="7"/>
        <v>#NUM!</v>
      </c>
      <c r="L89" s="191"/>
      <c r="M89" s="193">
        <f t="shared" si="8"/>
        <v>0</v>
      </c>
    </row>
    <row r="90" spans="1:13" x14ac:dyDescent="0.25">
      <c r="A90" s="216"/>
      <c r="G90" s="179"/>
      <c r="H90" s="191">
        <v>85</v>
      </c>
      <c r="I90" s="192" t="str">
        <f t="shared" si="6"/>
        <v/>
      </c>
      <c r="J90" s="191" t="e">
        <f t="shared" si="9"/>
        <v>#NUM!</v>
      </c>
      <c r="K90" s="191" t="e">
        <f t="shared" si="7"/>
        <v>#NUM!</v>
      </c>
      <c r="L90" s="191"/>
      <c r="M90" s="193">
        <f t="shared" si="8"/>
        <v>0</v>
      </c>
    </row>
    <row r="91" spans="1:13" x14ac:dyDescent="0.25">
      <c r="A91" s="216"/>
      <c r="G91" s="179"/>
      <c r="H91" s="191">
        <v>86</v>
      </c>
      <c r="I91" s="192" t="str">
        <f t="shared" si="6"/>
        <v/>
      </c>
      <c r="J91" s="191" t="e">
        <f t="shared" si="9"/>
        <v>#NUM!</v>
      </c>
      <c r="K91" s="191" t="e">
        <f t="shared" si="7"/>
        <v>#NUM!</v>
      </c>
      <c r="L91" s="191"/>
      <c r="M91" s="193">
        <f t="shared" si="8"/>
        <v>0</v>
      </c>
    </row>
    <row r="92" spans="1:13" x14ac:dyDescent="0.25">
      <c r="A92" s="216"/>
      <c r="G92" s="179"/>
      <c r="H92" s="191">
        <v>87</v>
      </c>
      <c r="I92" s="192" t="str">
        <f t="shared" si="6"/>
        <v/>
      </c>
      <c r="J92" s="191" t="e">
        <f t="shared" si="9"/>
        <v>#NUM!</v>
      </c>
      <c r="K92" s="191" t="e">
        <f t="shared" si="7"/>
        <v>#NUM!</v>
      </c>
      <c r="L92" s="191"/>
      <c r="M92" s="193">
        <f t="shared" si="8"/>
        <v>0</v>
      </c>
    </row>
    <row r="93" spans="1:13" x14ac:dyDescent="0.25">
      <c r="A93" s="216"/>
      <c r="G93" s="179"/>
      <c r="H93" s="191">
        <v>88</v>
      </c>
      <c r="I93" s="192" t="str">
        <f t="shared" si="6"/>
        <v/>
      </c>
      <c r="J93" s="191" t="e">
        <f t="shared" si="9"/>
        <v>#NUM!</v>
      </c>
      <c r="K93" s="191" t="e">
        <f t="shared" si="7"/>
        <v>#NUM!</v>
      </c>
      <c r="L93" s="191"/>
      <c r="M93" s="193">
        <f t="shared" si="8"/>
        <v>0</v>
      </c>
    </row>
    <row r="94" spans="1:13" x14ac:dyDescent="0.25">
      <c r="A94" s="216"/>
      <c r="G94" s="179"/>
      <c r="H94" s="191">
        <v>89</v>
      </c>
      <c r="I94" s="192" t="str">
        <f t="shared" si="6"/>
        <v/>
      </c>
      <c r="J94" s="191" t="e">
        <f t="shared" si="9"/>
        <v>#NUM!</v>
      </c>
      <c r="K94" s="191" t="e">
        <f t="shared" si="7"/>
        <v>#NUM!</v>
      </c>
      <c r="L94" s="191"/>
      <c r="M94" s="193">
        <f t="shared" si="8"/>
        <v>0</v>
      </c>
    </row>
    <row r="95" spans="1:13" x14ac:dyDescent="0.25">
      <c r="A95" s="216"/>
      <c r="G95" s="179"/>
      <c r="H95" s="191">
        <v>90</v>
      </c>
      <c r="I95" s="192" t="str">
        <f t="shared" si="6"/>
        <v/>
      </c>
      <c r="J95" s="191" t="e">
        <f t="shared" si="9"/>
        <v>#NUM!</v>
      </c>
      <c r="K95" s="191" t="e">
        <f t="shared" si="7"/>
        <v>#NUM!</v>
      </c>
      <c r="L95" s="191"/>
      <c r="M95" s="193">
        <f t="shared" si="8"/>
        <v>0</v>
      </c>
    </row>
    <row r="96" spans="1:13" x14ac:dyDescent="0.25">
      <c r="A96" s="216"/>
      <c r="G96" s="179"/>
      <c r="H96" s="191">
        <v>91</v>
      </c>
      <c r="I96" s="192" t="str">
        <f t="shared" si="6"/>
        <v/>
      </c>
      <c r="J96" s="191" t="e">
        <f t="shared" si="9"/>
        <v>#NUM!</v>
      </c>
      <c r="K96" s="191" t="e">
        <f t="shared" si="7"/>
        <v>#NUM!</v>
      </c>
      <c r="L96" s="191"/>
      <c r="M96" s="193">
        <f t="shared" si="8"/>
        <v>0</v>
      </c>
    </row>
    <row r="97" spans="1:13" x14ac:dyDescent="0.25">
      <c r="A97" s="216"/>
      <c r="G97" s="179"/>
      <c r="H97" s="191">
        <v>92</v>
      </c>
      <c r="I97" s="192" t="str">
        <f t="shared" si="6"/>
        <v/>
      </c>
      <c r="J97" s="191" t="e">
        <f t="shared" si="9"/>
        <v>#NUM!</v>
      </c>
      <c r="K97" s="191" t="e">
        <f t="shared" si="7"/>
        <v>#NUM!</v>
      </c>
      <c r="L97" s="191"/>
      <c r="M97" s="193">
        <f t="shared" si="8"/>
        <v>0</v>
      </c>
    </row>
    <row r="98" spans="1:13" x14ac:dyDescent="0.25">
      <c r="A98" s="216"/>
      <c r="G98" s="179"/>
      <c r="H98" s="191">
        <v>93</v>
      </c>
      <c r="I98" s="192" t="str">
        <f t="shared" si="6"/>
        <v/>
      </c>
      <c r="J98" s="191" t="e">
        <f t="shared" si="9"/>
        <v>#NUM!</v>
      </c>
      <c r="K98" s="191" t="e">
        <f t="shared" si="7"/>
        <v>#NUM!</v>
      </c>
      <c r="L98" s="191"/>
      <c r="M98" s="193">
        <f t="shared" si="8"/>
        <v>0</v>
      </c>
    </row>
    <row r="99" spans="1:13" x14ac:dyDescent="0.25">
      <c r="A99" s="216"/>
      <c r="G99" s="179"/>
      <c r="H99" s="191">
        <v>94</v>
      </c>
      <c r="I99" s="192" t="str">
        <f t="shared" si="6"/>
        <v/>
      </c>
      <c r="J99" s="191" t="e">
        <f t="shared" si="9"/>
        <v>#NUM!</v>
      </c>
      <c r="K99" s="191" t="e">
        <f t="shared" si="7"/>
        <v>#NUM!</v>
      </c>
      <c r="L99" s="191"/>
      <c r="M99" s="193">
        <f t="shared" si="8"/>
        <v>0</v>
      </c>
    </row>
    <row r="100" spans="1:13" x14ac:dyDescent="0.25">
      <c r="A100" s="216"/>
      <c r="G100" s="179"/>
      <c r="H100" s="191">
        <v>95</v>
      </c>
      <c r="I100" s="192" t="str">
        <f t="shared" si="6"/>
        <v/>
      </c>
      <c r="J100" s="191" t="e">
        <f t="shared" si="9"/>
        <v>#NUM!</v>
      </c>
      <c r="K100" s="191" t="e">
        <f t="shared" si="7"/>
        <v>#NUM!</v>
      </c>
      <c r="L100" s="191"/>
      <c r="M100" s="193">
        <f t="shared" si="8"/>
        <v>0</v>
      </c>
    </row>
    <row r="101" spans="1:13" x14ac:dyDescent="0.25">
      <c r="A101" s="208"/>
      <c r="G101" s="179"/>
      <c r="H101" s="191">
        <v>96</v>
      </c>
      <c r="I101" s="192" t="str">
        <f t="shared" si="6"/>
        <v/>
      </c>
      <c r="J101" s="191" t="e">
        <f t="shared" si="9"/>
        <v>#NUM!</v>
      </c>
      <c r="K101" s="191" t="e">
        <f t="shared" si="7"/>
        <v>#NUM!</v>
      </c>
      <c r="L101" s="191"/>
      <c r="M101" s="193">
        <f t="shared" si="8"/>
        <v>0</v>
      </c>
    </row>
    <row r="102" spans="1:13" x14ac:dyDescent="0.25">
      <c r="A102" s="208"/>
      <c r="G102" s="179"/>
      <c r="H102" s="191">
        <v>97</v>
      </c>
      <c r="I102" s="192" t="str">
        <f t="shared" si="6"/>
        <v/>
      </c>
      <c r="J102" s="191" t="e">
        <f t="shared" si="9"/>
        <v>#NUM!</v>
      </c>
      <c r="K102" s="191" t="e">
        <f t="shared" si="7"/>
        <v>#NUM!</v>
      </c>
      <c r="L102" s="191"/>
      <c r="M102" s="193">
        <f t="shared" si="8"/>
        <v>0</v>
      </c>
    </row>
    <row r="103" spans="1:13" x14ac:dyDescent="0.25">
      <c r="A103" s="208"/>
      <c r="G103" s="179"/>
      <c r="H103" s="191">
        <v>98</v>
      </c>
      <c r="I103" s="192" t="str">
        <f t="shared" si="6"/>
        <v/>
      </c>
      <c r="J103" s="191" t="e">
        <f t="shared" si="9"/>
        <v>#NUM!</v>
      </c>
      <c r="K103" s="191" t="e">
        <f t="shared" si="7"/>
        <v>#NUM!</v>
      </c>
      <c r="L103" s="191"/>
      <c r="M103" s="193">
        <f t="shared" si="8"/>
        <v>0</v>
      </c>
    </row>
    <row r="104" spans="1:13" x14ac:dyDescent="0.25">
      <c r="A104" s="208"/>
      <c r="G104" s="179"/>
      <c r="H104" s="191">
        <v>99</v>
      </c>
      <c r="I104" s="192" t="str">
        <f t="shared" si="6"/>
        <v/>
      </c>
      <c r="J104" s="191" t="e">
        <f t="shared" si="9"/>
        <v>#NUM!</v>
      </c>
      <c r="K104" s="191" t="e">
        <f t="shared" si="7"/>
        <v>#NUM!</v>
      </c>
      <c r="L104" s="191"/>
      <c r="M104" s="193">
        <f t="shared" si="8"/>
        <v>0</v>
      </c>
    </row>
    <row r="105" spans="1:13" x14ac:dyDescent="0.25">
      <c r="A105" s="208"/>
      <c r="G105" s="179"/>
      <c r="H105" s="191">
        <v>100</v>
      </c>
      <c r="I105" s="192" t="str">
        <f t="shared" si="6"/>
        <v/>
      </c>
      <c r="J105" s="191" t="e">
        <f t="shared" si="9"/>
        <v>#NUM!</v>
      </c>
      <c r="K105" s="191" t="e">
        <f t="shared" si="7"/>
        <v>#NUM!</v>
      </c>
      <c r="L105" s="191"/>
      <c r="M105" s="193">
        <f t="shared" si="8"/>
        <v>0</v>
      </c>
    </row>
    <row r="106" spans="1:13" x14ac:dyDescent="0.25">
      <c r="A106" s="208"/>
      <c r="G106" s="179"/>
      <c r="H106" s="191">
        <v>101</v>
      </c>
      <c r="I106" s="192" t="str">
        <f t="shared" si="6"/>
        <v/>
      </c>
      <c r="J106" s="191" t="e">
        <f t="shared" si="9"/>
        <v>#NUM!</v>
      </c>
      <c r="K106" s="191" t="e">
        <f t="shared" si="7"/>
        <v>#NUM!</v>
      </c>
      <c r="L106" s="191"/>
      <c r="M106" s="193">
        <f t="shared" si="8"/>
        <v>0</v>
      </c>
    </row>
    <row r="107" spans="1:13" x14ac:dyDescent="0.25">
      <c r="A107" s="208"/>
      <c r="G107" s="179"/>
      <c r="H107" s="191">
        <v>102</v>
      </c>
      <c r="I107" s="192" t="str">
        <f t="shared" si="6"/>
        <v/>
      </c>
      <c r="J107" s="191" t="e">
        <f t="shared" si="9"/>
        <v>#NUM!</v>
      </c>
      <c r="K107" s="191" t="e">
        <f t="shared" si="7"/>
        <v>#NUM!</v>
      </c>
      <c r="L107" s="191"/>
      <c r="M107" s="193">
        <f t="shared" si="8"/>
        <v>0</v>
      </c>
    </row>
    <row r="108" spans="1:13" x14ac:dyDescent="0.25">
      <c r="A108" s="208"/>
      <c r="G108" s="179"/>
      <c r="H108" s="191">
        <v>103</v>
      </c>
      <c r="I108" s="192" t="str">
        <f t="shared" si="6"/>
        <v/>
      </c>
      <c r="J108" s="191" t="e">
        <f t="shared" si="9"/>
        <v>#NUM!</v>
      </c>
      <c r="K108" s="191" t="e">
        <f t="shared" si="7"/>
        <v>#NUM!</v>
      </c>
      <c r="L108" s="191"/>
      <c r="M108" s="193">
        <f t="shared" si="8"/>
        <v>0</v>
      </c>
    </row>
    <row r="109" spans="1:13" x14ac:dyDescent="0.25">
      <c r="A109" s="208"/>
      <c r="G109" s="179"/>
      <c r="H109" s="191">
        <v>104</v>
      </c>
      <c r="I109" s="192" t="str">
        <f t="shared" si="6"/>
        <v/>
      </c>
      <c r="J109" s="191" t="e">
        <f t="shared" si="9"/>
        <v>#NUM!</v>
      </c>
      <c r="K109" s="191" t="e">
        <f t="shared" si="7"/>
        <v>#NUM!</v>
      </c>
      <c r="L109" s="191"/>
      <c r="M109" s="193">
        <f t="shared" si="8"/>
        <v>0</v>
      </c>
    </row>
    <row r="110" spans="1:13" x14ac:dyDescent="0.25">
      <c r="A110" s="208"/>
      <c r="G110" s="179"/>
      <c r="H110" s="191">
        <v>105</v>
      </c>
      <c r="I110" s="192" t="str">
        <f t="shared" si="6"/>
        <v/>
      </c>
      <c r="J110" s="191" t="e">
        <f t="shared" si="9"/>
        <v>#NUM!</v>
      </c>
      <c r="K110" s="191" t="e">
        <f t="shared" si="7"/>
        <v>#NUM!</v>
      </c>
      <c r="L110" s="191"/>
      <c r="M110" s="193">
        <f t="shared" si="8"/>
        <v>0</v>
      </c>
    </row>
    <row r="111" spans="1:13" x14ac:dyDescent="0.25">
      <c r="A111" s="208"/>
      <c r="G111" s="179"/>
      <c r="H111" s="191">
        <v>106</v>
      </c>
      <c r="I111" s="192" t="str">
        <f t="shared" si="6"/>
        <v/>
      </c>
      <c r="J111" s="191" t="e">
        <f t="shared" si="9"/>
        <v>#NUM!</v>
      </c>
      <c r="K111" s="191" t="e">
        <f t="shared" si="7"/>
        <v>#NUM!</v>
      </c>
      <c r="L111" s="191"/>
      <c r="M111" s="193">
        <f t="shared" si="8"/>
        <v>0</v>
      </c>
    </row>
    <row r="112" spans="1:13" x14ac:dyDescent="0.25">
      <c r="A112" s="208"/>
      <c r="G112" s="179"/>
      <c r="H112" s="191">
        <v>107</v>
      </c>
      <c r="I112" s="192" t="str">
        <f t="shared" si="6"/>
        <v/>
      </c>
      <c r="J112" s="191" t="e">
        <f t="shared" si="9"/>
        <v>#NUM!</v>
      </c>
      <c r="K112" s="191" t="e">
        <f t="shared" si="7"/>
        <v>#NUM!</v>
      </c>
      <c r="L112" s="191"/>
      <c r="M112" s="193">
        <f t="shared" si="8"/>
        <v>0</v>
      </c>
    </row>
    <row r="113" spans="1:13" x14ac:dyDescent="0.25">
      <c r="A113" s="208"/>
      <c r="G113" s="179"/>
      <c r="H113" s="191">
        <v>108</v>
      </c>
      <c r="I113" s="192" t="str">
        <f t="shared" si="6"/>
        <v/>
      </c>
      <c r="J113" s="191" t="e">
        <f t="shared" si="9"/>
        <v>#NUM!</v>
      </c>
      <c r="K113" s="191" t="e">
        <f t="shared" si="7"/>
        <v>#NUM!</v>
      </c>
      <c r="L113" s="191"/>
      <c r="M113" s="193">
        <f t="shared" si="8"/>
        <v>0</v>
      </c>
    </row>
    <row r="114" spans="1:13" x14ac:dyDescent="0.25">
      <c r="A114" s="208"/>
      <c r="G114" s="179"/>
      <c r="H114" s="191">
        <v>109</v>
      </c>
      <c r="I114" s="192" t="str">
        <f t="shared" si="6"/>
        <v/>
      </c>
      <c r="J114" s="191" t="e">
        <f t="shared" si="9"/>
        <v>#NUM!</v>
      </c>
      <c r="K114" s="191" t="e">
        <f t="shared" si="7"/>
        <v>#NUM!</v>
      </c>
      <c r="L114" s="191"/>
      <c r="M114" s="193">
        <f t="shared" si="8"/>
        <v>0</v>
      </c>
    </row>
    <row r="115" spans="1:13" x14ac:dyDescent="0.25">
      <c r="A115" s="208"/>
      <c r="G115" s="179"/>
      <c r="H115" s="191">
        <v>110</v>
      </c>
      <c r="I115" s="192" t="str">
        <f t="shared" si="6"/>
        <v/>
      </c>
      <c r="J115" s="191" t="e">
        <f t="shared" si="9"/>
        <v>#NUM!</v>
      </c>
      <c r="K115" s="191" t="e">
        <f t="shared" si="7"/>
        <v>#NUM!</v>
      </c>
      <c r="L115" s="191"/>
      <c r="M115" s="193">
        <f t="shared" si="8"/>
        <v>0</v>
      </c>
    </row>
    <row r="116" spans="1:13" x14ac:dyDescent="0.25">
      <c r="A116" s="208"/>
      <c r="G116" s="179"/>
      <c r="H116" s="191">
        <v>111</v>
      </c>
      <c r="I116" s="192" t="str">
        <f t="shared" si="6"/>
        <v/>
      </c>
      <c r="J116" s="191" t="e">
        <f t="shared" si="9"/>
        <v>#NUM!</v>
      </c>
      <c r="K116" s="191" t="e">
        <f t="shared" si="7"/>
        <v>#NUM!</v>
      </c>
      <c r="L116" s="191"/>
      <c r="M116" s="193">
        <f t="shared" si="8"/>
        <v>0</v>
      </c>
    </row>
    <row r="117" spans="1:13" x14ac:dyDescent="0.25">
      <c r="A117" s="208"/>
      <c r="G117" s="179"/>
      <c r="H117" s="191">
        <v>112</v>
      </c>
      <c r="I117" s="192" t="str">
        <f t="shared" si="6"/>
        <v/>
      </c>
      <c r="J117" s="191" t="e">
        <f t="shared" si="9"/>
        <v>#NUM!</v>
      </c>
      <c r="K117" s="191" t="e">
        <f t="shared" si="7"/>
        <v>#NUM!</v>
      </c>
      <c r="L117" s="191"/>
      <c r="M117" s="193">
        <f t="shared" si="8"/>
        <v>0</v>
      </c>
    </row>
    <row r="118" spans="1:13" x14ac:dyDescent="0.25">
      <c r="A118" s="208"/>
      <c r="G118" s="179"/>
      <c r="H118" s="191">
        <v>113</v>
      </c>
      <c r="I118" s="192" t="str">
        <f t="shared" si="6"/>
        <v/>
      </c>
      <c r="J118" s="191" t="e">
        <f t="shared" si="9"/>
        <v>#NUM!</v>
      </c>
      <c r="K118" s="191" t="e">
        <f t="shared" si="7"/>
        <v>#NUM!</v>
      </c>
      <c r="L118" s="191"/>
      <c r="M118" s="193">
        <f t="shared" si="8"/>
        <v>0</v>
      </c>
    </row>
    <row r="119" spans="1:13" x14ac:dyDescent="0.25">
      <c r="A119" s="208"/>
      <c r="G119" s="179"/>
      <c r="H119" s="191">
        <v>114</v>
      </c>
      <c r="I119" s="192" t="str">
        <f t="shared" si="6"/>
        <v/>
      </c>
      <c r="J119" s="191" t="e">
        <f t="shared" si="9"/>
        <v>#NUM!</v>
      </c>
      <c r="K119" s="191" t="e">
        <f t="shared" si="7"/>
        <v>#NUM!</v>
      </c>
      <c r="L119" s="191"/>
      <c r="M119" s="193">
        <f t="shared" si="8"/>
        <v>0</v>
      </c>
    </row>
    <row r="120" spans="1:13" x14ac:dyDescent="0.25">
      <c r="A120" s="208"/>
      <c r="G120" s="179"/>
      <c r="H120" s="191">
        <v>115</v>
      </c>
      <c r="I120" s="192" t="str">
        <f t="shared" si="6"/>
        <v/>
      </c>
      <c r="J120" s="191" t="e">
        <f t="shared" si="9"/>
        <v>#NUM!</v>
      </c>
      <c r="K120" s="191" t="e">
        <f t="shared" si="7"/>
        <v>#NUM!</v>
      </c>
      <c r="L120" s="191"/>
      <c r="M120" s="193">
        <f t="shared" si="8"/>
        <v>0</v>
      </c>
    </row>
    <row r="121" spans="1:13" x14ac:dyDescent="0.25">
      <c r="A121" s="208"/>
      <c r="G121" s="179"/>
      <c r="H121" s="191">
        <v>116</v>
      </c>
      <c r="I121" s="192" t="str">
        <f t="shared" si="6"/>
        <v/>
      </c>
      <c r="J121" s="191" t="e">
        <f t="shared" si="9"/>
        <v>#NUM!</v>
      </c>
      <c r="K121" s="191" t="e">
        <f t="shared" si="7"/>
        <v>#NUM!</v>
      </c>
      <c r="L121" s="191"/>
      <c r="M121" s="193">
        <f t="shared" si="8"/>
        <v>0</v>
      </c>
    </row>
    <row r="122" spans="1:13" x14ac:dyDescent="0.25">
      <c r="A122" s="208"/>
      <c r="G122" s="179"/>
      <c r="H122" s="191">
        <v>117</v>
      </c>
      <c r="I122" s="192" t="str">
        <f t="shared" si="6"/>
        <v/>
      </c>
      <c r="J122" s="191" t="e">
        <f t="shared" si="9"/>
        <v>#NUM!</v>
      </c>
      <c r="K122" s="191" t="e">
        <f t="shared" si="7"/>
        <v>#NUM!</v>
      </c>
      <c r="L122" s="191"/>
      <c r="M122" s="193">
        <f t="shared" si="8"/>
        <v>0</v>
      </c>
    </row>
    <row r="123" spans="1:13" x14ac:dyDescent="0.25">
      <c r="A123" s="208"/>
      <c r="G123" s="179"/>
      <c r="H123" s="191">
        <v>118</v>
      </c>
      <c r="I123" s="192" t="str">
        <f t="shared" si="6"/>
        <v/>
      </c>
      <c r="J123" s="191" t="e">
        <f t="shared" si="9"/>
        <v>#NUM!</v>
      </c>
      <c r="K123" s="191" t="e">
        <f t="shared" si="7"/>
        <v>#NUM!</v>
      </c>
      <c r="L123" s="191"/>
      <c r="M123" s="193">
        <f t="shared" si="8"/>
        <v>0</v>
      </c>
    </row>
    <row r="124" spans="1:13" x14ac:dyDescent="0.25">
      <c r="A124" s="208"/>
      <c r="G124" s="179"/>
      <c r="H124" s="191">
        <v>119</v>
      </c>
      <c r="I124" s="192" t="str">
        <f t="shared" si="6"/>
        <v/>
      </c>
      <c r="J124" s="191" t="e">
        <f t="shared" si="9"/>
        <v>#NUM!</v>
      </c>
      <c r="K124" s="191" t="e">
        <f t="shared" si="7"/>
        <v>#NUM!</v>
      </c>
      <c r="L124" s="191"/>
      <c r="M124" s="193">
        <f t="shared" si="8"/>
        <v>0</v>
      </c>
    </row>
    <row r="125" spans="1:13" x14ac:dyDescent="0.25">
      <c r="A125" s="208"/>
      <c r="G125" s="179"/>
      <c r="H125" s="191">
        <v>120</v>
      </c>
      <c r="I125" s="192" t="str">
        <f t="shared" si="6"/>
        <v/>
      </c>
      <c r="J125" s="191" t="e">
        <f t="shared" si="9"/>
        <v>#NUM!</v>
      </c>
      <c r="K125" s="191" t="e">
        <f t="shared" si="7"/>
        <v>#NUM!</v>
      </c>
      <c r="L125" s="191"/>
      <c r="M125" s="193">
        <f t="shared" si="8"/>
        <v>0</v>
      </c>
    </row>
    <row r="126" spans="1:13" x14ac:dyDescent="0.25">
      <c r="A126" s="208"/>
      <c r="G126" s="179"/>
      <c r="H126" s="191">
        <v>121</v>
      </c>
      <c r="I126" s="192" t="str">
        <f t="shared" si="6"/>
        <v/>
      </c>
      <c r="J126" s="191" t="e">
        <f t="shared" si="9"/>
        <v>#NUM!</v>
      </c>
      <c r="K126" s="191" t="e">
        <f t="shared" si="7"/>
        <v>#NUM!</v>
      </c>
      <c r="L126" s="191"/>
      <c r="M126" s="193">
        <f t="shared" si="8"/>
        <v>0</v>
      </c>
    </row>
    <row r="127" spans="1:13" x14ac:dyDescent="0.25">
      <c r="A127" s="208"/>
      <c r="G127" s="179"/>
      <c r="H127" s="191">
        <v>122</v>
      </c>
      <c r="I127" s="192" t="str">
        <f t="shared" si="6"/>
        <v/>
      </c>
      <c r="J127" s="191" t="e">
        <f t="shared" si="9"/>
        <v>#NUM!</v>
      </c>
      <c r="K127" s="191" t="e">
        <f t="shared" si="7"/>
        <v>#NUM!</v>
      </c>
      <c r="L127" s="191"/>
      <c r="M127" s="193">
        <f t="shared" si="8"/>
        <v>0</v>
      </c>
    </row>
    <row r="128" spans="1:13" x14ac:dyDescent="0.25">
      <c r="A128" s="208"/>
      <c r="G128" s="179"/>
      <c r="H128" s="191">
        <v>123</v>
      </c>
      <c r="I128" s="192" t="str">
        <f t="shared" si="6"/>
        <v/>
      </c>
      <c r="J128" s="191" t="e">
        <f t="shared" si="9"/>
        <v>#NUM!</v>
      </c>
      <c r="K128" s="191" t="e">
        <f t="shared" si="7"/>
        <v>#NUM!</v>
      </c>
      <c r="L128" s="191"/>
      <c r="M128" s="193">
        <f t="shared" si="8"/>
        <v>0</v>
      </c>
    </row>
    <row r="129" spans="1:13" x14ac:dyDescent="0.25">
      <c r="A129" s="208"/>
      <c r="G129" s="179"/>
      <c r="H129" s="191">
        <v>124</v>
      </c>
      <c r="I129" s="192" t="str">
        <f t="shared" si="6"/>
        <v/>
      </c>
      <c r="J129" s="191" t="e">
        <f t="shared" si="9"/>
        <v>#NUM!</v>
      </c>
      <c r="K129" s="191" t="e">
        <f t="shared" si="7"/>
        <v>#NUM!</v>
      </c>
      <c r="L129" s="191"/>
      <c r="M129" s="193">
        <f t="shared" si="8"/>
        <v>0</v>
      </c>
    </row>
    <row r="130" spans="1:13" x14ac:dyDescent="0.25">
      <c r="A130" s="208"/>
      <c r="G130" s="179"/>
      <c r="H130" s="191">
        <v>125</v>
      </c>
      <c r="I130" s="192" t="str">
        <f t="shared" si="6"/>
        <v/>
      </c>
      <c r="J130" s="191" t="e">
        <f t="shared" si="9"/>
        <v>#NUM!</v>
      </c>
      <c r="K130" s="191" t="e">
        <f t="shared" si="7"/>
        <v>#NUM!</v>
      </c>
      <c r="L130" s="191"/>
      <c r="M130" s="193">
        <f t="shared" si="8"/>
        <v>0</v>
      </c>
    </row>
    <row r="131" spans="1:13" x14ac:dyDescent="0.25">
      <c r="A131" s="208"/>
      <c r="G131" s="179"/>
      <c r="H131" s="191">
        <v>126</v>
      </c>
      <c r="I131" s="192" t="str">
        <f t="shared" si="6"/>
        <v/>
      </c>
      <c r="J131" s="191" t="e">
        <f t="shared" si="9"/>
        <v>#NUM!</v>
      </c>
      <c r="K131" s="191" t="e">
        <f t="shared" si="7"/>
        <v>#NUM!</v>
      </c>
      <c r="L131" s="191"/>
      <c r="M131" s="193">
        <f t="shared" si="8"/>
        <v>0</v>
      </c>
    </row>
    <row r="132" spans="1:13" x14ac:dyDescent="0.25">
      <c r="A132" s="208"/>
      <c r="G132" s="179"/>
      <c r="H132" s="191">
        <v>127</v>
      </c>
      <c r="I132" s="192" t="str">
        <f t="shared" si="6"/>
        <v/>
      </c>
      <c r="J132" s="191" t="e">
        <f t="shared" si="9"/>
        <v>#NUM!</v>
      </c>
      <c r="K132" s="191" t="e">
        <f t="shared" si="7"/>
        <v>#NUM!</v>
      </c>
      <c r="L132" s="191"/>
      <c r="M132" s="193">
        <f t="shared" si="8"/>
        <v>0</v>
      </c>
    </row>
    <row r="133" spans="1:13" x14ac:dyDescent="0.25">
      <c r="A133" s="208"/>
      <c r="G133" s="179"/>
      <c r="H133" s="191">
        <v>128</v>
      </c>
      <c r="I133" s="192" t="str">
        <f t="shared" si="6"/>
        <v/>
      </c>
      <c r="J133" s="191" t="e">
        <f t="shared" si="9"/>
        <v>#NUM!</v>
      </c>
      <c r="K133" s="191" t="e">
        <f t="shared" si="7"/>
        <v>#NUM!</v>
      </c>
      <c r="L133" s="191"/>
      <c r="M133" s="193">
        <f t="shared" si="8"/>
        <v>0</v>
      </c>
    </row>
    <row r="134" spans="1:13" x14ac:dyDescent="0.25">
      <c r="A134" s="208"/>
      <c r="G134" s="179"/>
      <c r="H134" s="191">
        <v>129</v>
      </c>
      <c r="I134" s="192" t="str">
        <f t="shared" ref="I134:I197" si="10">IF(H134&lt;$H$2+1,($I$2-($I$2-1)*(LOG(H134)/LOG($H$2))),"")</f>
        <v/>
      </c>
      <c r="J134" s="191" t="e">
        <f t="shared" si="9"/>
        <v>#NUM!</v>
      </c>
      <c r="K134" s="191" t="e">
        <f t="shared" ref="K134:K197" si="11">J134*$J$2</f>
        <v>#NUM!</v>
      </c>
      <c r="L134" s="191"/>
      <c r="M134" s="193">
        <f t="shared" ref="M134:M197" si="12">IF(I134&lt;&gt;"",K134+I134+L134,0)</f>
        <v>0</v>
      </c>
    </row>
    <row r="135" spans="1:13" x14ac:dyDescent="0.25">
      <c r="A135" s="208"/>
      <c r="G135" s="179"/>
      <c r="H135" s="191">
        <v>130</v>
      </c>
      <c r="I135" s="192" t="str">
        <f t="shared" si="10"/>
        <v/>
      </c>
      <c r="J135" s="191" t="e">
        <f t="shared" ref="J135:J198" si="13">INT(LOG($H$2,2))-ROUNDUP(LOG(H135,2),0)+IF(OR($H$2=1,$H$2=2,$H$2=4,$H$2=8,$H$2=16,$H$2=32,$H$2=64,$H$2=128,$H$2=256),0,1)</f>
        <v>#NUM!</v>
      </c>
      <c r="K135" s="191" t="e">
        <f t="shared" si="11"/>
        <v>#NUM!</v>
      </c>
      <c r="L135" s="191"/>
      <c r="M135" s="193">
        <f t="shared" si="12"/>
        <v>0</v>
      </c>
    </row>
    <row r="136" spans="1:13" x14ac:dyDescent="0.25">
      <c r="A136" s="208"/>
      <c r="G136" s="179"/>
      <c r="H136" s="191">
        <v>131</v>
      </c>
      <c r="I136" s="192" t="str">
        <f t="shared" si="10"/>
        <v/>
      </c>
      <c r="J136" s="191" t="e">
        <f t="shared" si="13"/>
        <v>#NUM!</v>
      </c>
      <c r="K136" s="191" t="e">
        <f t="shared" si="11"/>
        <v>#NUM!</v>
      </c>
      <c r="L136" s="191"/>
      <c r="M136" s="193">
        <f t="shared" si="12"/>
        <v>0</v>
      </c>
    </row>
    <row r="137" spans="1:13" x14ac:dyDescent="0.25">
      <c r="A137" s="208"/>
      <c r="G137" s="179"/>
      <c r="H137" s="191">
        <v>132</v>
      </c>
      <c r="I137" s="192" t="str">
        <f t="shared" si="10"/>
        <v/>
      </c>
      <c r="J137" s="191" t="e">
        <f t="shared" si="13"/>
        <v>#NUM!</v>
      </c>
      <c r="K137" s="191" t="e">
        <f t="shared" si="11"/>
        <v>#NUM!</v>
      </c>
      <c r="L137" s="191"/>
      <c r="M137" s="193">
        <f t="shared" si="12"/>
        <v>0</v>
      </c>
    </row>
    <row r="138" spans="1:13" x14ac:dyDescent="0.25">
      <c r="A138" s="208"/>
      <c r="G138" s="179"/>
      <c r="H138" s="191">
        <v>133</v>
      </c>
      <c r="I138" s="192" t="str">
        <f t="shared" si="10"/>
        <v/>
      </c>
      <c r="J138" s="191" t="e">
        <f t="shared" si="13"/>
        <v>#NUM!</v>
      </c>
      <c r="K138" s="191" t="e">
        <f t="shared" si="11"/>
        <v>#NUM!</v>
      </c>
      <c r="L138" s="191"/>
      <c r="M138" s="193">
        <f t="shared" si="12"/>
        <v>0</v>
      </c>
    </row>
    <row r="139" spans="1:13" x14ac:dyDescent="0.25">
      <c r="A139" s="208"/>
      <c r="G139" s="179"/>
      <c r="H139" s="191">
        <v>134</v>
      </c>
      <c r="I139" s="192" t="str">
        <f t="shared" si="10"/>
        <v/>
      </c>
      <c r="J139" s="191" t="e">
        <f t="shared" si="13"/>
        <v>#NUM!</v>
      </c>
      <c r="K139" s="191" t="e">
        <f t="shared" si="11"/>
        <v>#NUM!</v>
      </c>
      <c r="L139" s="191"/>
      <c r="M139" s="193">
        <f t="shared" si="12"/>
        <v>0</v>
      </c>
    </row>
    <row r="140" spans="1:13" x14ac:dyDescent="0.25">
      <c r="A140" s="208"/>
      <c r="G140" s="179"/>
      <c r="H140" s="191">
        <v>135</v>
      </c>
      <c r="I140" s="192" t="str">
        <f t="shared" si="10"/>
        <v/>
      </c>
      <c r="J140" s="191" t="e">
        <f t="shared" si="13"/>
        <v>#NUM!</v>
      </c>
      <c r="K140" s="191" t="e">
        <f t="shared" si="11"/>
        <v>#NUM!</v>
      </c>
      <c r="L140" s="191"/>
      <c r="M140" s="193">
        <f t="shared" si="12"/>
        <v>0</v>
      </c>
    </row>
    <row r="141" spans="1:13" x14ac:dyDescent="0.25">
      <c r="A141" s="208"/>
      <c r="G141" s="179"/>
      <c r="H141" s="191">
        <v>136</v>
      </c>
      <c r="I141" s="192" t="str">
        <f t="shared" si="10"/>
        <v/>
      </c>
      <c r="J141" s="191" t="e">
        <f t="shared" si="13"/>
        <v>#NUM!</v>
      </c>
      <c r="K141" s="191" t="e">
        <f t="shared" si="11"/>
        <v>#NUM!</v>
      </c>
      <c r="L141" s="191"/>
      <c r="M141" s="193">
        <f t="shared" si="12"/>
        <v>0</v>
      </c>
    </row>
    <row r="142" spans="1:13" x14ac:dyDescent="0.25">
      <c r="A142" s="208"/>
      <c r="G142" s="179"/>
      <c r="H142" s="191">
        <v>137</v>
      </c>
      <c r="I142" s="192" t="str">
        <f t="shared" si="10"/>
        <v/>
      </c>
      <c r="J142" s="191" t="e">
        <f t="shared" si="13"/>
        <v>#NUM!</v>
      </c>
      <c r="K142" s="191" t="e">
        <f t="shared" si="11"/>
        <v>#NUM!</v>
      </c>
      <c r="L142" s="191"/>
      <c r="M142" s="193">
        <f t="shared" si="12"/>
        <v>0</v>
      </c>
    </row>
    <row r="143" spans="1:13" x14ac:dyDescent="0.25">
      <c r="A143" s="208"/>
      <c r="G143" s="179"/>
      <c r="H143" s="191">
        <v>138</v>
      </c>
      <c r="I143" s="192" t="str">
        <f t="shared" si="10"/>
        <v/>
      </c>
      <c r="J143" s="191" t="e">
        <f t="shared" si="13"/>
        <v>#NUM!</v>
      </c>
      <c r="K143" s="191" t="e">
        <f t="shared" si="11"/>
        <v>#NUM!</v>
      </c>
      <c r="L143" s="191"/>
      <c r="M143" s="193">
        <f t="shared" si="12"/>
        <v>0</v>
      </c>
    </row>
    <row r="144" spans="1:13" x14ac:dyDescent="0.25">
      <c r="A144" s="208"/>
      <c r="G144" s="179"/>
      <c r="H144" s="191">
        <v>139</v>
      </c>
      <c r="I144" s="192" t="str">
        <f t="shared" si="10"/>
        <v/>
      </c>
      <c r="J144" s="191" t="e">
        <f t="shared" si="13"/>
        <v>#NUM!</v>
      </c>
      <c r="K144" s="191" t="e">
        <f t="shared" si="11"/>
        <v>#NUM!</v>
      </c>
      <c r="L144" s="191"/>
      <c r="M144" s="193">
        <f t="shared" si="12"/>
        <v>0</v>
      </c>
    </row>
    <row r="145" spans="1:13" x14ac:dyDescent="0.25">
      <c r="A145" s="208"/>
      <c r="G145" s="179"/>
      <c r="H145" s="191">
        <v>140</v>
      </c>
      <c r="I145" s="192" t="str">
        <f t="shared" si="10"/>
        <v/>
      </c>
      <c r="J145" s="191" t="e">
        <f t="shared" si="13"/>
        <v>#NUM!</v>
      </c>
      <c r="K145" s="191" t="e">
        <f t="shared" si="11"/>
        <v>#NUM!</v>
      </c>
      <c r="L145" s="191"/>
      <c r="M145" s="193">
        <f t="shared" si="12"/>
        <v>0</v>
      </c>
    </row>
    <row r="146" spans="1:13" x14ac:dyDescent="0.25">
      <c r="A146" s="208"/>
      <c r="G146" s="179"/>
      <c r="H146" s="191">
        <v>141</v>
      </c>
      <c r="I146" s="192" t="str">
        <f t="shared" si="10"/>
        <v/>
      </c>
      <c r="J146" s="191" t="e">
        <f t="shared" si="13"/>
        <v>#NUM!</v>
      </c>
      <c r="K146" s="191" t="e">
        <f t="shared" si="11"/>
        <v>#NUM!</v>
      </c>
      <c r="L146" s="191"/>
      <c r="M146" s="193">
        <f t="shared" si="12"/>
        <v>0</v>
      </c>
    </row>
    <row r="147" spans="1:13" x14ac:dyDescent="0.25">
      <c r="A147" s="208"/>
      <c r="G147" s="179"/>
      <c r="H147" s="191">
        <v>142</v>
      </c>
      <c r="I147" s="192" t="str">
        <f t="shared" si="10"/>
        <v/>
      </c>
      <c r="J147" s="191" t="e">
        <f t="shared" si="13"/>
        <v>#NUM!</v>
      </c>
      <c r="K147" s="191" t="e">
        <f t="shared" si="11"/>
        <v>#NUM!</v>
      </c>
      <c r="L147" s="191"/>
      <c r="M147" s="193">
        <f t="shared" si="12"/>
        <v>0</v>
      </c>
    </row>
    <row r="148" spans="1:13" x14ac:dyDescent="0.25">
      <c r="A148" s="208"/>
      <c r="G148" s="179"/>
      <c r="H148" s="191">
        <v>143</v>
      </c>
      <c r="I148" s="192" t="str">
        <f t="shared" si="10"/>
        <v/>
      </c>
      <c r="J148" s="191" t="e">
        <f t="shared" si="13"/>
        <v>#NUM!</v>
      </c>
      <c r="K148" s="191" t="e">
        <f t="shared" si="11"/>
        <v>#NUM!</v>
      </c>
      <c r="L148" s="191"/>
      <c r="M148" s="193">
        <f t="shared" si="12"/>
        <v>0</v>
      </c>
    </row>
    <row r="149" spans="1:13" x14ac:dyDescent="0.25">
      <c r="A149" s="208"/>
      <c r="G149" s="179"/>
      <c r="H149" s="191">
        <v>144</v>
      </c>
      <c r="I149" s="192" t="str">
        <f t="shared" si="10"/>
        <v/>
      </c>
      <c r="J149" s="191" t="e">
        <f t="shared" si="13"/>
        <v>#NUM!</v>
      </c>
      <c r="K149" s="191" t="e">
        <f t="shared" si="11"/>
        <v>#NUM!</v>
      </c>
      <c r="L149" s="191"/>
      <c r="M149" s="193">
        <f t="shared" si="12"/>
        <v>0</v>
      </c>
    </row>
    <row r="150" spans="1:13" x14ac:dyDescent="0.25">
      <c r="A150" s="208"/>
      <c r="G150" s="179"/>
      <c r="H150" s="191">
        <v>145</v>
      </c>
      <c r="I150" s="192" t="str">
        <f t="shared" si="10"/>
        <v/>
      </c>
      <c r="J150" s="191" t="e">
        <f t="shared" si="13"/>
        <v>#NUM!</v>
      </c>
      <c r="K150" s="191" t="e">
        <f t="shared" si="11"/>
        <v>#NUM!</v>
      </c>
      <c r="L150" s="191"/>
      <c r="M150" s="193">
        <f t="shared" si="12"/>
        <v>0</v>
      </c>
    </row>
    <row r="151" spans="1:13" x14ac:dyDescent="0.25">
      <c r="A151" s="208"/>
      <c r="G151" s="179"/>
      <c r="H151" s="191">
        <v>146</v>
      </c>
      <c r="I151" s="192" t="str">
        <f t="shared" si="10"/>
        <v/>
      </c>
      <c r="J151" s="191" t="e">
        <f t="shared" si="13"/>
        <v>#NUM!</v>
      </c>
      <c r="K151" s="191" t="e">
        <f t="shared" si="11"/>
        <v>#NUM!</v>
      </c>
      <c r="L151" s="191"/>
      <c r="M151" s="193">
        <f t="shared" si="12"/>
        <v>0</v>
      </c>
    </row>
    <row r="152" spans="1:13" x14ac:dyDescent="0.25">
      <c r="A152" s="208"/>
      <c r="G152" s="179"/>
      <c r="H152" s="191">
        <v>147</v>
      </c>
      <c r="I152" s="192" t="str">
        <f t="shared" si="10"/>
        <v/>
      </c>
      <c r="J152" s="191" t="e">
        <f t="shared" si="13"/>
        <v>#NUM!</v>
      </c>
      <c r="K152" s="191" t="e">
        <f t="shared" si="11"/>
        <v>#NUM!</v>
      </c>
      <c r="L152" s="191"/>
      <c r="M152" s="193">
        <f t="shared" si="12"/>
        <v>0</v>
      </c>
    </row>
    <row r="153" spans="1:13" x14ac:dyDescent="0.25">
      <c r="A153" s="208"/>
      <c r="G153" s="179"/>
      <c r="H153" s="191">
        <v>148</v>
      </c>
      <c r="I153" s="192" t="str">
        <f t="shared" si="10"/>
        <v/>
      </c>
      <c r="J153" s="191" t="e">
        <f t="shared" si="13"/>
        <v>#NUM!</v>
      </c>
      <c r="K153" s="191" t="e">
        <f t="shared" si="11"/>
        <v>#NUM!</v>
      </c>
      <c r="L153" s="191"/>
      <c r="M153" s="193">
        <f t="shared" si="12"/>
        <v>0</v>
      </c>
    </row>
    <row r="154" spans="1:13" x14ac:dyDescent="0.25">
      <c r="A154" s="208"/>
      <c r="G154" s="179"/>
      <c r="H154" s="191">
        <v>149</v>
      </c>
      <c r="I154" s="192" t="str">
        <f t="shared" si="10"/>
        <v/>
      </c>
      <c r="J154" s="191" t="e">
        <f t="shared" si="13"/>
        <v>#NUM!</v>
      </c>
      <c r="K154" s="191" t="e">
        <f t="shared" si="11"/>
        <v>#NUM!</v>
      </c>
      <c r="L154" s="191"/>
      <c r="M154" s="193">
        <f t="shared" si="12"/>
        <v>0</v>
      </c>
    </row>
    <row r="155" spans="1:13" x14ac:dyDescent="0.25">
      <c r="A155" s="208"/>
      <c r="G155" s="179"/>
      <c r="H155" s="191">
        <v>150</v>
      </c>
      <c r="I155" s="192" t="str">
        <f t="shared" si="10"/>
        <v/>
      </c>
      <c r="J155" s="191" t="e">
        <f t="shared" si="13"/>
        <v>#NUM!</v>
      </c>
      <c r="K155" s="191" t="e">
        <f t="shared" si="11"/>
        <v>#NUM!</v>
      </c>
      <c r="L155" s="191"/>
      <c r="M155" s="193">
        <f t="shared" si="12"/>
        <v>0</v>
      </c>
    </row>
    <row r="156" spans="1:13" x14ac:dyDescent="0.25">
      <c r="A156" s="208"/>
      <c r="G156" s="179"/>
      <c r="H156" s="191">
        <v>151</v>
      </c>
      <c r="I156" s="192" t="str">
        <f t="shared" si="10"/>
        <v/>
      </c>
      <c r="J156" s="191" t="e">
        <f t="shared" si="13"/>
        <v>#NUM!</v>
      </c>
      <c r="K156" s="191" t="e">
        <f t="shared" si="11"/>
        <v>#NUM!</v>
      </c>
      <c r="L156" s="191"/>
      <c r="M156" s="193">
        <f t="shared" si="12"/>
        <v>0</v>
      </c>
    </row>
    <row r="157" spans="1:13" x14ac:dyDescent="0.25">
      <c r="A157" s="208"/>
      <c r="G157" s="179"/>
      <c r="H157" s="191">
        <v>152</v>
      </c>
      <c r="I157" s="192" t="str">
        <f t="shared" si="10"/>
        <v/>
      </c>
      <c r="J157" s="191" t="e">
        <f t="shared" si="13"/>
        <v>#NUM!</v>
      </c>
      <c r="K157" s="191" t="e">
        <f t="shared" si="11"/>
        <v>#NUM!</v>
      </c>
      <c r="L157" s="191"/>
      <c r="M157" s="193">
        <f t="shared" si="12"/>
        <v>0</v>
      </c>
    </row>
    <row r="158" spans="1:13" x14ac:dyDescent="0.25">
      <c r="A158" s="208"/>
      <c r="G158" s="179"/>
      <c r="H158" s="191">
        <v>153</v>
      </c>
      <c r="I158" s="192" t="str">
        <f t="shared" si="10"/>
        <v/>
      </c>
      <c r="J158" s="191" t="e">
        <f t="shared" si="13"/>
        <v>#NUM!</v>
      </c>
      <c r="K158" s="191" t="e">
        <f t="shared" si="11"/>
        <v>#NUM!</v>
      </c>
      <c r="L158" s="191"/>
      <c r="M158" s="193">
        <f t="shared" si="12"/>
        <v>0</v>
      </c>
    </row>
    <row r="159" spans="1:13" x14ac:dyDescent="0.25">
      <c r="A159" s="208"/>
      <c r="G159" s="179"/>
      <c r="H159" s="191">
        <v>154</v>
      </c>
      <c r="I159" s="192" t="str">
        <f t="shared" si="10"/>
        <v/>
      </c>
      <c r="J159" s="191" t="e">
        <f t="shared" si="13"/>
        <v>#NUM!</v>
      </c>
      <c r="K159" s="191" t="e">
        <f t="shared" si="11"/>
        <v>#NUM!</v>
      </c>
      <c r="L159" s="191"/>
      <c r="M159" s="193">
        <f t="shared" si="12"/>
        <v>0</v>
      </c>
    </row>
    <row r="160" spans="1:13" x14ac:dyDescent="0.25">
      <c r="A160" s="208"/>
      <c r="G160" s="179"/>
      <c r="H160" s="191">
        <v>155</v>
      </c>
      <c r="I160" s="192" t="str">
        <f t="shared" si="10"/>
        <v/>
      </c>
      <c r="J160" s="191" t="e">
        <f t="shared" si="13"/>
        <v>#NUM!</v>
      </c>
      <c r="K160" s="191" t="e">
        <f t="shared" si="11"/>
        <v>#NUM!</v>
      </c>
      <c r="L160" s="191"/>
      <c r="M160" s="193">
        <f t="shared" si="12"/>
        <v>0</v>
      </c>
    </row>
    <row r="161" spans="1:13" x14ac:dyDescent="0.25">
      <c r="A161" s="208"/>
      <c r="G161" s="179"/>
      <c r="H161" s="191">
        <v>156</v>
      </c>
      <c r="I161" s="192" t="str">
        <f t="shared" si="10"/>
        <v/>
      </c>
      <c r="J161" s="191" t="e">
        <f t="shared" si="13"/>
        <v>#NUM!</v>
      </c>
      <c r="K161" s="191" t="e">
        <f t="shared" si="11"/>
        <v>#NUM!</v>
      </c>
      <c r="L161" s="191"/>
      <c r="M161" s="193">
        <f t="shared" si="12"/>
        <v>0</v>
      </c>
    </row>
    <row r="162" spans="1:13" x14ac:dyDescent="0.25">
      <c r="A162" s="208"/>
      <c r="G162" s="179"/>
      <c r="H162" s="191">
        <v>157</v>
      </c>
      <c r="I162" s="192" t="str">
        <f t="shared" si="10"/>
        <v/>
      </c>
      <c r="J162" s="191" t="e">
        <f t="shared" si="13"/>
        <v>#NUM!</v>
      </c>
      <c r="K162" s="191" t="e">
        <f t="shared" si="11"/>
        <v>#NUM!</v>
      </c>
      <c r="L162" s="191"/>
      <c r="M162" s="193">
        <f t="shared" si="12"/>
        <v>0</v>
      </c>
    </row>
    <row r="163" spans="1:13" x14ac:dyDescent="0.25">
      <c r="A163" s="208"/>
      <c r="G163" s="179"/>
      <c r="H163" s="191">
        <v>158</v>
      </c>
      <c r="I163" s="192" t="str">
        <f t="shared" si="10"/>
        <v/>
      </c>
      <c r="J163" s="191" t="e">
        <f t="shared" si="13"/>
        <v>#NUM!</v>
      </c>
      <c r="K163" s="191" t="e">
        <f t="shared" si="11"/>
        <v>#NUM!</v>
      </c>
      <c r="L163" s="191"/>
      <c r="M163" s="193">
        <f t="shared" si="12"/>
        <v>0</v>
      </c>
    </row>
    <row r="164" spans="1:13" x14ac:dyDescent="0.25">
      <c r="A164" s="208"/>
      <c r="G164" s="179"/>
      <c r="H164" s="191">
        <v>159</v>
      </c>
      <c r="I164" s="192" t="str">
        <f t="shared" si="10"/>
        <v/>
      </c>
      <c r="J164" s="191" t="e">
        <f t="shared" si="13"/>
        <v>#NUM!</v>
      </c>
      <c r="K164" s="191" t="e">
        <f t="shared" si="11"/>
        <v>#NUM!</v>
      </c>
      <c r="L164" s="191"/>
      <c r="M164" s="193">
        <f t="shared" si="12"/>
        <v>0</v>
      </c>
    </row>
    <row r="165" spans="1:13" x14ac:dyDescent="0.25">
      <c r="A165" s="208"/>
      <c r="G165" s="179"/>
      <c r="H165" s="191">
        <v>160</v>
      </c>
      <c r="I165" s="192" t="str">
        <f t="shared" si="10"/>
        <v/>
      </c>
      <c r="J165" s="191" t="e">
        <f t="shared" si="13"/>
        <v>#NUM!</v>
      </c>
      <c r="K165" s="191" t="e">
        <f t="shared" si="11"/>
        <v>#NUM!</v>
      </c>
      <c r="L165" s="191"/>
      <c r="M165" s="193">
        <f t="shared" si="12"/>
        <v>0</v>
      </c>
    </row>
    <row r="166" spans="1:13" x14ac:dyDescent="0.25">
      <c r="A166" s="208"/>
      <c r="G166" s="179"/>
      <c r="H166" s="191">
        <v>161</v>
      </c>
      <c r="I166" s="192" t="str">
        <f t="shared" si="10"/>
        <v/>
      </c>
      <c r="J166" s="191" t="e">
        <f t="shared" si="13"/>
        <v>#NUM!</v>
      </c>
      <c r="K166" s="191" t="e">
        <f t="shared" si="11"/>
        <v>#NUM!</v>
      </c>
      <c r="L166" s="191"/>
      <c r="M166" s="193">
        <f t="shared" si="12"/>
        <v>0</v>
      </c>
    </row>
    <row r="167" spans="1:13" x14ac:dyDescent="0.25">
      <c r="A167" s="208"/>
      <c r="G167" s="179"/>
      <c r="H167" s="191">
        <v>162</v>
      </c>
      <c r="I167" s="192" t="str">
        <f t="shared" si="10"/>
        <v/>
      </c>
      <c r="J167" s="191" t="e">
        <f t="shared" si="13"/>
        <v>#NUM!</v>
      </c>
      <c r="K167" s="191" t="e">
        <f t="shared" si="11"/>
        <v>#NUM!</v>
      </c>
      <c r="L167" s="191"/>
      <c r="M167" s="193">
        <f t="shared" si="12"/>
        <v>0</v>
      </c>
    </row>
    <row r="168" spans="1:13" x14ac:dyDescent="0.25">
      <c r="A168" s="208"/>
      <c r="G168" s="179"/>
      <c r="H168" s="191">
        <v>163</v>
      </c>
      <c r="I168" s="192" t="str">
        <f t="shared" si="10"/>
        <v/>
      </c>
      <c r="J168" s="191" t="e">
        <f t="shared" si="13"/>
        <v>#NUM!</v>
      </c>
      <c r="K168" s="191" t="e">
        <f t="shared" si="11"/>
        <v>#NUM!</v>
      </c>
      <c r="L168" s="191"/>
      <c r="M168" s="193">
        <f t="shared" si="12"/>
        <v>0</v>
      </c>
    </row>
    <row r="169" spans="1:13" x14ac:dyDescent="0.25">
      <c r="A169" s="208"/>
      <c r="C169" s="207" t="s">
        <v>40</v>
      </c>
      <c r="G169" s="179"/>
      <c r="H169" s="191">
        <v>164</v>
      </c>
      <c r="I169" s="192" t="str">
        <f t="shared" si="10"/>
        <v/>
      </c>
      <c r="J169" s="191" t="e">
        <f t="shared" si="13"/>
        <v>#NUM!</v>
      </c>
      <c r="K169" s="191" t="e">
        <f t="shared" si="11"/>
        <v>#NUM!</v>
      </c>
      <c r="L169" s="191"/>
      <c r="M169" s="193">
        <f t="shared" si="12"/>
        <v>0</v>
      </c>
    </row>
    <row r="170" spans="1:13" x14ac:dyDescent="0.25">
      <c r="A170" s="208"/>
      <c r="G170" s="179"/>
      <c r="H170" s="191">
        <v>165</v>
      </c>
      <c r="I170" s="192" t="str">
        <f t="shared" si="10"/>
        <v/>
      </c>
      <c r="J170" s="191" t="e">
        <f t="shared" si="13"/>
        <v>#NUM!</v>
      </c>
      <c r="K170" s="191" t="e">
        <f t="shared" si="11"/>
        <v>#NUM!</v>
      </c>
      <c r="L170" s="191"/>
      <c r="M170" s="193">
        <f t="shared" si="12"/>
        <v>0</v>
      </c>
    </row>
    <row r="171" spans="1:13" x14ac:dyDescent="0.25">
      <c r="A171" s="208"/>
      <c r="G171" s="179"/>
      <c r="H171" s="191">
        <v>166</v>
      </c>
      <c r="I171" s="192" t="str">
        <f t="shared" si="10"/>
        <v/>
      </c>
      <c r="J171" s="191" t="e">
        <f t="shared" si="13"/>
        <v>#NUM!</v>
      </c>
      <c r="K171" s="191" t="e">
        <f t="shared" si="11"/>
        <v>#NUM!</v>
      </c>
      <c r="L171" s="191"/>
      <c r="M171" s="193">
        <f t="shared" si="12"/>
        <v>0</v>
      </c>
    </row>
    <row r="172" spans="1:13" x14ac:dyDescent="0.25">
      <c r="A172" s="208"/>
      <c r="G172" s="179"/>
      <c r="H172" s="191">
        <v>167</v>
      </c>
      <c r="I172" s="192" t="str">
        <f t="shared" si="10"/>
        <v/>
      </c>
      <c r="J172" s="191" t="e">
        <f t="shared" si="13"/>
        <v>#NUM!</v>
      </c>
      <c r="K172" s="191" t="e">
        <f t="shared" si="11"/>
        <v>#NUM!</v>
      </c>
      <c r="L172" s="191"/>
      <c r="M172" s="193">
        <f t="shared" si="12"/>
        <v>0</v>
      </c>
    </row>
    <row r="173" spans="1:13" x14ac:dyDescent="0.25">
      <c r="A173" s="208"/>
      <c r="G173" s="179"/>
      <c r="H173" s="191">
        <v>168</v>
      </c>
      <c r="I173" s="192" t="str">
        <f t="shared" si="10"/>
        <v/>
      </c>
      <c r="J173" s="191" t="e">
        <f t="shared" si="13"/>
        <v>#NUM!</v>
      </c>
      <c r="K173" s="191" t="e">
        <f t="shared" si="11"/>
        <v>#NUM!</v>
      </c>
      <c r="L173" s="191"/>
      <c r="M173" s="193">
        <f t="shared" si="12"/>
        <v>0</v>
      </c>
    </row>
    <row r="174" spans="1:13" x14ac:dyDescent="0.25">
      <c r="A174" s="208"/>
      <c r="G174" s="179"/>
      <c r="H174" s="191">
        <v>169</v>
      </c>
      <c r="I174" s="192" t="str">
        <f t="shared" si="10"/>
        <v/>
      </c>
      <c r="J174" s="191" t="e">
        <f t="shared" si="13"/>
        <v>#NUM!</v>
      </c>
      <c r="K174" s="191" t="e">
        <f t="shared" si="11"/>
        <v>#NUM!</v>
      </c>
      <c r="L174" s="191"/>
      <c r="M174" s="193">
        <f t="shared" si="12"/>
        <v>0</v>
      </c>
    </row>
    <row r="175" spans="1:13" x14ac:dyDescent="0.25">
      <c r="A175" s="208"/>
      <c r="G175" s="179"/>
      <c r="H175" s="191">
        <v>170</v>
      </c>
      <c r="I175" s="192" t="str">
        <f t="shared" si="10"/>
        <v/>
      </c>
      <c r="J175" s="191" t="e">
        <f t="shared" si="13"/>
        <v>#NUM!</v>
      </c>
      <c r="K175" s="191" t="e">
        <f t="shared" si="11"/>
        <v>#NUM!</v>
      </c>
      <c r="L175" s="191"/>
      <c r="M175" s="193">
        <f t="shared" si="12"/>
        <v>0</v>
      </c>
    </row>
    <row r="176" spans="1:13" x14ac:dyDescent="0.25">
      <c r="A176" s="208"/>
      <c r="G176" s="179"/>
      <c r="H176" s="191">
        <v>171</v>
      </c>
      <c r="I176" s="192" t="str">
        <f t="shared" si="10"/>
        <v/>
      </c>
      <c r="J176" s="191" t="e">
        <f t="shared" si="13"/>
        <v>#NUM!</v>
      </c>
      <c r="K176" s="191" t="e">
        <f t="shared" si="11"/>
        <v>#NUM!</v>
      </c>
      <c r="L176" s="191"/>
      <c r="M176" s="193">
        <f t="shared" si="12"/>
        <v>0</v>
      </c>
    </row>
    <row r="177" spans="1:13" x14ac:dyDescent="0.25">
      <c r="A177" s="208"/>
      <c r="G177" s="179"/>
      <c r="H177" s="191">
        <v>172</v>
      </c>
      <c r="I177" s="192" t="str">
        <f t="shared" si="10"/>
        <v/>
      </c>
      <c r="J177" s="191" t="e">
        <f t="shared" si="13"/>
        <v>#NUM!</v>
      </c>
      <c r="K177" s="191" t="e">
        <f t="shared" si="11"/>
        <v>#NUM!</v>
      </c>
      <c r="L177" s="191"/>
      <c r="M177" s="193">
        <f t="shared" si="12"/>
        <v>0</v>
      </c>
    </row>
    <row r="178" spans="1:13" x14ac:dyDescent="0.25">
      <c r="A178" s="208"/>
      <c r="G178" s="179"/>
      <c r="H178" s="191">
        <v>173</v>
      </c>
      <c r="I178" s="192" t="str">
        <f t="shared" si="10"/>
        <v/>
      </c>
      <c r="J178" s="191" t="e">
        <f t="shared" si="13"/>
        <v>#NUM!</v>
      </c>
      <c r="K178" s="191" t="e">
        <f t="shared" si="11"/>
        <v>#NUM!</v>
      </c>
      <c r="L178" s="191"/>
      <c r="M178" s="193">
        <f t="shared" si="12"/>
        <v>0</v>
      </c>
    </row>
    <row r="179" spans="1:13" x14ac:dyDescent="0.25">
      <c r="A179" s="208"/>
      <c r="G179" s="179"/>
      <c r="H179" s="191">
        <v>174</v>
      </c>
      <c r="I179" s="192" t="str">
        <f t="shared" si="10"/>
        <v/>
      </c>
      <c r="J179" s="191" t="e">
        <f t="shared" si="13"/>
        <v>#NUM!</v>
      </c>
      <c r="K179" s="191" t="e">
        <f t="shared" si="11"/>
        <v>#NUM!</v>
      </c>
      <c r="L179" s="191"/>
      <c r="M179" s="193">
        <f t="shared" si="12"/>
        <v>0</v>
      </c>
    </row>
    <row r="180" spans="1:13" x14ac:dyDescent="0.25">
      <c r="A180" s="208"/>
      <c r="G180" s="179"/>
      <c r="H180" s="191">
        <v>175</v>
      </c>
      <c r="I180" s="192" t="str">
        <f t="shared" si="10"/>
        <v/>
      </c>
      <c r="J180" s="191" t="e">
        <f t="shared" si="13"/>
        <v>#NUM!</v>
      </c>
      <c r="K180" s="191" t="e">
        <f t="shared" si="11"/>
        <v>#NUM!</v>
      </c>
      <c r="L180" s="191"/>
      <c r="M180" s="193">
        <f t="shared" si="12"/>
        <v>0</v>
      </c>
    </row>
    <row r="181" spans="1:13" x14ac:dyDescent="0.25">
      <c r="A181" s="208"/>
      <c r="G181" s="179"/>
      <c r="H181" s="191">
        <v>176</v>
      </c>
      <c r="I181" s="192" t="str">
        <f t="shared" si="10"/>
        <v/>
      </c>
      <c r="J181" s="191" t="e">
        <f t="shared" si="13"/>
        <v>#NUM!</v>
      </c>
      <c r="K181" s="191" t="e">
        <f t="shared" si="11"/>
        <v>#NUM!</v>
      </c>
      <c r="L181" s="191"/>
      <c r="M181" s="193">
        <f t="shared" si="12"/>
        <v>0</v>
      </c>
    </row>
    <row r="182" spans="1:13" x14ac:dyDescent="0.25">
      <c r="A182" s="208"/>
      <c r="G182" s="179"/>
      <c r="H182" s="191">
        <v>177</v>
      </c>
      <c r="I182" s="192" t="str">
        <f t="shared" si="10"/>
        <v/>
      </c>
      <c r="J182" s="191" t="e">
        <f t="shared" si="13"/>
        <v>#NUM!</v>
      </c>
      <c r="K182" s="191" t="e">
        <f t="shared" si="11"/>
        <v>#NUM!</v>
      </c>
      <c r="L182" s="191"/>
      <c r="M182" s="193">
        <f t="shared" si="12"/>
        <v>0</v>
      </c>
    </row>
    <row r="183" spans="1:13" x14ac:dyDescent="0.25">
      <c r="A183" s="208"/>
      <c r="G183" s="179"/>
      <c r="H183" s="191">
        <v>178</v>
      </c>
      <c r="I183" s="192" t="str">
        <f t="shared" si="10"/>
        <v/>
      </c>
      <c r="J183" s="191" t="e">
        <f t="shared" si="13"/>
        <v>#NUM!</v>
      </c>
      <c r="K183" s="191" t="e">
        <f t="shared" si="11"/>
        <v>#NUM!</v>
      </c>
      <c r="L183" s="191"/>
      <c r="M183" s="193">
        <f t="shared" si="12"/>
        <v>0</v>
      </c>
    </row>
    <row r="184" spans="1:13" x14ac:dyDescent="0.25">
      <c r="A184" s="208"/>
      <c r="G184" s="179"/>
      <c r="H184" s="191">
        <v>179</v>
      </c>
      <c r="I184" s="192" t="str">
        <f t="shared" si="10"/>
        <v/>
      </c>
      <c r="J184" s="191" t="e">
        <f t="shared" si="13"/>
        <v>#NUM!</v>
      </c>
      <c r="K184" s="191" t="e">
        <f t="shared" si="11"/>
        <v>#NUM!</v>
      </c>
      <c r="L184" s="191"/>
      <c r="M184" s="193">
        <f t="shared" si="12"/>
        <v>0</v>
      </c>
    </row>
    <row r="185" spans="1:13" x14ac:dyDescent="0.25">
      <c r="A185" s="208"/>
      <c r="G185" s="179"/>
      <c r="H185" s="191">
        <v>180</v>
      </c>
      <c r="I185" s="192" t="str">
        <f t="shared" si="10"/>
        <v/>
      </c>
      <c r="J185" s="191" t="e">
        <f t="shared" si="13"/>
        <v>#NUM!</v>
      </c>
      <c r="K185" s="191" t="e">
        <f t="shared" si="11"/>
        <v>#NUM!</v>
      </c>
      <c r="L185" s="191"/>
      <c r="M185" s="193">
        <f t="shared" si="12"/>
        <v>0</v>
      </c>
    </row>
    <row r="186" spans="1:13" x14ac:dyDescent="0.25">
      <c r="A186" s="208"/>
      <c r="G186" s="179"/>
      <c r="H186" s="191">
        <v>181</v>
      </c>
      <c r="I186" s="192" t="str">
        <f t="shared" si="10"/>
        <v/>
      </c>
      <c r="J186" s="191" t="e">
        <f t="shared" si="13"/>
        <v>#NUM!</v>
      </c>
      <c r="K186" s="191" t="e">
        <f t="shared" si="11"/>
        <v>#NUM!</v>
      </c>
      <c r="L186" s="191"/>
      <c r="M186" s="193">
        <f t="shared" si="12"/>
        <v>0</v>
      </c>
    </row>
    <row r="187" spans="1:13" x14ac:dyDescent="0.25">
      <c r="A187" s="208"/>
      <c r="G187" s="179"/>
      <c r="H187" s="191">
        <v>182</v>
      </c>
      <c r="I187" s="192" t="str">
        <f t="shared" si="10"/>
        <v/>
      </c>
      <c r="J187" s="191" t="e">
        <f t="shared" si="13"/>
        <v>#NUM!</v>
      </c>
      <c r="K187" s="191" t="e">
        <f t="shared" si="11"/>
        <v>#NUM!</v>
      </c>
      <c r="L187" s="191"/>
      <c r="M187" s="193">
        <f t="shared" si="12"/>
        <v>0</v>
      </c>
    </row>
    <row r="188" spans="1:13" x14ac:dyDescent="0.25">
      <c r="A188" s="208"/>
      <c r="G188" s="179"/>
      <c r="H188" s="191">
        <v>183</v>
      </c>
      <c r="I188" s="192" t="str">
        <f t="shared" si="10"/>
        <v/>
      </c>
      <c r="J188" s="191" t="e">
        <f t="shared" si="13"/>
        <v>#NUM!</v>
      </c>
      <c r="K188" s="191" t="e">
        <f t="shared" si="11"/>
        <v>#NUM!</v>
      </c>
      <c r="L188" s="191"/>
      <c r="M188" s="193">
        <f t="shared" si="12"/>
        <v>0</v>
      </c>
    </row>
    <row r="189" spans="1:13" x14ac:dyDescent="0.25">
      <c r="A189" s="208"/>
      <c r="G189" s="179"/>
      <c r="H189" s="191">
        <v>184</v>
      </c>
      <c r="I189" s="192" t="str">
        <f t="shared" si="10"/>
        <v/>
      </c>
      <c r="J189" s="191" t="e">
        <f t="shared" si="13"/>
        <v>#NUM!</v>
      </c>
      <c r="K189" s="191" t="e">
        <f t="shared" si="11"/>
        <v>#NUM!</v>
      </c>
      <c r="L189" s="191"/>
      <c r="M189" s="193">
        <f t="shared" si="12"/>
        <v>0</v>
      </c>
    </row>
    <row r="190" spans="1:13" x14ac:dyDescent="0.25">
      <c r="A190" s="208"/>
      <c r="G190" s="179"/>
      <c r="H190" s="191">
        <v>185</v>
      </c>
      <c r="I190" s="192" t="str">
        <f t="shared" si="10"/>
        <v/>
      </c>
      <c r="J190" s="191" t="e">
        <f t="shared" si="13"/>
        <v>#NUM!</v>
      </c>
      <c r="K190" s="191" t="e">
        <f t="shared" si="11"/>
        <v>#NUM!</v>
      </c>
      <c r="L190" s="191"/>
      <c r="M190" s="193">
        <f t="shared" si="12"/>
        <v>0</v>
      </c>
    </row>
    <row r="191" spans="1:13" x14ac:dyDescent="0.25">
      <c r="A191" s="208"/>
      <c r="G191" s="179"/>
      <c r="H191" s="191">
        <v>186</v>
      </c>
      <c r="I191" s="192" t="str">
        <f t="shared" si="10"/>
        <v/>
      </c>
      <c r="J191" s="191" t="e">
        <f t="shared" si="13"/>
        <v>#NUM!</v>
      </c>
      <c r="K191" s="191" t="e">
        <f t="shared" si="11"/>
        <v>#NUM!</v>
      </c>
      <c r="L191" s="191"/>
      <c r="M191" s="193">
        <f t="shared" si="12"/>
        <v>0</v>
      </c>
    </row>
    <row r="192" spans="1:13" x14ac:dyDescent="0.25">
      <c r="A192" s="208"/>
      <c r="G192" s="179"/>
      <c r="H192" s="191">
        <v>187</v>
      </c>
      <c r="I192" s="192" t="str">
        <f t="shared" si="10"/>
        <v/>
      </c>
      <c r="J192" s="191" t="e">
        <f t="shared" si="13"/>
        <v>#NUM!</v>
      </c>
      <c r="K192" s="191" t="e">
        <f t="shared" si="11"/>
        <v>#NUM!</v>
      </c>
      <c r="L192" s="191"/>
      <c r="M192" s="193">
        <f t="shared" si="12"/>
        <v>0</v>
      </c>
    </row>
    <row r="193" spans="1:13" x14ac:dyDescent="0.25">
      <c r="A193" s="208"/>
      <c r="G193" s="179"/>
      <c r="H193" s="191">
        <v>188</v>
      </c>
      <c r="I193" s="192" t="str">
        <f t="shared" si="10"/>
        <v/>
      </c>
      <c r="J193" s="191" t="e">
        <f t="shared" si="13"/>
        <v>#NUM!</v>
      </c>
      <c r="K193" s="191" t="e">
        <f t="shared" si="11"/>
        <v>#NUM!</v>
      </c>
      <c r="L193" s="191"/>
      <c r="M193" s="193">
        <f t="shared" si="12"/>
        <v>0</v>
      </c>
    </row>
    <row r="194" spans="1:13" x14ac:dyDescent="0.25">
      <c r="A194" s="208"/>
      <c r="G194" s="179"/>
      <c r="H194" s="191">
        <v>189</v>
      </c>
      <c r="I194" s="192" t="str">
        <f t="shared" si="10"/>
        <v/>
      </c>
      <c r="J194" s="191" t="e">
        <f t="shared" si="13"/>
        <v>#NUM!</v>
      </c>
      <c r="K194" s="191" t="e">
        <f t="shared" si="11"/>
        <v>#NUM!</v>
      </c>
      <c r="L194" s="191"/>
      <c r="M194" s="193">
        <f t="shared" si="12"/>
        <v>0</v>
      </c>
    </row>
    <row r="195" spans="1:13" x14ac:dyDescent="0.25">
      <c r="A195" s="208"/>
      <c r="G195" s="179"/>
      <c r="H195" s="191">
        <v>190</v>
      </c>
      <c r="I195" s="192" t="str">
        <f t="shared" si="10"/>
        <v/>
      </c>
      <c r="J195" s="191" t="e">
        <f t="shared" si="13"/>
        <v>#NUM!</v>
      </c>
      <c r="K195" s="191" t="e">
        <f t="shared" si="11"/>
        <v>#NUM!</v>
      </c>
      <c r="L195" s="191"/>
      <c r="M195" s="193">
        <f t="shared" si="12"/>
        <v>0</v>
      </c>
    </row>
    <row r="196" spans="1:13" x14ac:dyDescent="0.25">
      <c r="A196" s="208"/>
      <c r="G196" s="179"/>
      <c r="H196" s="191">
        <v>191</v>
      </c>
      <c r="I196" s="192" t="str">
        <f t="shared" si="10"/>
        <v/>
      </c>
      <c r="J196" s="191" t="e">
        <f t="shared" si="13"/>
        <v>#NUM!</v>
      </c>
      <c r="K196" s="191" t="e">
        <f t="shared" si="11"/>
        <v>#NUM!</v>
      </c>
      <c r="L196" s="191"/>
      <c r="M196" s="193">
        <f t="shared" si="12"/>
        <v>0</v>
      </c>
    </row>
    <row r="197" spans="1:13" x14ac:dyDescent="0.25">
      <c r="A197" s="208"/>
      <c r="G197" s="179"/>
      <c r="H197" s="191">
        <v>192</v>
      </c>
      <c r="I197" s="192" t="str">
        <f t="shared" si="10"/>
        <v/>
      </c>
      <c r="J197" s="191" t="e">
        <f t="shared" si="13"/>
        <v>#NUM!</v>
      </c>
      <c r="K197" s="191" t="e">
        <f t="shared" si="11"/>
        <v>#NUM!</v>
      </c>
      <c r="L197" s="191"/>
      <c r="M197" s="193">
        <f t="shared" si="12"/>
        <v>0</v>
      </c>
    </row>
    <row r="198" spans="1:13" x14ac:dyDescent="0.25">
      <c r="A198" s="208"/>
      <c r="G198" s="179"/>
      <c r="H198" s="191">
        <v>193</v>
      </c>
      <c r="I198" s="192" t="str">
        <f t="shared" ref="I198:I261" si="14">IF(H198&lt;$H$2+1,($I$2-($I$2-1)*(LOG(H198)/LOG($H$2))),"")</f>
        <v/>
      </c>
      <c r="J198" s="191" t="e">
        <f t="shared" si="13"/>
        <v>#NUM!</v>
      </c>
      <c r="K198" s="191" t="e">
        <f t="shared" ref="K198:K261" si="15">J198*$J$2</f>
        <v>#NUM!</v>
      </c>
      <c r="L198" s="191"/>
      <c r="M198" s="193">
        <f t="shared" ref="M198:M261" si="16">IF(I198&lt;&gt;"",K198+I198+L198,0)</f>
        <v>0</v>
      </c>
    </row>
    <row r="199" spans="1:13" x14ac:dyDescent="0.25">
      <c r="A199" s="208"/>
      <c r="G199" s="179"/>
      <c r="H199" s="191">
        <v>194</v>
      </c>
      <c r="I199" s="192" t="str">
        <f t="shared" si="14"/>
        <v/>
      </c>
      <c r="J199" s="191" t="e">
        <f t="shared" ref="J199:J262" si="17">INT(LOG($H$2,2))-ROUNDUP(LOG(H199,2),0)+IF(OR($H$2=1,$H$2=2,$H$2=4,$H$2=8,$H$2=16,$H$2=32,$H$2=64,$H$2=128,$H$2=256),0,1)</f>
        <v>#NUM!</v>
      </c>
      <c r="K199" s="191" t="e">
        <f t="shared" si="15"/>
        <v>#NUM!</v>
      </c>
      <c r="L199" s="191"/>
      <c r="M199" s="193">
        <f t="shared" si="16"/>
        <v>0</v>
      </c>
    </row>
    <row r="200" spans="1:13" x14ac:dyDescent="0.25">
      <c r="A200" s="208"/>
      <c r="G200" s="179"/>
      <c r="H200" s="191">
        <v>195</v>
      </c>
      <c r="I200" s="192" t="str">
        <f t="shared" si="14"/>
        <v/>
      </c>
      <c r="J200" s="191" t="e">
        <f t="shared" si="17"/>
        <v>#NUM!</v>
      </c>
      <c r="K200" s="191" t="e">
        <f t="shared" si="15"/>
        <v>#NUM!</v>
      </c>
      <c r="L200" s="191"/>
      <c r="M200" s="193">
        <f t="shared" si="16"/>
        <v>0</v>
      </c>
    </row>
    <row r="201" spans="1:13" x14ac:dyDescent="0.25">
      <c r="A201" s="208"/>
      <c r="G201" s="179"/>
      <c r="H201" s="191">
        <v>196</v>
      </c>
      <c r="I201" s="192" t="str">
        <f t="shared" si="14"/>
        <v/>
      </c>
      <c r="J201" s="191" t="e">
        <f t="shared" si="17"/>
        <v>#NUM!</v>
      </c>
      <c r="K201" s="191" t="e">
        <f t="shared" si="15"/>
        <v>#NUM!</v>
      </c>
      <c r="L201" s="191"/>
      <c r="M201" s="193">
        <f t="shared" si="16"/>
        <v>0</v>
      </c>
    </row>
    <row r="202" spans="1:13" x14ac:dyDescent="0.25">
      <c r="A202" s="208"/>
      <c r="G202" s="179"/>
      <c r="H202" s="191">
        <v>197</v>
      </c>
      <c r="I202" s="192" t="str">
        <f t="shared" si="14"/>
        <v/>
      </c>
      <c r="J202" s="191" t="e">
        <f t="shared" si="17"/>
        <v>#NUM!</v>
      </c>
      <c r="K202" s="191" t="e">
        <f t="shared" si="15"/>
        <v>#NUM!</v>
      </c>
      <c r="L202" s="191"/>
      <c r="M202" s="193">
        <f t="shared" si="16"/>
        <v>0</v>
      </c>
    </row>
    <row r="203" spans="1:13" x14ac:dyDescent="0.25">
      <c r="A203" s="208"/>
      <c r="G203" s="179"/>
      <c r="H203" s="191">
        <v>198</v>
      </c>
      <c r="I203" s="192" t="str">
        <f t="shared" si="14"/>
        <v/>
      </c>
      <c r="J203" s="191" t="e">
        <f t="shared" si="17"/>
        <v>#NUM!</v>
      </c>
      <c r="K203" s="191" t="e">
        <f t="shared" si="15"/>
        <v>#NUM!</v>
      </c>
      <c r="L203" s="191"/>
      <c r="M203" s="193">
        <f t="shared" si="16"/>
        <v>0</v>
      </c>
    </row>
    <row r="204" spans="1:13" x14ac:dyDescent="0.25">
      <c r="A204" s="208"/>
      <c r="G204" s="179"/>
      <c r="H204" s="191">
        <v>199</v>
      </c>
      <c r="I204" s="192" t="str">
        <f t="shared" si="14"/>
        <v/>
      </c>
      <c r="J204" s="191" t="e">
        <f t="shared" si="17"/>
        <v>#NUM!</v>
      </c>
      <c r="K204" s="191" t="e">
        <f t="shared" si="15"/>
        <v>#NUM!</v>
      </c>
      <c r="L204" s="191"/>
      <c r="M204" s="193">
        <f t="shared" si="16"/>
        <v>0</v>
      </c>
    </row>
    <row r="205" spans="1:13" x14ac:dyDescent="0.25">
      <c r="A205" s="208"/>
      <c r="G205" s="179"/>
      <c r="H205" s="191">
        <v>200</v>
      </c>
      <c r="I205" s="192" t="str">
        <f t="shared" si="14"/>
        <v/>
      </c>
      <c r="J205" s="191" t="e">
        <f t="shared" si="17"/>
        <v>#NUM!</v>
      </c>
      <c r="K205" s="191" t="e">
        <f t="shared" si="15"/>
        <v>#NUM!</v>
      </c>
      <c r="L205" s="191"/>
      <c r="M205" s="193">
        <f t="shared" si="16"/>
        <v>0</v>
      </c>
    </row>
    <row r="206" spans="1:13" x14ac:dyDescent="0.25">
      <c r="A206" s="208"/>
      <c r="G206" s="179"/>
      <c r="H206" s="191">
        <v>201</v>
      </c>
      <c r="I206" s="192" t="str">
        <f t="shared" si="14"/>
        <v/>
      </c>
      <c r="J206" s="191" t="e">
        <f t="shared" si="17"/>
        <v>#NUM!</v>
      </c>
      <c r="K206" s="191" t="e">
        <f t="shared" si="15"/>
        <v>#NUM!</v>
      </c>
      <c r="L206" s="191"/>
      <c r="M206" s="193">
        <f t="shared" si="16"/>
        <v>0</v>
      </c>
    </row>
    <row r="207" spans="1:13" x14ac:dyDescent="0.25">
      <c r="A207" s="208"/>
      <c r="G207" s="179"/>
      <c r="H207" s="191">
        <v>202</v>
      </c>
      <c r="I207" s="192" t="str">
        <f t="shared" si="14"/>
        <v/>
      </c>
      <c r="J207" s="191" t="e">
        <f t="shared" si="17"/>
        <v>#NUM!</v>
      </c>
      <c r="K207" s="191" t="e">
        <f t="shared" si="15"/>
        <v>#NUM!</v>
      </c>
      <c r="L207" s="191"/>
      <c r="M207" s="193">
        <f t="shared" si="16"/>
        <v>0</v>
      </c>
    </row>
    <row r="208" spans="1:13" x14ac:dyDescent="0.25">
      <c r="A208" s="208"/>
      <c r="G208" s="179"/>
      <c r="H208" s="191">
        <v>203</v>
      </c>
      <c r="I208" s="192" t="str">
        <f t="shared" si="14"/>
        <v/>
      </c>
      <c r="J208" s="191" t="e">
        <f t="shared" si="17"/>
        <v>#NUM!</v>
      </c>
      <c r="K208" s="191" t="e">
        <f t="shared" si="15"/>
        <v>#NUM!</v>
      </c>
      <c r="L208" s="191"/>
      <c r="M208" s="193">
        <f t="shared" si="16"/>
        <v>0</v>
      </c>
    </row>
    <row r="209" spans="1:13" x14ac:dyDescent="0.25">
      <c r="A209" s="208"/>
      <c r="G209" s="179"/>
      <c r="H209" s="191">
        <v>204</v>
      </c>
      <c r="I209" s="192" t="str">
        <f t="shared" si="14"/>
        <v/>
      </c>
      <c r="J209" s="191" t="e">
        <f t="shared" si="17"/>
        <v>#NUM!</v>
      </c>
      <c r="K209" s="191" t="e">
        <f t="shared" si="15"/>
        <v>#NUM!</v>
      </c>
      <c r="L209" s="191"/>
      <c r="M209" s="193">
        <f t="shared" si="16"/>
        <v>0</v>
      </c>
    </row>
    <row r="210" spans="1:13" x14ac:dyDescent="0.25">
      <c r="A210" s="208"/>
      <c r="G210" s="179"/>
      <c r="H210" s="191">
        <v>205</v>
      </c>
      <c r="I210" s="192" t="str">
        <f t="shared" si="14"/>
        <v/>
      </c>
      <c r="J210" s="191" t="e">
        <f t="shared" si="17"/>
        <v>#NUM!</v>
      </c>
      <c r="K210" s="191" t="e">
        <f t="shared" si="15"/>
        <v>#NUM!</v>
      </c>
      <c r="L210" s="191"/>
      <c r="M210" s="193">
        <f t="shared" si="16"/>
        <v>0</v>
      </c>
    </row>
    <row r="211" spans="1:13" x14ac:dyDescent="0.25">
      <c r="A211" s="208"/>
      <c r="G211" s="179"/>
      <c r="H211" s="191">
        <v>206</v>
      </c>
      <c r="I211" s="192" t="str">
        <f t="shared" si="14"/>
        <v/>
      </c>
      <c r="J211" s="191" t="e">
        <f t="shared" si="17"/>
        <v>#NUM!</v>
      </c>
      <c r="K211" s="191" t="e">
        <f t="shared" si="15"/>
        <v>#NUM!</v>
      </c>
      <c r="L211" s="191"/>
      <c r="M211" s="193">
        <f t="shared" si="16"/>
        <v>0</v>
      </c>
    </row>
    <row r="212" spans="1:13" x14ac:dyDescent="0.25">
      <c r="A212" s="208"/>
      <c r="G212" s="179"/>
      <c r="H212" s="191">
        <v>207</v>
      </c>
      <c r="I212" s="192" t="str">
        <f t="shared" si="14"/>
        <v/>
      </c>
      <c r="J212" s="191" t="e">
        <f t="shared" si="17"/>
        <v>#NUM!</v>
      </c>
      <c r="K212" s="191" t="e">
        <f t="shared" si="15"/>
        <v>#NUM!</v>
      </c>
      <c r="L212" s="191"/>
      <c r="M212" s="193">
        <f t="shared" si="16"/>
        <v>0</v>
      </c>
    </row>
    <row r="213" spans="1:13" x14ac:dyDescent="0.25">
      <c r="A213" s="208"/>
      <c r="G213" s="179"/>
      <c r="H213" s="191">
        <v>208</v>
      </c>
      <c r="I213" s="192" t="str">
        <f t="shared" si="14"/>
        <v/>
      </c>
      <c r="J213" s="191" t="e">
        <f t="shared" si="17"/>
        <v>#NUM!</v>
      </c>
      <c r="K213" s="191" t="e">
        <f t="shared" si="15"/>
        <v>#NUM!</v>
      </c>
      <c r="L213" s="191"/>
      <c r="M213" s="193">
        <f t="shared" si="16"/>
        <v>0</v>
      </c>
    </row>
    <row r="214" spans="1:13" x14ac:dyDescent="0.25">
      <c r="A214" s="208"/>
      <c r="G214" s="179"/>
      <c r="H214" s="191">
        <v>209</v>
      </c>
      <c r="I214" s="192" t="str">
        <f t="shared" si="14"/>
        <v/>
      </c>
      <c r="J214" s="191" t="e">
        <f t="shared" si="17"/>
        <v>#NUM!</v>
      </c>
      <c r="K214" s="191" t="e">
        <f t="shared" si="15"/>
        <v>#NUM!</v>
      </c>
      <c r="L214" s="191"/>
      <c r="M214" s="193">
        <f t="shared" si="16"/>
        <v>0</v>
      </c>
    </row>
    <row r="215" spans="1:13" x14ac:dyDescent="0.25">
      <c r="A215" s="208"/>
      <c r="G215" s="179"/>
      <c r="H215" s="191">
        <v>210</v>
      </c>
      <c r="I215" s="192" t="str">
        <f t="shared" si="14"/>
        <v/>
      </c>
      <c r="J215" s="191" t="e">
        <f t="shared" si="17"/>
        <v>#NUM!</v>
      </c>
      <c r="K215" s="191" t="e">
        <f t="shared" si="15"/>
        <v>#NUM!</v>
      </c>
      <c r="L215" s="191"/>
      <c r="M215" s="193">
        <f t="shared" si="16"/>
        <v>0</v>
      </c>
    </row>
    <row r="216" spans="1:13" x14ac:dyDescent="0.25">
      <c r="A216" s="208"/>
      <c r="G216" s="179"/>
      <c r="H216" s="191">
        <v>211</v>
      </c>
      <c r="I216" s="192" t="str">
        <f t="shared" si="14"/>
        <v/>
      </c>
      <c r="J216" s="191" t="e">
        <f t="shared" si="17"/>
        <v>#NUM!</v>
      </c>
      <c r="K216" s="191" t="e">
        <f t="shared" si="15"/>
        <v>#NUM!</v>
      </c>
      <c r="L216" s="191"/>
      <c r="M216" s="193">
        <f t="shared" si="16"/>
        <v>0</v>
      </c>
    </row>
    <row r="217" spans="1:13" x14ac:dyDescent="0.25">
      <c r="A217" s="208"/>
      <c r="G217" s="179"/>
      <c r="H217" s="191">
        <v>212</v>
      </c>
      <c r="I217" s="192" t="str">
        <f t="shared" si="14"/>
        <v/>
      </c>
      <c r="J217" s="191" t="e">
        <f t="shared" si="17"/>
        <v>#NUM!</v>
      </c>
      <c r="K217" s="191" t="e">
        <f t="shared" si="15"/>
        <v>#NUM!</v>
      </c>
      <c r="L217" s="191"/>
      <c r="M217" s="193">
        <f t="shared" si="16"/>
        <v>0</v>
      </c>
    </row>
    <row r="218" spans="1:13" x14ac:dyDescent="0.25">
      <c r="A218" s="208"/>
      <c r="G218" s="179"/>
      <c r="H218" s="191">
        <v>213</v>
      </c>
      <c r="I218" s="192" t="str">
        <f t="shared" si="14"/>
        <v/>
      </c>
      <c r="J218" s="191" t="e">
        <f t="shared" si="17"/>
        <v>#NUM!</v>
      </c>
      <c r="K218" s="191" t="e">
        <f t="shared" si="15"/>
        <v>#NUM!</v>
      </c>
      <c r="L218" s="191"/>
      <c r="M218" s="193">
        <f t="shared" si="16"/>
        <v>0</v>
      </c>
    </row>
    <row r="219" spans="1:13" x14ac:dyDescent="0.25">
      <c r="A219" s="208"/>
      <c r="G219" s="179"/>
      <c r="H219" s="191">
        <v>214</v>
      </c>
      <c r="I219" s="192" t="str">
        <f t="shared" si="14"/>
        <v/>
      </c>
      <c r="J219" s="191" t="e">
        <f t="shared" si="17"/>
        <v>#NUM!</v>
      </c>
      <c r="K219" s="191" t="e">
        <f t="shared" si="15"/>
        <v>#NUM!</v>
      </c>
      <c r="L219" s="191"/>
      <c r="M219" s="193">
        <f t="shared" si="16"/>
        <v>0</v>
      </c>
    </row>
    <row r="220" spans="1:13" x14ac:dyDescent="0.25">
      <c r="A220" s="208"/>
      <c r="G220" s="179"/>
      <c r="H220" s="191">
        <v>215</v>
      </c>
      <c r="I220" s="192" t="str">
        <f t="shared" si="14"/>
        <v/>
      </c>
      <c r="J220" s="191" t="e">
        <f t="shared" si="17"/>
        <v>#NUM!</v>
      </c>
      <c r="K220" s="191" t="e">
        <f t="shared" si="15"/>
        <v>#NUM!</v>
      </c>
      <c r="L220" s="191"/>
      <c r="M220" s="193">
        <f t="shared" si="16"/>
        <v>0</v>
      </c>
    </row>
    <row r="221" spans="1:13" x14ac:dyDescent="0.25">
      <c r="A221" s="208"/>
      <c r="G221" s="179"/>
      <c r="H221" s="191">
        <v>216</v>
      </c>
      <c r="I221" s="192" t="str">
        <f t="shared" si="14"/>
        <v/>
      </c>
      <c r="J221" s="191" t="e">
        <f t="shared" si="17"/>
        <v>#NUM!</v>
      </c>
      <c r="K221" s="191" t="e">
        <f t="shared" si="15"/>
        <v>#NUM!</v>
      </c>
      <c r="L221" s="191"/>
      <c r="M221" s="193">
        <f t="shared" si="16"/>
        <v>0</v>
      </c>
    </row>
    <row r="222" spans="1:13" x14ac:dyDescent="0.25">
      <c r="A222" s="208"/>
      <c r="G222" s="179"/>
      <c r="H222" s="191">
        <v>217</v>
      </c>
      <c r="I222" s="192" t="str">
        <f t="shared" si="14"/>
        <v/>
      </c>
      <c r="J222" s="191" t="e">
        <f t="shared" si="17"/>
        <v>#NUM!</v>
      </c>
      <c r="K222" s="191" t="e">
        <f t="shared" si="15"/>
        <v>#NUM!</v>
      </c>
      <c r="L222" s="191"/>
      <c r="M222" s="193">
        <f t="shared" si="16"/>
        <v>0</v>
      </c>
    </row>
    <row r="223" spans="1:13" x14ac:dyDescent="0.25">
      <c r="A223" s="208"/>
      <c r="G223" s="179"/>
      <c r="H223" s="191">
        <v>218</v>
      </c>
      <c r="I223" s="192" t="str">
        <f t="shared" si="14"/>
        <v/>
      </c>
      <c r="J223" s="191" t="e">
        <f t="shared" si="17"/>
        <v>#NUM!</v>
      </c>
      <c r="K223" s="191" t="e">
        <f t="shared" si="15"/>
        <v>#NUM!</v>
      </c>
      <c r="L223" s="191"/>
      <c r="M223" s="193">
        <f t="shared" si="16"/>
        <v>0</v>
      </c>
    </row>
    <row r="224" spans="1:13" x14ac:dyDescent="0.25">
      <c r="A224" s="208"/>
      <c r="G224" s="179"/>
      <c r="H224" s="191">
        <v>219</v>
      </c>
      <c r="I224" s="192" t="str">
        <f t="shared" si="14"/>
        <v/>
      </c>
      <c r="J224" s="191" t="e">
        <f t="shared" si="17"/>
        <v>#NUM!</v>
      </c>
      <c r="K224" s="191" t="e">
        <f t="shared" si="15"/>
        <v>#NUM!</v>
      </c>
      <c r="L224" s="191"/>
      <c r="M224" s="193">
        <f t="shared" si="16"/>
        <v>0</v>
      </c>
    </row>
    <row r="225" spans="1:13" x14ac:dyDescent="0.25">
      <c r="A225" s="208"/>
      <c r="G225" s="179"/>
      <c r="H225" s="191">
        <v>220</v>
      </c>
      <c r="I225" s="192" t="str">
        <f t="shared" si="14"/>
        <v/>
      </c>
      <c r="J225" s="191" t="e">
        <f t="shared" si="17"/>
        <v>#NUM!</v>
      </c>
      <c r="K225" s="191" t="e">
        <f t="shared" si="15"/>
        <v>#NUM!</v>
      </c>
      <c r="L225" s="191"/>
      <c r="M225" s="193">
        <f t="shared" si="16"/>
        <v>0</v>
      </c>
    </row>
    <row r="226" spans="1:13" x14ac:dyDescent="0.25">
      <c r="A226" s="208"/>
      <c r="G226" s="179"/>
      <c r="H226" s="191">
        <v>221</v>
      </c>
      <c r="I226" s="192" t="str">
        <f t="shared" si="14"/>
        <v/>
      </c>
      <c r="J226" s="191" t="e">
        <f t="shared" si="17"/>
        <v>#NUM!</v>
      </c>
      <c r="K226" s="191" t="e">
        <f t="shared" si="15"/>
        <v>#NUM!</v>
      </c>
      <c r="L226" s="191"/>
      <c r="M226" s="193">
        <f t="shared" si="16"/>
        <v>0</v>
      </c>
    </row>
    <row r="227" spans="1:13" x14ac:dyDescent="0.25">
      <c r="A227" s="208"/>
      <c r="G227" s="179"/>
      <c r="H227" s="191">
        <v>222</v>
      </c>
      <c r="I227" s="192" t="str">
        <f t="shared" si="14"/>
        <v/>
      </c>
      <c r="J227" s="191" t="e">
        <f t="shared" si="17"/>
        <v>#NUM!</v>
      </c>
      <c r="K227" s="191" t="e">
        <f t="shared" si="15"/>
        <v>#NUM!</v>
      </c>
      <c r="L227" s="191"/>
      <c r="M227" s="193">
        <f t="shared" si="16"/>
        <v>0</v>
      </c>
    </row>
    <row r="228" spans="1:13" x14ac:dyDescent="0.25">
      <c r="A228" s="208"/>
      <c r="G228" s="179"/>
      <c r="H228" s="191">
        <v>223</v>
      </c>
      <c r="I228" s="192" t="str">
        <f t="shared" si="14"/>
        <v/>
      </c>
      <c r="J228" s="191" t="e">
        <f t="shared" si="17"/>
        <v>#NUM!</v>
      </c>
      <c r="K228" s="191" t="e">
        <f t="shared" si="15"/>
        <v>#NUM!</v>
      </c>
      <c r="L228" s="191"/>
      <c r="M228" s="193">
        <f t="shared" si="16"/>
        <v>0</v>
      </c>
    </row>
    <row r="229" spans="1:13" x14ac:dyDescent="0.25">
      <c r="A229" s="208"/>
      <c r="G229" s="179"/>
      <c r="H229" s="191">
        <v>224</v>
      </c>
      <c r="I229" s="192" t="str">
        <f t="shared" si="14"/>
        <v/>
      </c>
      <c r="J229" s="191" t="e">
        <f t="shared" si="17"/>
        <v>#NUM!</v>
      </c>
      <c r="K229" s="191" t="e">
        <f t="shared" si="15"/>
        <v>#NUM!</v>
      </c>
      <c r="L229" s="191"/>
      <c r="M229" s="193">
        <f t="shared" si="16"/>
        <v>0</v>
      </c>
    </row>
    <row r="230" spans="1:13" x14ac:dyDescent="0.25">
      <c r="A230" s="208"/>
      <c r="G230" s="179"/>
      <c r="H230" s="191">
        <v>225</v>
      </c>
      <c r="I230" s="192" t="str">
        <f t="shared" si="14"/>
        <v/>
      </c>
      <c r="J230" s="191" t="e">
        <f t="shared" si="17"/>
        <v>#NUM!</v>
      </c>
      <c r="K230" s="191" t="e">
        <f t="shared" si="15"/>
        <v>#NUM!</v>
      </c>
      <c r="L230" s="191"/>
      <c r="M230" s="193">
        <f t="shared" si="16"/>
        <v>0</v>
      </c>
    </row>
    <row r="231" spans="1:13" x14ac:dyDescent="0.25">
      <c r="A231" s="208"/>
      <c r="G231" s="179"/>
      <c r="H231" s="191">
        <v>226</v>
      </c>
      <c r="I231" s="192" t="str">
        <f t="shared" si="14"/>
        <v/>
      </c>
      <c r="J231" s="191" t="e">
        <f t="shared" si="17"/>
        <v>#NUM!</v>
      </c>
      <c r="K231" s="191" t="e">
        <f t="shared" si="15"/>
        <v>#NUM!</v>
      </c>
      <c r="L231" s="191"/>
      <c r="M231" s="193">
        <f t="shared" si="16"/>
        <v>0</v>
      </c>
    </row>
    <row r="232" spans="1:13" x14ac:dyDescent="0.25">
      <c r="A232" s="208"/>
      <c r="G232" s="179"/>
      <c r="H232" s="191">
        <v>227</v>
      </c>
      <c r="I232" s="192" t="str">
        <f t="shared" si="14"/>
        <v/>
      </c>
      <c r="J232" s="191" t="e">
        <f t="shared" si="17"/>
        <v>#NUM!</v>
      </c>
      <c r="K232" s="191" t="e">
        <f t="shared" si="15"/>
        <v>#NUM!</v>
      </c>
      <c r="L232" s="191"/>
      <c r="M232" s="193">
        <f t="shared" si="16"/>
        <v>0</v>
      </c>
    </row>
    <row r="233" spans="1:13" x14ac:dyDescent="0.25">
      <c r="A233" s="208"/>
      <c r="G233" s="179"/>
      <c r="H233" s="191">
        <v>228</v>
      </c>
      <c r="I233" s="192" t="str">
        <f t="shared" si="14"/>
        <v/>
      </c>
      <c r="J233" s="191" t="e">
        <f t="shared" si="17"/>
        <v>#NUM!</v>
      </c>
      <c r="K233" s="191" t="e">
        <f t="shared" si="15"/>
        <v>#NUM!</v>
      </c>
      <c r="L233" s="191"/>
      <c r="M233" s="193">
        <f t="shared" si="16"/>
        <v>0</v>
      </c>
    </row>
    <row r="234" spans="1:13" x14ac:dyDescent="0.25">
      <c r="A234" s="208"/>
      <c r="G234" s="179"/>
      <c r="H234" s="191">
        <v>229</v>
      </c>
      <c r="I234" s="192" t="str">
        <f t="shared" si="14"/>
        <v/>
      </c>
      <c r="J234" s="191" t="e">
        <f t="shared" si="17"/>
        <v>#NUM!</v>
      </c>
      <c r="K234" s="191" t="e">
        <f t="shared" si="15"/>
        <v>#NUM!</v>
      </c>
      <c r="L234" s="191"/>
      <c r="M234" s="193">
        <f t="shared" si="16"/>
        <v>0</v>
      </c>
    </row>
    <row r="235" spans="1:13" x14ac:dyDescent="0.25">
      <c r="A235" s="208"/>
      <c r="G235" s="179"/>
      <c r="H235" s="191">
        <v>230</v>
      </c>
      <c r="I235" s="192" t="str">
        <f t="shared" si="14"/>
        <v/>
      </c>
      <c r="J235" s="191" t="e">
        <f t="shared" si="17"/>
        <v>#NUM!</v>
      </c>
      <c r="K235" s="191" t="e">
        <f t="shared" si="15"/>
        <v>#NUM!</v>
      </c>
      <c r="L235" s="191"/>
      <c r="M235" s="193">
        <f t="shared" si="16"/>
        <v>0</v>
      </c>
    </row>
    <row r="236" spans="1:13" x14ac:dyDescent="0.25">
      <c r="A236" s="208"/>
      <c r="G236" s="179"/>
      <c r="H236" s="191">
        <v>231</v>
      </c>
      <c r="I236" s="192" t="str">
        <f t="shared" si="14"/>
        <v/>
      </c>
      <c r="J236" s="191" t="e">
        <f t="shared" si="17"/>
        <v>#NUM!</v>
      </c>
      <c r="K236" s="191" t="e">
        <f t="shared" si="15"/>
        <v>#NUM!</v>
      </c>
      <c r="L236" s="191"/>
      <c r="M236" s="193">
        <f t="shared" si="16"/>
        <v>0</v>
      </c>
    </row>
    <row r="237" spans="1:13" x14ac:dyDescent="0.25">
      <c r="A237" s="208"/>
      <c r="G237" s="179"/>
      <c r="H237" s="191">
        <v>232</v>
      </c>
      <c r="I237" s="192" t="str">
        <f t="shared" si="14"/>
        <v/>
      </c>
      <c r="J237" s="191" t="e">
        <f t="shared" si="17"/>
        <v>#NUM!</v>
      </c>
      <c r="K237" s="191" t="e">
        <f t="shared" si="15"/>
        <v>#NUM!</v>
      </c>
      <c r="L237" s="191"/>
      <c r="M237" s="193">
        <f t="shared" si="16"/>
        <v>0</v>
      </c>
    </row>
    <row r="238" spans="1:13" x14ac:dyDescent="0.25">
      <c r="A238" s="208"/>
      <c r="G238" s="179"/>
      <c r="H238" s="191">
        <v>233</v>
      </c>
      <c r="I238" s="192" t="str">
        <f t="shared" si="14"/>
        <v/>
      </c>
      <c r="J238" s="191" t="e">
        <f t="shared" si="17"/>
        <v>#NUM!</v>
      </c>
      <c r="K238" s="191" t="e">
        <f t="shared" si="15"/>
        <v>#NUM!</v>
      </c>
      <c r="L238" s="191"/>
      <c r="M238" s="193">
        <f t="shared" si="16"/>
        <v>0</v>
      </c>
    </row>
    <row r="239" spans="1:13" x14ac:dyDescent="0.25">
      <c r="A239" s="208"/>
      <c r="G239" s="179"/>
      <c r="H239" s="191">
        <v>234</v>
      </c>
      <c r="I239" s="192" t="str">
        <f t="shared" si="14"/>
        <v/>
      </c>
      <c r="J239" s="191" t="e">
        <f t="shared" si="17"/>
        <v>#NUM!</v>
      </c>
      <c r="K239" s="191" t="e">
        <f t="shared" si="15"/>
        <v>#NUM!</v>
      </c>
      <c r="L239" s="191"/>
      <c r="M239" s="193">
        <f t="shared" si="16"/>
        <v>0</v>
      </c>
    </row>
    <row r="240" spans="1:13" x14ac:dyDescent="0.25">
      <c r="A240" s="208"/>
      <c r="G240" s="179"/>
      <c r="H240" s="191">
        <v>235</v>
      </c>
      <c r="I240" s="192" t="str">
        <f t="shared" si="14"/>
        <v/>
      </c>
      <c r="J240" s="191" t="e">
        <f t="shared" si="17"/>
        <v>#NUM!</v>
      </c>
      <c r="K240" s="191" t="e">
        <f t="shared" si="15"/>
        <v>#NUM!</v>
      </c>
      <c r="L240" s="191"/>
      <c r="M240" s="193">
        <f t="shared" si="16"/>
        <v>0</v>
      </c>
    </row>
    <row r="241" spans="1:13" x14ac:dyDescent="0.25">
      <c r="A241" s="208"/>
      <c r="G241" s="179"/>
      <c r="H241" s="191">
        <v>236</v>
      </c>
      <c r="I241" s="192" t="str">
        <f t="shared" si="14"/>
        <v/>
      </c>
      <c r="J241" s="191" t="e">
        <f t="shared" si="17"/>
        <v>#NUM!</v>
      </c>
      <c r="K241" s="191" t="e">
        <f t="shared" si="15"/>
        <v>#NUM!</v>
      </c>
      <c r="L241" s="191"/>
      <c r="M241" s="193">
        <f t="shared" si="16"/>
        <v>0</v>
      </c>
    </row>
    <row r="242" spans="1:13" x14ac:dyDescent="0.25">
      <c r="A242" s="208"/>
      <c r="G242" s="179"/>
      <c r="H242" s="191">
        <v>237</v>
      </c>
      <c r="I242" s="192" t="str">
        <f t="shared" si="14"/>
        <v/>
      </c>
      <c r="J242" s="191" t="e">
        <f t="shared" si="17"/>
        <v>#NUM!</v>
      </c>
      <c r="K242" s="191" t="e">
        <f t="shared" si="15"/>
        <v>#NUM!</v>
      </c>
      <c r="L242" s="191"/>
      <c r="M242" s="193">
        <f t="shared" si="16"/>
        <v>0</v>
      </c>
    </row>
    <row r="243" spans="1:13" x14ac:dyDescent="0.25">
      <c r="A243" s="208"/>
      <c r="G243" s="179"/>
      <c r="H243" s="191">
        <v>238</v>
      </c>
      <c r="I243" s="192" t="str">
        <f t="shared" si="14"/>
        <v/>
      </c>
      <c r="J243" s="191" t="e">
        <f t="shared" si="17"/>
        <v>#NUM!</v>
      </c>
      <c r="K243" s="191" t="e">
        <f t="shared" si="15"/>
        <v>#NUM!</v>
      </c>
      <c r="L243" s="191"/>
      <c r="M243" s="193">
        <f t="shared" si="16"/>
        <v>0</v>
      </c>
    </row>
    <row r="244" spans="1:13" x14ac:dyDescent="0.25">
      <c r="A244" s="208"/>
      <c r="G244" s="179"/>
      <c r="H244" s="191">
        <v>239</v>
      </c>
      <c r="I244" s="192" t="str">
        <f t="shared" si="14"/>
        <v/>
      </c>
      <c r="J244" s="191" t="e">
        <f t="shared" si="17"/>
        <v>#NUM!</v>
      </c>
      <c r="K244" s="191" t="e">
        <f t="shared" si="15"/>
        <v>#NUM!</v>
      </c>
      <c r="L244" s="191"/>
      <c r="M244" s="193">
        <f t="shared" si="16"/>
        <v>0</v>
      </c>
    </row>
    <row r="245" spans="1:13" x14ac:dyDescent="0.25">
      <c r="A245" s="208"/>
      <c r="G245" s="179"/>
      <c r="H245" s="191">
        <v>240</v>
      </c>
      <c r="I245" s="192" t="str">
        <f t="shared" si="14"/>
        <v/>
      </c>
      <c r="J245" s="191" t="e">
        <f t="shared" si="17"/>
        <v>#NUM!</v>
      </c>
      <c r="K245" s="191" t="e">
        <f t="shared" si="15"/>
        <v>#NUM!</v>
      </c>
      <c r="L245" s="191"/>
      <c r="M245" s="193">
        <f t="shared" si="16"/>
        <v>0</v>
      </c>
    </row>
    <row r="246" spans="1:13" x14ac:dyDescent="0.25">
      <c r="A246" s="208"/>
      <c r="G246" s="179"/>
      <c r="H246" s="191">
        <v>241</v>
      </c>
      <c r="I246" s="192" t="str">
        <f t="shared" si="14"/>
        <v/>
      </c>
      <c r="J246" s="191" t="e">
        <f t="shared" si="17"/>
        <v>#NUM!</v>
      </c>
      <c r="K246" s="191" t="e">
        <f t="shared" si="15"/>
        <v>#NUM!</v>
      </c>
      <c r="L246" s="191"/>
      <c r="M246" s="193">
        <f t="shared" si="16"/>
        <v>0</v>
      </c>
    </row>
    <row r="247" spans="1:13" x14ac:dyDescent="0.25">
      <c r="A247" s="208"/>
      <c r="G247" s="179"/>
      <c r="H247" s="191">
        <v>242</v>
      </c>
      <c r="I247" s="192" t="str">
        <f t="shared" si="14"/>
        <v/>
      </c>
      <c r="J247" s="191" t="e">
        <f t="shared" si="17"/>
        <v>#NUM!</v>
      </c>
      <c r="K247" s="191" t="e">
        <f t="shared" si="15"/>
        <v>#NUM!</v>
      </c>
      <c r="L247" s="191"/>
      <c r="M247" s="193">
        <f t="shared" si="16"/>
        <v>0</v>
      </c>
    </row>
    <row r="248" spans="1:13" x14ac:dyDescent="0.25">
      <c r="A248" s="208"/>
      <c r="G248" s="179"/>
      <c r="H248" s="191">
        <v>243</v>
      </c>
      <c r="I248" s="192" t="str">
        <f t="shared" si="14"/>
        <v/>
      </c>
      <c r="J248" s="191" t="e">
        <f t="shared" si="17"/>
        <v>#NUM!</v>
      </c>
      <c r="K248" s="191" t="e">
        <f t="shared" si="15"/>
        <v>#NUM!</v>
      </c>
      <c r="L248" s="191"/>
      <c r="M248" s="193">
        <f t="shared" si="16"/>
        <v>0</v>
      </c>
    </row>
    <row r="249" spans="1:13" x14ac:dyDescent="0.25">
      <c r="A249" s="208"/>
      <c r="G249" s="179"/>
      <c r="H249" s="191">
        <v>244</v>
      </c>
      <c r="I249" s="192" t="str">
        <f t="shared" si="14"/>
        <v/>
      </c>
      <c r="J249" s="191" t="e">
        <f t="shared" si="17"/>
        <v>#NUM!</v>
      </c>
      <c r="K249" s="191" t="e">
        <f t="shared" si="15"/>
        <v>#NUM!</v>
      </c>
      <c r="L249" s="191"/>
      <c r="M249" s="193">
        <f t="shared" si="16"/>
        <v>0</v>
      </c>
    </row>
    <row r="250" spans="1:13" x14ac:dyDescent="0.25">
      <c r="A250" s="208"/>
      <c r="G250" s="179"/>
      <c r="H250" s="191">
        <v>245</v>
      </c>
      <c r="I250" s="192" t="str">
        <f t="shared" si="14"/>
        <v/>
      </c>
      <c r="J250" s="191" t="e">
        <f t="shared" si="17"/>
        <v>#NUM!</v>
      </c>
      <c r="K250" s="191" t="e">
        <f t="shared" si="15"/>
        <v>#NUM!</v>
      </c>
      <c r="L250" s="191"/>
      <c r="M250" s="193">
        <f t="shared" si="16"/>
        <v>0</v>
      </c>
    </row>
    <row r="251" spans="1:13" x14ac:dyDescent="0.25">
      <c r="A251" s="208"/>
      <c r="G251" s="179"/>
      <c r="H251" s="191">
        <v>246</v>
      </c>
      <c r="I251" s="192" t="str">
        <f t="shared" si="14"/>
        <v/>
      </c>
      <c r="J251" s="191" t="e">
        <f t="shared" si="17"/>
        <v>#NUM!</v>
      </c>
      <c r="K251" s="191" t="e">
        <f t="shared" si="15"/>
        <v>#NUM!</v>
      </c>
      <c r="L251" s="191"/>
      <c r="M251" s="193">
        <f t="shared" si="16"/>
        <v>0</v>
      </c>
    </row>
    <row r="252" spans="1:13" x14ac:dyDescent="0.25">
      <c r="A252" s="208"/>
      <c r="G252" s="179"/>
      <c r="H252" s="191">
        <v>247</v>
      </c>
      <c r="I252" s="192" t="str">
        <f t="shared" si="14"/>
        <v/>
      </c>
      <c r="J252" s="191" t="e">
        <f t="shared" si="17"/>
        <v>#NUM!</v>
      </c>
      <c r="K252" s="191" t="e">
        <f t="shared" si="15"/>
        <v>#NUM!</v>
      </c>
      <c r="L252" s="191"/>
      <c r="M252" s="193">
        <f t="shared" si="16"/>
        <v>0</v>
      </c>
    </row>
    <row r="253" spans="1:13" x14ac:dyDescent="0.25">
      <c r="A253" s="208"/>
      <c r="G253" s="179"/>
      <c r="H253" s="191">
        <v>248</v>
      </c>
      <c r="I253" s="192" t="str">
        <f t="shared" si="14"/>
        <v/>
      </c>
      <c r="J253" s="191" t="e">
        <f t="shared" si="17"/>
        <v>#NUM!</v>
      </c>
      <c r="K253" s="191" t="e">
        <f t="shared" si="15"/>
        <v>#NUM!</v>
      </c>
      <c r="L253" s="191"/>
      <c r="M253" s="193">
        <f t="shared" si="16"/>
        <v>0</v>
      </c>
    </row>
    <row r="254" spans="1:13" x14ac:dyDescent="0.25">
      <c r="A254" s="208"/>
      <c r="G254" s="179"/>
      <c r="H254" s="191">
        <v>249</v>
      </c>
      <c r="I254" s="192" t="str">
        <f t="shared" si="14"/>
        <v/>
      </c>
      <c r="J254" s="191" t="e">
        <f t="shared" si="17"/>
        <v>#NUM!</v>
      </c>
      <c r="K254" s="191" t="e">
        <f t="shared" si="15"/>
        <v>#NUM!</v>
      </c>
      <c r="L254" s="191"/>
      <c r="M254" s="193">
        <f t="shared" si="16"/>
        <v>0</v>
      </c>
    </row>
    <row r="255" spans="1:13" x14ac:dyDescent="0.25">
      <c r="A255" s="208"/>
      <c r="G255" s="179"/>
      <c r="H255" s="191">
        <v>250</v>
      </c>
      <c r="I255" s="192" t="str">
        <f t="shared" si="14"/>
        <v/>
      </c>
      <c r="J255" s="191" t="e">
        <f t="shared" si="17"/>
        <v>#NUM!</v>
      </c>
      <c r="K255" s="191" t="e">
        <f t="shared" si="15"/>
        <v>#NUM!</v>
      </c>
      <c r="L255" s="191"/>
      <c r="M255" s="193">
        <f t="shared" si="16"/>
        <v>0</v>
      </c>
    </row>
    <row r="256" spans="1:13" x14ac:dyDescent="0.25">
      <c r="A256" s="208"/>
      <c r="G256" s="179"/>
      <c r="H256" s="191">
        <v>251</v>
      </c>
      <c r="I256" s="192" t="str">
        <f t="shared" si="14"/>
        <v/>
      </c>
      <c r="J256" s="191" t="e">
        <f t="shared" si="17"/>
        <v>#NUM!</v>
      </c>
      <c r="K256" s="191" t="e">
        <f t="shared" si="15"/>
        <v>#NUM!</v>
      </c>
      <c r="L256" s="191"/>
      <c r="M256" s="193">
        <f t="shared" si="16"/>
        <v>0</v>
      </c>
    </row>
    <row r="257" spans="1:13" x14ac:dyDescent="0.25">
      <c r="A257" s="208"/>
      <c r="G257" s="179"/>
      <c r="H257" s="191">
        <v>252</v>
      </c>
      <c r="I257" s="192" t="str">
        <f t="shared" si="14"/>
        <v/>
      </c>
      <c r="J257" s="191" t="e">
        <f t="shared" si="17"/>
        <v>#NUM!</v>
      </c>
      <c r="K257" s="191" t="e">
        <f t="shared" si="15"/>
        <v>#NUM!</v>
      </c>
      <c r="L257" s="191"/>
      <c r="M257" s="193">
        <f t="shared" si="16"/>
        <v>0</v>
      </c>
    </row>
    <row r="258" spans="1:13" x14ac:dyDescent="0.25">
      <c r="A258" s="208"/>
      <c r="G258" s="179"/>
      <c r="H258" s="191">
        <v>253</v>
      </c>
      <c r="I258" s="192" t="str">
        <f t="shared" si="14"/>
        <v/>
      </c>
      <c r="J258" s="191" t="e">
        <f t="shared" si="17"/>
        <v>#NUM!</v>
      </c>
      <c r="K258" s="191" t="e">
        <f t="shared" si="15"/>
        <v>#NUM!</v>
      </c>
      <c r="L258" s="191"/>
      <c r="M258" s="193">
        <f t="shared" si="16"/>
        <v>0</v>
      </c>
    </row>
    <row r="259" spans="1:13" x14ac:dyDescent="0.25">
      <c r="A259" s="208"/>
      <c r="G259" s="179"/>
      <c r="H259" s="191">
        <v>254</v>
      </c>
      <c r="I259" s="192" t="str">
        <f t="shared" si="14"/>
        <v/>
      </c>
      <c r="J259" s="191" t="e">
        <f t="shared" si="17"/>
        <v>#NUM!</v>
      </c>
      <c r="K259" s="191" t="e">
        <f t="shared" si="15"/>
        <v>#NUM!</v>
      </c>
      <c r="L259" s="191"/>
      <c r="M259" s="193">
        <f t="shared" si="16"/>
        <v>0</v>
      </c>
    </row>
    <row r="260" spans="1:13" x14ac:dyDescent="0.25">
      <c r="A260" s="208"/>
      <c r="G260" s="179"/>
      <c r="H260" s="191">
        <v>255</v>
      </c>
      <c r="I260" s="192" t="str">
        <f t="shared" si="14"/>
        <v/>
      </c>
      <c r="J260" s="191" t="e">
        <f t="shared" si="17"/>
        <v>#NUM!</v>
      </c>
      <c r="K260" s="191" t="e">
        <f t="shared" si="15"/>
        <v>#NUM!</v>
      </c>
      <c r="L260" s="191"/>
      <c r="M260" s="193">
        <f t="shared" si="16"/>
        <v>0</v>
      </c>
    </row>
    <row r="261" spans="1:13" x14ac:dyDescent="0.25">
      <c r="A261" s="208"/>
      <c r="G261" s="179"/>
      <c r="H261" s="191">
        <v>256</v>
      </c>
      <c r="I261" s="192" t="str">
        <f t="shared" si="14"/>
        <v/>
      </c>
      <c r="J261" s="191" t="e">
        <f t="shared" si="17"/>
        <v>#NUM!</v>
      </c>
      <c r="K261" s="191" t="e">
        <f t="shared" si="15"/>
        <v>#NUM!</v>
      </c>
      <c r="L261" s="191"/>
      <c r="M261" s="193">
        <f t="shared" si="16"/>
        <v>0</v>
      </c>
    </row>
    <row r="262" spans="1:13" x14ac:dyDescent="0.25">
      <c r="A262" s="208"/>
      <c r="G262" s="179"/>
      <c r="H262" s="191">
        <v>257</v>
      </c>
      <c r="I262" s="192" t="str">
        <f t="shared" ref="I262:I305" si="18">IF(H262&lt;$H$2+1,($I$2-($I$2-1)*(LOG(H262)/LOG($H$2))),"")</f>
        <v/>
      </c>
      <c r="J262" s="191" t="e">
        <f t="shared" si="17"/>
        <v>#NUM!</v>
      </c>
      <c r="K262" s="191" t="e">
        <f t="shared" ref="K262:K305" si="19">J262*$J$2</f>
        <v>#NUM!</v>
      </c>
      <c r="L262" s="191"/>
      <c r="M262" s="193">
        <f t="shared" ref="M262:M305" si="20">IF(I262&lt;&gt;"",K262+I262+L262,0)</f>
        <v>0</v>
      </c>
    </row>
    <row r="263" spans="1:13" x14ac:dyDescent="0.25">
      <c r="A263" s="208"/>
      <c r="G263" s="179"/>
      <c r="H263" s="191">
        <v>258</v>
      </c>
      <c r="I263" s="192" t="str">
        <f t="shared" si="18"/>
        <v/>
      </c>
      <c r="J263" s="191" t="e">
        <f t="shared" ref="J263:J326" si="21">INT(LOG($H$2,2))-ROUNDUP(LOG(H263,2),0)+IF(OR($H$2=1,$H$2=2,$H$2=4,$H$2=8,$H$2=16,$H$2=32,$H$2=64,$H$2=128,$H$2=256),0,1)</f>
        <v>#NUM!</v>
      </c>
      <c r="K263" s="191" t="e">
        <f t="shared" si="19"/>
        <v>#NUM!</v>
      </c>
      <c r="L263" s="191"/>
      <c r="M263" s="193">
        <f t="shared" si="20"/>
        <v>0</v>
      </c>
    </row>
    <row r="264" spans="1:13" x14ac:dyDescent="0.25">
      <c r="A264" s="208"/>
      <c r="G264" s="179"/>
      <c r="H264" s="191">
        <v>259</v>
      </c>
      <c r="I264" s="192" t="str">
        <f t="shared" si="18"/>
        <v/>
      </c>
      <c r="J264" s="191" t="e">
        <f t="shared" si="21"/>
        <v>#NUM!</v>
      </c>
      <c r="K264" s="191" t="e">
        <f t="shared" si="19"/>
        <v>#NUM!</v>
      </c>
      <c r="L264" s="191"/>
      <c r="M264" s="193">
        <f t="shared" si="20"/>
        <v>0</v>
      </c>
    </row>
    <row r="265" spans="1:13" x14ac:dyDescent="0.25">
      <c r="A265" s="208"/>
      <c r="G265" s="179"/>
      <c r="H265" s="191">
        <v>260</v>
      </c>
      <c r="I265" s="192" t="str">
        <f t="shared" si="18"/>
        <v/>
      </c>
      <c r="J265" s="191" t="e">
        <f t="shared" si="21"/>
        <v>#NUM!</v>
      </c>
      <c r="K265" s="191" t="e">
        <f t="shared" si="19"/>
        <v>#NUM!</v>
      </c>
      <c r="L265" s="191"/>
      <c r="M265" s="193">
        <f t="shared" si="20"/>
        <v>0</v>
      </c>
    </row>
    <row r="266" spans="1:13" x14ac:dyDescent="0.25">
      <c r="A266" s="208"/>
      <c r="G266" s="179"/>
      <c r="H266" s="191">
        <v>261</v>
      </c>
      <c r="I266" s="192" t="str">
        <f t="shared" si="18"/>
        <v/>
      </c>
      <c r="J266" s="191" t="e">
        <f t="shared" si="21"/>
        <v>#NUM!</v>
      </c>
      <c r="K266" s="191" t="e">
        <f t="shared" si="19"/>
        <v>#NUM!</v>
      </c>
      <c r="L266" s="191"/>
      <c r="M266" s="193">
        <f t="shared" si="20"/>
        <v>0</v>
      </c>
    </row>
    <row r="267" spans="1:13" x14ac:dyDescent="0.25">
      <c r="A267" s="208"/>
      <c r="G267" s="179"/>
      <c r="H267" s="191">
        <v>262</v>
      </c>
      <c r="I267" s="192" t="str">
        <f t="shared" si="18"/>
        <v/>
      </c>
      <c r="J267" s="191" t="e">
        <f t="shared" si="21"/>
        <v>#NUM!</v>
      </c>
      <c r="K267" s="191" t="e">
        <f t="shared" si="19"/>
        <v>#NUM!</v>
      </c>
      <c r="L267" s="191"/>
      <c r="M267" s="193">
        <f t="shared" si="20"/>
        <v>0</v>
      </c>
    </row>
    <row r="268" spans="1:13" x14ac:dyDescent="0.25">
      <c r="A268" s="208"/>
      <c r="G268" s="179"/>
      <c r="H268" s="191">
        <v>263</v>
      </c>
      <c r="I268" s="192" t="str">
        <f t="shared" si="18"/>
        <v/>
      </c>
      <c r="J268" s="191" t="e">
        <f t="shared" si="21"/>
        <v>#NUM!</v>
      </c>
      <c r="K268" s="191" t="e">
        <f t="shared" si="19"/>
        <v>#NUM!</v>
      </c>
      <c r="L268" s="191"/>
      <c r="M268" s="193">
        <f t="shared" si="20"/>
        <v>0</v>
      </c>
    </row>
    <row r="269" spans="1:13" x14ac:dyDescent="0.25">
      <c r="A269" s="208"/>
      <c r="G269" s="179"/>
      <c r="H269" s="191">
        <v>264</v>
      </c>
      <c r="I269" s="192" t="str">
        <f t="shared" si="18"/>
        <v/>
      </c>
      <c r="J269" s="191" t="e">
        <f t="shared" si="21"/>
        <v>#NUM!</v>
      </c>
      <c r="K269" s="191" t="e">
        <f t="shared" si="19"/>
        <v>#NUM!</v>
      </c>
      <c r="L269" s="191"/>
      <c r="M269" s="193">
        <f t="shared" si="20"/>
        <v>0</v>
      </c>
    </row>
    <row r="270" spans="1:13" x14ac:dyDescent="0.25">
      <c r="A270" s="208"/>
      <c r="G270" s="179"/>
      <c r="H270" s="191">
        <v>265</v>
      </c>
      <c r="I270" s="192" t="str">
        <f t="shared" si="18"/>
        <v/>
      </c>
      <c r="J270" s="191" t="e">
        <f t="shared" si="21"/>
        <v>#NUM!</v>
      </c>
      <c r="K270" s="191" t="e">
        <f t="shared" si="19"/>
        <v>#NUM!</v>
      </c>
      <c r="L270" s="191"/>
      <c r="M270" s="193">
        <f t="shared" si="20"/>
        <v>0</v>
      </c>
    </row>
    <row r="271" spans="1:13" x14ac:dyDescent="0.25">
      <c r="A271" s="208"/>
      <c r="G271" s="179"/>
      <c r="H271" s="191">
        <v>266</v>
      </c>
      <c r="I271" s="192" t="str">
        <f t="shared" si="18"/>
        <v/>
      </c>
      <c r="J271" s="191" t="e">
        <f t="shared" si="21"/>
        <v>#NUM!</v>
      </c>
      <c r="K271" s="191" t="e">
        <f t="shared" si="19"/>
        <v>#NUM!</v>
      </c>
      <c r="L271" s="191"/>
      <c r="M271" s="193">
        <f t="shared" si="20"/>
        <v>0</v>
      </c>
    </row>
    <row r="272" spans="1:13" x14ac:dyDescent="0.25">
      <c r="A272" s="208"/>
      <c r="G272" s="179"/>
      <c r="H272" s="191">
        <v>267</v>
      </c>
      <c r="I272" s="192" t="str">
        <f t="shared" si="18"/>
        <v/>
      </c>
      <c r="J272" s="191" t="e">
        <f t="shared" si="21"/>
        <v>#NUM!</v>
      </c>
      <c r="K272" s="191" t="e">
        <f t="shared" si="19"/>
        <v>#NUM!</v>
      </c>
      <c r="L272" s="191"/>
      <c r="M272" s="193">
        <f t="shared" si="20"/>
        <v>0</v>
      </c>
    </row>
    <row r="273" spans="1:13" x14ac:dyDescent="0.25">
      <c r="A273" s="208"/>
      <c r="G273" s="179"/>
      <c r="H273" s="191">
        <v>268</v>
      </c>
      <c r="I273" s="192" t="str">
        <f t="shared" si="18"/>
        <v/>
      </c>
      <c r="J273" s="191" t="e">
        <f t="shared" si="21"/>
        <v>#NUM!</v>
      </c>
      <c r="K273" s="191" t="e">
        <f t="shared" si="19"/>
        <v>#NUM!</v>
      </c>
      <c r="L273" s="191"/>
      <c r="M273" s="193">
        <f t="shared" si="20"/>
        <v>0</v>
      </c>
    </row>
    <row r="274" spans="1:13" x14ac:dyDescent="0.25">
      <c r="A274" s="208"/>
      <c r="G274" s="179"/>
      <c r="H274" s="191">
        <v>269</v>
      </c>
      <c r="I274" s="192" t="str">
        <f t="shared" si="18"/>
        <v/>
      </c>
      <c r="J274" s="191" t="e">
        <f t="shared" si="21"/>
        <v>#NUM!</v>
      </c>
      <c r="K274" s="191" t="e">
        <f t="shared" si="19"/>
        <v>#NUM!</v>
      </c>
      <c r="L274" s="191"/>
      <c r="M274" s="193">
        <f t="shared" si="20"/>
        <v>0</v>
      </c>
    </row>
    <row r="275" spans="1:13" x14ac:dyDescent="0.25">
      <c r="A275" s="208"/>
      <c r="G275" s="179"/>
      <c r="H275" s="191">
        <v>270</v>
      </c>
      <c r="I275" s="192" t="str">
        <f t="shared" si="18"/>
        <v/>
      </c>
      <c r="J275" s="191" t="e">
        <f t="shared" si="21"/>
        <v>#NUM!</v>
      </c>
      <c r="K275" s="191" t="e">
        <f t="shared" si="19"/>
        <v>#NUM!</v>
      </c>
      <c r="L275" s="191"/>
      <c r="M275" s="193">
        <f t="shared" si="20"/>
        <v>0</v>
      </c>
    </row>
    <row r="276" spans="1:13" x14ac:dyDescent="0.25">
      <c r="A276" s="208"/>
      <c r="G276" s="179"/>
      <c r="H276" s="191">
        <v>271</v>
      </c>
      <c r="I276" s="192" t="str">
        <f t="shared" si="18"/>
        <v/>
      </c>
      <c r="J276" s="191" t="e">
        <f t="shared" si="21"/>
        <v>#NUM!</v>
      </c>
      <c r="K276" s="191" t="e">
        <f t="shared" si="19"/>
        <v>#NUM!</v>
      </c>
      <c r="L276" s="191"/>
      <c r="M276" s="193">
        <f t="shared" si="20"/>
        <v>0</v>
      </c>
    </row>
    <row r="277" spans="1:13" x14ac:dyDescent="0.25">
      <c r="A277" s="208"/>
      <c r="G277" s="179"/>
      <c r="H277" s="191">
        <v>272</v>
      </c>
      <c r="I277" s="192" t="str">
        <f t="shared" si="18"/>
        <v/>
      </c>
      <c r="J277" s="191" t="e">
        <f t="shared" si="21"/>
        <v>#NUM!</v>
      </c>
      <c r="K277" s="191" t="e">
        <f t="shared" si="19"/>
        <v>#NUM!</v>
      </c>
      <c r="L277" s="191"/>
      <c r="M277" s="193">
        <f t="shared" si="20"/>
        <v>0</v>
      </c>
    </row>
    <row r="278" spans="1:13" x14ac:dyDescent="0.25">
      <c r="A278" s="208"/>
      <c r="G278" s="179"/>
      <c r="H278" s="191">
        <v>273</v>
      </c>
      <c r="I278" s="192" t="str">
        <f t="shared" si="18"/>
        <v/>
      </c>
      <c r="J278" s="191" t="e">
        <f t="shared" si="21"/>
        <v>#NUM!</v>
      </c>
      <c r="K278" s="191" t="e">
        <f t="shared" si="19"/>
        <v>#NUM!</v>
      </c>
      <c r="L278" s="191"/>
      <c r="M278" s="193">
        <f t="shared" si="20"/>
        <v>0</v>
      </c>
    </row>
    <row r="279" spans="1:13" x14ac:dyDescent="0.25">
      <c r="A279" s="208"/>
      <c r="G279" s="179"/>
      <c r="H279" s="191">
        <v>274</v>
      </c>
      <c r="I279" s="192" t="str">
        <f t="shared" si="18"/>
        <v/>
      </c>
      <c r="J279" s="191" t="e">
        <f t="shared" si="21"/>
        <v>#NUM!</v>
      </c>
      <c r="K279" s="191" t="e">
        <f t="shared" si="19"/>
        <v>#NUM!</v>
      </c>
      <c r="L279" s="191"/>
      <c r="M279" s="193">
        <f t="shared" si="20"/>
        <v>0</v>
      </c>
    </row>
    <row r="280" spans="1:13" x14ac:dyDescent="0.25">
      <c r="A280" s="208"/>
      <c r="G280" s="179"/>
      <c r="H280" s="191">
        <v>275</v>
      </c>
      <c r="I280" s="192" t="str">
        <f t="shared" si="18"/>
        <v/>
      </c>
      <c r="J280" s="191" t="e">
        <f t="shared" si="21"/>
        <v>#NUM!</v>
      </c>
      <c r="K280" s="191" t="e">
        <f t="shared" si="19"/>
        <v>#NUM!</v>
      </c>
      <c r="L280" s="191"/>
      <c r="M280" s="193">
        <f t="shared" si="20"/>
        <v>0</v>
      </c>
    </row>
    <row r="281" spans="1:13" x14ac:dyDescent="0.25">
      <c r="A281" s="208"/>
      <c r="G281" s="179"/>
      <c r="H281" s="191">
        <v>276</v>
      </c>
      <c r="I281" s="192" t="str">
        <f t="shared" si="18"/>
        <v/>
      </c>
      <c r="J281" s="191" t="e">
        <f t="shared" si="21"/>
        <v>#NUM!</v>
      </c>
      <c r="K281" s="191" t="e">
        <f t="shared" si="19"/>
        <v>#NUM!</v>
      </c>
      <c r="L281" s="191"/>
      <c r="M281" s="193">
        <f t="shared" si="20"/>
        <v>0</v>
      </c>
    </row>
    <row r="282" spans="1:13" x14ac:dyDescent="0.25">
      <c r="A282" s="208"/>
      <c r="G282" s="179"/>
      <c r="H282" s="191">
        <v>277</v>
      </c>
      <c r="I282" s="192" t="str">
        <f t="shared" si="18"/>
        <v/>
      </c>
      <c r="J282" s="191" t="e">
        <f t="shared" si="21"/>
        <v>#NUM!</v>
      </c>
      <c r="K282" s="191" t="e">
        <f t="shared" si="19"/>
        <v>#NUM!</v>
      </c>
      <c r="L282" s="191"/>
      <c r="M282" s="193">
        <f t="shared" si="20"/>
        <v>0</v>
      </c>
    </row>
    <row r="283" spans="1:13" x14ac:dyDescent="0.25">
      <c r="A283" s="208"/>
      <c r="G283" s="179"/>
      <c r="H283" s="191">
        <v>278</v>
      </c>
      <c r="I283" s="192" t="str">
        <f t="shared" si="18"/>
        <v/>
      </c>
      <c r="J283" s="191" t="e">
        <f t="shared" si="21"/>
        <v>#NUM!</v>
      </c>
      <c r="K283" s="191" t="e">
        <f t="shared" si="19"/>
        <v>#NUM!</v>
      </c>
      <c r="L283" s="191"/>
      <c r="M283" s="193">
        <f t="shared" si="20"/>
        <v>0</v>
      </c>
    </row>
    <row r="284" spans="1:13" x14ac:dyDescent="0.25">
      <c r="A284" s="208"/>
      <c r="G284" s="179"/>
      <c r="H284" s="191">
        <v>279</v>
      </c>
      <c r="I284" s="192" t="str">
        <f t="shared" si="18"/>
        <v/>
      </c>
      <c r="J284" s="191" t="e">
        <f t="shared" si="21"/>
        <v>#NUM!</v>
      </c>
      <c r="K284" s="191" t="e">
        <f t="shared" si="19"/>
        <v>#NUM!</v>
      </c>
      <c r="L284" s="191"/>
      <c r="M284" s="193">
        <f t="shared" si="20"/>
        <v>0</v>
      </c>
    </row>
    <row r="285" spans="1:13" x14ac:dyDescent="0.25">
      <c r="A285" s="208"/>
      <c r="G285" s="179"/>
      <c r="H285" s="191">
        <v>280</v>
      </c>
      <c r="I285" s="192" t="str">
        <f t="shared" si="18"/>
        <v/>
      </c>
      <c r="J285" s="191" t="e">
        <f t="shared" si="21"/>
        <v>#NUM!</v>
      </c>
      <c r="K285" s="191" t="e">
        <f t="shared" si="19"/>
        <v>#NUM!</v>
      </c>
      <c r="L285" s="191"/>
      <c r="M285" s="193">
        <f t="shared" si="20"/>
        <v>0</v>
      </c>
    </row>
    <row r="286" spans="1:13" x14ac:dyDescent="0.25">
      <c r="A286" s="208"/>
      <c r="G286" s="179"/>
      <c r="H286" s="191">
        <v>281</v>
      </c>
      <c r="I286" s="192" t="str">
        <f t="shared" si="18"/>
        <v/>
      </c>
      <c r="J286" s="191" t="e">
        <f t="shared" si="21"/>
        <v>#NUM!</v>
      </c>
      <c r="K286" s="191" t="e">
        <f t="shared" si="19"/>
        <v>#NUM!</v>
      </c>
      <c r="L286" s="191"/>
      <c r="M286" s="193">
        <f t="shared" si="20"/>
        <v>0</v>
      </c>
    </row>
    <row r="287" spans="1:13" x14ac:dyDescent="0.25">
      <c r="A287" s="208"/>
      <c r="G287" s="179"/>
      <c r="H287" s="191">
        <v>282</v>
      </c>
      <c r="I287" s="192" t="str">
        <f t="shared" si="18"/>
        <v/>
      </c>
      <c r="J287" s="191" t="e">
        <f t="shared" si="21"/>
        <v>#NUM!</v>
      </c>
      <c r="K287" s="191" t="e">
        <f t="shared" si="19"/>
        <v>#NUM!</v>
      </c>
      <c r="L287" s="191"/>
      <c r="M287" s="193">
        <f t="shared" si="20"/>
        <v>0</v>
      </c>
    </row>
    <row r="288" spans="1:13" x14ac:dyDescent="0.25">
      <c r="A288" s="208"/>
      <c r="G288" s="179"/>
      <c r="H288" s="191">
        <v>283</v>
      </c>
      <c r="I288" s="192" t="str">
        <f t="shared" si="18"/>
        <v/>
      </c>
      <c r="J288" s="191" t="e">
        <f t="shared" si="21"/>
        <v>#NUM!</v>
      </c>
      <c r="K288" s="191" t="e">
        <f t="shared" si="19"/>
        <v>#NUM!</v>
      </c>
      <c r="L288" s="191"/>
      <c r="M288" s="193">
        <f t="shared" si="20"/>
        <v>0</v>
      </c>
    </row>
    <row r="289" spans="1:13" x14ac:dyDescent="0.25">
      <c r="A289" s="208"/>
      <c r="G289" s="179"/>
      <c r="H289" s="191">
        <v>284</v>
      </c>
      <c r="I289" s="192" t="str">
        <f t="shared" si="18"/>
        <v/>
      </c>
      <c r="J289" s="191" t="e">
        <f t="shared" si="21"/>
        <v>#NUM!</v>
      </c>
      <c r="K289" s="191" t="e">
        <f t="shared" si="19"/>
        <v>#NUM!</v>
      </c>
      <c r="L289" s="191"/>
      <c r="M289" s="193">
        <f t="shared" si="20"/>
        <v>0</v>
      </c>
    </row>
    <row r="290" spans="1:13" x14ac:dyDescent="0.25">
      <c r="A290" s="208"/>
      <c r="G290" s="179"/>
      <c r="H290" s="191">
        <v>285</v>
      </c>
      <c r="I290" s="192" t="str">
        <f t="shared" si="18"/>
        <v/>
      </c>
      <c r="J290" s="191" t="e">
        <f t="shared" si="21"/>
        <v>#NUM!</v>
      </c>
      <c r="K290" s="191" t="e">
        <f t="shared" si="19"/>
        <v>#NUM!</v>
      </c>
      <c r="L290" s="191"/>
      <c r="M290" s="193">
        <f t="shared" si="20"/>
        <v>0</v>
      </c>
    </row>
    <row r="291" spans="1:13" x14ac:dyDescent="0.25">
      <c r="A291" s="208"/>
      <c r="G291" s="179"/>
      <c r="H291" s="191">
        <v>286</v>
      </c>
      <c r="I291" s="192" t="str">
        <f t="shared" si="18"/>
        <v/>
      </c>
      <c r="J291" s="191" t="e">
        <f t="shared" si="21"/>
        <v>#NUM!</v>
      </c>
      <c r="K291" s="191" t="e">
        <f t="shared" si="19"/>
        <v>#NUM!</v>
      </c>
      <c r="L291" s="191"/>
      <c r="M291" s="193">
        <f t="shared" si="20"/>
        <v>0</v>
      </c>
    </row>
    <row r="292" spans="1:13" x14ac:dyDescent="0.25">
      <c r="A292" s="208"/>
      <c r="G292" s="179"/>
      <c r="H292" s="191">
        <v>287</v>
      </c>
      <c r="I292" s="192" t="str">
        <f t="shared" si="18"/>
        <v/>
      </c>
      <c r="J292" s="191" t="e">
        <f t="shared" si="21"/>
        <v>#NUM!</v>
      </c>
      <c r="K292" s="191" t="e">
        <f t="shared" si="19"/>
        <v>#NUM!</v>
      </c>
      <c r="L292" s="191"/>
      <c r="M292" s="193">
        <f t="shared" si="20"/>
        <v>0</v>
      </c>
    </row>
    <row r="293" spans="1:13" x14ac:dyDescent="0.25">
      <c r="A293" s="208"/>
      <c r="G293" s="179"/>
      <c r="H293" s="191">
        <v>288</v>
      </c>
      <c r="I293" s="192" t="str">
        <f t="shared" si="18"/>
        <v/>
      </c>
      <c r="J293" s="191" t="e">
        <f t="shared" si="21"/>
        <v>#NUM!</v>
      </c>
      <c r="K293" s="191" t="e">
        <f t="shared" si="19"/>
        <v>#NUM!</v>
      </c>
      <c r="L293" s="191"/>
      <c r="M293" s="193">
        <f t="shared" si="20"/>
        <v>0</v>
      </c>
    </row>
    <row r="294" spans="1:13" x14ac:dyDescent="0.25">
      <c r="A294" s="208"/>
      <c r="G294" s="179"/>
      <c r="H294" s="191">
        <v>289</v>
      </c>
      <c r="I294" s="192" t="str">
        <f t="shared" si="18"/>
        <v/>
      </c>
      <c r="J294" s="191" t="e">
        <f t="shared" si="21"/>
        <v>#NUM!</v>
      </c>
      <c r="K294" s="191" t="e">
        <f t="shared" si="19"/>
        <v>#NUM!</v>
      </c>
      <c r="L294" s="191"/>
      <c r="M294" s="193">
        <f t="shared" si="20"/>
        <v>0</v>
      </c>
    </row>
    <row r="295" spans="1:13" x14ac:dyDescent="0.25">
      <c r="A295" s="208"/>
      <c r="G295" s="179"/>
      <c r="H295" s="191">
        <v>290</v>
      </c>
      <c r="I295" s="192" t="str">
        <f t="shared" si="18"/>
        <v/>
      </c>
      <c r="J295" s="191" t="e">
        <f t="shared" si="21"/>
        <v>#NUM!</v>
      </c>
      <c r="K295" s="191" t="e">
        <f t="shared" si="19"/>
        <v>#NUM!</v>
      </c>
      <c r="L295" s="191"/>
      <c r="M295" s="193">
        <f t="shared" si="20"/>
        <v>0</v>
      </c>
    </row>
    <row r="296" spans="1:13" x14ac:dyDescent="0.25">
      <c r="A296" s="208"/>
      <c r="G296" s="179"/>
      <c r="H296" s="191">
        <v>291</v>
      </c>
      <c r="I296" s="192" t="str">
        <f t="shared" si="18"/>
        <v/>
      </c>
      <c r="J296" s="191" t="e">
        <f t="shared" si="21"/>
        <v>#NUM!</v>
      </c>
      <c r="K296" s="191" t="e">
        <f t="shared" si="19"/>
        <v>#NUM!</v>
      </c>
      <c r="L296" s="191"/>
      <c r="M296" s="193">
        <f t="shared" si="20"/>
        <v>0</v>
      </c>
    </row>
    <row r="297" spans="1:13" x14ac:dyDescent="0.25">
      <c r="A297" s="208"/>
      <c r="G297" s="179"/>
      <c r="H297" s="191">
        <v>292</v>
      </c>
      <c r="I297" s="192" t="str">
        <f t="shared" si="18"/>
        <v/>
      </c>
      <c r="J297" s="191" t="e">
        <f t="shared" si="21"/>
        <v>#NUM!</v>
      </c>
      <c r="K297" s="191" t="e">
        <f t="shared" si="19"/>
        <v>#NUM!</v>
      </c>
      <c r="L297" s="191"/>
      <c r="M297" s="193">
        <f t="shared" si="20"/>
        <v>0</v>
      </c>
    </row>
    <row r="298" spans="1:13" x14ac:dyDescent="0.25">
      <c r="A298" s="208"/>
      <c r="G298" s="179"/>
      <c r="H298" s="191">
        <v>293</v>
      </c>
      <c r="I298" s="192" t="str">
        <f t="shared" si="18"/>
        <v/>
      </c>
      <c r="J298" s="191" t="e">
        <f t="shared" si="21"/>
        <v>#NUM!</v>
      </c>
      <c r="K298" s="191" t="e">
        <f t="shared" si="19"/>
        <v>#NUM!</v>
      </c>
      <c r="L298" s="191"/>
      <c r="M298" s="193">
        <f t="shared" si="20"/>
        <v>0</v>
      </c>
    </row>
    <row r="299" spans="1:13" x14ac:dyDescent="0.25">
      <c r="A299" s="208"/>
      <c r="G299" s="179"/>
      <c r="H299" s="191">
        <v>294</v>
      </c>
      <c r="I299" s="192" t="str">
        <f t="shared" si="18"/>
        <v/>
      </c>
      <c r="J299" s="191" t="e">
        <f t="shared" si="21"/>
        <v>#NUM!</v>
      </c>
      <c r="K299" s="191" t="e">
        <f t="shared" si="19"/>
        <v>#NUM!</v>
      </c>
      <c r="L299" s="191"/>
      <c r="M299" s="193">
        <f t="shared" si="20"/>
        <v>0</v>
      </c>
    </row>
    <row r="300" spans="1:13" x14ac:dyDescent="0.25">
      <c r="A300" s="208"/>
      <c r="G300" s="179"/>
      <c r="H300" s="191">
        <v>295</v>
      </c>
      <c r="I300" s="192" t="str">
        <f t="shared" si="18"/>
        <v/>
      </c>
      <c r="J300" s="191" t="e">
        <f t="shared" si="21"/>
        <v>#NUM!</v>
      </c>
      <c r="K300" s="191" t="e">
        <f t="shared" si="19"/>
        <v>#NUM!</v>
      </c>
      <c r="L300" s="191"/>
      <c r="M300" s="193">
        <f t="shared" si="20"/>
        <v>0</v>
      </c>
    </row>
    <row r="301" spans="1:13" x14ac:dyDescent="0.25">
      <c r="A301" s="208"/>
      <c r="G301" s="179"/>
      <c r="H301" s="191">
        <v>296</v>
      </c>
      <c r="I301" s="192" t="str">
        <f t="shared" si="18"/>
        <v/>
      </c>
      <c r="J301" s="191" t="e">
        <f t="shared" si="21"/>
        <v>#NUM!</v>
      </c>
      <c r="K301" s="191" t="e">
        <f t="shared" si="19"/>
        <v>#NUM!</v>
      </c>
      <c r="L301" s="191"/>
      <c r="M301" s="193">
        <f t="shared" si="20"/>
        <v>0</v>
      </c>
    </row>
    <row r="302" spans="1:13" x14ac:dyDescent="0.25">
      <c r="A302" s="208"/>
      <c r="G302" s="179"/>
      <c r="H302" s="191">
        <v>297</v>
      </c>
      <c r="I302" s="192" t="str">
        <f t="shared" si="18"/>
        <v/>
      </c>
      <c r="J302" s="191" t="e">
        <f t="shared" si="21"/>
        <v>#NUM!</v>
      </c>
      <c r="K302" s="191" t="e">
        <f t="shared" si="19"/>
        <v>#NUM!</v>
      </c>
      <c r="L302" s="191"/>
      <c r="M302" s="193">
        <f t="shared" si="20"/>
        <v>0</v>
      </c>
    </row>
    <row r="303" spans="1:13" x14ac:dyDescent="0.25">
      <c r="A303" s="208"/>
      <c r="G303" s="179"/>
      <c r="H303" s="191">
        <v>298</v>
      </c>
      <c r="I303" s="192" t="str">
        <f t="shared" si="18"/>
        <v/>
      </c>
      <c r="J303" s="191" t="e">
        <f t="shared" si="21"/>
        <v>#NUM!</v>
      </c>
      <c r="K303" s="191" t="e">
        <f t="shared" si="19"/>
        <v>#NUM!</v>
      </c>
      <c r="L303" s="191"/>
      <c r="M303" s="193">
        <f t="shared" si="20"/>
        <v>0</v>
      </c>
    </row>
    <row r="304" spans="1:13" x14ac:dyDescent="0.25">
      <c r="A304" s="208"/>
      <c r="G304" s="179"/>
      <c r="H304" s="191">
        <v>299</v>
      </c>
      <c r="I304" s="192" t="str">
        <f t="shared" si="18"/>
        <v/>
      </c>
      <c r="J304" s="191" t="e">
        <f t="shared" si="21"/>
        <v>#NUM!</v>
      </c>
      <c r="K304" s="191" t="e">
        <f t="shared" si="19"/>
        <v>#NUM!</v>
      </c>
      <c r="L304" s="191"/>
      <c r="M304" s="193">
        <f t="shared" si="20"/>
        <v>0</v>
      </c>
    </row>
    <row r="305" spans="1:16" x14ac:dyDescent="0.25">
      <c r="A305" s="208"/>
      <c r="G305" s="179"/>
      <c r="H305" s="191">
        <v>300</v>
      </c>
      <c r="I305" s="192" t="str">
        <f t="shared" si="18"/>
        <v/>
      </c>
      <c r="J305" s="191" t="e">
        <f t="shared" si="21"/>
        <v>#NUM!</v>
      </c>
      <c r="K305" s="191" t="e">
        <f t="shared" si="19"/>
        <v>#NUM!</v>
      </c>
      <c r="L305" s="191"/>
      <c r="M305" s="193">
        <f t="shared" si="20"/>
        <v>0</v>
      </c>
    </row>
    <row r="306" spans="1:16" x14ac:dyDescent="0.25">
      <c r="A306" s="209"/>
      <c r="J306" s="210" t="e">
        <f t="shared" si="21"/>
        <v>#NUM!</v>
      </c>
    </row>
    <row r="307" spans="1:16" x14ac:dyDescent="0.25">
      <c r="J307" s="210" t="e">
        <f t="shared" si="21"/>
        <v>#NUM!</v>
      </c>
    </row>
    <row r="308" spans="1:16" x14ac:dyDescent="0.25">
      <c r="J308" s="210" t="e">
        <f t="shared" si="21"/>
        <v>#NUM!</v>
      </c>
    </row>
    <row r="309" spans="1:16" x14ac:dyDescent="0.25">
      <c r="J309" s="210" t="e">
        <f t="shared" si="21"/>
        <v>#NUM!</v>
      </c>
    </row>
    <row r="310" spans="1:16" x14ac:dyDescent="0.25">
      <c r="J310" s="210" t="e">
        <f t="shared" si="21"/>
        <v>#NUM!</v>
      </c>
    </row>
    <row r="311" spans="1:16" x14ac:dyDescent="0.25">
      <c r="J311" s="210" t="e">
        <f t="shared" si="21"/>
        <v>#NUM!</v>
      </c>
    </row>
    <row r="312" spans="1:16" x14ac:dyDescent="0.25">
      <c r="J312" s="210" t="e">
        <f t="shared" si="21"/>
        <v>#NUM!</v>
      </c>
    </row>
    <row r="313" spans="1:16" x14ac:dyDescent="0.25">
      <c r="J313" s="210" t="e">
        <f t="shared" si="21"/>
        <v>#NUM!</v>
      </c>
    </row>
    <row r="314" spans="1:16" x14ac:dyDescent="0.25">
      <c r="J314" s="210" t="e">
        <f t="shared" si="21"/>
        <v>#NUM!</v>
      </c>
      <c r="L314" s="212"/>
      <c r="P314" s="202"/>
    </row>
    <row r="315" spans="1:16" x14ac:dyDescent="0.25">
      <c r="J315" s="210" t="e">
        <f t="shared" si="21"/>
        <v>#NUM!</v>
      </c>
      <c r="L315" s="212"/>
      <c r="P315" s="202"/>
    </row>
    <row r="316" spans="1:16" x14ac:dyDescent="0.25">
      <c r="J316" s="210" t="e">
        <f t="shared" si="21"/>
        <v>#NUM!</v>
      </c>
      <c r="L316" s="212"/>
      <c r="P316" s="202"/>
    </row>
    <row r="317" spans="1:16" x14ac:dyDescent="0.25">
      <c r="J317" s="210" t="e">
        <f t="shared" si="21"/>
        <v>#NUM!</v>
      </c>
      <c r="L317" s="212"/>
      <c r="P317" s="202"/>
    </row>
    <row r="318" spans="1:16" x14ac:dyDescent="0.25">
      <c r="J318" s="210" t="e">
        <f t="shared" si="21"/>
        <v>#NUM!</v>
      </c>
    </row>
    <row r="319" spans="1:16" x14ac:dyDescent="0.25">
      <c r="J319" s="210" t="e">
        <f t="shared" si="21"/>
        <v>#NUM!</v>
      </c>
    </row>
    <row r="320" spans="1:16" x14ac:dyDescent="0.25">
      <c r="J320" s="210" t="e">
        <f t="shared" si="21"/>
        <v>#NUM!</v>
      </c>
    </row>
    <row r="321" spans="10:10" x14ac:dyDescent="0.25">
      <c r="J321" s="210" t="e">
        <f t="shared" si="21"/>
        <v>#NUM!</v>
      </c>
    </row>
    <row r="322" spans="10:10" x14ac:dyDescent="0.25">
      <c r="J322" s="210" t="e">
        <f t="shared" si="21"/>
        <v>#NUM!</v>
      </c>
    </row>
    <row r="323" spans="10:10" x14ac:dyDescent="0.25">
      <c r="J323" s="210" t="e">
        <f t="shared" si="21"/>
        <v>#NUM!</v>
      </c>
    </row>
    <row r="324" spans="10:10" x14ac:dyDescent="0.25">
      <c r="J324" s="210" t="e">
        <f t="shared" si="21"/>
        <v>#NUM!</v>
      </c>
    </row>
    <row r="325" spans="10:10" x14ac:dyDescent="0.25">
      <c r="J325" s="210" t="e">
        <f t="shared" si="21"/>
        <v>#NUM!</v>
      </c>
    </row>
    <row r="326" spans="10:10" x14ac:dyDescent="0.25">
      <c r="J326" s="210" t="e">
        <f t="shared" si="21"/>
        <v>#NUM!</v>
      </c>
    </row>
    <row r="327" spans="10:10" x14ac:dyDescent="0.25">
      <c r="J327" s="210" t="e">
        <f t="shared" ref="J327:J374" si="22">INT(LOG($H$2,2))-ROUNDUP(LOG(H327,2),0)+IF(OR($H$2=1,$H$2=2,$H$2=4,$H$2=8,$H$2=16,$H$2=32,$H$2=64,$H$2=128,$H$2=256),0,1)</f>
        <v>#NUM!</v>
      </c>
    </row>
    <row r="328" spans="10:10" x14ac:dyDescent="0.25">
      <c r="J328" s="210" t="e">
        <f t="shared" si="22"/>
        <v>#NUM!</v>
      </c>
    </row>
    <row r="329" spans="10:10" x14ac:dyDescent="0.25">
      <c r="J329" s="210" t="e">
        <f t="shared" si="22"/>
        <v>#NUM!</v>
      </c>
    </row>
    <row r="330" spans="10:10" x14ac:dyDescent="0.25">
      <c r="J330" s="210" t="e">
        <f t="shared" si="22"/>
        <v>#NUM!</v>
      </c>
    </row>
    <row r="331" spans="10:10" x14ac:dyDescent="0.25">
      <c r="J331" s="210" t="e">
        <f t="shared" si="22"/>
        <v>#NUM!</v>
      </c>
    </row>
    <row r="332" spans="10:10" x14ac:dyDescent="0.25">
      <c r="J332" s="210" t="e">
        <f t="shared" si="22"/>
        <v>#NUM!</v>
      </c>
    </row>
    <row r="333" spans="10:10" x14ac:dyDescent="0.25">
      <c r="J333" s="210" t="e">
        <f t="shared" si="22"/>
        <v>#NUM!</v>
      </c>
    </row>
    <row r="334" spans="10:10" x14ac:dyDescent="0.25">
      <c r="J334" s="210" t="e">
        <f t="shared" si="22"/>
        <v>#NUM!</v>
      </c>
    </row>
    <row r="335" spans="10:10" x14ac:dyDescent="0.25">
      <c r="J335" s="210" t="e">
        <f t="shared" si="22"/>
        <v>#NUM!</v>
      </c>
    </row>
    <row r="336" spans="10:10" x14ac:dyDescent="0.25">
      <c r="J336" s="210" t="e">
        <f t="shared" si="22"/>
        <v>#NUM!</v>
      </c>
    </row>
    <row r="337" spans="10:10" x14ac:dyDescent="0.25">
      <c r="J337" s="210" t="e">
        <f t="shared" si="22"/>
        <v>#NUM!</v>
      </c>
    </row>
    <row r="338" spans="10:10" x14ac:dyDescent="0.25">
      <c r="J338" s="210" t="e">
        <f t="shared" si="22"/>
        <v>#NUM!</v>
      </c>
    </row>
    <row r="339" spans="10:10" x14ac:dyDescent="0.25">
      <c r="J339" s="210" t="e">
        <f t="shared" si="22"/>
        <v>#NUM!</v>
      </c>
    </row>
    <row r="340" spans="10:10" x14ac:dyDescent="0.25">
      <c r="J340" s="210" t="e">
        <f t="shared" si="22"/>
        <v>#NUM!</v>
      </c>
    </row>
    <row r="341" spans="10:10" x14ac:dyDescent="0.25">
      <c r="J341" s="210" t="e">
        <f t="shared" si="22"/>
        <v>#NUM!</v>
      </c>
    </row>
    <row r="342" spans="10:10" x14ac:dyDescent="0.25">
      <c r="J342" s="210" t="e">
        <f t="shared" si="22"/>
        <v>#NUM!</v>
      </c>
    </row>
    <row r="343" spans="10:10" x14ac:dyDescent="0.25">
      <c r="J343" s="210" t="e">
        <f t="shared" si="22"/>
        <v>#NUM!</v>
      </c>
    </row>
    <row r="344" spans="10:10" x14ac:dyDescent="0.25">
      <c r="J344" s="210" t="e">
        <f t="shared" si="22"/>
        <v>#NUM!</v>
      </c>
    </row>
    <row r="345" spans="10:10" x14ac:dyDescent="0.25">
      <c r="J345" s="210" t="e">
        <f t="shared" si="22"/>
        <v>#NUM!</v>
      </c>
    </row>
    <row r="346" spans="10:10" x14ac:dyDescent="0.25">
      <c r="J346" s="210" t="e">
        <f t="shared" si="22"/>
        <v>#NUM!</v>
      </c>
    </row>
    <row r="347" spans="10:10" x14ac:dyDescent="0.25">
      <c r="J347" s="210" t="e">
        <f t="shared" si="22"/>
        <v>#NUM!</v>
      </c>
    </row>
    <row r="348" spans="10:10" x14ac:dyDescent="0.25">
      <c r="J348" s="210" t="e">
        <f t="shared" si="22"/>
        <v>#NUM!</v>
      </c>
    </row>
    <row r="349" spans="10:10" x14ac:dyDescent="0.25">
      <c r="J349" s="210" t="e">
        <f t="shared" si="22"/>
        <v>#NUM!</v>
      </c>
    </row>
    <row r="350" spans="10:10" x14ac:dyDescent="0.25">
      <c r="J350" s="210" t="e">
        <f t="shared" si="22"/>
        <v>#NUM!</v>
      </c>
    </row>
    <row r="351" spans="10:10" x14ac:dyDescent="0.25">
      <c r="J351" s="210" t="e">
        <f t="shared" si="22"/>
        <v>#NUM!</v>
      </c>
    </row>
    <row r="352" spans="10:10" x14ac:dyDescent="0.25">
      <c r="J352" s="210" t="e">
        <f t="shared" si="22"/>
        <v>#NUM!</v>
      </c>
    </row>
    <row r="353" spans="10:10" x14ac:dyDescent="0.25">
      <c r="J353" s="210" t="e">
        <f t="shared" si="22"/>
        <v>#NUM!</v>
      </c>
    </row>
    <row r="354" spans="10:10" x14ac:dyDescent="0.25">
      <c r="J354" s="210" t="e">
        <f t="shared" si="22"/>
        <v>#NUM!</v>
      </c>
    </row>
    <row r="355" spans="10:10" x14ac:dyDescent="0.25">
      <c r="J355" s="210" t="e">
        <f t="shared" si="22"/>
        <v>#NUM!</v>
      </c>
    </row>
    <row r="356" spans="10:10" x14ac:dyDescent="0.25">
      <c r="J356" s="210" t="e">
        <f t="shared" si="22"/>
        <v>#NUM!</v>
      </c>
    </row>
    <row r="357" spans="10:10" x14ac:dyDescent="0.25">
      <c r="J357" s="210" t="e">
        <f t="shared" si="22"/>
        <v>#NUM!</v>
      </c>
    </row>
    <row r="358" spans="10:10" x14ac:dyDescent="0.25">
      <c r="J358" s="210" t="e">
        <f t="shared" si="22"/>
        <v>#NUM!</v>
      </c>
    </row>
    <row r="359" spans="10:10" x14ac:dyDescent="0.25">
      <c r="J359" s="210" t="e">
        <f t="shared" si="22"/>
        <v>#NUM!</v>
      </c>
    </row>
    <row r="360" spans="10:10" x14ac:dyDescent="0.25">
      <c r="J360" s="210" t="e">
        <f t="shared" si="22"/>
        <v>#NUM!</v>
      </c>
    </row>
    <row r="361" spans="10:10" x14ac:dyDescent="0.25">
      <c r="J361" s="210" t="e">
        <f t="shared" si="22"/>
        <v>#NUM!</v>
      </c>
    </row>
    <row r="362" spans="10:10" x14ac:dyDescent="0.25">
      <c r="J362" s="210" t="e">
        <f t="shared" si="22"/>
        <v>#NUM!</v>
      </c>
    </row>
    <row r="363" spans="10:10" x14ac:dyDescent="0.25">
      <c r="J363" s="210" t="e">
        <f t="shared" si="22"/>
        <v>#NUM!</v>
      </c>
    </row>
    <row r="364" spans="10:10" x14ac:dyDescent="0.25">
      <c r="J364" s="210" t="e">
        <f t="shared" si="22"/>
        <v>#NUM!</v>
      </c>
    </row>
    <row r="365" spans="10:10" x14ac:dyDescent="0.25">
      <c r="J365" s="210" t="e">
        <f t="shared" si="22"/>
        <v>#NUM!</v>
      </c>
    </row>
    <row r="366" spans="10:10" x14ac:dyDescent="0.25">
      <c r="J366" s="210" t="e">
        <f t="shared" si="22"/>
        <v>#NUM!</v>
      </c>
    </row>
    <row r="367" spans="10:10" x14ac:dyDescent="0.25">
      <c r="J367" s="210" t="e">
        <f t="shared" si="22"/>
        <v>#NUM!</v>
      </c>
    </row>
    <row r="368" spans="10:10" x14ac:dyDescent="0.25">
      <c r="J368" s="210" t="e">
        <f t="shared" si="22"/>
        <v>#NUM!</v>
      </c>
    </row>
    <row r="369" spans="10:10" x14ac:dyDescent="0.25">
      <c r="J369" s="210" t="e">
        <f t="shared" si="22"/>
        <v>#NUM!</v>
      </c>
    </row>
    <row r="370" spans="10:10" x14ac:dyDescent="0.25">
      <c r="J370" s="210" t="e">
        <f t="shared" si="22"/>
        <v>#NUM!</v>
      </c>
    </row>
    <row r="371" spans="10:10" x14ac:dyDescent="0.25">
      <c r="J371" s="210" t="e">
        <f t="shared" si="22"/>
        <v>#NUM!</v>
      </c>
    </row>
    <row r="372" spans="10:10" x14ac:dyDescent="0.25">
      <c r="J372" s="210" t="e">
        <f t="shared" si="22"/>
        <v>#NUM!</v>
      </c>
    </row>
    <row r="373" spans="10:10" x14ac:dyDescent="0.25">
      <c r="J373" s="210" t="e">
        <f t="shared" si="22"/>
        <v>#NUM!</v>
      </c>
    </row>
    <row r="374" spans="10:10" x14ac:dyDescent="0.25">
      <c r="J374" s="210" t="e">
        <f t="shared" si="22"/>
        <v>#NUM!</v>
      </c>
    </row>
  </sheetData>
  <conditionalFormatting sqref="J9:K305">
    <cfRule type="cellIs" dxfId="5" priority="1" operator="lessThanOrEqual">
      <formula>0</formula>
    </cfRule>
  </conditionalFormatting>
  <hyperlinks>
    <hyperlink ref="C2" r:id="rId1" xr:uid="{3F1332E5-D7FB-427C-A7EB-02660F9C4A21}"/>
  </hyperlinks>
  <pageMargins left="0.7" right="0.7" top="0.75" bottom="0.75" header="0.3" footer="0.3"/>
  <pageSetup paperSize="9" orientation="portrait"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337B3-9662-4391-9190-5090102D2BB7}">
  <sheetPr>
    <tabColor rgb="FF92D050"/>
  </sheetPr>
  <dimension ref="A1:AL374"/>
  <sheetViews>
    <sheetView zoomScaleNormal="100" workbookViewId="0">
      <selection activeCell="C21" sqref="C21"/>
    </sheetView>
  </sheetViews>
  <sheetFormatPr defaultColWidth="8.875" defaultRowHeight="14.3" x14ac:dyDescent="0.25"/>
  <cols>
    <col min="1" max="1" width="8" style="207" customWidth="1"/>
    <col min="2" max="2" width="8.25" style="207" customWidth="1"/>
    <col min="3" max="3" width="34.75" style="207" customWidth="1"/>
    <col min="4" max="4" width="11.25" style="207" customWidth="1"/>
    <col min="5" max="6" width="8.875" style="207"/>
    <col min="7" max="7" width="0.875" style="207" customWidth="1"/>
    <col min="8" max="8" width="8.875" style="210"/>
    <col min="9" max="9" width="11" style="210" customWidth="1"/>
    <col min="10" max="10" width="15.25" style="210" customWidth="1"/>
    <col min="11" max="11" width="8.75" style="210" customWidth="1"/>
    <col min="12" max="12" width="11" style="210" customWidth="1"/>
    <col min="13" max="13" width="12.25" style="211" customWidth="1"/>
    <col min="14" max="15" width="13.875" style="179" customWidth="1"/>
    <col min="16" max="18" width="8.875" style="179"/>
    <col min="19" max="20" width="8.875" style="184"/>
    <col min="21" max="21" width="12.125" style="184" customWidth="1"/>
    <col min="22" max="22" width="27.375" style="184" customWidth="1"/>
    <col min="23" max="38" width="8.875" style="184"/>
    <col min="39" max="16384" width="8.875" style="207"/>
  </cols>
  <sheetData>
    <row r="1" spans="1:36" x14ac:dyDescent="0.25">
      <c r="A1" s="179"/>
      <c r="B1" s="179"/>
      <c r="C1" s="179"/>
      <c r="D1" s="179"/>
      <c r="E1" s="179"/>
      <c r="F1" s="179"/>
      <c r="G1" s="179"/>
      <c r="H1" s="180" t="s">
        <v>20</v>
      </c>
      <c r="I1" s="181" t="s">
        <v>21</v>
      </c>
      <c r="J1" s="181" t="s">
        <v>22</v>
      </c>
      <c r="K1" s="182" t="s">
        <v>84</v>
      </c>
      <c r="L1" s="183"/>
      <c r="M1" s="183"/>
    </row>
    <row r="2" spans="1:36" x14ac:dyDescent="0.25">
      <c r="A2" s="179"/>
      <c r="B2" s="19" t="s">
        <v>24</v>
      </c>
      <c r="C2" s="127" t="s">
        <v>103</v>
      </c>
      <c r="D2" s="67"/>
      <c r="E2" s="20"/>
      <c r="F2" s="20"/>
      <c r="G2" s="20"/>
      <c r="H2" s="185">
        <v>0</v>
      </c>
      <c r="I2" s="186">
        <v>50</v>
      </c>
      <c r="J2" s="186">
        <v>10</v>
      </c>
      <c r="K2" s="213">
        <f>3*H2^(1/3)</f>
        <v>0</v>
      </c>
      <c r="L2" s="183"/>
      <c r="M2" s="183"/>
    </row>
    <row r="3" spans="1:36" x14ac:dyDescent="0.25">
      <c r="A3" s="179"/>
      <c r="B3" s="188" t="s">
        <v>26</v>
      </c>
      <c r="C3" s="68" t="s">
        <v>104</v>
      </c>
      <c r="D3" s="68"/>
      <c r="E3" s="25"/>
      <c r="F3" s="25"/>
      <c r="G3" s="25"/>
      <c r="H3" s="183"/>
      <c r="I3" s="183"/>
      <c r="J3" s="214"/>
      <c r="K3" s="183"/>
      <c r="L3" s="183"/>
      <c r="M3" s="183"/>
    </row>
    <row r="4" spans="1:36" ht="10.199999999999999" customHeight="1" x14ac:dyDescent="0.25">
      <c r="A4" s="27"/>
      <c r="B4" s="25"/>
      <c r="C4" s="27"/>
      <c r="D4" s="27"/>
      <c r="E4" s="27"/>
      <c r="F4" s="27"/>
      <c r="G4" s="27"/>
      <c r="H4" s="183"/>
      <c r="I4" s="183"/>
      <c r="J4" s="214"/>
      <c r="K4" s="183"/>
      <c r="L4" s="183"/>
      <c r="M4" s="183"/>
    </row>
    <row r="5" spans="1:36" ht="34.65" x14ac:dyDescent="0.25">
      <c r="A5" s="1" t="s">
        <v>28</v>
      </c>
      <c r="B5" s="28" t="s">
        <v>29</v>
      </c>
      <c r="C5" s="1" t="s">
        <v>30</v>
      </c>
      <c r="D5" s="1" t="s">
        <v>31</v>
      </c>
      <c r="E5" s="1" t="s">
        <v>32</v>
      </c>
      <c r="F5" s="1" t="s">
        <v>33</v>
      </c>
      <c r="G5" s="27"/>
      <c r="H5" s="189" t="s">
        <v>34</v>
      </c>
      <c r="I5" s="190" t="s">
        <v>35</v>
      </c>
      <c r="J5" s="215" t="s">
        <v>36</v>
      </c>
      <c r="K5" s="190" t="s">
        <v>37</v>
      </c>
      <c r="L5" s="190" t="s">
        <v>38</v>
      </c>
      <c r="M5" s="189" t="s">
        <v>39</v>
      </c>
    </row>
    <row r="6" spans="1:36" ht="14.45" customHeight="1" x14ac:dyDescent="0.25">
      <c r="A6" s="94">
        <f>M6</f>
        <v>0</v>
      </c>
      <c r="B6" s="33" t="str">
        <f>IF(H6&gt;$H$2,"",(ROW()-5))</f>
        <v/>
      </c>
      <c r="C6" s="34"/>
      <c r="D6" s="34"/>
      <c r="E6" s="34"/>
      <c r="F6" s="34" t="s">
        <v>87</v>
      </c>
      <c r="G6" s="27"/>
      <c r="H6" s="191">
        <v>1</v>
      </c>
      <c r="I6" s="192" t="str">
        <f t="shared" ref="I6:I69" si="0">IF(H6&lt;$H$2+1,($I$2-($I$2-1)*(LOG(H6)/LOG($H$2))),"")</f>
        <v/>
      </c>
      <c r="J6" s="191" t="e">
        <f>INT(LOG($H$2,2))-ROUNDUP(LOG(H6,2),0)+IF(OR($H$2=1,$H$2=2,$H$2=4,$H$2=8,$H$2=16,$H$2=32,$H$2=64,$H$2=128,$H$2=256),0,1)</f>
        <v>#NUM!</v>
      </c>
      <c r="K6" s="191" t="e">
        <f t="shared" ref="K6:K69" si="1">J6*$J$2</f>
        <v>#NUM!</v>
      </c>
      <c r="L6" s="193">
        <f>3*K2</f>
        <v>0</v>
      </c>
      <c r="M6" s="193">
        <f t="shared" ref="M6:M69" si="2">IF(I6&lt;&gt;"",K6+I6+L6,0)</f>
        <v>0</v>
      </c>
    </row>
    <row r="7" spans="1:36" ht="14.45" customHeight="1" x14ac:dyDescent="0.25">
      <c r="A7" s="98">
        <f t="shared" ref="A7:A37" si="3">M7</f>
        <v>0</v>
      </c>
      <c r="B7" s="39" t="str">
        <f t="shared" ref="B7:B65" si="4">IF(H7&gt;$H$2,"",(ROW()-5))</f>
        <v/>
      </c>
      <c r="C7" s="40"/>
      <c r="D7" s="40"/>
      <c r="E7" s="40"/>
      <c r="F7" s="40" t="s">
        <v>87</v>
      </c>
      <c r="G7" s="27"/>
      <c r="H7" s="194">
        <v>2</v>
      </c>
      <c r="I7" s="195" t="str">
        <f t="shared" si="0"/>
        <v/>
      </c>
      <c r="J7" s="194" t="e">
        <f t="shared" ref="J7:J70" si="5">INT(LOG($H$2,2))-ROUNDUP(LOG(H7,2),0)+IF(OR($H$2=1,$H$2=2,$H$2=4,$H$2=8,$H$2=16,$H$2=32,$H$2=64,$H$2=128,$H$2=256),0,1)</f>
        <v>#NUM!</v>
      </c>
      <c r="K7" s="194" t="e">
        <f t="shared" si="1"/>
        <v>#NUM!</v>
      </c>
      <c r="L7" s="196">
        <f>2*K2</f>
        <v>0</v>
      </c>
      <c r="M7" s="196">
        <f t="shared" si="2"/>
        <v>0</v>
      </c>
    </row>
    <row r="8" spans="1:36" ht="14.45" customHeight="1" x14ac:dyDescent="0.25">
      <c r="A8" s="94">
        <f t="shared" si="3"/>
        <v>0</v>
      </c>
      <c r="B8" s="33" t="str">
        <f t="shared" si="4"/>
        <v/>
      </c>
      <c r="C8" s="34"/>
      <c r="D8" s="34"/>
      <c r="E8" s="34"/>
      <c r="F8" s="34" t="s">
        <v>87</v>
      </c>
      <c r="G8" s="27"/>
      <c r="H8" s="191">
        <v>3</v>
      </c>
      <c r="I8" s="192" t="str">
        <f t="shared" si="0"/>
        <v/>
      </c>
      <c r="J8" s="191" t="e">
        <f t="shared" si="5"/>
        <v>#NUM!</v>
      </c>
      <c r="K8" s="191" t="e">
        <f t="shared" si="1"/>
        <v>#NUM!</v>
      </c>
      <c r="L8" s="193">
        <f>K2</f>
        <v>0</v>
      </c>
      <c r="M8" s="193">
        <f t="shared" si="2"/>
        <v>0</v>
      </c>
    </row>
    <row r="9" spans="1:36" s="184" customFormat="1" ht="14.45" customHeight="1" x14ac:dyDescent="0.25">
      <c r="A9" s="98">
        <f t="shared" si="3"/>
        <v>0</v>
      </c>
      <c r="B9" s="39" t="str">
        <f>IF(H9&gt;$H$2,"",3)</f>
        <v/>
      </c>
      <c r="C9" s="40"/>
      <c r="D9" s="40"/>
      <c r="E9" s="40"/>
      <c r="F9" s="40"/>
      <c r="G9" s="27"/>
      <c r="H9" s="194">
        <v>3</v>
      </c>
      <c r="I9" s="195" t="str">
        <f t="shared" si="0"/>
        <v/>
      </c>
      <c r="J9" s="194" t="e">
        <f t="shared" si="5"/>
        <v>#NUM!</v>
      </c>
      <c r="K9" s="194" t="e">
        <f t="shared" si="1"/>
        <v>#NUM!</v>
      </c>
      <c r="L9" s="196">
        <f>K2</f>
        <v>0</v>
      </c>
      <c r="M9" s="196">
        <f t="shared" si="2"/>
        <v>0</v>
      </c>
      <c r="N9" s="179"/>
      <c r="O9" s="179"/>
      <c r="P9" s="179"/>
      <c r="Q9" s="179"/>
      <c r="R9" s="179"/>
      <c r="V9" s="197"/>
      <c r="Z9" s="198"/>
      <c r="AA9" s="198"/>
      <c r="AG9" s="199"/>
      <c r="AH9" s="184" t="s">
        <v>40</v>
      </c>
      <c r="AI9" s="184">
        <v>23</v>
      </c>
    </row>
    <row r="10" spans="1:36" ht="14.45" customHeight="1" x14ac:dyDescent="0.25">
      <c r="A10" s="94">
        <f t="shared" si="3"/>
        <v>0</v>
      </c>
      <c r="B10" s="33" t="str">
        <f t="shared" si="4"/>
        <v/>
      </c>
      <c r="C10" s="34"/>
      <c r="D10" s="34"/>
      <c r="E10" s="34"/>
      <c r="F10" s="34"/>
      <c r="G10" s="27"/>
      <c r="H10" s="191">
        <v>5</v>
      </c>
      <c r="I10" s="192" t="str">
        <f t="shared" si="0"/>
        <v/>
      </c>
      <c r="J10" s="191" t="e">
        <f t="shared" si="5"/>
        <v>#NUM!</v>
      </c>
      <c r="K10" s="191" t="e">
        <f t="shared" si="1"/>
        <v>#NUM!</v>
      </c>
      <c r="L10" s="191"/>
      <c r="M10" s="193">
        <f t="shared" si="2"/>
        <v>0</v>
      </c>
      <c r="V10" s="197"/>
      <c r="Z10" s="198"/>
      <c r="AA10" s="198"/>
      <c r="AG10" s="199"/>
      <c r="AH10" s="184" t="s">
        <v>41</v>
      </c>
      <c r="AI10" s="184">
        <v>45</v>
      </c>
    </row>
    <row r="11" spans="1:36" ht="14.45" customHeight="1" x14ac:dyDescent="0.25">
      <c r="A11" s="98">
        <f t="shared" si="3"/>
        <v>0</v>
      </c>
      <c r="B11" s="39" t="str">
        <f t="shared" si="4"/>
        <v/>
      </c>
      <c r="C11" s="40"/>
      <c r="D11" s="40"/>
      <c r="E11" s="40"/>
      <c r="F11" s="40"/>
      <c r="G11" s="27"/>
      <c r="H11" s="194">
        <v>6</v>
      </c>
      <c r="I11" s="195" t="str">
        <f t="shared" si="0"/>
        <v/>
      </c>
      <c r="J11" s="194" t="e">
        <f t="shared" si="5"/>
        <v>#NUM!</v>
      </c>
      <c r="K11" s="194" t="e">
        <f t="shared" si="1"/>
        <v>#NUM!</v>
      </c>
      <c r="L11" s="194"/>
      <c r="M11" s="196">
        <f t="shared" si="2"/>
        <v>0</v>
      </c>
      <c r="V11" s="200"/>
      <c r="Z11" s="198"/>
      <c r="AA11" s="198"/>
      <c r="AG11" s="199"/>
      <c r="AH11" s="184" t="s">
        <v>42</v>
      </c>
      <c r="AI11" s="184">
        <v>50</v>
      </c>
    </row>
    <row r="12" spans="1:36" ht="14.45" customHeight="1" x14ac:dyDescent="0.25">
      <c r="A12" s="94">
        <f t="shared" si="3"/>
        <v>0</v>
      </c>
      <c r="B12" s="33" t="str">
        <f t="shared" si="4"/>
        <v/>
      </c>
      <c r="C12" s="34"/>
      <c r="D12" s="34"/>
      <c r="E12" s="34"/>
      <c r="F12" s="34"/>
      <c r="G12" s="27"/>
      <c r="H12" s="191">
        <v>7</v>
      </c>
      <c r="I12" s="192" t="str">
        <f t="shared" si="0"/>
        <v/>
      </c>
      <c r="J12" s="191" t="e">
        <f t="shared" si="5"/>
        <v>#NUM!</v>
      </c>
      <c r="K12" s="191" t="e">
        <f t="shared" si="1"/>
        <v>#NUM!</v>
      </c>
      <c r="L12" s="191"/>
      <c r="M12" s="193">
        <f t="shared" si="2"/>
        <v>0</v>
      </c>
      <c r="Z12" s="198"/>
      <c r="AA12" s="198"/>
      <c r="AG12" s="199"/>
      <c r="AH12" s="184" t="s">
        <v>43</v>
      </c>
      <c r="AI12" s="184">
        <f>AI11-1</f>
        <v>49</v>
      </c>
    </row>
    <row r="13" spans="1:36" ht="14.45" customHeight="1" x14ac:dyDescent="0.25">
      <c r="A13" s="98">
        <f t="shared" si="3"/>
        <v>0</v>
      </c>
      <c r="B13" s="39" t="str">
        <f t="shared" si="4"/>
        <v/>
      </c>
      <c r="C13" s="40"/>
      <c r="D13" s="40"/>
      <c r="E13" s="40"/>
      <c r="F13" s="40"/>
      <c r="G13" s="27"/>
      <c r="H13" s="194">
        <v>8</v>
      </c>
      <c r="I13" s="195" t="str">
        <f t="shared" si="0"/>
        <v/>
      </c>
      <c r="J13" s="194" t="e">
        <f t="shared" si="5"/>
        <v>#NUM!</v>
      </c>
      <c r="K13" s="194" t="e">
        <f t="shared" si="1"/>
        <v>#NUM!</v>
      </c>
      <c r="L13" s="194"/>
      <c r="M13" s="196">
        <f t="shared" si="2"/>
        <v>0</v>
      </c>
      <c r="X13" s="197"/>
      <c r="AG13" s="199"/>
      <c r="AH13" s="184" t="s">
        <v>44</v>
      </c>
      <c r="AI13" s="184">
        <f>LOG(AI9)</f>
        <v>1.3617278360175928</v>
      </c>
    </row>
    <row r="14" spans="1:36" x14ac:dyDescent="0.25">
      <c r="A14" s="94">
        <f t="shared" si="3"/>
        <v>0</v>
      </c>
      <c r="B14" s="33" t="str">
        <f t="shared" si="4"/>
        <v/>
      </c>
      <c r="C14" s="34"/>
      <c r="D14" s="34"/>
      <c r="E14" s="34"/>
      <c r="F14" s="34"/>
      <c r="G14" s="27"/>
      <c r="H14" s="191">
        <v>9</v>
      </c>
      <c r="I14" s="192" t="str">
        <f t="shared" si="0"/>
        <v/>
      </c>
      <c r="J14" s="191" t="e">
        <f t="shared" si="5"/>
        <v>#NUM!</v>
      </c>
      <c r="K14" s="191" t="e">
        <f t="shared" si="1"/>
        <v>#NUM!</v>
      </c>
      <c r="L14" s="191"/>
      <c r="M14" s="193">
        <f t="shared" si="2"/>
        <v>0</v>
      </c>
      <c r="X14" s="201"/>
      <c r="Z14" s="198"/>
      <c r="AA14" s="198"/>
      <c r="AG14" s="199"/>
      <c r="AH14" s="184" t="s">
        <v>45</v>
      </c>
      <c r="AI14" s="184">
        <f>LOG(AI10)</f>
        <v>1.6532125137753437</v>
      </c>
    </row>
    <row r="15" spans="1:36" x14ac:dyDescent="0.25">
      <c r="A15" s="98">
        <f t="shared" si="3"/>
        <v>0</v>
      </c>
      <c r="B15" s="39" t="str">
        <f t="shared" si="4"/>
        <v/>
      </c>
      <c r="C15" s="40"/>
      <c r="D15" s="40"/>
      <c r="E15" s="40"/>
      <c r="F15" s="40"/>
      <c r="G15" s="27"/>
      <c r="H15" s="194">
        <v>10</v>
      </c>
      <c r="I15" s="195" t="str">
        <f t="shared" si="0"/>
        <v/>
      </c>
      <c r="J15" s="194" t="e">
        <f t="shared" si="5"/>
        <v>#NUM!</v>
      </c>
      <c r="K15" s="194" t="e">
        <f t="shared" si="1"/>
        <v>#NUM!</v>
      </c>
      <c r="L15" s="194"/>
      <c r="M15" s="196">
        <f t="shared" si="2"/>
        <v>0</v>
      </c>
      <c r="X15" s="197"/>
      <c r="Z15" s="198"/>
      <c r="AA15" s="198"/>
    </row>
    <row r="16" spans="1:36" x14ac:dyDescent="0.25">
      <c r="A16" s="94">
        <f t="shared" si="3"/>
        <v>0</v>
      </c>
      <c r="B16" s="33" t="str">
        <f t="shared" si="4"/>
        <v/>
      </c>
      <c r="C16" s="34"/>
      <c r="D16" s="34"/>
      <c r="E16" s="34"/>
      <c r="F16" s="34"/>
      <c r="G16" s="27"/>
      <c r="H16" s="191">
        <v>11</v>
      </c>
      <c r="I16" s="192" t="str">
        <f t="shared" si="0"/>
        <v/>
      </c>
      <c r="J16" s="191" t="e">
        <f t="shared" si="5"/>
        <v>#NUM!</v>
      </c>
      <c r="K16" s="191" t="e">
        <f t="shared" si="1"/>
        <v>#NUM!</v>
      </c>
      <c r="L16" s="191"/>
      <c r="M16" s="193">
        <f t="shared" si="2"/>
        <v>0</v>
      </c>
      <c r="R16" s="202"/>
      <c r="Z16" s="198"/>
      <c r="AA16" s="198"/>
      <c r="AH16" s="203" t="s">
        <v>46</v>
      </c>
      <c r="AI16" s="184">
        <f>AI11-AI12*AI13/AI14</f>
        <v>9.6393909380186855</v>
      </c>
      <c r="AJ16" s="184" t="s">
        <v>47</v>
      </c>
    </row>
    <row r="17" spans="1:19" x14ac:dyDescent="0.25">
      <c r="A17" s="98">
        <f t="shared" si="3"/>
        <v>0</v>
      </c>
      <c r="B17" s="39" t="str">
        <f t="shared" si="4"/>
        <v/>
      </c>
      <c r="C17" s="40"/>
      <c r="D17" s="40"/>
      <c r="E17" s="40"/>
      <c r="F17" s="40"/>
      <c r="G17" s="27"/>
      <c r="H17" s="194">
        <v>12</v>
      </c>
      <c r="I17" s="195" t="str">
        <f t="shared" si="0"/>
        <v/>
      </c>
      <c r="J17" s="194" t="e">
        <f t="shared" si="5"/>
        <v>#NUM!</v>
      </c>
      <c r="K17" s="194" t="e">
        <f t="shared" si="1"/>
        <v>#NUM!</v>
      </c>
      <c r="L17" s="194"/>
      <c r="M17" s="196">
        <f t="shared" si="2"/>
        <v>0</v>
      </c>
    </row>
    <row r="18" spans="1:19" x14ac:dyDescent="0.25">
      <c r="A18" s="94">
        <f t="shared" si="3"/>
        <v>0</v>
      </c>
      <c r="B18" s="33" t="str">
        <f t="shared" si="4"/>
        <v/>
      </c>
      <c r="C18" s="34"/>
      <c r="D18" s="34"/>
      <c r="E18" s="34"/>
      <c r="F18" s="34"/>
      <c r="G18" s="27"/>
      <c r="H18" s="191">
        <v>13</v>
      </c>
      <c r="I18" s="192" t="str">
        <f t="shared" si="0"/>
        <v/>
      </c>
      <c r="J18" s="191" t="e">
        <f t="shared" si="5"/>
        <v>#NUM!</v>
      </c>
      <c r="K18" s="191" t="e">
        <f t="shared" si="1"/>
        <v>#NUM!</v>
      </c>
      <c r="L18" s="191"/>
      <c r="M18" s="193">
        <f t="shared" si="2"/>
        <v>0</v>
      </c>
    </row>
    <row r="19" spans="1:19" x14ac:dyDescent="0.25">
      <c r="A19" s="98">
        <f t="shared" si="3"/>
        <v>0</v>
      </c>
      <c r="B19" s="39" t="str">
        <f t="shared" si="4"/>
        <v/>
      </c>
      <c r="C19" s="40"/>
      <c r="D19" s="40"/>
      <c r="E19" s="40"/>
      <c r="F19" s="40"/>
      <c r="G19" s="27"/>
      <c r="H19" s="194">
        <v>14</v>
      </c>
      <c r="I19" s="195" t="str">
        <f t="shared" si="0"/>
        <v/>
      </c>
      <c r="J19" s="194" t="e">
        <f t="shared" si="5"/>
        <v>#NUM!</v>
      </c>
      <c r="K19" s="194" t="e">
        <f t="shared" si="1"/>
        <v>#NUM!</v>
      </c>
      <c r="L19" s="194"/>
      <c r="M19" s="196">
        <f t="shared" si="2"/>
        <v>0</v>
      </c>
    </row>
    <row r="20" spans="1:19" x14ac:dyDescent="0.25">
      <c r="A20" s="94">
        <f t="shared" si="3"/>
        <v>0</v>
      </c>
      <c r="B20" s="33" t="str">
        <f t="shared" si="4"/>
        <v/>
      </c>
      <c r="C20" s="34"/>
      <c r="D20" s="34"/>
      <c r="E20" s="34"/>
      <c r="F20" s="34"/>
      <c r="G20" s="27"/>
      <c r="H20" s="191">
        <v>15</v>
      </c>
      <c r="I20" s="192" t="str">
        <f t="shared" si="0"/>
        <v/>
      </c>
      <c r="J20" s="191" t="e">
        <f t="shared" si="5"/>
        <v>#NUM!</v>
      </c>
      <c r="K20" s="191" t="e">
        <f t="shared" si="1"/>
        <v>#NUM!</v>
      </c>
      <c r="L20" s="191"/>
      <c r="M20" s="193">
        <f t="shared" si="2"/>
        <v>0</v>
      </c>
      <c r="R20" s="204"/>
      <c r="S20" s="205"/>
    </row>
    <row r="21" spans="1:19" x14ac:dyDescent="0.25">
      <c r="A21" s="98">
        <f t="shared" si="3"/>
        <v>0</v>
      </c>
      <c r="B21" s="39" t="str">
        <f t="shared" si="4"/>
        <v/>
      </c>
      <c r="C21" s="40"/>
      <c r="D21" s="40"/>
      <c r="E21" s="40"/>
      <c r="F21" s="40"/>
      <c r="G21" s="27"/>
      <c r="H21" s="194">
        <v>16</v>
      </c>
      <c r="I21" s="195" t="str">
        <f t="shared" si="0"/>
        <v/>
      </c>
      <c r="J21" s="194" t="e">
        <f t="shared" si="5"/>
        <v>#NUM!</v>
      </c>
      <c r="K21" s="194" t="e">
        <f t="shared" si="1"/>
        <v>#NUM!</v>
      </c>
      <c r="L21" s="194"/>
      <c r="M21" s="196">
        <f t="shared" si="2"/>
        <v>0</v>
      </c>
    </row>
    <row r="22" spans="1:19" x14ac:dyDescent="0.25">
      <c r="A22" s="94">
        <f t="shared" si="3"/>
        <v>0</v>
      </c>
      <c r="B22" s="33" t="str">
        <f t="shared" si="4"/>
        <v/>
      </c>
      <c r="C22" s="34"/>
      <c r="D22" s="34"/>
      <c r="E22" s="34"/>
      <c r="F22" s="34"/>
      <c r="G22" s="27"/>
      <c r="H22" s="191">
        <v>17</v>
      </c>
      <c r="I22" s="192" t="str">
        <f t="shared" si="0"/>
        <v/>
      </c>
      <c r="J22" s="191" t="e">
        <f t="shared" si="5"/>
        <v>#NUM!</v>
      </c>
      <c r="K22" s="191" t="e">
        <f t="shared" si="1"/>
        <v>#NUM!</v>
      </c>
      <c r="L22" s="191"/>
      <c r="M22" s="193">
        <f t="shared" si="2"/>
        <v>0</v>
      </c>
    </row>
    <row r="23" spans="1:19" x14ac:dyDescent="0.25">
      <c r="A23" s="98">
        <f t="shared" si="3"/>
        <v>0</v>
      </c>
      <c r="B23" s="39" t="str">
        <f t="shared" si="4"/>
        <v/>
      </c>
      <c r="C23" s="40"/>
      <c r="D23" s="40"/>
      <c r="E23" s="40"/>
      <c r="F23" s="40"/>
      <c r="G23" s="27"/>
      <c r="H23" s="194">
        <v>18</v>
      </c>
      <c r="I23" s="195" t="str">
        <f t="shared" si="0"/>
        <v/>
      </c>
      <c r="J23" s="194" t="e">
        <f t="shared" si="5"/>
        <v>#NUM!</v>
      </c>
      <c r="K23" s="194" t="e">
        <f t="shared" si="1"/>
        <v>#NUM!</v>
      </c>
      <c r="L23" s="194"/>
      <c r="M23" s="196">
        <f t="shared" si="2"/>
        <v>0</v>
      </c>
    </row>
    <row r="24" spans="1:19" x14ac:dyDescent="0.25">
      <c r="A24" s="94">
        <f t="shared" si="3"/>
        <v>0</v>
      </c>
      <c r="B24" s="33" t="str">
        <f t="shared" si="4"/>
        <v/>
      </c>
      <c r="C24" s="34"/>
      <c r="D24" s="34"/>
      <c r="E24" s="34"/>
      <c r="F24" s="34"/>
      <c r="G24" s="27"/>
      <c r="H24" s="191">
        <v>19</v>
      </c>
      <c r="I24" s="192" t="str">
        <f t="shared" si="0"/>
        <v/>
      </c>
      <c r="J24" s="191" t="e">
        <f t="shared" si="5"/>
        <v>#NUM!</v>
      </c>
      <c r="K24" s="191" t="e">
        <f t="shared" si="1"/>
        <v>#NUM!</v>
      </c>
      <c r="L24" s="191"/>
      <c r="M24" s="193">
        <f t="shared" si="2"/>
        <v>0</v>
      </c>
      <c r="R24" s="204"/>
      <c r="S24" s="205"/>
    </row>
    <row r="25" spans="1:19" x14ac:dyDescent="0.25">
      <c r="A25" s="98">
        <f t="shared" si="3"/>
        <v>0</v>
      </c>
      <c r="B25" s="39" t="str">
        <f t="shared" si="4"/>
        <v/>
      </c>
      <c r="C25" s="40"/>
      <c r="D25" s="40"/>
      <c r="E25" s="40"/>
      <c r="F25" s="40"/>
      <c r="G25" s="27"/>
      <c r="H25" s="194">
        <v>20</v>
      </c>
      <c r="I25" s="195" t="str">
        <f t="shared" si="0"/>
        <v/>
      </c>
      <c r="J25" s="194" t="e">
        <f t="shared" si="5"/>
        <v>#NUM!</v>
      </c>
      <c r="K25" s="194" t="e">
        <f t="shared" si="1"/>
        <v>#NUM!</v>
      </c>
      <c r="L25" s="194"/>
      <c r="M25" s="196">
        <f t="shared" si="2"/>
        <v>0</v>
      </c>
    </row>
    <row r="26" spans="1:19" x14ac:dyDescent="0.25">
      <c r="A26" s="94">
        <f t="shared" si="3"/>
        <v>0</v>
      </c>
      <c r="B26" s="33" t="str">
        <f t="shared" si="4"/>
        <v/>
      </c>
      <c r="C26" s="34"/>
      <c r="D26" s="34"/>
      <c r="E26" s="34"/>
      <c r="F26" s="34"/>
      <c r="G26" s="27"/>
      <c r="H26" s="191">
        <v>21</v>
      </c>
      <c r="I26" s="192" t="str">
        <f t="shared" si="0"/>
        <v/>
      </c>
      <c r="J26" s="191" t="e">
        <f t="shared" si="5"/>
        <v>#NUM!</v>
      </c>
      <c r="K26" s="191" t="e">
        <f t="shared" si="1"/>
        <v>#NUM!</v>
      </c>
      <c r="L26" s="191"/>
      <c r="M26" s="193">
        <f t="shared" si="2"/>
        <v>0</v>
      </c>
    </row>
    <row r="27" spans="1:19" x14ac:dyDescent="0.25">
      <c r="A27" s="98">
        <f t="shared" si="3"/>
        <v>0</v>
      </c>
      <c r="B27" s="39" t="str">
        <f t="shared" si="4"/>
        <v/>
      </c>
      <c r="C27" s="40"/>
      <c r="D27" s="40"/>
      <c r="E27" s="40"/>
      <c r="F27" s="40"/>
      <c r="G27" s="27"/>
      <c r="H27" s="194">
        <v>22</v>
      </c>
      <c r="I27" s="195" t="str">
        <f t="shared" si="0"/>
        <v/>
      </c>
      <c r="J27" s="194" t="e">
        <f t="shared" si="5"/>
        <v>#NUM!</v>
      </c>
      <c r="K27" s="194" t="e">
        <f t="shared" si="1"/>
        <v>#NUM!</v>
      </c>
      <c r="L27" s="194"/>
      <c r="M27" s="196">
        <f t="shared" si="2"/>
        <v>0</v>
      </c>
    </row>
    <row r="28" spans="1:19" x14ac:dyDescent="0.25">
      <c r="A28" s="94">
        <f t="shared" si="3"/>
        <v>0</v>
      </c>
      <c r="B28" s="33" t="str">
        <f t="shared" si="4"/>
        <v/>
      </c>
      <c r="C28" s="34"/>
      <c r="D28" s="34"/>
      <c r="E28" s="34"/>
      <c r="F28" s="34"/>
      <c r="G28" s="27"/>
      <c r="H28" s="191">
        <v>23</v>
      </c>
      <c r="I28" s="192" t="str">
        <f t="shared" si="0"/>
        <v/>
      </c>
      <c r="J28" s="191" t="e">
        <f t="shared" si="5"/>
        <v>#NUM!</v>
      </c>
      <c r="K28" s="191" t="e">
        <f t="shared" si="1"/>
        <v>#NUM!</v>
      </c>
      <c r="L28" s="191"/>
      <c r="M28" s="193">
        <f t="shared" si="2"/>
        <v>0</v>
      </c>
      <c r="R28" s="204"/>
      <c r="S28" s="205"/>
    </row>
    <row r="29" spans="1:19" x14ac:dyDescent="0.25">
      <c r="A29" s="98">
        <f t="shared" si="3"/>
        <v>0</v>
      </c>
      <c r="B29" s="39" t="str">
        <f t="shared" si="4"/>
        <v/>
      </c>
      <c r="C29" s="40"/>
      <c r="D29" s="40"/>
      <c r="E29" s="40"/>
      <c r="F29" s="40"/>
      <c r="G29" s="179"/>
      <c r="H29" s="194">
        <v>24</v>
      </c>
      <c r="I29" s="195" t="str">
        <f t="shared" si="0"/>
        <v/>
      </c>
      <c r="J29" s="194" t="e">
        <f t="shared" si="5"/>
        <v>#NUM!</v>
      </c>
      <c r="K29" s="194" t="e">
        <f t="shared" si="1"/>
        <v>#NUM!</v>
      </c>
      <c r="L29" s="194"/>
      <c r="M29" s="196">
        <f t="shared" si="2"/>
        <v>0</v>
      </c>
    </row>
    <row r="30" spans="1:19" x14ac:dyDescent="0.25">
      <c r="A30" s="94">
        <f t="shared" si="3"/>
        <v>0</v>
      </c>
      <c r="B30" s="33" t="str">
        <f t="shared" si="4"/>
        <v/>
      </c>
      <c r="C30" s="34"/>
      <c r="D30" s="34"/>
      <c r="E30" s="34"/>
      <c r="F30" s="34"/>
      <c r="G30" s="179"/>
      <c r="H30" s="191">
        <v>25</v>
      </c>
      <c r="I30" s="192" t="str">
        <f t="shared" si="0"/>
        <v/>
      </c>
      <c r="J30" s="191" t="e">
        <f t="shared" si="5"/>
        <v>#NUM!</v>
      </c>
      <c r="K30" s="191" t="e">
        <f t="shared" si="1"/>
        <v>#NUM!</v>
      </c>
      <c r="L30" s="191"/>
      <c r="M30" s="193">
        <f t="shared" si="2"/>
        <v>0</v>
      </c>
    </row>
    <row r="31" spans="1:19" x14ac:dyDescent="0.25">
      <c r="A31" s="98">
        <f t="shared" si="3"/>
        <v>0</v>
      </c>
      <c r="B31" s="39" t="str">
        <f t="shared" si="4"/>
        <v/>
      </c>
      <c r="C31" s="40"/>
      <c r="D31" s="40"/>
      <c r="E31" s="40"/>
      <c r="F31" s="40"/>
      <c r="G31" s="179"/>
      <c r="H31" s="194">
        <v>26</v>
      </c>
      <c r="I31" s="195" t="str">
        <f t="shared" si="0"/>
        <v/>
      </c>
      <c r="J31" s="194" t="e">
        <f t="shared" si="5"/>
        <v>#NUM!</v>
      </c>
      <c r="K31" s="194" t="e">
        <f t="shared" si="1"/>
        <v>#NUM!</v>
      </c>
      <c r="L31" s="194"/>
      <c r="M31" s="196">
        <f t="shared" si="2"/>
        <v>0</v>
      </c>
    </row>
    <row r="32" spans="1:19" x14ac:dyDescent="0.25">
      <c r="A32" s="94">
        <f t="shared" si="3"/>
        <v>0</v>
      </c>
      <c r="B32" s="33" t="str">
        <f t="shared" si="4"/>
        <v/>
      </c>
      <c r="C32" s="34"/>
      <c r="D32" s="34"/>
      <c r="E32" s="34"/>
      <c r="F32" s="34"/>
      <c r="G32" s="179"/>
      <c r="H32" s="191">
        <v>27</v>
      </c>
      <c r="I32" s="192" t="str">
        <f t="shared" si="0"/>
        <v/>
      </c>
      <c r="J32" s="191" t="e">
        <f t="shared" si="5"/>
        <v>#NUM!</v>
      </c>
      <c r="K32" s="191" t="e">
        <f t="shared" si="1"/>
        <v>#NUM!</v>
      </c>
      <c r="L32" s="191"/>
      <c r="M32" s="193">
        <f t="shared" si="2"/>
        <v>0</v>
      </c>
      <c r="R32" s="204"/>
      <c r="S32" s="205"/>
    </row>
    <row r="33" spans="1:21" x14ac:dyDescent="0.25">
      <c r="A33" s="98">
        <f t="shared" si="3"/>
        <v>0</v>
      </c>
      <c r="B33" s="39" t="str">
        <f t="shared" si="4"/>
        <v/>
      </c>
      <c r="C33" s="40"/>
      <c r="D33" s="40"/>
      <c r="E33" s="40"/>
      <c r="F33" s="40"/>
      <c r="G33" s="179"/>
      <c r="H33" s="194">
        <v>28</v>
      </c>
      <c r="I33" s="195" t="str">
        <f t="shared" si="0"/>
        <v/>
      </c>
      <c r="J33" s="194" t="e">
        <f t="shared" si="5"/>
        <v>#NUM!</v>
      </c>
      <c r="K33" s="194" t="e">
        <f t="shared" si="1"/>
        <v>#NUM!</v>
      </c>
      <c r="L33" s="194"/>
      <c r="M33" s="196">
        <f t="shared" si="2"/>
        <v>0</v>
      </c>
    </row>
    <row r="34" spans="1:21" x14ac:dyDescent="0.25">
      <c r="A34" s="94">
        <f t="shared" si="3"/>
        <v>0</v>
      </c>
      <c r="B34" s="33" t="str">
        <f t="shared" si="4"/>
        <v/>
      </c>
      <c r="C34" s="34"/>
      <c r="D34" s="34"/>
      <c r="E34" s="34"/>
      <c r="F34" s="34"/>
      <c r="G34" s="179"/>
      <c r="H34" s="191">
        <v>29</v>
      </c>
      <c r="I34" s="192" t="str">
        <f t="shared" si="0"/>
        <v/>
      </c>
      <c r="J34" s="191" t="e">
        <f t="shared" si="5"/>
        <v>#NUM!</v>
      </c>
      <c r="K34" s="191" t="e">
        <f t="shared" si="1"/>
        <v>#NUM!</v>
      </c>
      <c r="L34" s="191"/>
      <c r="M34" s="193">
        <f t="shared" si="2"/>
        <v>0</v>
      </c>
    </row>
    <row r="35" spans="1:21" x14ac:dyDescent="0.25">
      <c r="A35" s="98">
        <f t="shared" si="3"/>
        <v>0</v>
      </c>
      <c r="B35" s="39" t="str">
        <f t="shared" si="4"/>
        <v/>
      </c>
      <c r="C35" s="40"/>
      <c r="D35" s="40"/>
      <c r="E35" s="40"/>
      <c r="F35" s="40"/>
      <c r="G35" s="179"/>
      <c r="H35" s="194">
        <v>30</v>
      </c>
      <c r="I35" s="195" t="str">
        <f t="shared" si="0"/>
        <v/>
      </c>
      <c r="J35" s="194" t="e">
        <f t="shared" si="5"/>
        <v>#NUM!</v>
      </c>
      <c r="K35" s="194" t="e">
        <f t="shared" si="1"/>
        <v>#NUM!</v>
      </c>
      <c r="L35" s="194"/>
      <c r="M35" s="196">
        <f t="shared" si="2"/>
        <v>0</v>
      </c>
    </row>
    <row r="36" spans="1:21" x14ac:dyDescent="0.25">
      <c r="A36" s="94">
        <f t="shared" si="3"/>
        <v>0</v>
      </c>
      <c r="B36" s="33" t="str">
        <f t="shared" si="4"/>
        <v/>
      </c>
      <c r="C36" s="34"/>
      <c r="D36" s="34"/>
      <c r="E36" s="34"/>
      <c r="F36" s="34"/>
      <c r="G36" s="179"/>
      <c r="H36" s="191">
        <v>31</v>
      </c>
      <c r="I36" s="192" t="str">
        <f t="shared" si="0"/>
        <v/>
      </c>
      <c r="J36" s="191" t="e">
        <f t="shared" si="5"/>
        <v>#NUM!</v>
      </c>
      <c r="K36" s="191" t="e">
        <f t="shared" si="1"/>
        <v>#NUM!</v>
      </c>
      <c r="L36" s="191"/>
      <c r="M36" s="193">
        <f t="shared" si="2"/>
        <v>0</v>
      </c>
      <c r="R36" s="204"/>
      <c r="S36" s="205"/>
    </row>
    <row r="37" spans="1:21" x14ac:dyDescent="0.25">
      <c r="A37" s="98">
        <f t="shared" si="3"/>
        <v>0</v>
      </c>
      <c r="B37" s="39" t="str">
        <f t="shared" si="4"/>
        <v/>
      </c>
      <c r="C37" s="40"/>
      <c r="D37" s="40"/>
      <c r="E37" s="40"/>
      <c r="F37" s="40"/>
      <c r="G37" s="179"/>
      <c r="H37" s="194">
        <v>32</v>
      </c>
      <c r="I37" s="195" t="str">
        <f t="shared" si="0"/>
        <v/>
      </c>
      <c r="J37" s="194" t="e">
        <f t="shared" si="5"/>
        <v>#NUM!</v>
      </c>
      <c r="K37" s="194" t="e">
        <f t="shared" si="1"/>
        <v>#NUM!</v>
      </c>
      <c r="L37" s="194"/>
      <c r="M37" s="196">
        <f t="shared" si="2"/>
        <v>0</v>
      </c>
    </row>
    <row r="38" spans="1:21" x14ac:dyDescent="0.25">
      <c r="A38" s="94"/>
      <c r="B38" s="33" t="str">
        <f t="shared" si="4"/>
        <v/>
      </c>
      <c r="C38" s="34"/>
      <c r="D38" s="34"/>
      <c r="E38" s="34"/>
      <c r="F38" s="34"/>
      <c r="G38" s="179"/>
      <c r="H38" s="191">
        <v>33</v>
      </c>
      <c r="I38" s="192" t="str">
        <f t="shared" si="0"/>
        <v/>
      </c>
      <c r="J38" s="191" t="e">
        <f t="shared" si="5"/>
        <v>#NUM!</v>
      </c>
      <c r="K38" s="191" t="e">
        <f t="shared" si="1"/>
        <v>#NUM!</v>
      </c>
      <c r="L38" s="191"/>
      <c r="M38" s="193">
        <f t="shared" si="2"/>
        <v>0</v>
      </c>
    </row>
    <row r="39" spans="1:21" x14ac:dyDescent="0.25">
      <c r="A39" s="98"/>
      <c r="B39" s="39" t="str">
        <f t="shared" si="4"/>
        <v/>
      </c>
      <c r="C39" s="40"/>
      <c r="D39" s="40"/>
      <c r="E39" s="40"/>
      <c r="F39" s="40"/>
      <c r="G39" s="179"/>
      <c r="H39" s="194">
        <v>34</v>
      </c>
      <c r="I39" s="195" t="str">
        <f t="shared" si="0"/>
        <v/>
      </c>
      <c r="J39" s="194" t="e">
        <f t="shared" si="5"/>
        <v>#NUM!</v>
      </c>
      <c r="K39" s="194" t="e">
        <f t="shared" si="1"/>
        <v>#NUM!</v>
      </c>
      <c r="L39" s="194"/>
      <c r="M39" s="196">
        <f t="shared" si="2"/>
        <v>0</v>
      </c>
    </row>
    <row r="40" spans="1:21" x14ac:dyDescent="0.25">
      <c r="A40" s="94"/>
      <c r="B40" s="33" t="str">
        <f t="shared" si="4"/>
        <v/>
      </c>
      <c r="C40" s="34"/>
      <c r="D40" s="34"/>
      <c r="E40" s="34"/>
      <c r="F40" s="34"/>
      <c r="G40" s="179"/>
      <c r="H40" s="191">
        <v>35</v>
      </c>
      <c r="I40" s="192" t="str">
        <f t="shared" si="0"/>
        <v/>
      </c>
      <c r="J40" s="191" t="e">
        <f t="shared" si="5"/>
        <v>#NUM!</v>
      </c>
      <c r="K40" s="191" t="e">
        <f t="shared" si="1"/>
        <v>#NUM!</v>
      </c>
      <c r="L40" s="191"/>
      <c r="M40" s="193">
        <f t="shared" si="2"/>
        <v>0</v>
      </c>
    </row>
    <row r="41" spans="1:21" x14ac:dyDescent="0.25">
      <c r="A41" s="98"/>
      <c r="B41" s="39" t="str">
        <f t="shared" si="4"/>
        <v/>
      </c>
      <c r="C41" s="40"/>
      <c r="D41" s="40"/>
      <c r="E41" s="40"/>
      <c r="F41" s="40"/>
      <c r="G41" s="179"/>
      <c r="H41" s="194">
        <v>36</v>
      </c>
      <c r="I41" s="195" t="str">
        <f t="shared" si="0"/>
        <v/>
      </c>
      <c r="J41" s="194" t="e">
        <f t="shared" si="5"/>
        <v>#NUM!</v>
      </c>
      <c r="K41" s="194" t="e">
        <f t="shared" si="1"/>
        <v>#NUM!</v>
      </c>
      <c r="L41" s="194"/>
      <c r="M41" s="196">
        <f t="shared" si="2"/>
        <v>0</v>
      </c>
      <c r="S41" s="206"/>
    </row>
    <row r="42" spans="1:21" x14ac:dyDescent="0.25">
      <c r="A42" s="94"/>
      <c r="B42" s="33" t="str">
        <f t="shared" si="4"/>
        <v/>
      </c>
      <c r="C42" s="34"/>
      <c r="D42" s="34"/>
      <c r="E42" s="34"/>
      <c r="F42" s="34"/>
      <c r="G42" s="179"/>
      <c r="H42" s="191">
        <v>37</v>
      </c>
      <c r="I42" s="192" t="str">
        <f t="shared" si="0"/>
        <v/>
      </c>
      <c r="J42" s="191" t="e">
        <f t="shared" si="5"/>
        <v>#NUM!</v>
      </c>
      <c r="K42" s="191" t="e">
        <f t="shared" si="1"/>
        <v>#NUM!</v>
      </c>
      <c r="L42" s="191"/>
      <c r="M42" s="193">
        <f t="shared" si="2"/>
        <v>0</v>
      </c>
    </row>
    <row r="43" spans="1:21" x14ac:dyDescent="0.25">
      <c r="A43" s="98"/>
      <c r="B43" s="39" t="str">
        <f t="shared" si="4"/>
        <v/>
      </c>
      <c r="C43" s="40"/>
      <c r="D43" s="40"/>
      <c r="E43" s="40"/>
      <c r="F43" s="40"/>
      <c r="G43" s="179"/>
      <c r="H43" s="194">
        <v>38</v>
      </c>
      <c r="I43" s="195" t="str">
        <f t="shared" si="0"/>
        <v/>
      </c>
      <c r="J43" s="194" t="e">
        <f t="shared" si="5"/>
        <v>#NUM!</v>
      </c>
      <c r="K43" s="194" t="e">
        <f t="shared" si="1"/>
        <v>#NUM!</v>
      </c>
      <c r="L43" s="194"/>
      <c r="M43" s="196">
        <f t="shared" si="2"/>
        <v>0</v>
      </c>
    </row>
    <row r="44" spans="1:21" x14ac:dyDescent="0.25">
      <c r="A44" s="94"/>
      <c r="B44" s="33" t="str">
        <f t="shared" si="4"/>
        <v/>
      </c>
      <c r="C44" s="34"/>
      <c r="D44" s="34"/>
      <c r="E44" s="34"/>
      <c r="F44" s="34"/>
      <c r="G44" s="179"/>
      <c r="H44" s="191">
        <v>39</v>
      </c>
      <c r="I44" s="192" t="str">
        <f t="shared" si="0"/>
        <v/>
      </c>
      <c r="J44" s="191" t="e">
        <f t="shared" si="5"/>
        <v>#NUM!</v>
      </c>
      <c r="K44" s="191" t="e">
        <f t="shared" si="1"/>
        <v>#NUM!</v>
      </c>
      <c r="L44" s="191"/>
      <c r="M44" s="193">
        <f t="shared" si="2"/>
        <v>0</v>
      </c>
    </row>
    <row r="45" spans="1:21" x14ac:dyDescent="0.25">
      <c r="A45" s="98"/>
      <c r="B45" s="39" t="str">
        <f t="shared" si="4"/>
        <v/>
      </c>
      <c r="C45" s="40"/>
      <c r="D45" s="40"/>
      <c r="E45" s="40"/>
      <c r="F45" s="40"/>
      <c r="G45" s="179"/>
      <c r="H45" s="194">
        <v>40</v>
      </c>
      <c r="I45" s="195" t="str">
        <f t="shared" si="0"/>
        <v/>
      </c>
      <c r="J45" s="194" t="e">
        <f t="shared" si="5"/>
        <v>#NUM!</v>
      </c>
      <c r="K45" s="194" t="e">
        <f t="shared" si="1"/>
        <v>#NUM!</v>
      </c>
      <c r="L45" s="194"/>
      <c r="M45" s="196">
        <f t="shared" si="2"/>
        <v>0</v>
      </c>
    </row>
    <row r="46" spans="1:21" x14ac:dyDescent="0.25">
      <c r="A46" s="94"/>
      <c r="B46" s="33" t="str">
        <f t="shared" si="4"/>
        <v/>
      </c>
      <c r="C46" s="34"/>
      <c r="D46" s="34"/>
      <c r="E46" s="34"/>
      <c r="F46" s="34"/>
      <c r="G46" s="179"/>
      <c r="H46" s="191">
        <v>41</v>
      </c>
      <c r="I46" s="192" t="str">
        <f t="shared" si="0"/>
        <v/>
      </c>
      <c r="J46" s="191" t="e">
        <f t="shared" si="5"/>
        <v>#NUM!</v>
      </c>
      <c r="K46" s="191" t="e">
        <f t="shared" si="1"/>
        <v>#NUM!</v>
      </c>
      <c r="L46" s="191"/>
      <c r="M46" s="193">
        <f t="shared" si="2"/>
        <v>0</v>
      </c>
      <c r="R46" s="179" t="e">
        <f>LOG($H$2,2)</f>
        <v>#NUM!</v>
      </c>
      <c r="T46" s="184">
        <f>LOG(H38,2)</f>
        <v>5.0443941193584534</v>
      </c>
      <c r="U46" s="184" t="e">
        <f>R46-T46</f>
        <v>#NUM!</v>
      </c>
    </row>
    <row r="47" spans="1:21" x14ac:dyDescent="0.25">
      <c r="A47" s="98"/>
      <c r="B47" s="39" t="str">
        <f t="shared" si="4"/>
        <v/>
      </c>
      <c r="C47" s="40"/>
      <c r="D47" s="40"/>
      <c r="E47" s="40"/>
      <c r="F47" s="40"/>
      <c r="G47" s="179"/>
      <c r="H47" s="194">
        <v>42</v>
      </c>
      <c r="I47" s="195" t="str">
        <f t="shared" si="0"/>
        <v/>
      </c>
      <c r="J47" s="194" t="e">
        <f t="shared" si="5"/>
        <v>#NUM!</v>
      </c>
      <c r="K47" s="194" t="e">
        <f t="shared" si="1"/>
        <v>#NUM!</v>
      </c>
      <c r="L47" s="194"/>
      <c r="M47" s="196">
        <f t="shared" si="2"/>
        <v>0</v>
      </c>
    </row>
    <row r="48" spans="1:21" x14ac:dyDescent="0.25">
      <c r="A48" s="94"/>
      <c r="B48" s="33" t="str">
        <f t="shared" si="4"/>
        <v/>
      </c>
      <c r="C48" s="34"/>
      <c r="D48" s="34"/>
      <c r="E48" s="34"/>
      <c r="F48" s="34"/>
      <c r="G48" s="179"/>
      <c r="H48" s="191">
        <v>43</v>
      </c>
      <c r="I48" s="192" t="str">
        <f t="shared" si="0"/>
        <v/>
      </c>
      <c r="J48" s="191" t="e">
        <f t="shared" si="5"/>
        <v>#NUM!</v>
      </c>
      <c r="K48" s="191" t="e">
        <f t="shared" si="1"/>
        <v>#NUM!</v>
      </c>
      <c r="L48" s="191"/>
      <c r="M48" s="193">
        <f t="shared" si="2"/>
        <v>0</v>
      </c>
    </row>
    <row r="49" spans="1:13" x14ac:dyDescent="0.25">
      <c r="A49" s="98"/>
      <c r="B49" s="39" t="str">
        <f t="shared" si="4"/>
        <v/>
      </c>
      <c r="C49" s="40"/>
      <c r="D49" s="40"/>
      <c r="E49" s="40"/>
      <c r="F49" s="40"/>
      <c r="G49" s="179"/>
      <c r="H49" s="194">
        <v>44</v>
      </c>
      <c r="I49" s="195" t="str">
        <f t="shared" si="0"/>
        <v/>
      </c>
      <c r="J49" s="194" t="e">
        <f t="shared" si="5"/>
        <v>#NUM!</v>
      </c>
      <c r="K49" s="194" t="e">
        <f t="shared" si="1"/>
        <v>#NUM!</v>
      </c>
      <c r="L49" s="194"/>
      <c r="M49" s="196">
        <f t="shared" si="2"/>
        <v>0</v>
      </c>
    </row>
    <row r="50" spans="1:13" x14ac:dyDescent="0.25">
      <c r="A50" s="94"/>
      <c r="B50" s="33" t="str">
        <f t="shared" si="4"/>
        <v/>
      </c>
      <c r="C50" s="34"/>
      <c r="D50" s="34"/>
      <c r="E50" s="34"/>
      <c r="F50" s="34"/>
      <c r="G50" s="179"/>
      <c r="H50" s="191">
        <v>45</v>
      </c>
      <c r="I50" s="192" t="str">
        <f t="shared" si="0"/>
        <v/>
      </c>
      <c r="J50" s="191" t="e">
        <f t="shared" si="5"/>
        <v>#NUM!</v>
      </c>
      <c r="K50" s="191" t="e">
        <f t="shared" si="1"/>
        <v>#NUM!</v>
      </c>
      <c r="L50" s="191"/>
      <c r="M50" s="193">
        <f t="shared" si="2"/>
        <v>0</v>
      </c>
    </row>
    <row r="51" spans="1:13" x14ac:dyDescent="0.25">
      <c r="A51" s="98"/>
      <c r="B51" s="39" t="str">
        <f t="shared" si="4"/>
        <v/>
      </c>
      <c r="C51" s="40"/>
      <c r="D51" s="40"/>
      <c r="E51" s="40"/>
      <c r="F51" s="40"/>
      <c r="G51" s="179"/>
      <c r="H51" s="194">
        <v>46</v>
      </c>
      <c r="I51" s="195" t="str">
        <f t="shared" si="0"/>
        <v/>
      </c>
      <c r="J51" s="194" t="e">
        <f t="shared" si="5"/>
        <v>#NUM!</v>
      </c>
      <c r="K51" s="194" t="e">
        <f t="shared" si="1"/>
        <v>#NUM!</v>
      </c>
      <c r="L51" s="194"/>
      <c r="M51" s="196">
        <f t="shared" si="2"/>
        <v>0</v>
      </c>
    </row>
    <row r="52" spans="1:13" x14ac:dyDescent="0.25">
      <c r="A52" s="94"/>
      <c r="B52" s="33" t="str">
        <f t="shared" si="4"/>
        <v/>
      </c>
      <c r="C52" s="34"/>
      <c r="D52" s="34"/>
      <c r="E52" s="34"/>
      <c r="F52" s="34"/>
      <c r="G52" s="179"/>
      <c r="H52" s="191">
        <v>47</v>
      </c>
      <c r="I52" s="192" t="str">
        <f t="shared" si="0"/>
        <v/>
      </c>
      <c r="J52" s="191" t="e">
        <f t="shared" si="5"/>
        <v>#NUM!</v>
      </c>
      <c r="K52" s="191" t="e">
        <f t="shared" si="1"/>
        <v>#NUM!</v>
      </c>
      <c r="L52" s="191"/>
      <c r="M52" s="193">
        <f t="shared" si="2"/>
        <v>0</v>
      </c>
    </row>
    <row r="53" spans="1:13" x14ac:dyDescent="0.25">
      <c r="A53" s="98"/>
      <c r="B53" s="39" t="str">
        <f t="shared" si="4"/>
        <v/>
      </c>
      <c r="C53" s="40"/>
      <c r="D53" s="40"/>
      <c r="E53" s="40"/>
      <c r="F53" s="40"/>
      <c r="G53" s="179"/>
      <c r="H53" s="194">
        <v>48</v>
      </c>
      <c r="I53" s="195" t="str">
        <f t="shared" si="0"/>
        <v/>
      </c>
      <c r="J53" s="194" t="e">
        <f t="shared" si="5"/>
        <v>#NUM!</v>
      </c>
      <c r="K53" s="194" t="e">
        <f t="shared" si="1"/>
        <v>#NUM!</v>
      </c>
      <c r="L53" s="194"/>
      <c r="M53" s="196">
        <f t="shared" si="2"/>
        <v>0</v>
      </c>
    </row>
    <row r="54" spans="1:13" x14ac:dyDescent="0.25">
      <c r="A54" s="94"/>
      <c r="B54" s="33" t="str">
        <f t="shared" si="4"/>
        <v/>
      </c>
      <c r="C54" s="34"/>
      <c r="D54" s="34"/>
      <c r="E54" s="34"/>
      <c r="F54" s="34"/>
      <c r="G54" s="179"/>
      <c r="H54" s="191">
        <v>49</v>
      </c>
      <c r="I54" s="192" t="str">
        <f t="shared" si="0"/>
        <v/>
      </c>
      <c r="J54" s="191" t="e">
        <f t="shared" si="5"/>
        <v>#NUM!</v>
      </c>
      <c r="K54" s="191" t="e">
        <f t="shared" si="1"/>
        <v>#NUM!</v>
      </c>
      <c r="L54" s="191"/>
      <c r="M54" s="193">
        <f t="shared" si="2"/>
        <v>0</v>
      </c>
    </row>
    <row r="55" spans="1:13" x14ac:dyDescent="0.25">
      <c r="A55" s="98"/>
      <c r="B55" s="39" t="str">
        <f t="shared" si="4"/>
        <v/>
      </c>
      <c r="C55" s="40"/>
      <c r="D55" s="40"/>
      <c r="E55" s="40"/>
      <c r="F55" s="40"/>
      <c r="G55" s="179"/>
      <c r="H55" s="194">
        <v>50</v>
      </c>
      <c r="I55" s="195" t="str">
        <f t="shared" si="0"/>
        <v/>
      </c>
      <c r="J55" s="194" t="e">
        <f t="shared" si="5"/>
        <v>#NUM!</v>
      </c>
      <c r="K55" s="194" t="e">
        <f t="shared" si="1"/>
        <v>#NUM!</v>
      </c>
      <c r="L55" s="194"/>
      <c r="M55" s="196">
        <f t="shared" si="2"/>
        <v>0</v>
      </c>
    </row>
    <row r="56" spans="1:13" x14ac:dyDescent="0.25">
      <c r="A56" s="94"/>
      <c r="B56" s="33" t="str">
        <f t="shared" si="4"/>
        <v/>
      </c>
      <c r="C56" s="34"/>
      <c r="D56" s="34"/>
      <c r="E56" s="34"/>
      <c r="F56" s="34"/>
      <c r="G56" s="179"/>
      <c r="H56" s="191">
        <v>51</v>
      </c>
      <c r="I56" s="192" t="str">
        <f t="shared" si="0"/>
        <v/>
      </c>
      <c r="J56" s="191" t="e">
        <f t="shared" si="5"/>
        <v>#NUM!</v>
      </c>
      <c r="K56" s="191" t="e">
        <f t="shared" si="1"/>
        <v>#NUM!</v>
      </c>
      <c r="L56" s="191"/>
      <c r="M56" s="193">
        <f t="shared" si="2"/>
        <v>0</v>
      </c>
    </row>
    <row r="57" spans="1:13" x14ac:dyDescent="0.25">
      <c r="A57" s="98"/>
      <c r="B57" s="39" t="str">
        <f t="shared" si="4"/>
        <v/>
      </c>
      <c r="C57" s="40"/>
      <c r="D57" s="40"/>
      <c r="E57" s="40"/>
      <c r="F57" s="40"/>
      <c r="G57" s="179"/>
      <c r="H57" s="194">
        <v>52</v>
      </c>
      <c r="I57" s="195" t="str">
        <f t="shared" si="0"/>
        <v/>
      </c>
      <c r="J57" s="194" t="e">
        <f t="shared" si="5"/>
        <v>#NUM!</v>
      </c>
      <c r="K57" s="194" t="e">
        <f t="shared" si="1"/>
        <v>#NUM!</v>
      </c>
      <c r="L57" s="194"/>
      <c r="M57" s="196">
        <f t="shared" si="2"/>
        <v>0</v>
      </c>
    </row>
    <row r="58" spans="1:13" x14ac:dyDescent="0.25">
      <c r="A58" s="94"/>
      <c r="B58" s="33" t="str">
        <f t="shared" si="4"/>
        <v/>
      </c>
      <c r="C58" s="34"/>
      <c r="D58" s="34"/>
      <c r="E58" s="34"/>
      <c r="F58" s="34"/>
      <c r="G58" s="179"/>
      <c r="H58" s="191">
        <v>53</v>
      </c>
      <c r="I58" s="192" t="str">
        <f t="shared" si="0"/>
        <v/>
      </c>
      <c r="J58" s="191" t="e">
        <f t="shared" si="5"/>
        <v>#NUM!</v>
      </c>
      <c r="K58" s="191" t="e">
        <f t="shared" si="1"/>
        <v>#NUM!</v>
      </c>
      <c r="L58" s="191"/>
      <c r="M58" s="193">
        <f t="shared" si="2"/>
        <v>0</v>
      </c>
    </row>
    <row r="59" spans="1:13" x14ac:dyDescent="0.25">
      <c r="A59" s="98"/>
      <c r="B59" s="39" t="str">
        <f t="shared" si="4"/>
        <v/>
      </c>
      <c r="C59" s="40"/>
      <c r="D59" s="40"/>
      <c r="E59" s="40"/>
      <c r="F59" s="40"/>
      <c r="G59" s="179"/>
      <c r="H59" s="194">
        <v>54</v>
      </c>
      <c r="I59" s="195" t="str">
        <f t="shared" si="0"/>
        <v/>
      </c>
      <c r="J59" s="194" t="e">
        <f t="shared" si="5"/>
        <v>#NUM!</v>
      </c>
      <c r="K59" s="194" t="e">
        <f t="shared" si="1"/>
        <v>#NUM!</v>
      </c>
      <c r="L59" s="194"/>
      <c r="M59" s="196">
        <f t="shared" si="2"/>
        <v>0</v>
      </c>
    </row>
    <row r="60" spans="1:13" x14ac:dyDescent="0.25">
      <c r="A60" s="94"/>
      <c r="B60" s="33" t="str">
        <f t="shared" si="4"/>
        <v/>
      </c>
      <c r="C60" s="34"/>
      <c r="D60" s="34"/>
      <c r="E60" s="34"/>
      <c r="F60" s="34"/>
      <c r="G60" s="179"/>
      <c r="H60" s="191">
        <v>55</v>
      </c>
      <c r="I60" s="192" t="str">
        <f t="shared" si="0"/>
        <v/>
      </c>
      <c r="J60" s="191" t="e">
        <f t="shared" si="5"/>
        <v>#NUM!</v>
      </c>
      <c r="K60" s="191" t="e">
        <f t="shared" si="1"/>
        <v>#NUM!</v>
      </c>
      <c r="L60" s="191"/>
      <c r="M60" s="193">
        <f t="shared" si="2"/>
        <v>0</v>
      </c>
    </row>
    <row r="61" spans="1:13" x14ac:dyDescent="0.25">
      <c r="A61" s="98"/>
      <c r="B61" s="39" t="str">
        <f t="shared" si="4"/>
        <v/>
      </c>
      <c r="C61" s="40"/>
      <c r="D61" s="40"/>
      <c r="E61" s="40"/>
      <c r="F61" s="40"/>
      <c r="G61" s="179"/>
      <c r="H61" s="194">
        <v>56</v>
      </c>
      <c r="I61" s="195" t="str">
        <f t="shared" si="0"/>
        <v/>
      </c>
      <c r="J61" s="194" t="e">
        <f t="shared" si="5"/>
        <v>#NUM!</v>
      </c>
      <c r="K61" s="194" t="e">
        <f t="shared" si="1"/>
        <v>#NUM!</v>
      </c>
      <c r="L61" s="194"/>
      <c r="M61" s="196">
        <f t="shared" si="2"/>
        <v>0</v>
      </c>
    </row>
    <row r="62" spans="1:13" x14ac:dyDescent="0.25">
      <c r="A62" s="94"/>
      <c r="B62" s="33" t="str">
        <f t="shared" si="4"/>
        <v/>
      </c>
      <c r="C62" s="34"/>
      <c r="D62" s="34"/>
      <c r="E62" s="34"/>
      <c r="F62" s="34"/>
      <c r="G62" s="179"/>
      <c r="H62" s="191">
        <v>57</v>
      </c>
      <c r="I62" s="192" t="str">
        <f t="shared" si="0"/>
        <v/>
      </c>
      <c r="J62" s="191" t="e">
        <f t="shared" si="5"/>
        <v>#NUM!</v>
      </c>
      <c r="K62" s="191" t="e">
        <f t="shared" si="1"/>
        <v>#NUM!</v>
      </c>
      <c r="L62" s="191"/>
      <c r="M62" s="193">
        <f t="shared" si="2"/>
        <v>0</v>
      </c>
    </row>
    <row r="63" spans="1:13" x14ac:dyDescent="0.25">
      <c r="A63" s="98"/>
      <c r="B63" s="39" t="str">
        <f t="shared" si="4"/>
        <v/>
      </c>
      <c r="C63" s="40"/>
      <c r="D63" s="40"/>
      <c r="E63" s="40"/>
      <c r="F63" s="40"/>
      <c r="G63" s="179"/>
      <c r="H63" s="194">
        <v>58</v>
      </c>
      <c r="I63" s="195" t="str">
        <f t="shared" si="0"/>
        <v/>
      </c>
      <c r="J63" s="194" t="e">
        <f t="shared" si="5"/>
        <v>#NUM!</v>
      </c>
      <c r="K63" s="194" t="e">
        <f t="shared" si="1"/>
        <v>#NUM!</v>
      </c>
      <c r="L63" s="194"/>
      <c r="M63" s="196">
        <f t="shared" si="2"/>
        <v>0</v>
      </c>
    </row>
    <row r="64" spans="1:13" x14ac:dyDescent="0.25">
      <c r="A64" s="94"/>
      <c r="B64" s="33" t="str">
        <f t="shared" si="4"/>
        <v/>
      </c>
      <c r="C64" s="34"/>
      <c r="D64" s="34"/>
      <c r="E64" s="34"/>
      <c r="F64" s="34"/>
      <c r="G64" s="179"/>
      <c r="H64" s="191">
        <v>59</v>
      </c>
      <c r="I64" s="192" t="str">
        <f t="shared" si="0"/>
        <v/>
      </c>
      <c r="J64" s="191" t="e">
        <f t="shared" si="5"/>
        <v>#NUM!</v>
      </c>
      <c r="K64" s="191" t="e">
        <f t="shared" si="1"/>
        <v>#NUM!</v>
      </c>
      <c r="L64" s="191"/>
      <c r="M64" s="193">
        <f t="shared" si="2"/>
        <v>0</v>
      </c>
    </row>
    <row r="65" spans="1:13" x14ac:dyDescent="0.25">
      <c r="A65" s="98"/>
      <c r="B65" s="39" t="str">
        <f t="shared" si="4"/>
        <v/>
      </c>
      <c r="C65" s="40"/>
      <c r="D65" s="40"/>
      <c r="E65" s="40"/>
      <c r="F65" s="40"/>
      <c r="G65" s="179"/>
      <c r="H65" s="194">
        <v>60</v>
      </c>
      <c r="I65" s="195" t="str">
        <f t="shared" si="0"/>
        <v/>
      </c>
      <c r="J65" s="194" t="e">
        <f t="shared" si="5"/>
        <v>#NUM!</v>
      </c>
      <c r="K65" s="194" t="e">
        <f t="shared" si="1"/>
        <v>#NUM!</v>
      </c>
      <c r="L65" s="194"/>
      <c r="M65" s="196">
        <f t="shared" si="2"/>
        <v>0</v>
      </c>
    </row>
    <row r="66" spans="1:13" x14ac:dyDescent="0.25">
      <c r="A66" s="216"/>
      <c r="B66" s="33"/>
      <c r="G66" s="179"/>
      <c r="H66" s="191">
        <v>61</v>
      </c>
      <c r="I66" s="192" t="str">
        <f t="shared" si="0"/>
        <v/>
      </c>
      <c r="J66" s="191" t="e">
        <f t="shared" si="5"/>
        <v>#NUM!</v>
      </c>
      <c r="K66" s="191" t="e">
        <f t="shared" si="1"/>
        <v>#NUM!</v>
      </c>
      <c r="L66" s="191"/>
      <c r="M66" s="193">
        <f t="shared" si="2"/>
        <v>0</v>
      </c>
    </row>
    <row r="67" spans="1:13" x14ac:dyDescent="0.25">
      <c r="A67" s="216"/>
      <c r="B67" s="39"/>
      <c r="G67" s="179"/>
      <c r="H67" s="191">
        <v>62</v>
      </c>
      <c r="I67" s="192" t="str">
        <f t="shared" si="0"/>
        <v/>
      </c>
      <c r="J67" s="191" t="e">
        <f t="shared" si="5"/>
        <v>#NUM!</v>
      </c>
      <c r="K67" s="191" t="e">
        <f t="shared" si="1"/>
        <v>#NUM!</v>
      </c>
      <c r="L67" s="191"/>
      <c r="M67" s="193">
        <f t="shared" si="2"/>
        <v>0</v>
      </c>
    </row>
    <row r="68" spans="1:13" x14ac:dyDescent="0.25">
      <c r="A68" s="216"/>
      <c r="B68" s="33"/>
      <c r="G68" s="179"/>
      <c r="H68" s="191">
        <v>63</v>
      </c>
      <c r="I68" s="192" t="str">
        <f t="shared" si="0"/>
        <v/>
      </c>
      <c r="J68" s="191" t="e">
        <f t="shared" si="5"/>
        <v>#NUM!</v>
      </c>
      <c r="K68" s="191" t="e">
        <f t="shared" si="1"/>
        <v>#NUM!</v>
      </c>
      <c r="L68" s="191"/>
      <c r="M68" s="193">
        <f t="shared" si="2"/>
        <v>0</v>
      </c>
    </row>
    <row r="69" spans="1:13" x14ac:dyDescent="0.25">
      <c r="A69" s="216"/>
      <c r="B69" s="39"/>
      <c r="G69" s="179"/>
      <c r="H69" s="191">
        <v>64</v>
      </c>
      <c r="I69" s="192" t="str">
        <f t="shared" si="0"/>
        <v/>
      </c>
      <c r="J69" s="191" t="e">
        <f t="shared" si="5"/>
        <v>#NUM!</v>
      </c>
      <c r="K69" s="191" t="e">
        <f t="shared" si="1"/>
        <v>#NUM!</v>
      </c>
      <c r="L69" s="191"/>
      <c r="M69" s="193">
        <f t="shared" si="2"/>
        <v>0</v>
      </c>
    </row>
    <row r="70" spans="1:13" x14ac:dyDescent="0.25">
      <c r="A70" s="216"/>
      <c r="G70" s="179"/>
      <c r="H70" s="191">
        <v>65</v>
      </c>
      <c r="I70" s="192" t="str">
        <f t="shared" ref="I70:I133" si="6">IF(H70&lt;$H$2+1,($I$2-($I$2-1)*(LOG(H70)/LOG($H$2))),"")</f>
        <v/>
      </c>
      <c r="J70" s="191" t="e">
        <f t="shared" si="5"/>
        <v>#NUM!</v>
      </c>
      <c r="K70" s="191" t="e">
        <f t="shared" ref="K70:K133" si="7">J70*$J$2</f>
        <v>#NUM!</v>
      </c>
      <c r="L70" s="191"/>
      <c r="M70" s="193">
        <f t="shared" ref="M70:M133" si="8">IF(I70&lt;&gt;"",K70+I70+L70,0)</f>
        <v>0</v>
      </c>
    </row>
    <row r="71" spans="1:13" x14ac:dyDescent="0.25">
      <c r="A71" s="216"/>
      <c r="G71" s="179"/>
      <c r="H71" s="191">
        <v>66</v>
      </c>
      <c r="I71" s="192" t="str">
        <f t="shared" si="6"/>
        <v/>
      </c>
      <c r="J71" s="191" t="e">
        <f t="shared" ref="J71:J134" si="9">INT(LOG($H$2,2))-ROUNDUP(LOG(H71,2),0)+IF(OR($H$2=1,$H$2=2,$H$2=4,$H$2=8,$H$2=16,$H$2=32,$H$2=64,$H$2=128,$H$2=256),0,1)</f>
        <v>#NUM!</v>
      </c>
      <c r="K71" s="191" t="e">
        <f t="shared" si="7"/>
        <v>#NUM!</v>
      </c>
      <c r="L71" s="191"/>
      <c r="M71" s="193">
        <f t="shared" si="8"/>
        <v>0</v>
      </c>
    </row>
    <row r="72" spans="1:13" x14ac:dyDescent="0.25">
      <c r="A72" s="216"/>
      <c r="G72" s="179"/>
      <c r="H72" s="191">
        <v>67</v>
      </c>
      <c r="I72" s="192" t="str">
        <f t="shared" si="6"/>
        <v/>
      </c>
      <c r="J72" s="191" t="e">
        <f t="shared" si="9"/>
        <v>#NUM!</v>
      </c>
      <c r="K72" s="191" t="e">
        <f t="shared" si="7"/>
        <v>#NUM!</v>
      </c>
      <c r="L72" s="191"/>
      <c r="M72" s="193">
        <f t="shared" si="8"/>
        <v>0</v>
      </c>
    </row>
    <row r="73" spans="1:13" x14ac:dyDescent="0.25">
      <c r="A73" s="216"/>
      <c r="G73" s="179"/>
      <c r="H73" s="191">
        <v>68</v>
      </c>
      <c r="I73" s="192" t="str">
        <f t="shared" si="6"/>
        <v/>
      </c>
      <c r="J73" s="191" t="e">
        <f t="shared" si="9"/>
        <v>#NUM!</v>
      </c>
      <c r="K73" s="191" t="e">
        <f t="shared" si="7"/>
        <v>#NUM!</v>
      </c>
      <c r="L73" s="191"/>
      <c r="M73" s="193">
        <f t="shared" si="8"/>
        <v>0</v>
      </c>
    </row>
    <row r="74" spans="1:13" x14ac:dyDescent="0.25">
      <c r="A74" s="216"/>
      <c r="G74" s="179"/>
      <c r="H74" s="191">
        <v>69</v>
      </c>
      <c r="I74" s="192" t="str">
        <f t="shared" si="6"/>
        <v/>
      </c>
      <c r="J74" s="191" t="e">
        <f t="shared" si="9"/>
        <v>#NUM!</v>
      </c>
      <c r="K74" s="191" t="e">
        <f t="shared" si="7"/>
        <v>#NUM!</v>
      </c>
      <c r="L74" s="191"/>
      <c r="M74" s="193">
        <f t="shared" si="8"/>
        <v>0</v>
      </c>
    </row>
    <row r="75" spans="1:13" x14ac:dyDescent="0.25">
      <c r="A75" s="216"/>
      <c r="G75" s="179"/>
      <c r="H75" s="191">
        <v>70</v>
      </c>
      <c r="I75" s="192" t="str">
        <f t="shared" si="6"/>
        <v/>
      </c>
      <c r="J75" s="191" t="e">
        <f t="shared" si="9"/>
        <v>#NUM!</v>
      </c>
      <c r="K75" s="191" t="e">
        <f t="shared" si="7"/>
        <v>#NUM!</v>
      </c>
      <c r="L75" s="191"/>
      <c r="M75" s="193">
        <f t="shared" si="8"/>
        <v>0</v>
      </c>
    </row>
    <row r="76" spans="1:13" x14ac:dyDescent="0.25">
      <c r="A76" s="216"/>
      <c r="G76" s="179"/>
      <c r="H76" s="191">
        <v>71</v>
      </c>
      <c r="I76" s="192" t="str">
        <f t="shared" si="6"/>
        <v/>
      </c>
      <c r="J76" s="191" t="e">
        <f t="shared" si="9"/>
        <v>#NUM!</v>
      </c>
      <c r="K76" s="191" t="e">
        <f t="shared" si="7"/>
        <v>#NUM!</v>
      </c>
      <c r="L76" s="191"/>
      <c r="M76" s="193">
        <f t="shared" si="8"/>
        <v>0</v>
      </c>
    </row>
    <row r="77" spans="1:13" x14ac:dyDescent="0.25">
      <c r="A77" s="216"/>
      <c r="G77" s="179"/>
      <c r="H77" s="191">
        <v>72</v>
      </c>
      <c r="I77" s="192" t="str">
        <f t="shared" si="6"/>
        <v/>
      </c>
      <c r="J77" s="191" t="e">
        <f t="shared" si="9"/>
        <v>#NUM!</v>
      </c>
      <c r="K77" s="191" t="e">
        <f t="shared" si="7"/>
        <v>#NUM!</v>
      </c>
      <c r="L77" s="191"/>
      <c r="M77" s="193">
        <f t="shared" si="8"/>
        <v>0</v>
      </c>
    </row>
    <row r="78" spans="1:13" x14ac:dyDescent="0.25">
      <c r="A78" s="216"/>
      <c r="G78" s="179"/>
      <c r="H78" s="191">
        <v>73</v>
      </c>
      <c r="I78" s="192" t="str">
        <f t="shared" si="6"/>
        <v/>
      </c>
      <c r="J78" s="191" t="e">
        <f t="shared" si="9"/>
        <v>#NUM!</v>
      </c>
      <c r="K78" s="191" t="e">
        <f t="shared" si="7"/>
        <v>#NUM!</v>
      </c>
      <c r="L78" s="191"/>
      <c r="M78" s="193">
        <f t="shared" si="8"/>
        <v>0</v>
      </c>
    </row>
    <row r="79" spans="1:13" x14ac:dyDescent="0.25">
      <c r="A79" s="216"/>
      <c r="G79" s="179"/>
      <c r="H79" s="191">
        <v>74</v>
      </c>
      <c r="I79" s="192" t="str">
        <f t="shared" si="6"/>
        <v/>
      </c>
      <c r="J79" s="191" t="e">
        <f t="shared" si="9"/>
        <v>#NUM!</v>
      </c>
      <c r="K79" s="191" t="e">
        <f t="shared" si="7"/>
        <v>#NUM!</v>
      </c>
      <c r="L79" s="191"/>
      <c r="M79" s="193">
        <f t="shared" si="8"/>
        <v>0</v>
      </c>
    </row>
    <row r="80" spans="1:13" x14ac:dyDescent="0.25">
      <c r="A80" s="216"/>
      <c r="G80" s="179"/>
      <c r="H80" s="191">
        <v>75</v>
      </c>
      <c r="I80" s="192" t="str">
        <f t="shared" si="6"/>
        <v/>
      </c>
      <c r="J80" s="191" t="e">
        <f t="shared" si="9"/>
        <v>#NUM!</v>
      </c>
      <c r="K80" s="191" t="e">
        <f t="shared" si="7"/>
        <v>#NUM!</v>
      </c>
      <c r="L80" s="191"/>
      <c r="M80" s="193">
        <f t="shared" si="8"/>
        <v>0</v>
      </c>
    </row>
    <row r="81" spans="1:13" x14ac:dyDescent="0.25">
      <c r="A81" s="216"/>
      <c r="G81" s="179"/>
      <c r="H81" s="191">
        <v>76</v>
      </c>
      <c r="I81" s="192" t="str">
        <f t="shared" si="6"/>
        <v/>
      </c>
      <c r="J81" s="191" t="e">
        <f t="shared" si="9"/>
        <v>#NUM!</v>
      </c>
      <c r="K81" s="191" t="e">
        <f t="shared" si="7"/>
        <v>#NUM!</v>
      </c>
      <c r="L81" s="191"/>
      <c r="M81" s="193">
        <f t="shared" si="8"/>
        <v>0</v>
      </c>
    </row>
    <row r="82" spans="1:13" x14ac:dyDescent="0.25">
      <c r="A82" s="216"/>
      <c r="G82" s="179"/>
      <c r="H82" s="191">
        <v>77</v>
      </c>
      <c r="I82" s="192" t="str">
        <f t="shared" si="6"/>
        <v/>
      </c>
      <c r="J82" s="191" t="e">
        <f t="shared" si="9"/>
        <v>#NUM!</v>
      </c>
      <c r="K82" s="191" t="e">
        <f t="shared" si="7"/>
        <v>#NUM!</v>
      </c>
      <c r="L82" s="191"/>
      <c r="M82" s="193">
        <f t="shared" si="8"/>
        <v>0</v>
      </c>
    </row>
    <row r="83" spans="1:13" x14ac:dyDescent="0.25">
      <c r="A83" s="216"/>
      <c r="G83" s="179"/>
      <c r="H83" s="191">
        <v>78</v>
      </c>
      <c r="I83" s="192" t="str">
        <f t="shared" si="6"/>
        <v/>
      </c>
      <c r="J83" s="191" t="e">
        <f t="shared" si="9"/>
        <v>#NUM!</v>
      </c>
      <c r="K83" s="191" t="e">
        <f t="shared" si="7"/>
        <v>#NUM!</v>
      </c>
      <c r="L83" s="191"/>
      <c r="M83" s="193">
        <f t="shared" si="8"/>
        <v>0</v>
      </c>
    </row>
    <row r="84" spans="1:13" x14ac:dyDescent="0.25">
      <c r="A84" s="216"/>
      <c r="G84" s="179"/>
      <c r="H84" s="191">
        <v>79</v>
      </c>
      <c r="I84" s="192" t="str">
        <f t="shared" si="6"/>
        <v/>
      </c>
      <c r="J84" s="191" t="e">
        <f t="shared" si="9"/>
        <v>#NUM!</v>
      </c>
      <c r="K84" s="191" t="e">
        <f t="shared" si="7"/>
        <v>#NUM!</v>
      </c>
      <c r="L84" s="191"/>
      <c r="M84" s="193">
        <f t="shared" si="8"/>
        <v>0</v>
      </c>
    </row>
    <row r="85" spans="1:13" x14ac:dyDescent="0.25">
      <c r="A85" s="216"/>
      <c r="G85" s="179"/>
      <c r="H85" s="191">
        <v>80</v>
      </c>
      <c r="I85" s="192" t="str">
        <f t="shared" si="6"/>
        <v/>
      </c>
      <c r="J85" s="191" t="e">
        <f t="shared" si="9"/>
        <v>#NUM!</v>
      </c>
      <c r="K85" s="191" t="e">
        <f t="shared" si="7"/>
        <v>#NUM!</v>
      </c>
      <c r="L85" s="191"/>
      <c r="M85" s="193">
        <f t="shared" si="8"/>
        <v>0</v>
      </c>
    </row>
    <row r="86" spans="1:13" x14ac:dyDescent="0.25">
      <c r="A86" s="216"/>
      <c r="G86" s="179"/>
      <c r="H86" s="191">
        <v>81</v>
      </c>
      <c r="I86" s="192" t="str">
        <f t="shared" si="6"/>
        <v/>
      </c>
      <c r="J86" s="191" t="e">
        <f t="shared" si="9"/>
        <v>#NUM!</v>
      </c>
      <c r="K86" s="191" t="e">
        <f t="shared" si="7"/>
        <v>#NUM!</v>
      </c>
      <c r="L86" s="191"/>
      <c r="M86" s="193">
        <f t="shared" si="8"/>
        <v>0</v>
      </c>
    </row>
    <row r="87" spans="1:13" x14ac:dyDescent="0.25">
      <c r="A87" s="216"/>
      <c r="G87" s="179"/>
      <c r="H87" s="191">
        <v>82</v>
      </c>
      <c r="I87" s="192" t="str">
        <f t="shared" si="6"/>
        <v/>
      </c>
      <c r="J87" s="191" t="e">
        <f t="shared" si="9"/>
        <v>#NUM!</v>
      </c>
      <c r="K87" s="191" t="e">
        <f t="shared" si="7"/>
        <v>#NUM!</v>
      </c>
      <c r="L87" s="191"/>
      <c r="M87" s="193">
        <f t="shared" si="8"/>
        <v>0</v>
      </c>
    </row>
    <row r="88" spans="1:13" x14ac:dyDescent="0.25">
      <c r="A88" s="216"/>
      <c r="G88" s="179"/>
      <c r="H88" s="191">
        <v>83</v>
      </c>
      <c r="I88" s="192" t="str">
        <f t="shared" si="6"/>
        <v/>
      </c>
      <c r="J88" s="191" t="e">
        <f t="shared" si="9"/>
        <v>#NUM!</v>
      </c>
      <c r="K88" s="191" t="e">
        <f t="shared" si="7"/>
        <v>#NUM!</v>
      </c>
      <c r="L88" s="191"/>
      <c r="M88" s="193">
        <f t="shared" si="8"/>
        <v>0</v>
      </c>
    </row>
    <row r="89" spans="1:13" x14ac:dyDescent="0.25">
      <c r="A89" s="216"/>
      <c r="G89" s="179"/>
      <c r="H89" s="191">
        <v>84</v>
      </c>
      <c r="I89" s="192" t="str">
        <f t="shared" si="6"/>
        <v/>
      </c>
      <c r="J89" s="191" t="e">
        <f t="shared" si="9"/>
        <v>#NUM!</v>
      </c>
      <c r="K89" s="191" t="e">
        <f t="shared" si="7"/>
        <v>#NUM!</v>
      </c>
      <c r="L89" s="191"/>
      <c r="M89" s="193">
        <f t="shared" si="8"/>
        <v>0</v>
      </c>
    </row>
    <row r="90" spans="1:13" x14ac:dyDescent="0.25">
      <c r="A90" s="216"/>
      <c r="G90" s="179"/>
      <c r="H90" s="191">
        <v>85</v>
      </c>
      <c r="I90" s="192" t="str">
        <f t="shared" si="6"/>
        <v/>
      </c>
      <c r="J90" s="191" t="e">
        <f t="shared" si="9"/>
        <v>#NUM!</v>
      </c>
      <c r="K90" s="191" t="e">
        <f t="shared" si="7"/>
        <v>#NUM!</v>
      </c>
      <c r="L90" s="191"/>
      <c r="M90" s="193">
        <f t="shared" si="8"/>
        <v>0</v>
      </c>
    </row>
    <row r="91" spans="1:13" x14ac:dyDescent="0.25">
      <c r="A91" s="216"/>
      <c r="G91" s="179"/>
      <c r="H91" s="191">
        <v>86</v>
      </c>
      <c r="I91" s="192" t="str">
        <f t="shared" si="6"/>
        <v/>
      </c>
      <c r="J91" s="191" t="e">
        <f t="shared" si="9"/>
        <v>#NUM!</v>
      </c>
      <c r="K91" s="191" t="e">
        <f t="shared" si="7"/>
        <v>#NUM!</v>
      </c>
      <c r="L91" s="191"/>
      <c r="M91" s="193">
        <f t="shared" si="8"/>
        <v>0</v>
      </c>
    </row>
    <row r="92" spans="1:13" x14ac:dyDescent="0.25">
      <c r="A92" s="216"/>
      <c r="G92" s="179"/>
      <c r="H92" s="191">
        <v>87</v>
      </c>
      <c r="I92" s="192" t="str">
        <f t="shared" si="6"/>
        <v/>
      </c>
      <c r="J92" s="191" t="e">
        <f t="shared" si="9"/>
        <v>#NUM!</v>
      </c>
      <c r="K92" s="191" t="e">
        <f t="shared" si="7"/>
        <v>#NUM!</v>
      </c>
      <c r="L92" s="191"/>
      <c r="M92" s="193">
        <f t="shared" si="8"/>
        <v>0</v>
      </c>
    </row>
    <row r="93" spans="1:13" x14ac:dyDescent="0.25">
      <c r="A93" s="216"/>
      <c r="G93" s="179"/>
      <c r="H93" s="191">
        <v>88</v>
      </c>
      <c r="I93" s="192" t="str">
        <f t="shared" si="6"/>
        <v/>
      </c>
      <c r="J93" s="191" t="e">
        <f t="shared" si="9"/>
        <v>#NUM!</v>
      </c>
      <c r="K93" s="191" t="e">
        <f t="shared" si="7"/>
        <v>#NUM!</v>
      </c>
      <c r="L93" s="191"/>
      <c r="M93" s="193">
        <f t="shared" si="8"/>
        <v>0</v>
      </c>
    </row>
    <row r="94" spans="1:13" x14ac:dyDescent="0.25">
      <c r="A94" s="216"/>
      <c r="G94" s="179"/>
      <c r="H94" s="191">
        <v>89</v>
      </c>
      <c r="I94" s="192" t="str">
        <f t="shared" si="6"/>
        <v/>
      </c>
      <c r="J94" s="191" t="e">
        <f t="shared" si="9"/>
        <v>#NUM!</v>
      </c>
      <c r="K94" s="191" t="e">
        <f t="shared" si="7"/>
        <v>#NUM!</v>
      </c>
      <c r="L94" s="191"/>
      <c r="M94" s="193">
        <f t="shared" si="8"/>
        <v>0</v>
      </c>
    </row>
    <row r="95" spans="1:13" x14ac:dyDescent="0.25">
      <c r="A95" s="216"/>
      <c r="G95" s="179"/>
      <c r="H95" s="191">
        <v>90</v>
      </c>
      <c r="I95" s="192" t="str">
        <f t="shared" si="6"/>
        <v/>
      </c>
      <c r="J95" s="191" t="e">
        <f t="shared" si="9"/>
        <v>#NUM!</v>
      </c>
      <c r="K95" s="191" t="e">
        <f t="shared" si="7"/>
        <v>#NUM!</v>
      </c>
      <c r="L95" s="191"/>
      <c r="M95" s="193">
        <f t="shared" si="8"/>
        <v>0</v>
      </c>
    </row>
    <row r="96" spans="1:13" x14ac:dyDescent="0.25">
      <c r="A96" s="216"/>
      <c r="G96" s="179"/>
      <c r="H96" s="191">
        <v>91</v>
      </c>
      <c r="I96" s="192" t="str">
        <f t="shared" si="6"/>
        <v/>
      </c>
      <c r="J96" s="191" t="e">
        <f t="shared" si="9"/>
        <v>#NUM!</v>
      </c>
      <c r="K96" s="191" t="e">
        <f t="shared" si="7"/>
        <v>#NUM!</v>
      </c>
      <c r="L96" s="191"/>
      <c r="M96" s="193">
        <f t="shared" si="8"/>
        <v>0</v>
      </c>
    </row>
    <row r="97" spans="1:13" x14ac:dyDescent="0.25">
      <c r="A97" s="216"/>
      <c r="G97" s="179"/>
      <c r="H97" s="191">
        <v>92</v>
      </c>
      <c r="I97" s="192" t="str">
        <f t="shared" si="6"/>
        <v/>
      </c>
      <c r="J97" s="191" t="e">
        <f t="shared" si="9"/>
        <v>#NUM!</v>
      </c>
      <c r="K97" s="191" t="e">
        <f t="shared" si="7"/>
        <v>#NUM!</v>
      </c>
      <c r="L97" s="191"/>
      <c r="M97" s="193">
        <f t="shared" si="8"/>
        <v>0</v>
      </c>
    </row>
    <row r="98" spans="1:13" x14ac:dyDescent="0.25">
      <c r="A98" s="216"/>
      <c r="G98" s="179"/>
      <c r="H98" s="191">
        <v>93</v>
      </c>
      <c r="I98" s="192" t="str">
        <f t="shared" si="6"/>
        <v/>
      </c>
      <c r="J98" s="191" t="e">
        <f t="shared" si="9"/>
        <v>#NUM!</v>
      </c>
      <c r="K98" s="191" t="e">
        <f t="shared" si="7"/>
        <v>#NUM!</v>
      </c>
      <c r="L98" s="191"/>
      <c r="M98" s="193">
        <f t="shared" si="8"/>
        <v>0</v>
      </c>
    </row>
    <row r="99" spans="1:13" x14ac:dyDescent="0.25">
      <c r="A99" s="216"/>
      <c r="G99" s="179"/>
      <c r="H99" s="191">
        <v>94</v>
      </c>
      <c r="I99" s="192" t="str">
        <f t="shared" si="6"/>
        <v/>
      </c>
      <c r="J99" s="191" t="e">
        <f t="shared" si="9"/>
        <v>#NUM!</v>
      </c>
      <c r="K99" s="191" t="e">
        <f t="shared" si="7"/>
        <v>#NUM!</v>
      </c>
      <c r="L99" s="191"/>
      <c r="M99" s="193">
        <f t="shared" si="8"/>
        <v>0</v>
      </c>
    </row>
    <row r="100" spans="1:13" x14ac:dyDescent="0.25">
      <c r="A100" s="216"/>
      <c r="G100" s="179"/>
      <c r="H100" s="191">
        <v>95</v>
      </c>
      <c r="I100" s="192" t="str">
        <f t="shared" si="6"/>
        <v/>
      </c>
      <c r="J100" s="191" t="e">
        <f t="shared" si="9"/>
        <v>#NUM!</v>
      </c>
      <c r="K100" s="191" t="e">
        <f t="shared" si="7"/>
        <v>#NUM!</v>
      </c>
      <c r="L100" s="191"/>
      <c r="M100" s="193">
        <f t="shared" si="8"/>
        <v>0</v>
      </c>
    </row>
    <row r="101" spans="1:13" x14ac:dyDescent="0.25">
      <c r="A101" s="208"/>
      <c r="G101" s="179"/>
      <c r="H101" s="191">
        <v>96</v>
      </c>
      <c r="I101" s="192" t="str">
        <f t="shared" si="6"/>
        <v/>
      </c>
      <c r="J101" s="191" t="e">
        <f t="shared" si="9"/>
        <v>#NUM!</v>
      </c>
      <c r="K101" s="191" t="e">
        <f t="shared" si="7"/>
        <v>#NUM!</v>
      </c>
      <c r="L101" s="191"/>
      <c r="M101" s="193">
        <f t="shared" si="8"/>
        <v>0</v>
      </c>
    </row>
    <row r="102" spans="1:13" x14ac:dyDescent="0.25">
      <c r="A102" s="208"/>
      <c r="G102" s="179"/>
      <c r="H102" s="191">
        <v>97</v>
      </c>
      <c r="I102" s="192" t="str">
        <f t="shared" si="6"/>
        <v/>
      </c>
      <c r="J102" s="191" t="e">
        <f t="shared" si="9"/>
        <v>#NUM!</v>
      </c>
      <c r="K102" s="191" t="e">
        <f t="shared" si="7"/>
        <v>#NUM!</v>
      </c>
      <c r="L102" s="191"/>
      <c r="M102" s="193">
        <f t="shared" si="8"/>
        <v>0</v>
      </c>
    </row>
    <row r="103" spans="1:13" x14ac:dyDescent="0.25">
      <c r="A103" s="208"/>
      <c r="G103" s="179"/>
      <c r="H103" s="191">
        <v>98</v>
      </c>
      <c r="I103" s="192" t="str">
        <f t="shared" si="6"/>
        <v/>
      </c>
      <c r="J103" s="191" t="e">
        <f t="shared" si="9"/>
        <v>#NUM!</v>
      </c>
      <c r="K103" s="191" t="e">
        <f t="shared" si="7"/>
        <v>#NUM!</v>
      </c>
      <c r="L103" s="191"/>
      <c r="M103" s="193">
        <f t="shared" si="8"/>
        <v>0</v>
      </c>
    </row>
    <row r="104" spans="1:13" x14ac:dyDescent="0.25">
      <c r="A104" s="208"/>
      <c r="G104" s="179"/>
      <c r="H104" s="191">
        <v>99</v>
      </c>
      <c r="I104" s="192" t="str">
        <f t="shared" si="6"/>
        <v/>
      </c>
      <c r="J104" s="191" t="e">
        <f t="shared" si="9"/>
        <v>#NUM!</v>
      </c>
      <c r="K104" s="191" t="e">
        <f t="shared" si="7"/>
        <v>#NUM!</v>
      </c>
      <c r="L104" s="191"/>
      <c r="M104" s="193">
        <f t="shared" si="8"/>
        <v>0</v>
      </c>
    </row>
    <row r="105" spans="1:13" x14ac:dyDescent="0.25">
      <c r="A105" s="208"/>
      <c r="G105" s="179"/>
      <c r="H105" s="191">
        <v>100</v>
      </c>
      <c r="I105" s="192" t="str">
        <f t="shared" si="6"/>
        <v/>
      </c>
      <c r="J105" s="191" t="e">
        <f t="shared" si="9"/>
        <v>#NUM!</v>
      </c>
      <c r="K105" s="191" t="e">
        <f t="shared" si="7"/>
        <v>#NUM!</v>
      </c>
      <c r="L105" s="191"/>
      <c r="M105" s="193">
        <f t="shared" si="8"/>
        <v>0</v>
      </c>
    </row>
    <row r="106" spans="1:13" x14ac:dyDescent="0.25">
      <c r="A106" s="208"/>
      <c r="G106" s="179"/>
      <c r="H106" s="191">
        <v>101</v>
      </c>
      <c r="I106" s="192" t="str">
        <f t="shared" si="6"/>
        <v/>
      </c>
      <c r="J106" s="191" t="e">
        <f t="shared" si="9"/>
        <v>#NUM!</v>
      </c>
      <c r="K106" s="191" t="e">
        <f t="shared" si="7"/>
        <v>#NUM!</v>
      </c>
      <c r="L106" s="191"/>
      <c r="M106" s="193">
        <f t="shared" si="8"/>
        <v>0</v>
      </c>
    </row>
    <row r="107" spans="1:13" x14ac:dyDescent="0.25">
      <c r="A107" s="208"/>
      <c r="G107" s="179"/>
      <c r="H107" s="191">
        <v>102</v>
      </c>
      <c r="I107" s="192" t="str">
        <f t="shared" si="6"/>
        <v/>
      </c>
      <c r="J107" s="191" t="e">
        <f t="shared" si="9"/>
        <v>#NUM!</v>
      </c>
      <c r="K107" s="191" t="e">
        <f t="shared" si="7"/>
        <v>#NUM!</v>
      </c>
      <c r="L107" s="191"/>
      <c r="M107" s="193">
        <f t="shared" si="8"/>
        <v>0</v>
      </c>
    </row>
    <row r="108" spans="1:13" x14ac:dyDescent="0.25">
      <c r="A108" s="208"/>
      <c r="G108" s="179"/>
      <c r="H108" s="191">
        <v>103</v>
      </c>
      <c r="I108" s="192" t="str">
        <f t="shared" si="6"/>
        <v/>
      </c>
      <c r="J108" s="191" t="e">
        <f t="shared" si="9"/>
        <v>#NUM!</v>
      </c>
      <c r="K108" s="191" t="e">
        <f t="shared" si="7"/>
        <v>#NUM!</v>
      </c>
      <c r="L108" s="191"/>
      <c r="M108" s="193">
        <f t="shared" si="8"/>
        <v>0</v>
      </c>
    </row>
    <row r="109" spans="1:13" x14ac:dyDescent="0.25">
      <c r="A109" s="208"/>
      <c r="G109" s="179"/>
      <c r="H109" s="191">
        <v>104</v>
      </c>
      <c r="I109" s="192" t="str">
        <f t="shared" si="6"/>
        <v/>
      </c>
      <c r="J109" s="191" t="e">
        <f t="shared" si="9"/>
        <v>#NUM!</v>
      </c>
      <c r="K109" s="191" t="e">
        <f t="shared" si="7"/>
        <v>#NUM!</v>
      </c>
      <c r="L109" s="191"/>
      <c r="M109" s="193">
        <f t="shared" si="8"/>
        <v>0</v>
      </c>
    </row>
    <row r="110" spans="1:13" x14ac:dyDescent="0.25">
      <c r="A110" s="208"/>
      <c r="G110" s="179"/>
      <c r="H110" s="191">
        <v>105</v>
      </c>
      <c r="I110" s="192" t="str">
        <f t="shared" si="6"/>
        <v/>
      </c>
      <c r="J110" s="191" t="e">
        <f t="shared" si="9"/>
        <v>#NUM!</v>
      </c>
      <c r="K110" s="191" t="e">
        <f t="shared" si="7"/>
        <v>#NUM!</v>
      </c>
      <c r="L110" s="191"/>
      <c r="M110" s="193">
        <f t="shared" si="8"/>
        <v>0</v>
      </c>
    </row>
    <row r="111" spans="1:13" x14ac:dyDescent="0.25">
      <c r="A111" s="208"/>
      <c r="G111" s="179"/>
      <c r="H111" s="191">
        <v>106</v>
      </c>
      <c r="I111" s="192" t="str">
        <f t="shared" si="6"/>
        <v/>
      </c>
      <c r="J111" s="191" t="e">
        <f t="shared" si="9"/>
        <v>#NUM!</v>
      </c>
      <c r="K111" s="191" t="e">
        <f t="shared" si="7"/>
        <v>#NUM!</v>
      </c>
      <c r="L111" s="191"/>
      <c r="M111" s="193">
        <f t="shared" si="8"/>
        <v>0</v>
      </c>
    </row>
    <row r="112" spans="1:13" x14ac:dyDescent="0.25">
      <c r="A112" s="208"/>
      <c r="G112" s="179"/>
      <c r="H112" s="191">
        <v>107</v>
      </c>
      <c r="I112" s="192" t="str">
        <f t="shared" si="6"/>
        <v/>
      </c>
      <c r="J112" s="191" t="e">
        <f t="shared" si="9"/>
        <v>#NUM!</v>
      </c>
      <c r="K112" s="191" t="e">
        <f t="shared" si="7"/>
        <v>#NUM!</v>
      </c>
      <c r="L112" s="191"/>
      <c r="M112" s="193">
        <f t="shared" si="8"/>
        <v>0</v>
      </c>
    </row>
    <row r="113" spans="1:13" x14ac:dyDescent="0.25">
      <c r="A113" s="208"/>
      <c r="G113" s="179"/>
      <c r="H113" s="191">
        <v>108</v>
      </c>
      <c r="I113" s="192" t="str">
        <f t="shared" si="6"/>
        <v/>
      </c>
      <c r="J113" s="191" t="e">
        <f t="shared" si="9"/>
        <v>#NUM!</v>
      </c>
      <c r="K113" s="191" t="e">
        <f t="shared" si="7"/>
        <v>#NUM!</v>
      </c>
      <c r="L113" s="191"/>
      <c r="M113" s="193">
        <f t="shared" si="8"/>
        <v>0</v>
      </c>
    </row>
    <row r="114" spans="1:13" x14ac:dyDescent="0.25">
      <c r="A114" s="208"/>
      <c r="G114" s="179"/>
      <c r="H114" s="191">
        <v>109</v>
      </c>
      <c r="I114" s="192" t="str">
        <f t="shared" si="6"/>
        <v/>
      </c>
      <c r="J114" s="191" t="e">
        <f t="shared" si="9"/>
        <v>#NUM!</v>
      </c>
      <c r="K114" s="191" t="e">
        <f t="shared" si="7"/>
        <v>#NUM!</v>
      </c>
      <c r="L114" s="191"/>
      <c r="M114" s="193">
        <f t="shared" si="8"/>
        <v>0</v>
      </c>
    </row>
    <row r="115" spans="1:13" x14ac:dyDescent="0.25">
      <c r="A115" s="208"/>
      <c r="G115" s="179"/>
      <c r="H115" s="191">
        <v>110</v>
      </c>
      <c r="I115" s="192" t="str">
        <f t="shared" si="6"/>
        <v/>
      </c>
      <c r="J115" s="191" t="e">
        <f t="shared" si="9"/>
        <v>#NUM!</v>
      </c>
      <c r="K115" s="191" t="e">
        <f t="shared" si="7"/>
        <v>#NUM!</v>
      </c>
      <c r="L115" s="191"/>
      <c r="M115" s="193">
        <f t="shared" si="8"/>
        <v>0</v>
      </c>
    </row>
    <row r="116" spans="1:13" x14ac:dyDescent="0.25">
      <c r="A116" s="208"/>
      <c r="G116" s="179"/>
      <c r="H116" s="191">
        <v>111</v>
      </c>
      <c r="I116" s="192" t="str">
        <f t="shared" si="6"/>
        <v/>
      </c>
      <c r="J116" s="191" t="e">
        <f t="shared" si="9"/>
        <v>#NUM!</v>
      </c>
      <c r="K116" s="191" t="e">
        <f t="shared" si="7"/>
        <v>#NUM!</v>
      </c>
      <c r="L116" s="191"/>
      <c r="M116" s="193">
        <f t="shared" si="8"/>
        <v>0</v>
      </c>
    </row>
    <row r="117" spans="1:13" x14ac:dyDescent="0.25">
      <c r="A117" s="208"/>
      <c r="G117" s="179"/>
      <c r="H117" s="191">
        <v>112</v>
      </c>
      <c r="I117" s="192" t="str">
        <f t="shared" si="6"/>
        <v/>
      </c>
      <c r="J117" s="191" t="e">
        <f t="shared" si="9"/>
        <v>#NUM!</v>
      </c>
      <c r="K117" s="191" t="e">
        <f t="shared" si="7"/>
        <v>#NUM!</v>
      </c>
      <c r="L117" s="191"/>
      <c r="M117" s="193">
        <f t="shared" si="8"/>
        <v>0</v>
      </c>
    </row>
    <row r="118" spans="1:13" x14ac:dyDescent="0.25">
      <c r="A118" s="208"/>
      <c r="G118" s="179"/>
      <c r="H118" s="191">
        <v>113</v>
      </c>
      <c r="I118" s="192" t="str">
        <f t="shared" si="6"/>
        <v/>
      </c>
      <c r="J118" s="191" t="e">
        <f t="shared" si="9"/>
        <v>#NUM!</v>
      </c>
      <c r="K118" s="191" t="e">
        <f t="shared" si="7"/>
        <v>#NUM!</v>
      </c>
      <c r="L118" s="191"/>
      <c r="M118" s="193">
        <f t="shared" si="8"/>
        <v>0</v>
      </c>
    </row>
    <row r="119" spans="1:13" x14ac:dyDescent="0.25">
      <c r="A119" s="208"/>
      <c r="G119" s="179"/>
      <c r="H119" s="191">
        <v>114</v>
      </c>
      <c r="I119" s="192" t="str">
        <f t="shared" si="6"/>
        <v/>
      </c>
      <c r="J119" s="191" t="e">
        <f t="shared" si="9"/>
        <v>#NUM!</v>
      </c>
      <c r="K119" s="191" t="e">
        <f t="shared" si="7"/>
        <v>#NUM!</v>
      </c>
      <c r="L119" s="191"/>
      <c r="M119" s="193">
        <f t="shared" si="8"/>
        <v>0</v>
      </c>
    </row>
    <row r="120" spans="1:13" x14ac:dyDescent="0.25">
      <c r="A120" s="208"/>
      <c r="G120" s="179"/>
      <c r="H120" s="191">
        <v>115</v>
      </c>
      <c r="I120" s="192" t="str">
        <f t="shared" si="6"/>
        <v/>
      </c>
      <c r="J120" s="191" t="e">
        <f t="shared" si="9"/>
        <v>#NUM!</v>
      </c>
      <c r="K120" s="191" t="e">
        <f t="shared" si="7"/>
        <v>#NUM!</v>
      </c>
      <c r="L120" s="191"/>
      <c r="M120" s="193">
        <f t="shared" si="8"/>
        <v>0</v>
      </c>
    </row>
    <row r="121" spans="1:13" x14ac:dyDescent="0.25">
      <c r="A121" s="208"/>
      <c r="G121" s="179"/>
      <c r="H121" s="191">
        <v>116</v>
      </c>
      <c r="I121" s="192" t="str">
        <f t="shared" si="6"/>
        <v/>
      </c>
      <c r="J121" s="191" t="e">
        <f t="shared" si="9"/>
        <v>#NUM!</v>
      </c>
      <c r="K121" s="191" t="e">
        <f t="shared" si="7"/>
        <v>#NUM!</v>
      </c>
      <c r="L121" s="191"/>
      <c r="M121" s="193">
        <f t="shared" si="8"/>
        <v>0</v>
      </c>
    </row>
    <row r="122" spans="1:13" x14ac:dyDescent="0.25">
      <c r="A122" s="208"/>
      <c r="G122" s="179"/>
      <c r="H122" s="191">
        <v>117</v>
      </c>
      <c r="I122" s="192" t="str">
        <f t="shared" si="6"/>
        <v/>
      </c>
      <c r="J122" s="191" t="e">
        <f t="shared" si="9"/>
        <v>#NUM!</v>
      </c>
      <c r="K122" s="191" t="e">
        <f t="shared" si="7"/>
        <v>#NUM!</v>
      </c>
      <c r="L122" s="191"/>
      <c r="M122" s="193">
        <f t="shared" si="8"/>
        <v>0</v>
      </c>
    </row>
    <row r="123" spans="1:13" x14ac:dyDescent="0.25">
      <c r="A123" s="208"/>
      <c r="G123" s="179"/>
      <c r="H123" s="191">
        <v>118</v>
      </c>
      <c r="I123" s="192" t="str">
        <f t="shared" si="6"/>
        <v/>
      </c>
      <c r="J123" s="191" t="e">
        <f t="shared" si="9"/>
        <v>#NUM!</v>
      </c>
      <c r="K123" s="191" t="e">
        <f t="shared" si="7"/>
        <v>#NUM!</v>
      </c>
      <c r="L123" s="191"/>
      <c r="M123" s="193">
        <f t="shared" si="8"/>
        <v>0</v>
      </c>
    </row>
    <row r="124" spans="1:13" x14ac:dyDescent="0.25">
      <c r="A124" s="208"/>
      <c r="G124" s="179"/>
      <c r="H124" s="191">
        <v>119</v>
      </c>
      <c r="I124" s="192" t="str">
        <f t="shared" si="6"/>
        <v/>
      </c>
      <c r="J124" s="191" t="e">
        <f t="shared" si="9"/>
        <v>#NUM!</v>
      </c>
      <c r="K124" s="191" t="e">
        <f t="shared" si="7"/>
        <v>#NUM!</v>
      </c>
      <c r="L124" s="191"/>
      <c r="M124" s="193">
        <f t="shared" si="8"/>
        <v>0</v>
      </c>
    </row>
    <row r="125" spans="1:13" x14ac:dyDescent="0.25">
      <c r="A125" s="208"/>
      <c r="G125" s="179"/>
      <c r="H125" s="191">
        <v>120</v>
      </c>
      <c r="I125" s="192" t="str">
        <f t="shared" si="6"/>
        <v/>
      </c>
      <c r="J125" s="191" t="e">
        <f t="shared" si="9"/>
        <v>#NUM!</v>
      </c>
      <c r="K125" s="191" t="e">
        <f t="shared" si="7"/>
        <v>#NUM!</v>
      </c>
      <c r="L125" s="191"/>
      <c r="M125" s="193">
        <f t="shared" si="8"/>
        <v>0</v>
      </c>
    </row>
    <row r="126" spans="1:13" x14ac:dyDescent="0.25">
      <c r="A126" s="208"/>
      <c r="G126" s="179"/>
      <c r="H126" s="191">
        <v>121</v>
      </c>
      <c r="I126" s="192" t="str">
        <f t="shared" si="6"/>
        <v/>
      </c>
      <c r="J126" s="191" t="e">
        <f t="shared" si="9"/>
        <v>#NUM!</v>
      </c>
      <c r="K126" s="191" t="e">
        <f t="shared" si="7"/>
        <v>#NUM!</v>
      </c>
      <c r="L126" s="191"/>
      <c r="M126" s="193">
        <f t="shared" si="8"/>
        <v>0</v>
      </c>
    </row>
    <row r="127" spans="1:13" x14ac:dyDescent="0.25">
      <c r="A127" s="208"/>
      <c r="G127" s="179"/>
      <c r="H127" s="191">
        <v>122</v>
      </c>
      <c r="I127" s="192" t="str">
        <f t="shared" si="6"/>
        <v/>
      </c>
      <c r="J127" s="191" t="e">
        <f t="shared" si="9"/>
        <v>#NUM!</v>
      </c>
      <c r="K127" s="191" t="e">
        <f t="shared" si="7"/>
        <v>#NUM!</v>
      </c>
      <c r="L127" s="191"/>
      <c r="M127" s="193">
        <f t="shared" si="8"/>
        <v>0</v>
      </c>
    </row>
    <row r="128" spans="1:13" x14ac:dyDescent="0.25">
      <c r="A128" s="208"/>
      <c r="G128" s="179"/>
      <c r="H128" s="191">
        <v>123</v>
      </c>
      <c r="I128" s="192" t="str">
        <f t="shared" si="6"/>
        <v/>
      </c>
      <c r="J128" s="191" t="e">
        <f t="shared" si="9"/>
        <v>#NUM!</v>
      </c>
      <c r="K128" s="191" t="e">
        <f t="shared" si="7"/>
        <v>#NUM!</v>
      </c>
      <c r="L128" s="191"/>
      <c r="M128" s="193">
        <f t="shared" si="8"/>
        <v>0</v>
      </c>
    </row>
    <row r="129" spans="1:13" x14ac:dyDescent="0.25">
      <c r="A129" s="208"/>
      <c r="G129" s="179"/>
      <c r="H129" s="191">
        <v>124</v>
      </c>
      <c r="I129" s="192" t="str">
        <f t="shared" si="6"/>
        <v/>
      </c>
      <c r="J129" s="191" t="e">
        <f t="shared" si="9"/>
        <v>#NUM!</v>
      </c>
      <c r="K129" s="191" t="e">
        <f t="shared" si="7"/>
        <v>#NUM!</v>
      </c>
      <c r="L129" s="191"/>
      <c r="M129" s="193">
        <f t="shared" si="8"/>
        <v>0</v>
      </c>
    </row>
    <row r="130" spans="1:13" x14ac:dyDescent="0.25">
      <c r="A130" s="208"/>
      <c r="G130" s="179"/>
      <c r="H130" s="191">
        <v>125</v>
      </c>
      <c r="I130" s="192" t="str">
        <f t="shared" si="6"/>
        <v/>
      </c>
      <c r="J130" s="191" t="e">
        <f t="shared" si="9"/>
        <v>#NUM!</v>
      </c>
      <c r="K130" s="191" t="e">
        <f t="shared" si="7"/>
        <v>#NUM!</v>
      </c>
      <c r="L130" s="191"/>
      <c r="M130" s="193">
        <f t="shared" si="8"/>
        <v>0</v>
      </c>
    </row>
    <row r="131" spans="1:13" x14ac:dyDescent="0.25">
      <c r="A131" s="208"/>
      <c r="G131" s="179"/>
      <c r="H131" s="191">
        <v>126</v>
      </c>
      <c r="I131" s="192" t="str">
        <f t="shared" si="6"/>
        <v/>
      </c>
      <c r="J131" s="191" t="e">
        <f t="shared" si="9"/>
        <v>#NUM!</v>
      </c>
      <c r="K131" s="191" t="e">
        <f t="shared" si="7"/>
        <v>#NUM!</v>
      </c>
      <c r="L131" s="191"/>
      <c r="M131" s="193">
        <f t="shared" si="8"/>
        <v>0</v>
      </c>
    </row>
    <row r="132" spans="1:13" x14ac:dyDescent="0.25">
      <c r="A132" s="208"/>
      <c r="G132" s="179"/>
      <c r="H132" s="191">
        <v>127</v>
      </c>
      <c r="I132" s="192" t="str">
        <f t="shared" si="6"/>
        <v/>
      </c>
      <c r="J132" s="191" t="e">
        <f t="shared" si="9"/>
        <v>#NUM!</v>
      </c>
      <c r="K132" s="191" t="e">
        <f t="shared" si="7"/>
        <v>#NUM!</v>
      </c>
      <c r="L132" s="191"/>
      <c r="M132" s="193">
        <f t="shared" si="8"/>
        <v>0</v>
      </c>
    </row>
    <row r="133" spans="1:13" x14ac:dyDescent="0.25">
      <c r="A133" s="208"/>
      <c r="G133" s="179"/>
      <c r="H133" s="191">
        <v>128</v>
      </c>
      <c r="I133" s="192" t="str">
        <f t="shared" si="6"/>
        <v/>
      </c>
      <c r="J133" s="191" t="e">
        <f t="shared" si="9"/>
        <v>#NUM!</v>
      </c>
      <c r="K133" s="191" t="e">
        <f t="shared" si="7"/>
        <v>#NUM!</v>
      </c>
      <c r="L133" s="191"/>
      <c r="M133" s="193">
        <f t="shared" si="8"/>
        <v>0</v>
      </c>
    </row>
    <row r="134" spans="1:13" x14ac:dyDescent="0.25">
      <c r="A134" s="208"/>
      <c r="G134" s="179"/>
      <c r="H134" s="191">
        <v>129</v>
      </c>
      <c r="I134" s="192" t="str">
        <f t="shared" ref="I134:I197" si="10">IF(H134&lt;$H$2+1,($I$2-($I$2-1)*(LOG(H134)/LOG($H$2))),"")</f>
        <v/>
      </c>
      <c r="J134" s="191" t="e">
        <f t="shared" si="9"/>
        <v>#NUM!</v>
      </c>
      <c r="K134" s="191" t="e">
        <f t="shared" ref="K134:K197" si="11">J134*$J$2</f>
        <v>#NUM!</v>
      </c>
      <c r="L134" s="191"/>
      <c r="M134" s="193">
        <f t="shared" ref="M134:M197" si="12">IF(I134&lt;&gt;"",K134+I134+L134,0)</f>
        <v>0</v>
      </c>
    </row>
    <row r="135" spans="1:13" x14ac:dyDescent="0.25">
      <c r="A135" s="208"/>
      <c r="G135" s="179"/>
      <c r="H135" s="191">
        <v>130</v>
      </c>
      <c r="I135" s="192" t="str">
        <f t="shared" si="10"/>
        <v/>
      </c>
      <c r="J135" s="191" t="e">
        <f t="shared" ref="J135:J198" si="13">INT(LOG($H$2,2))-ROUNDUP(LOG(H135,2),0)+IF(OR($H$2=1,$H$2=2,$H$2=4,$H$2=8,$H$2=16,$H$2=32,$H$2=64,$H$2=128,$H$2=256),0,1)</f>
        <v>#NUM!</v>
      </c>
      <c r="K135" s="191" t="e">
        <f t="shared" si="11"/>
        <v>#NUM!</v>
      </c>
      <c r="L135" s="191"/>
      <c r="M135" s="193">
        <f t="shared" si="12"/>
        <v>0</v>
      </c>
    </row>
    <row r="136" spans="1:13" x14ac:dyDescent="0.25">
      <c r="A136" s="208"/>
      <c r="G136" s="179"/>
      <c r="H136" s="191">
        <v>131</v>
      </c>
      <c r="I136" s="192" t="str">
        <f t="shared" si="10"/>
        <v/>
      </c>
      <c r="J136" s="191" t="e">
        <f t="shared" si="13"/>
        <v>#NUM!</v>
      </c>
      <c r="K136" s="191" t="e">
        <f t="shared" si="11"/>
        <v>#NUM!</v>
      </c>
      <c r="L136" s="191"/>
      <c r="M136" s="193">
        <f t="shared" si="12"/>
        <v>0</v>
      </c>
    </row>
    <row r="137" spans="1:13" x14ac:dyDescent="0.25">
      <c r="A137" s="208"/>
      <c r="G137" s="179"/>
      <c r="H137" s="191">
        <v>132</v>
      </c>
      <c r="I137" s="192" t="str">
        <f t="shared" si="10"/>
        <v/>
      </c>
      <c r="J137" s="191" t="e">
        <f t="shared" si="13"/>
        <v>#NUM!</v>
      </c>
      <c r="K137" s="191" t="e">
        <f t="shared" si="11"/>
        <v>#NUM!</v>
      </c>
      <c r="L137" s="191"/>
      <c r="M137" s="193">
        <f t="shared" si="12"/>
        <v>0</v>
      </c>
    </row>
    <row r="138" spans="1:13" x14ac:dyDescent="0.25">
      <c r="A138" s="208"/>
      <c r="G138" s="179"/>
      <c r="H138" s="191">
        <v>133</v>
      </c>
      <c r="I138" s="192" t="str">
        <f t="shared" si="10"/>
        <v/>
      </c>
      <c r="J138" s="191" t="e">
        <f t="shared" si="13"/>
        <v>#NUM!</v>
      </c>
      <c r="K138" s="191" t="e">
        <f t="shared" si="11"/>
        <v>#NUM!</v>
      </c>
      <c r="L138" s="191"/>
      <c r="M138" s="193">
        <f t="shared" si="12"/>
        <v>0</v>
      </c>
    </row>
    <row r="139" spans="1:13" x14ac:dyDescent="0.25">
      <c r="A139" s="208"/>
      <c r="G139" s="179"/>
      <c r="H139" s="191">
        <v>134</v>
      </c>
      <c r="I139" s="192" t="str">
        <f t="shared" si="10"/>
        <v/>
      </c>
      <c r="J139" s="191" t="e">
        <f t="shared" si="13"/>
        <v>#NUM!</v>
      </c>
      <c r="K139" s="191" t="e">
        <f t="shared" si="11"/>
        <v>#NUM!</v>
      </c>
      <c r="L139" s="191"/>
      <c r="M139" s="193">
        <f t="shared" si="12"/>
        <v>0</v>
      </c>
    </row>
    <row r="140" spans="1:13" x14ac:dyDescent="0.25">
      <c r="A140" s="208"/>
      <c r="G140" s="179"/>
      <c r="H140" s="191">
        <v>135</v>
      </c>
      <c r="I140" s="192" t="str">
        <f t="shared" si="10"/>
        <v/>
      </c>
      <c r="J140" s="191" t="e">
        <f t="shared" si="13"/>
        <v>#NUM!</v>
      </c>
      <c r="K140" s="191" t="e">
        <f t="shared" si="11"/>
        <v>#NUM!</v>
      </c>
      <c r="L140" s="191"/>
      <c r="M140" s="193">
        <f t="shared" si="12"/>
        <v>0</v>
      </c>
    </row>
    <row r="141" spans="1:13" x14ac:dyDescent="0.25">
      <c r="A141" s="208"/>
      <c r="G141" s="179"/>
      <c r="H141" s="191">
        <v>136</v>
      </c>
      <c r="I141" s="192" t="str">
        <f t="shared" si="10"/>
        <v/>
      </c>
      <c r="J141" s="191" t="e">
        <f t="shared" si="13"/>
        <v>#NUM!</v>
      </c>
      <c r="K141" s="191" t="e">
        <f t="shared" si="11"/>
        <v>#NUM!</v>
      </c>
      <c r="L141" s="191"/>
      <c r="M141" s="193">
        <f t="shared" si="12"/>
        <v>0</v>
      </c>
    </row>
    <row r="142" spans="1:13" x14ac:dyDescent="0.25">
      <c r="A142" s="208"/>
      <c r="G142" s="179"/>
      <c r="H142" s="191">
        <v>137</v>
      </c>
      <c r="I142" s="192" t="str">
        <f t="shared" si="10"/>
        <v/>
      </c>
      <c r="J142" s="191" t="e">
        <f t="shared" si="13"/>
        <v>#NUM!</v>
      </c>
      <c r="K142" s="191" t="e">
        <f t="shared" si="11"/>
        <v>#NUM!</v>
      </c>
      <c r="L142" s="191"/>
      <c r="M142" s="193">
        <f t="shared" si="12"/>
        <v>0</v>
      </c>
    </row>
    <row r="143" spans="1:13" x14ac:dyDescent="0.25">
      <c r="A143" s="208"/>
      <c r="G143" s="179"/>
      <c r="H143" s="191">
        <v>138</v>
      </c>
      <c r="I143" s="192" t="str">
        <f t="shared" si="10"/>
        <v/>
      </c>
      <c r="J143" s="191" t="e">
        <f t="shared" si="13"/>
        <v>#NUM!</v>
      </c>
      <c r="K143" s="191" t="e">
        <f t="shared" si="11"/>
        <v>#NUM!</v>
      </c>
      <c r="L143" s="191"/>
      <c r="M143" s="193">
        <f t="shared" si="12"/>
        <v>0</v>
      </c>
    </row>
    <row r="144" spans="1:13" x14ac:dyDescent="0.25">
      <c r="A144" s="208"/>
      <c r="G144" s="179"/>
      <c r="H144" s="191">
        <v>139</v>
      </c>
      <c r="I144" s="192" t="str">
        <f t="shared" si="10"/>
        <v/>
      </c>
      <c r="J144" s="191" t="e">
        <f t="shared" si="13"/>
        <v>#NUM!</v>
      </c>
      <c r="K144" s="191" t="e">
        <f t="shared" si="11"/>
        <v>#NUM!</v>
      </c>
      <c r="L144" s="191"/>
      <c r="M144" s="193">
        <f t="shared" si="12"/>
        <v>0</v>
      </c>
    </row>
    <row r="145" spans="1:13" x14ac:dyDescent="0.25">
      <c r="A145" s="208"/>
      <c r="G145" s="179"/>
      <c r="H145" s="191">
        <v>140</v>
      </c>
      <c r="I145" s="192" t="str">
        <f t="shared" si="10"/>
        <v/>
      </c>
      <c r="J145" s="191" t="e">
        <f t="shared" si="13"/>
        <v>#NUM!</v>
      </c>
      <c r="K145" s="191" t="e">
        <f t="shared" si="11"/>
        <v>#NUM!</v>
      </c>
      <c r="L145" s="191"/>
      <c r="M145" s="193">
        <f t="shared" si="12"/>
        <v>0</v>
      </c>
    </row>
    <row r="146" spans="1:13" x14ac:dyDescent="0.25">
      <c r="A146" s="208"/>
      <c r="G146" s="179"/>
      <c r="H146" s="191">
        <v>141</v>
      </c>
      <c r="I146" s="192" t="str">
        <f t="shared" si="10"/>
        <v/>
      </c>
      <c r="J146" s="191" t="e">
        <f t="shared" si="13"/>
        <v>#NUM!</v>
      </c>
      <c r="K146" s="191" t="e">
        <f t="shared" si="11"/>
        <v>#NUM!</v>
      </c>
      <c r="L146" s="191"/>
      <c r="M146" s="193">
        <f t="shared" si="12"/>
        <v>0</v>
      </c>
    </row>
    <row r="147" spans="1:13" x14ac:dyDescent="0.25">
      <c r="A147" s="208"/>
      <c r="G147" s="179"/>
      <c r="H147" s="191">
        <v>142</v>
      </c>
      <c r="I147" s="192" t="str">
        <f t="shared" si="10"/>
        <v/>
      </c>
      <c r="J147" s="191" t="e">
        <f t="shared" si="13"/>
        <v>#NUM!</v>
      </c>
      <c r="K147" s="191" t="e">
        <f t="shared" si="11"/>
        <v>#NUM!</v>
      </c>
      <c r="L147" s="191"/>
      <c r="M147" s="193">
        <f t="shared" si="12"/>
        <v>0</v>
      </c>
    </row>
    <row r="148" spans="1:13" x14ac:dyDescent="0.25">
      <c r="A148" s="208"/>
      <c r="G148" s="179"/>
      <c r="H148" s="191">
        <v>143</v>
      </c>
      <c r="I148" s="192" t="str">
        <f t="shared" si="10"/>
        <v/>
      </c>
      <c r="J148" s="191" t="e">
        <f t="shared" si="13"/>
        <v>#NUM!</v>
      </c>
      <c r="K148" s="191" t="e">
        <f t="shared" si="11"/>
        <v>#NUM!</v>
      </c>
      <c r="L148" s="191"/>
      <c r="M148" s="193">
        <f t="shared" si="12"/>
        <v>0</v>
      </c>
    </row>
    <row r="149" spans="1:13" x14ac:dyDescent="0.25">
      <c r="A149" s="208"/>
      <c r="G149" s="179"/>
      <c r="H149" s="191">
        <v>144</v>
      </c>
      <c r="I149" s="192" t="str">
        <f t="shared" si="10"/>
        <v/>
      </c>
      <c r="J149" s="191" t="e">
        <f t="shared" si="13"/>
        <v>#NUM!</v>
      </c>
      <c r="K149" s="191" t="e">
        <f t="shared" si="11"/>
        <v>#NUM!</v>
      </c>
      <c r="L149" s="191"/>
      <c r="M149" s="193">
        <f t="shared" si="12"/>
        <v>0</v>
      </c>
    </row>
    <row r="150" spans="1:13" x14ac:dyDescent="0.25">
      <c r="A150" s="208"/>
      <c r="G150" s="179"/>
      <c r="H150" s="191">
        <v>145</v>
      </c>
      <c r="I150" s="192" t="str">
        <f t="shared" si="10"/>
        <v/>
      </c>
      <c r="J150" s="191" t="e">
        <f t="shared" si="13"/>
        <v>#NUM!</v>
      </c>
      <c r="K150" s="191" t="e">
        <f t="shared" si="11"/>
        <v>#NUM!</v>
      </c>
      <c r="L150" s="191"/>
      <c r="M150" s="193">
        <f t="shared" si="12"/>
        <v>0</v>
      </c>
    </row>
    <row r="151" spans="1:13" x14ac:dyDescent="0.25">
      <c r="A151" s="208"/>
      <c r="G151" s="179"/>
      <c r="H151" s="191">
        <v>146</v>
      </c>
      <c r="I151" s="192" t="str">
        <f t="shared" si="10"/>
        <v/>
      </c>
      <c r="J151" s="191" t="e">
        <f t="shared" si="13"/>
        <v>#NUM!</v>
      </c>
      <c r="K151" s="191" t="e">
        <f t="shared" si="11"/>
        <v>#NUM!</v>
      </c>
      <c r="L151" s="191"/>
      <c r="M151" s="193">
        <f t="shared" si="12"/>
        <v>0</v>
      </c>
    </row>
    <row r="152" spans="1:13" x14ac:dyDescent="0.25">
      <c r="A152" s="208"/>
      <c r="G152" s="179"/>
      <c r="H152" s="191">
        <v>147</v>
      </c>
      <c r="I152" s="192" t="str">
        <f t="shared" si="10"/>
        <v/>
      </c>
      <c r="J152" s="191" t="e">
        <f t="shared" si="13"/>
        <v>#NUM!</v>
      </c>
      <c r="K152" s="191" t="e">
        <f t="shared" si="11"/>
        <v>#NUM!</v>
      </c>
      <c r="L152" s="191"/>
      <c r="M152" s="193">
        <f t="shared" si="12"/>
        <v>0</v>
      </c>
    </row>
    <row r="153" spans="1:13" x14ac:dyDescent="0.25">
      <c r="A153" s="208"/>
      <c r="G153" s="179"/>
      <c r="H153" s="191">
        <v>148</v>
      </c>
      <c r="I153" s="192" t="str">
        <f t="shared" si="10"/>
        <v/>
      </c>
      <c r="J153" s="191" t="e">
        <f t="shared" si="13"/>
        <v>#NUM!</v>
      </c>
      <c r="K153" s="191" t="e">
        <f t="shared" si="11"/>
        <v>#NUM!</v>
      </c>
      <c r="L153" s="191"/>
      <c r="M153" s="193">
        <f t="shared" si="12"/>
        <v>0</v>
      </c>
    </row>
    <row r="154" spans="1:13" x14ac:dyDescent="0.25">
      <c r="A154" s="208"/>
      <c r="G154" s="179"/>
      <c r="H154" s="191">
        <v>149</v>
      </c>
      <c r="I154" s="192" t="str">
        <f t="shared" si="10"/>
        <v/>
      </c>
      <c r="J154" s="191" t="e">
        <f t="shared" si="13"/>
        <v>#NUM!</v>
      </c>
      <c r="K154" s="191" t="e">
        <f t="shared" si="11"/>
        <v>#NUM!</v>
      </c>
      <c r="L154" s="191"/>
      <c r="M154" s="193">
        <f t="shared" si="12"/>
        <v>0</v>
      </c>
    </row>
    <row r="155" spans="1:13" x14ac:dyDescent="0.25">
      <c r="A155" s="208"/>
      <c r="G155" s="179"/>
      <c r="H155" s="191">
        <v>150</v>
      </c>
      <c r="I155" s="192" t="str">
        <f t="shared" si="10"/>
        <v/>
      </c>
      <c r="J155" s="191" t="e">
        <f t="shared" si="13"/>
        <v>#NUM!</v>
      </c>
      <c r="K155" s="191" t="e">
        <f t="shared" si="11"/>
        <v>#NUM!</v>
      </c>
      <c r="L155" s="191"/>
      <c r="M155" s="193">
        <f t="shared" si="12"/>
        <v>0</v>
      </c>
    </row>
    <row r="156" spans="1:13" x14ac:dyDescent="0.25">
      <c r="A156" s="208"/>
      <c r="G156" s="179"/>
      <c r="H156" s="191">
        <v>151</v>
      </c>
      <c r="I156" s="192" t="str">
        <f t="shared" si="10"/>
        <v/>
      </c>
      <c r="J156" s="191" t="e">
        <f t="shared" si="13"/>
        <v>#NUM!</v>
      </c>
      <c r="K156" s="191" t="e">
        <f t="shared" si="11"/>
        <v>#NUM!</v>
      </c>
      <c r="L156" s="191"/>
      <c r="M156" s="193">
        <f t="shared" si="12"/>
        <v>0</v>
      </c>
    </row>
    <row r="157" spans="1:13" x14ac:dyDescent="0.25">
      <c r="A157" s="208"/>
      <c r="G157" s="179"/>
      <c r="H157" s="191">
        <v>152</v>
      </c>
      <c r="I157" s="192" t="str">
        <f t="shared" si="10"/>
        <v/>
      </c>
      <c r="J157" s="191" t="e">
        <f t="shared" si="13"/>
        <v>#NUM!</v>
      </c>
      <c r="K157" s="191" t="e">
        <f t="shared" si="11"/>
        <v>#NUM!</v>
      </c>
      <c r="L157" s="191"/>
      <c r="M157" s="193">
        <f t="shared" si="12"/>
        <v>0</v>
      </c>
    </row>
    <row r="158" spans="1:13" x14ac:dyDescent="0.25">
      <c r="A158" s="208"/>
      <c r="G158" s="179"/>
      <c r="H158" s="191">
        <v>153</v>
      </c>
      <c r="I158" s="192" t="str">
        <f t="shared" si="10"/>
        <v/>
      </c>
      <c r="J158" s="191" t="e">
        <f t="shared" si="13"/>
        <v>#NUM!</v>
      </c>
      <c r="K158" s="191" t="e">
        <f t="shared" si="11"/>
        <v>#NUM!</v>
      </c>
      <c r="L158" s="191"/>
      <c r="M158" s="193">
        <f t="shared" si="12"/>
        <v>0</v>
      </c>
    </row>
    <row r="159" spans="1:13" x14ac:dyDescent="0.25">
      <c r="A159" s="208"/>
      <c r="G159" s="179"/>
      <c r="H159" s="191">
        <v>154</v>
      </c>
      <c r="I159" s="192" t="str">
        <f t="shared" si="10"/>
        <v/>
      </c>
      <c r="J159" s="191" t="e">
        <f t="shared" si="13"/>
        <v>#NUM!</v>
      </c>
      <c r="K159" s="191" t="e">
        <f t="shared" si="11"/>
        <v>#NUM!</v>
      </c>
      <c r="L159" s="191"/>
      <c r="M159" s="193">
        <f t="shared" si="12"/>
        <v>0</v>
      </c>
    </row>
    <row r="160" spans="1:13" x14ac:dyDescent="0.25">
      <c r="A160" s="208"/>
      <c r="G160" s="179"/>
      <c r="H160" s="191">
        <v>155</v>
      </c>
      <c r="I160" s="192" t="str">
        <f t="shared" si="10"/>
        <v/>
      </c>
      <c r="J160" s="191" t="e">
        <f t="shared" si="13"/>
        <v>#NUM!</v>
      </c>
      <c r="K160" s="191" t="e">
        <f t="shared" si="11"/>
        <v>#NUM!</v>
      </c>
      <c r="L160" s="191"/>
      <c r="M160" s="193">
        <f t="shared" si="12"/>
        <v>0</v>
      </c>
    </row>
    <row r="161" spans="1:13" x14ac:dyDescent="0.25">
      <c r="A161" s="208"/>
      <c r="G161" s="179"/>
      <c r="H161" s="191">
        <v>156</v>
      </c>
      <c r="I161" s="192" t="str">
        <f t="shared" si="10"/>
        <v/>
      </c>
      <c r="J161" s="191" t="e">
        <f t="shared" si="13"/>
        <v>#NUM!</v>
      </c>
      <c r="K161" s="191" t="e">
        <f t="shared" si="11"/>
        <v>#NUM!</v>
      </c>
      <c r="L161" s="191"/>
      <c r="M161" s="193">
        <f t="shared" si="12"/>
        <v>0</v>
      </c>
    </row>
    <row r="162" spans="1:13" x14ac:dyDescent="0.25">
      <c r="A162" s="208"/>
      <c r="G162" s="179"/>
      <c r="H162" s="191">
        <v>157</v>
      </c>
      <c r="I162" s="192" t="str">
        <f t="shared" si="10"/>
        <v/>
      </c>
      <c r="J162" s="191" t="e">
        <f t="shared" si="13"/>
        <v>#NUM!</v>
      </c>
      <c r="K162" s="191" t="e">
        <f t="shared" si="11"/>
        <v>#NUM!</v>
      </c>
      <c r="L162" s="191"/>
      <c r="M162" s="193">
        <f t="shared" si="12"/>
        <v>0</v>
      </c>
    </row>
    <row r="163" spans="1:13" x14ac:dyDescent="0.25">
      <c r="A163" s="208"/>
      <c r="G163" s="179"/>
      <c r="H163" s="191">
        <v>158</v>
      </c>
      <c r="I163" s="192" t="str">
        <f t="shared" si="10"/>
        <v/>
      </c>
      <c r="J163" s="191" t="e">
        <f t="shared" si="13"/>
        <v>#NUM!</v>
      </c>
      <c r="K163" s="191" t="e">
        <f t="shared" si="11"/>
        <v>#NUM!</v>
      </c>
      <c r="L163" s="191"/>
      <c r="M163" s="193">
        <f t="shared" si="12"/>
        <v>0</v>
      </c>
    </row>
    <row r="164" spans="1:13" x14ac:dyDescent="0.25">
      <c r="A164" s="208"/>
      <c r="G164" s="179"/>
      <c r="H164" s="191">
        <v>159</v>
      </c>
      <c r="I164" s="192" t="str">
        <f t="shared" si="10"/>
        <v/>
      </c>
      <c r="J164" s="191" t="e">
        <f t="shared" si="13"/>
        <v>#NUM!</v>
      </c>
      <c r="K164" s="191" t="e">
        <f t="shared" si="11"/>
        <v>#NUM!</v>
      </c>
      <c r="L164" s="191"/>
      <c r="M164" s="193">
        <f t="shared" si="12"/>
        <v>0</v>
      </c>
    </row>
    <row r="165" spans="1:13" x14ac:dyDescent="0.25">
      <c r="A165" s="208"/>
      <c r="G165" s="179"/>
      <c r="H165" s="191">
        <v>160</v>
      </c>
      <c r="I165" s="192" t="str">
        <f t="shared" si="10"/>
        <v/>
      </c>
      <c r="J165" s="191" t="e">
        <f t="shared" si="13"/>
        <v>#NUM!</v>
      </c>
      <c r="K165" s="191" t="e">
        <f t="shared" si="11"/>
        <v>#NUM!</v>
      </c>
      <c r="L165" s="191"/>
      <c r="M165" s="193">
        <f t="shared" si="12"/>
        <v>0</v>
      </c>
    </row>
    <row r="166" spans="1:13" x14ac:dyDescent="0.25">
      <c r="A166" s="208"/>
      <c r="G166" s="179"/>
      <c r="H166" s="191">
        <v>161</v>
      </c>
      <c r="I166" s="192" t="str">
        <f t="shared" si="10"/>
        <v/>
      </c>
      <c r="J166" s="191" t="e">
        <f t="shared" si="13"/>
        <v>#NUM!</v>
      </c>
      <c r="K166" s="191" t="e">
        <f t="shared" si="11"/>
        <v>#NUM!</v>
      </c>
      <c r="L166" s="191"/>
      <c r="M166" s="193">
        <f t="shared" si="12"/>
        <v>0</v>
      </c>
    </row>
    <row r="167" spans="1:13" x14ac:dyDescent="0.25">
      <c r="A167" s="208"/>
      <c r="G167" s="179"/>
      <c r="H167" s="191">
        <v>162</v>
      </c>
      <c r="I167" s="192" t="str">
        <f t="shared" si="10"/>
        <v/>
      </c>
      <c r="J167" s="191" t="e">
        <f t="shared" si="13"/>
        <v>#NUM!</v>
      </c>
      <c r="K167" s="191" t="e">
        <f t="shared" si="11"/>
        <v>#NUM!</v>
      </c>
      <c r="L167" s="191"/>
      <c r="M167" s="193">
        <f t="shared" si="12"/>
        <v>0</v>
      </c>
    </row>
    <row r="168" spans="1:13" x14ac:dyDescent="0.25">
      <c r="A168" s="208"/>
      <c r="G168" s="179"/>
      <c r="H168" s="191">
        <v>163</v>
      </c>
      <c r="I168" s="192" t="str">
        <f t="shared" si="10"/>
        <v/>
      </c>
      <c r="J168" s="191" t="e">
        <f t="shared" si="13"/>
        <v>#NUM!</v>
      </c>
      <c r="K168" s="191" t="e">
        <f t="shared" si="11"/>
        <v>#NUM!</v>
      </c>
      <c r="L168" s="191"/>
      <c r="M168" s="193">
        <f t="shared" si="12"/>
        <v>0</v>
      </c>
    </row>
    <row r="169" spans="1:13" x14ac:dyDescent="0.25">
      <c r="A169" s="208"/>
      <c r="C169" s="207" t="s">
        <v>40</v>
      </c>
      <c r="G169" s="179"/>
      <c r="H169" s="191">
        <v>164</v>
      </c>
      <c r="I169" s="192" t="str">
        <f t="shared" si="10"/>
        <v/>
      </c>
      <c r="J169" s="191" t="e">
        <f t="shared" si="13"/>
        <v>#NUM!</v>
      </c>
      <c r="K169" s="191" t="e">
        <f t="shared" si="11"/>
        <v>#NUM!</v>
      </c>
      <c r="L169" s="191"/>
      <c r="M169" s="193">
        <f t="shared" si="12"/>
        <v>0</v>
      </c>
    </row>
    <row r="170" spans="1:13" x14ac:dyDescent="0.25">
      <c r="A170" s="208"/>
      <c r="G170" s="179"/>
      <c r="H170" s="191">
        <v>165</v>
      </c>
      <c r="I170" s="192" t="str">
        <f t="shared" si="10"/>
        <v/>
      </c>
      <c r="J170" s="191" t="e">
        <f t="shared" si="13"/>
        <v>#NUM!</v>
      </c>
      <c r="K170" s="191" t="e">
        <f t="shared" si="11"/>
        <v>#NUM!</v>
      </c>
      <c r="L170" s="191"/>
      <c r="M170" s="193">
        <f t="shared" si="12"/>
        <v>0</v>
      </c>
    </row>
    <row r="171" spans="1:13" x14ac:dyDescent="0.25">
      <c r="A171" s="208"/>
      <c r="G171" s="179"/>
      <c r="H171" s="191">
        <v>166</v>
      </c>
      <c r="I171" s="192" t="str">
        <f t="shared" si="10"/>
        <v/>
      </c>
      <c r="J171" s="191" t="e">
        <f t="shared" si="13"/>
        <v>#NUM!</v>
      </c>
      <c r="K171" s="191" t="e">
        <f t="shared" si="11"/>
        <v>#NUM!</v>
      </c>
      <c r="L171" s="191"/>
      <c r="M171" s="193">
        <f t="shared" si="12"/>
        <v>0</v>
      </c>
    </row>
    <row r="172" spans="1:13" x14ac:dyDescent="0.25">
      <c r="A172" s="208"/>
      <c r="G172" s="179"/>
      <c r="H172" s="191">
        <v>167</v>
      </c>
      <c r="I172" s="192" t="str">
        <f t="shared" si="10"/>
        <v/>
      </c>
      <c r="J172" s="191" t="e">
        <f t="shared" si="13"/>
        <v>#NUM!</v>
      </c>
      <c r="K172" s="191" t="e">
        <f t="shared" si="11"/>
        <v>#NUM!</v>
      </c>
      <c r="L172" s="191"/>
      <c r="M172" s="193">
        <f t="shared" si="12"/>
        <v>0</v>
      </c>
    </row>
    <row r="173" spans="1:13" x14ac:dyDescent="0.25">
      <c r="A173" s="208"/>
      <c r="G173" s="179"/>
      <c r="H173" s="191">
        <v>168</v>
      </c>
      <c r="I173" s="192" t="str">
        <f t="shared" si="10"/>
        <v/>
      </c>
      <c r="J173" s="191" t="e">
        <f t="shared" si="13"/>
        <v>#NUM!</v>
      </c>
      <c r="K173" s="191" t="e">
        <f t="shared" si="11"/>
        <v>#NUM!</v>
      </c>
      <c r="L173" s="191"/>
      <c r="M173" s="193">
        <f t="shared" si="12"/>
        <v>0</v>
      </c>
    </row>
    <row r="174" spans="1:13" x14ac:dyDescent="0.25">
      <c r="A174" s="208"/>
      <c r="G174" s="179"/>
      <c r="H174" s="191">
        <v>169</v>
      </c>
      <c r="I174" s="192" t="str">
        <f t="shared" si="10"/>
        <v/>
      </c>
      <c r="J174" s="191" t="e">
        <f t="shared" si="13"/>
        <v>#NUM!</v>
      </c>
      <c r="K174" s="191" t="e">
        <f t="shared" si="11"/>
        <v>#NUM!</v>
      </c>
      <c r="L174" s="191"/>
      <c r="M174" s="193">
        <f t="shared" si="12"/>
        <v>0</v>
      </c>
    </row>
    <row r="175" spans="1:13" x14ac:dyDescent="0.25">
      <c r="A175" s="208"/>
      <c r="G175" s="179"/>
      <c r="H175" s="191">
        <v>170</v>
      </c>
      <c r="I175" s="192" t="str">
        <f t="shared" si="10"/>
        <v/>
      </c>
      <c r="J175" s="191" t="e">
        <f t="shared" si="13"/>
        <v>#NUM!</v>
      </c>
      <c r="K175" s="191" t="e">
        <f t="shared" si="11"/>
        <v>#NUM!</v>
      </c>
      <c r="L175" s="191"/>
      <c r="M175" s="193">
        <f t="shared" si="12"/>
        <v>0</v>
      </c>
    </row>
    <row r="176" spans="1:13" x14ac:dyDescent="0.25">
      <c r="A176" s="208"/>
      <c r="G176" s="179"/>
      <c r="H176" s="191">
        <v>171</v>
      </c>
      <c r="I176" s="192" t="str">
        <f t="shared" si="10"/>
        <v/>
      </c>
      <c r="J176" s="191" t="e">
        <f t="shared" si="13"/>
        <v>#NUM!</v>
      </c>
      <c r="K176" s="191" t="e">
        <f t="shared" si="11"/>
        <v>#NUM!</v>
      </c>
      <c r="L176" s="191"/>
      <c r="M176" s="193">
        <f t="shared" si="12"/>
        <v>0</v>
      </c>
    </row>
    <row r="177" spans="1:13" x14ac:dyDescent="0.25">
      <c r="A177" s="208"/>
      <c r="G177" s="179"/>
      <c r="H177" s="191">
        <v>172</v>
      </c>
      <c r="I177" s="192" t="str">
        <f t="shared" si="10"/>
        <v/>
      </c>
      <c r="J177" s="191" t="e">
        <f t="shared" si="13"/>
        <v>#NUM!</v>
      </c>
      <c r="K177" s="191" t="e">
        <f t="shared" si="11"/>
        <v>#NUM!</v>
      </c>
      <c r="L177" s="191"/>
      <c r="M177" s="193">
        <f t="shared" si="12"/>
        <v>0</v>
      </c>
    </row>
    <row r="178" spans="1:13" x14ac:dyDescent="0.25">
      <c r="A178" s="208"/>
      <c r="G178" s="179"/>
      <c r="H178" s="191">
        <v>173</v>
      </c>
      <c r="I178" s="192" t="str">
        <f t="shared" si="10"/>
        <v/>
      </c>
      <c r="J178" s="191" t="e">
        <f t="shared" si="13"/>
        <v>#NUM!</v>
      </c>
      <c r="K178" s="191" t="e">
        <f t="shared" si="11"/>
        <v>#NUM!</v>
      </c>
      <c r="L178" s="191"/>
      <c r="M178" s="193">
        <f t="shared" si="12"/>
        <v>0</v>
      </c>
    </row>
    <row r="179" spans="1:13" x14ac:dyDescent="0.25">
      <c r="A179" s="208"/>
      <c r="G179" s="179"/>
      <c r="H179" s="191">
        <v>174</v>
      </c>
      <c r="I179" s="192" t="str">
        <f t="shared" si="10"/>
        <v/>
      </c>
      <c r="J179" s="191" t="e">
        <f t="shared" si="13"/>
        <v>#NUM!</v>
      </c>
      <c r="K179" s="191" t="e">
        <f t="shared" si="11"/>
        <v>#NUM!</v>
      </c>
      <c r="L179" s="191"/>
      <c r="M179" s="193">
        <f t="shared" si="12"/>
        <v>0</v>
      </c>
    </row>
    <row r="180" spans="1:13" x14ac:dyDescent="0.25">
      <c r="A180" s="208"/>
      <c r="G180" s="179"/>
      <c r="H180" s="191">
        <v>175</v>
      </c>
      <c r="I180" s="192" t="str">
        <f t="shared" si="10"/>
        <v/>
      </c>
      <c r="J180" s="191" t="e">
        <f t="shared" si="13"/>
        <v>#NUM!</v>
      </c>
      <c r="K180" s="191" t="e">
        <f t="shared" si="11"/>
        <v>#NUM!</v>
      </c>
      <c r="L180" s="191"/>
      <c r="M180" s="193">
        <f t="shared" si="12"/>
        <v>0</v>
      </c>
    </row>
    <row r="181" spans="1:13" x14ac:dyDescent="0.25">
      <c r="A181" s="208"/>
      <c r="G181" s="179"/>
      <c r="H181" s="191">
        <v>176</v>
      </c>
      <c r="I181" s="192" t="str">
        <f t="shared" si="10"/>
        <v/>
      </c>
      <c r="J181" s="191" t="e">
        <f t="shared" si="13"/>
        <v>#NUM!</v>
      </c>
      <c r="K181" s="191" t="e">
        <f t="shared" si="11"/>
        <v>#NUM!</v>
      </c>
      <c r="L181" s="191"/>
      <c r="M181" s="193">
        <f t="shared" si="12"/>
        <v>0</v>
      </c>
    </row>
    <row r="182" spans="1:13" x14ac:dyDescent="0.25">
      <c r="A182" s="208"/>
      <c r="G182" s="179"/>
      <c r="H182" s="191">
        <v>177</v>
      </c>
      <c r="I182" s="192" t="str">
        <f t="shared" si="10"/>
        <v/>
      </c>
      <c r="J182" s="191" t="e">
        <f t="shared" si="13"/>
        <v>#NUM!</v>
      </c>
      <c r="K182" s="191" t="e">
        <f t="shared" si="11"/>
        <v>#NUM!</v>
      </c>
      <c r="L182" s="191"/>
      <c r="M182" s="193">
        <f t="shared" si="12"/>
        <v>0</v>
      </c>
    </row>
    <row r="183" spans="1:13" x14ac:dyDescent="0.25">
      <c r="A183" s="208"/>
      <c r="G183" s="179"/>
      <c r="H183" s="191">
        <v>178</v>
      </c>
      <c r="I183" s="192" t="str">
        <f t="shared" si="10"/>
        <v/>
      </c>
      <c r="J183" s="191" t="e">
        <f t="shared" si="13"/>
        <v>#NUM!</v>
      </c>
      <c r="K183" s="191" t="e">
        <f t="shared" si="11"/>
        <v>#NUM!</v>
      </c>
      <c r="L183" s="191"/>
      <c r="M183" s="193">
        <f t="shared" si="12"/>
        <v>0</v>
      </c>
    </row>
    <row r="184" spans="1:13" x14ac:dyDescent="0.25">
      <c r="A184" s="208"/>
      <c r="G184" s="179"/>
      <c r="H184" s="191">
        <v>179</v>
      </c>
      <c r="I184" s="192" t="str">
        <f t="shared" si="10"/>
        <v/>
      </c>
      <c r="J184" s="191" t="e">
        <f t="shared" si="13"/>
        <v>#NUM!</v>
      </c>
      <c r="K184" s="191" t="e">
        <f t="shared" si="11"/>
        <v>#NUM!</v>
      </c>
      <c r="L184" s="191"/>
      <c r="M184" s="193">
        <f t="shared" si="12"/>
        <v>0</v>
      </c>
    </row>
    <row r="185" spans="1:13" x14ac:dyDescent="0.25">
      <c r="A185" s="208"/>
      <c r="G185" s="179"/>
      <c r="H185" s="191">
        <v>180</v>
      </c>
      <c r="I185" s="192" t="str">
        <f t="shared" si="10"/>
        <v/>
      </c>
      <c r="J185" s="191" t="e">
        <f t="shared" si="13"/>
        <v>#NUM!</v>
      </c>
      <c r="K185" s="191" t="e">
        <f t="shared" si="11"/>
        <v>#NUM!</v>
      </c>
      <c r="L185" s="191"/>
      <c r="M185" s="193">
        <f t="shared" si="12"/>
        <v>0</v>
      </c>
    </row>
    <row r="186" spans="1:13" x14ac:dyDescent="0.25">
      <c r="A186" s="208"/>
      <c r="G186" s="179"/>
      <c r="H186" s="191">
        <v>181</v>
      </c>
      <c r="I186" s="192" t="str">
        <f t="shared" si="10"/>
        <v/>
      </c>
      <c r="J186" s="191" t="e">
        <f t="shared" si="13"/>
        <v>#NUM!</v>
      </c>
      <c r="K186" s="191" t="e">
        <f t="shared" si="11"/>
        <v>#NUM!</v>
      </c>
      <c r="L186" s="191"/>
      <c r="M186" s="193">
        <f t="shared" si="12"/>
        <v>0</v>
      </c>
    </row>
    <row r="187" spans="1:13" x14ac:dyDescent="0.25">
      <c r="A187" s="208"/>
      <c r="G187" s="179"/>
      <c r="H187" s="191">
        <v>182</v>
      </c>
      <c r="I187" s="192" t="str">
        <f t="shared" si="10"/>
        <v/>
      </c>
      <c r="J187" s="191" t="e">
        <f t="shared" si="13"/>
        <v>#NUM!</v>
      </c>
      <c r="K187" s="191" t="e">
        <f t="shared" si="11"/>
        <v>#NUM!</v>
      </c>
      <c r="L187" s="191"/>
      <c r="M187" s="193">
        <f t="shared" si="12"/>
        <v>0</v>
      </c>
    </row>
    <row r="188" spans="1:13" x14ac:dyDescent="0.25">
      <c r="A188" s="208"/>
      <c r="G188" s="179"/>
      <c r="H188" s="191">
        <v>183</v>
      </c>
      <c r="I188" s="192" t="str">
        <f t="shared" si="10"/>
        <v/>
      </c>
      <c r="J188" s="191" t="e">
        <f t="shared" si="13"/>
        <v>#NUM!</v>
      </c>
      <c r="K188" s="191" t="e">
        <f t="shared" si="11"/>
        <v>#NUM!</v>
      </c>
      <c r="L188" s="191"/>
      <c r="M188" s="193">
        <f t="shared" si="12"/>
        <v>0</v>
      </c>
    </row>
    <row r="189" spans="1:13" x14ac:dyDescent="0.25">
      <c r="A189" s="208"/>
      <c r="G189" s="179"/>
      <c r="H189" s="191">
        <v>184</v>
      </c>
      <c r="I189" s="192" t="str">
        <f t="shared" si="10"/>
        <v/>
      </c>
      <c r="J189" s="191" t="e">
        <f t="shared" si="13"/>
        <v>#NUM!</v>
      </c>
      <c r="K189" s="191" t="e">
        <f t="shared" si="11"/>
        <v>#NUM!</v>
      </c>
      <c r="L189" s="191"/>
      <c r="M189" s="193">
        <f t="shared" si="12"/>
        <v>0</v>
      </c>
    </row>
    <row r="190" spans="1:13" x14ac:dyDescent="0.25">
      <c r="A190" s="208"/>
      <c r="G190" s="179"/>
      <c r="H190" s="191">
        <v>185</v>
      </c>
      <c r="I190" s="192" t="str">
        <f t="shared" si="10"/>
        <v/>
      </c>
      <c r="J190" s="191" t="e">
        <f t="shared" si="13"/>
        <v>#NUM!</v>
      </c>
      <c r="K190" s="191" t="e">
        <f t="shared" si="11"/>
        <v>#NUM!</v>
      </c>
      <c r="L190" s="191"/>
      <c r="M190" s="193">
        <f t="shared" si="12"/>
        <v>0</v>
      </c>
    </row>
    <row r="191" spans="1:13" x14ac:dyDescent="0.25">
      <c r="A191" s="208"/>
      <c r="G191" s="179"/>
      <c r="H191" s="191">
        <v>186</v>
      </c>
      <c r="I191" s="192" t="str">
        <f t="shared" si="10"/>
        <v/>
      </c>
      <c r="J191" s="191" t="e">
        <f t="shared" si="13"/>
        <v>#NUM!</v>
      </c>
      <c r="K191" s="191" t="e">
        <f t="shared" si="11"/>
        <v>#NUM!</v>
      </c>
      <c r="L191" s="191"/>
      <c r="M191" s="193">
        <f t="shared" si="12"/>
        <v>0</v>
      </c>
    </row>
    <row r="192" spans="1:13" x14ac:dyDescent="0.25">
      <c r="A192" s="208"/>
      <c r="G192" s="179"/>
      <c r="H192" s="191">
        <v>187</v>
      </c>
      <c r="I192" s="192" t="str">
        <f t="shared" si="10"/>
        <v/>
      </c>
      <c r="J192" s="191" t="e">
        <f t="shared" si="13"/>
        <v>#NUM!</v>
      </c>
      <c r="K192" s="191" t="e">
        <f t="shared" si="11"/>
        <v>#NUM!</v>
      </c>
      <c r="L192" s="191"/>
      <c r="M192" s="193">
        <f t="shared" si="12"/>
        <v>0</v>
      </c>
    </row>
    <row r="193" spans="1:13" x14ac:dyDescent="0.25">
      <c r="A193" s="208"/>
      <c r="G193" s="179"/>
      <c r="H193" s="191">
        <v>188</v>
      </c>
      <c r="I193" s="192" t="str">
        <f t="shared" si="10"/>
        <v/>
      </c>
      <c r="J193" s="191" t="e">
        <f t="shared" si="13"/>
        <v>#NUM!</v>
      </c>
      <c r="K193" s="191" t="e">
        <f t="shared" si="11"/>
        <v>#NUM!</v>
      </c>
      <c r="L193" s="191"/>
      <c r="M193" s="193">
        <f t="shared" si="12"/>
        <v>0</v>
      </c>
    </row>
    <row r="194" spans="1:13" x14ac:dyDescent="0.25">
      <c r="A194" s="208"/>
      <c r="G194" s="179"/>
      <c r="H194" s="191">
        <v>189</v>
      </c>
      <c r="I194" s="192" t="str">
        <f t="shared" si="10"/>
        <v/>
      </c>
      <c r="J194" s="191" t="e">
        <f t="shared" si="13"/>
        <v>#NUM!</v>
      </c>
      <c r="K194" s="191" t="e">
        <f t="shared" si="11"/>
        <v>#NUM!</v>
      </c>
      <c r="L194" s="191"/>
      <c r="M194" s="193">
        <f t="shared" si="12"/>
        <v>0</v>
      </c>
    </row>
    <row r="195" spans="1:13" x14ac:dyDescent="0.25">
      <c r="A195" s="208"/>
      <c r="G195" s="179"/>
      <c r="H195" s="191">
        <v>190</v>
      </c>
      <c r="I195" s="192" t="str">
        <f t="shared" si="10"/>
        <v/>
      </c>
      <c r="J195" s="191" t="e">
        <f t="shared" si="13"/>
        <v>#NUM!</v>
      </c>
      <c r="K195" s="191" t="e">
        <f t="shared" si="11"/>
        <v>#NUM!</v>
      </c>
      <c r="L195" s="191"/>
      <c r="M195" s="193">
        <f t="shared" si="12"/>
        <v>0</v>
      </c>
    </row>
    <row r="196" spans="1:13" x14ac:dyDescent="0.25">
      <c r="A196" s="208"/>
      <c r="G196" s="179"/>
      <c r="H196" s="191">
        <v>191</v>
      </c>
      <c r="I196" s="192" t="str">
        <f t="shared" si="10"/>
        <v/>
      </c>
      <c r="J196" s="191" t="e">
        <f t="shared" si="13"/>
        <v>#NUM!</v>
      </c>
      <c r="K196" s="191" t="e">
        <f t="shared" si="11"/>
        <v>#NUM!</v>
      </c>
      <c r="L196" s="191"/>
      <c r="M196" s="193">
        <f t="shared" si="12"/>
        <v>0</v>
      </c>
    </row>
    <row r="197" spans="1:13" x14ac:dyDescent="0.25">
      <c r="A197" s="208"/>
      <c r="G197" s="179"/>
      <c r="H197" s="191">
        <v>192</v>
      </c>
      <c r="I197" s="192" t="str">
        <f t="shared" si="10"/>
        <v/>
      </c>
      <c r="J197" s="191" t="e">
        <f t="shared" si="13"/>
        <v>#NUM!</v>
      </c>
      <c r="K197" s="191" t="e">
        <f t="shared" si="11"/>
        <v>#NUM!</v>
      </c>
      <c r="L197" s="191"/>
      <c r="M197" s="193">
        <f t="shared" si="12"/>
        <v>0</v>
      </c>
    </row>
    <row r="198" spans="1:13" x14ac:dyDescent="0.25">
      <c r="A198" s="208"/>
      <c r="G198" s="179"/>
      <c r="H198" s="191">
        <v>193</v>
      </c>
      <c r="I198" s="192" t="str">
        <f t="shared" ref="I198:I261" si="14">IF(H198&lt;$H$2+1,($I$2-($I$2-1)*(LOG(H198)/LOG($H$2))),"")</f>
        <v/>
      </c>
      <c r="J198" s="191" t="e">
        <f t="shared" si="13"/>
        <v>#NUM!</v>
      </c>
      <c r="K198" s="191" t="e">
        <f t="shared" ref="K198:K261" si="15">J198*$J$2</f>
        <v>#NUM!</v>
      </c>
      <c r="L198" s="191"/>
      <c r="M198" s="193">
        <f t="shared" ref="M198:M261" si="16">IF(I198&lt;&gt;"",K198+I198+L198,0)</f>
        <v>0</v>
      </c>
    </row>
    <row r="199" spans="1:13" x14ac:dyDescent="0.25">
      <c r="A199" s="208"/>
      <c r="G199" s="179"/>
      <c r="H199" s="191">
        <v>194</v>
      </c>
      <c r="I199" s="192" t="str">
        <f t="shared" si="14"/>
        <v/>
      </c>
      <c r="J199" s="191" t="e">
        <f t="shared" ref="J199:J262" si="17">INT(LOG($H$2,2))-ROUNDUP(LOG(H199,2),0)+IF(OR($H$2=1,$H$2=2,$H$2=4,$H$2=8,$H$2=16,$H$2=32,$H$2=64,$H$2=128,$H$2=256),0,1)</f>
        <v>#NUM!</v>
      </c>
      <c r="K199" s="191" t="e">
        <f t="shared" si="15"/>
        <v>#NUM!</v>
      </c>
      <c r="L199" s="191"/>
      <c r="M199" s="193">
        <f t="shared" si="16"/>
        <v>0</v>
      </c>
    </row>
    <row r="200" spans="1:13" x14ac:dyDescent="0.25">
      <c r="A200" s="208"/>
      <c r="G200" s="179"/>
      <c r="H200" s="191">
        <v>195</v>
      </c>
      <c r="I200" s="192" t="str">
        <f t="shared" si="14"/>
        <v/>
      </c>
      <c r="J200" s="191" t="e">
        <f t="shared" si="17"/>
        <v>#NUM!</v>
      </c>
      <c r="K200" s="191" t="e">
        <f t="shared" si="15"/>
        <v>#NUM!</v>
      </c>
      <c r="L200" s="191"/>
      <c r="M200" s="193">
        <f t="shared" si="16"/>
        <v>0</v>
      </c>
    </row>
    <row r="201" spans="1:13" x14ac:dyDescent="0.25">
      <c r="A201" s="208"/>
      <c r="G201" s="179"/>
      <c r="H201" s="191">
        <v>196</v>
      </c>
      <c r="I201" s="192" t="str">
        <f t="shared" si="14"/>
        <v/>
      </c>
      <c r="J201" s="191" t="e">
        <f t="shared" si="17"/>
        <v>#NUM!</v>
      </c>
      <c r="K201" s="191" t="e">
        <f t="shared" si="15"/>
        <v>#NUM!</v>
      </c>
      <c r="L201" s="191"/>
      <c r="M201" s="193">
        <f t="shared" si="16"/>
        <v>0</v>
      </c>
    </row>
    <row r="202" spans="1:13" x14ac:dyDescent="0.25">
      <c r="A202" s="208"/>
      <c r="G202" s="179"/>
      <c r="H202" s="191">
        <v>197</v>
      </c>
      <c r="I202" s="192" t="str">
        <f t="shared" si="14"/>
        <v/>
      </c>
      <c r="J202" s="191" t="e">
        <f t="shared" si="17"/>
        <v>#NUM!</v>
      </c>
      <c r="K202" s="191" t="e">
        <f t="shared" si="15"/>
        <v>#NUM!</v>
      </c>
      <c r="L202" s="191"/>
      <c r="M202" s="193">
        <f t="shared" si="16"/>
        <v>0</v>
      </c>
    </row>
    <row r="203" spans="1:13" x14ac:dyDescent="0.25">
      <c r="A203" s="208"/>
      <c r="G203" s="179"/>
      <c r="H203" s="191">
        <v>198</v>
      </c>
      <c r="I203" s="192" t="str">
        <f t="shared" si="14"/>
        <v/>
      </c>
      <c r="J203" s="191" t="e">
        <f t="shared" si="17"/>
        <v>#NUM!</v>
      </c>
      <c r="K203" s="191" t="e">
        <f t="shared" si="15"/>
        <v>#NUM!</v>
      </c>
      <c r="L203" s="191"/>
      <c r="M203" s="193">
        <f t="shared" si="16"/>
        <v>0</v>
      </c>
    </row>
    <row r="204" spans="1:13" x14ac:dyDescent="0.25">
      <c r="A204" s="208"/>
      <c r="G204" s="179"/>
      <c r="H204" s="191">
        <v>199</v>
      </c>
      <c r="I204" s="192" t="str">
        <f t="shared" si="14"/>
        <v/>
      </c>
      <c r="J204" s="191" t="e">
        <f t="shared" si="17"/>
        <v>#NUM!</v>
      </c>
      <c r="K204" s="191" t="e">
        <f t="shared" si="15"/>
        <v>#NUM!</v>
      </c>
      <c r="L204" s="191"/>
      <c r="M204" s="193">
        <f t="shared" si="16"/>
        <v>0</v>
      </c>
    </row>
    <row r="205" spans="1:13" x14ac:dyDescent="0.25">
      <c r="A205" s="208"/>
      <c r="G205" s="179"/>
      <c r="H205" s="191">
        <v>200</v>
      </c>
      <c r="I205" s="192" t="str">
        <f t="shared" si="14"/>
        <v/>
      </c>
      <c r="J205" s="191" t="e">
        <f t="shared" si="17"/>
        <v>#NUM!</v>
      </c>
      <c r="K205" s="191" t="e">
        <f t="shared" si="15"/>
        <v>#NUM!</v>
      </c>
      <c r="L205" s="191"/>
      <c r="M205" s="193">
        <f t="shared" si="16"/>
        <v>0</v>
      </c>
    </row>
    <row r="206" spans="1:13" x14ac:dyDescent="0.25">
      <c r="A206" s="208"/>
      <c r="G206" s="179"/>
      <c r="H206" s="191">
        <v>201</v>
      </c>
      <c r="I206" s="192" t="str">
        <f t="shared" si="14"/>
        <v/>
      </c>
      <c r="J206" s="191" t="e">
        <f t="shared" si="17"/>
        <v>#NUM!</v>
      </c>
      <c r="K206" s="191" t="e">
        <f t="shared" si="15"/>
        <v>#NUM!</v>
      </c>
      <c r="L206" s="191"/>
      <c r="M206" s="193">
        <f t="shared" si="16"/>
        <v>0</v>
      </c>
    </row>
    <row r="207" spans="1:13" x14ac:dyDescent="0.25">
      <c r="A207" s="208"/>
      <c r="G207" s="179"/>
      <c r="H207" s="191">
        <v>202</v>
      </c>
      <c r="I207" s="192" t="str">
        <f t="shared" si="14"/>
        <v/>
      </c>
      <c r="J207" s="191" t="e">
        <f t="shared" si="17"/>
        <v>#NUM!</v>
      </c>
      <c r="K207" s="191" t="e">
        <f t="shared" si="15"/>
        <v>#NUM!</v>
      </c>
      <c r="L207" s="191"/>
      <c r="M207" s="193">
        <f t="shared" si="16"/>
        <v>0</v>
      </c>
    </row>
    <row r="208" spans="1:13" x14ac:dyDescent="0.25">
      <c r="A208" s="208"/>
      <c r="G208" s="179"/>
      <c r="H208" s="191">
        <v>203</v>
      </c>
      <c r="I208" s="192" t="str">
        <f t="shared" si="14"/>
        <v/>
      </c>
      <c r="J208" s="191" t="e">
        <f t="shared" si="17"/>
        <v>#NUM!</v>
      </c>
      <c r="K208" s="191" t="e">
        <f t="shared" si="15"/>
        <v>#NUM!</v>
      </c>
      <c r="L208" s="191"/>
      <c r="M208" s="193">
        <f t="shared" si="16"/>
        <v>0</v>
      </c>
    </row>
    <row r="209" spans="1:13" x14ac:dyDescent="0.25">
      <c r="A209" s="208"/>
      <c r="G209" s="179"/>
      <c r="H209" s="191">
        <v>204</v>
      </c>
      <c r="I209" s="192" t="str">
        <f t="shared" si="14"/>
        <v/>
      </c>
      <c r="J209" s="191" t="e">
        <f t="shared" si="17"/>
        <v>#NUM!</v>
      </c>
      <c r="K209" s="191" t="e">
        <f t="shared" si="15"/>
        <v>#NUM!</v>
      </c>
      <c r="L209" s="191"/>
      <c r="M209" s="193">
        <f t="shared" si="16"/>
        <v>0</v>
      </c>
    </row>
    <row r="210" spans="1:13" x14ac:dyDescent="0.25">
      <c r="A210" s="208"/>
      <c r="G210" s="179"/>
      <c r="H210" s="191">
        <v>205</v>
      </c>
      <c r="I210" s="192" t="str">
        <f t="shared" si="14"/>
        <v/>
      </c>
      <c r="J210" s="191" t="e">
        <f t="shared" si="17"/>
        <v>#NUM!</v>
      </c>
      <c r="K210" s="191" t="e">
        <f t="shared" si="15"/>
        <v>#NUM!</v>
      </c>
      <c r="L210" s="191"/>
      <c r="M210" s="193">
        <f t="shared" si="16"/>
        <v>0</v>
      </c>
    </row>
    <row r="211" spans="1:13" x14ac:dyDescent="0.25">
      <c r="A211" s="208"/>
      <c r="G211" s="179"/>
      <c r="H211" s="191">
        <v>206</v>
      </c>
      <c r="I211" s="192" t="str">
        <f t="shared" si="14"/>
        <v/>
      </c>
      <c r="J211" s="191" t="e">
        <f t="shared" si="17"/>
        <v>#NUM!</v>
      </c>
      <c r="K211" s="191" t="e">
        <f t="shared" si="15"/>
        <v>#NUM!</v>
      </c>
      <c r="L211" s="191"/>
      <c r="M211" s="193">
        <f t="shared" si="16"/>
        <v>0</v>
      </c>
    </row>
    <row r="212" spans="1:13" x14ac:dyDescent="0.25">
      <c r="A212" s="208"/>
      <c r="G212" s="179"/>
      <c r="H212" s="191">
        <v>207</v>
      </c>
      <c r="I212" s="192" t="str">
        <f t="shared" si="14"/>
        <v/>
      </c>
      <c r="J212" s="191" t="e">
        <f t="shared" si="17"/>
        <v>#NUM!</v>
      </c>
      <c r="K212" s="191" t="e">
        <f t="shared" si="15"/>
        <v>#NUM!</v>
      </c>
      <c r="L212" s="191"/>
      <c r="M212" s="193">
        <f t="shared" si="16"/>
        <v>0</v>
      </c>
    </row>
    <row r="213" spans="1:13" x14ac:dyDescent="0.25">
      <c r="A213" s="208"/>
      <c r="G213" s="179"/>
      <c r="H213" s="191">
        <v>208</v>
      </c>
      <c r="I213" s="192" t="str">
        <f t="shared" si="14"/>
        <v/>
      </c>
      <c r="J213" s="191" t="e">
        <f t="shared" si="17"/>
        <v>#NUM!</v>
      </c>
      <c r="K213" s="191" t="e">
        <f t="shared" si="15"/>
        <v>#NUM!</v>
      </c>
      <c r="L213" s="191"/>
      <c r="M213" s="193">
        <f t="shared" si="16"/>
        <v>0</v>
      </c>
    </row>
    <row r="214" spans="1:13" x14ac:dyDescent="0.25">
      <c r="A214" s="208"/>
      <c r="G214" s="179"/>
      <c r="H214" s="191">
        <v>209</v>
      </c>
      <c r="I214" s="192" t="str">
        <f t="shared" si="14"/>
        <v/>
      </c>
      <c r="J214" s="191" t="e">
        <f t="shared" si="17"/>
        <v>#NUM!</v>
      </c>
      <c r="K214" s="191" t="e">
        <f t="shared" si="15"/>
        <v>#NUM!</v>
      </c>
      <c r="L214" s="191"/>
      <c r="M214" s="193">
        <f t="shared" si="16"/>
        <v>0</v>
      </c>
    </row>
    <row r="215" spans="1:13" x14ac:dyDescent="0.25">
      <c r="A215" s="208"/>
      <c r="G215" s="179"/>
      <c r="H215" s="191">
        <v>210</v>
      </c>
      <c r="I215" s="192" t="str">
        <f t="shared" si="14"/>
        <v/>
      </c>
      <c r="J215" s="191" t="e">
        <f t="shared" si="17"/>
        <v>#NUM!</v>
      </c>
      <c r="K215" s="191" t="e">
        <f t="shared" si="15"/>
        <v>#NUM!</v>
      </c>
      <c r="L215" s="191"/>
      <c r="M215" s="193">
        <f t="shared" si="16"/>
        <v>0</v>
      </c>
    </row>
    <row r="216" spans="1:13" x14ac:dyDescent="0.25">
      <c r="A216" s="208"/>
      <c r="G216" s="179"/>
      <c r="H216" s="191">
        <v>211</v>
      </c>
      <c r="I216" s="192" t="str">
        <f t="shared" si="14"/>
        <v/>
      </c>
      <c r="J216" s="191" t="e">
        <f t="shared" si="17"/>
        <v>#NUM!</v>
      </c>
      <c r="K216" s="191" t="e">
        <f t="shared" si="15"/>
        <v>#NUM!</v>
      </c>
      <c r="L216" s="191"/>
      <c r="M216" s="193">
        <f t="shared" si="16"/>
        <v>0</v>
      </c>
    </row>
    <row r="217" spans="1:13" x14ac:dyDescent="0.25">
      <c r="A217" s="208"/>
      <c r="G217" s="179"/>
      <c r="H217" s="191">
        <v>212</v>
      </c>
      <c r="I217" s="192" t="str">
        <f t="shared" si="14"/>
        <v/>
      </c>
      <c r="J217" s="191" t="e">
        <f t="shared" si="17"/>
        <v>#NUM!</v>
      </c>
      <c r="K217" s="191" t="e">
        <f t="shared" si="15"/>
        <v>#NUM!</v>
      </c>
      <c r="L217" s="191"/>
      <c r="M217" s="193">
        <f t="shared" si="16"/>
        <v>0</v>
      </c>
    </row>
    <row r="218" spans="1:13" x14ac:dyDescent="0.25">
      <c r="A218" s="208"/>
      <c r="G218" s="179"/>
      <c r="H218" s="191">
        <v>213</v>
      </c>
      <c r="I218" s="192" t="str">
        <f t="shared" si="14"/>
        <v/>
      </c>
      <c r="J218" s="191" t="e">
        <f t="shared" si="17"/>
        <v>#NUM!</v>
      </c>
      <c r="K218" s="191" t="e">
        <f t="shared" si="15"/>
        <v>#NUM!</v>
      </c>
      <c r="L218" s="191"/>
      <c r="M218" s="193">
        <f t="shared" si="16"/>
        <v>0</v>
      </c>
    </row>
    <row r="219" spans="1:13" x14ac:dyDescent="0.25">
      <c r="A219" s="208"/>
      <c r="G219" s="179"/>
      <c r="H219" s="191">
        <v>214</v>
      </c>
      <c r="I219" s="192" t="str">
        <f t="shared" si="14"/>
        <v/>
      </c>
      <c r="J219" s="191" t="e">
        <f t="shared" si="17"/>
        <v>#NUM!</v>
      </c>
      <c r="K219" s="191" t="e">
        <f t="shared" si="15"/>
        <v>#NUM!</v>
      </c>
      <c r="L219" s="191"/>
      <c r="M219" s="193">
        <f t="shared" si="16"/>
        <v>0</v>
      </c>
    </row>
    <row r="220" spans="1:13" x14ac:dyDescent="0.25">
      <c r="A220" s="208"/>
      <c r="G220" s="179"/>
      <c r="H220" s="191">
        <v>215</v>
      </c>
      <c r="I220" s="192" t="str">
        <f t="shared" si="14"/>
        <v/>
      </c>
      <c r="J220" s="191" t="e">
        <f t="shared" si="17"/>
        <v>#NUM!</v>
      </c>
      <c r="K220" s="191" t="e">
        <f t="shared" si="15"/>
        <v>#NUM!</v>
      </c>
      <c r="L220" s="191"/>
      <c r="M220" s="193">
        <f t="shared" si="16"/>
        <v>0</v>
      </c>
    </row>
    <row r="221" spans="1:13" x14ac:dyDescent="0.25">
      <c r="A221" s="208"/>
      <c r="G221" s="179"/>
      <c r="H221" s="191">
        <v>216</v>
      </c>
      <c r="I221" s="192" t="str">
        <f t="shared" si="14"/>
        <v/>
      </c>
      <c r="J221" s="191" t="e">
        <f t="shared" si="17"/>
        <v>#NUM!</v>
      </c>
      <c r="K221" s="191" t="e">
        <f t="shared" si="15"/>
        <v>#NUM!</v>
      </c>
      <c r="L221" s="191"/>
      <c r="M221" s="193">
        <f t="shared" si="16"/>
        <v>0</v>
      </c>
    </row>
    <row r="222" spans="1:13" x14ac:dyDescent="0.25">
      <c r="A222" s="208"/>
      <c r="G222" s="179"/>
      <c r="H222" s="191">
        <v>217</v>
      </c>
      <c r="I222" s="192" t="str">
        <f t="shared" si="14"/>
        <v/>
      </c>
      <c r="J222" s="191" t="e">
        <f t="shared" si="17"/>
        <v>#NUM!</v>
      </c>
      <c r="K222" s="191" t="e">
        <f t="shared" si="15"/>
        <v>#NUM!</v>
      </c>
      <c r="L222" s="191"/>
      <c r="M222" s="193">
        <f t="shared" si="16"/>
        <v>0</v>
      </c>
    </row>
    <row r="223" spans="1:13" x14ac:dyDescent="0.25">
      <c r="A223" s="208"/>
      <c r="G223" s="179"/>
      <c r="H223" s="191">
        <v>218</v>
      </c>
      <c r="I223" s="192" t="str">
        <f t="shared" si="14"/>
        <v/>
      </c>
      <c r="J223" s="191" t="e">
        <f t="shared" si="17"/>
        <v>#NUM!</v>
      </c>
      <c r="K223" s="191" t="e">
        <f t="shared" si="15"/>
        <v>#NUM!</v>
      </c>
      <c r="L223" s="191"/>
      <c r="M223" s="193">
        <f t="shared" si="16"/>
        <v>0</v>
      </c>
    </row>
    <row r="224" spans="1:13" x14ac:dyDescent="0.25">
      <c r="A224" s="208"/>
      <c r="G224" s="179"/>
      <c r="H224" s="191">
        <v>219</v>
      </c>
      <c r="I224" s="192" t="str">
        <f t="shared" si="14"/>
        <v/>
      </c>
      <c r="J224" s="191" t="e">
        <f t="shared" si="17"/>
        <v>#NUM!</v>
      </c>
      <c r="K224" s="191" t="e">
        <f t="shared" si="15"/>
        <v>#NUM!</v>
      </c>
      <c r="L224" s="191"/>
      <c r="M224" s="193">
        <f t="shared" si="16"/>
        <v>0</v>
      </c>
    </row>
    <row r="225" spans="1:13" x14ac:dyDescent="0.25">
      <c r="A225" s="208"/>
      <c r="G225" s="179"/>
      <c r="H225" s="191">
        <v>220</v>
      </c>
      <c r="I225" s="192" t="str">
        <f t="shared" si="14"/>
        <v/>
      </c>
      <c r="J225" s="191" t="e">
        <f t="shared" si="17"/>
        <v>#NUM!</v>
      </c>
      <c r="K225" s="191" t="e">
        <f t="shared" si="15"/>
        <v>#NUM!</v>
      </c>
      <c r="L225" s="191"/>
      <c r="M225" s="193">
        <f t="shared" si="16"/>
        <v>0</v>
      </c>
    </row>
    <row r="226" spans="1:13" x14ac:dyDescent="0.25">
      <c r="A226" s="208"/>
      <c r="G226" s="179"/>
      <c r="H226" s="191">
        <v>221</v>
      </c>
      <c r="I226" s="192" t="str">
        <f t="shared" si="14"/>
        <v/>
      </c>
      <c r="J226" s="191" t="e">
        <f t="shared" si="17"/>
        <v>#NUM!</v>
      </c>
      <c r="K226" s="191" t="e">
        <f t="shared" si="15"/>
        <v>#NUM!</v>
      </c>
      <c r="L226" s="191"/>
      <c r="M226" s="193">
        <f t="shared" si="16"/>
        <v>0</v>
      </c>
    </row>
    <row r="227" spans="1:13" x14ac:dyDescent="0.25">
      <c r="A227" s="208"/>
      <c r="G227" s="179"/>
      <c r="H227" s="191">
        <v>222</v>
      </c>
      <c r="I227" s="192" t="str">
        <f t="shared" si="14"/>
        <v/>
      </c>
      <c r="J227" s="191" t="e">
        <f t="shared" si="17"/>
        <v>#NUM!</v>
      </c>
      <c r="K227" s="191" t="e">
        <f t="shared" si="15"/>
        <v>#NUM!</v>
      </c>
      <c r="L227" s="191"/>
      <c r="M227" s="193">
        <f t="shared" si="16"/>
        <v>0</v>
      </c>
    </row>
    <row r="228" spans="1:13" x14ac:dyDescent="0.25">
      <c r="A228" s="208"/>
      <c r="G228" s="179"/>
      <c r="H228" s="191">
        <v>223</v>
      </c>
      <c r="I228" s="192" t="str">
        <f t="shared" si="14"/>
        <v/>
      </c>
      <c r="J228" s="191" t="e">
        <f t="shared" si="17"/>
        <v>#NUM!</v>
      </c>
      <c r="K228" s="191" t="e">
        <f t="shared" si="15"/>
        <v>#NUM!</v>
      </c>
      <c r="L228" s="191"/>
      <c r="M228" s="193">
        <f t="shared" si="16"/>
        <v>0</v>
      </c>
    </row>
    <row r="229" spans="1:13" x14ac:dyDescent="0.25">
      <c r="A229" s="208"/>
      <c r="G229" s="179"/>
      <c r="H229" s="191">
        <v>224</v>
      </c>
      <c r="I229" s="192" t="str">
        <f t="shared" si="14"/>
        <v/>
      </c>
      <c r="J229" s="191" t="e">
        <f t="shared" si="17"/>
        <v>#NUM!</v>
      </c>
      <c r="K229" s="191" t="e">
        <f t="shared" si="15"/>
        <v>#NUM!</v>
      </c>
      <c r="L229" s="191"/>
      <c r="M229" s="193">
        <f t="shared" si="16"/>
        <v>0</v>
      </c>
    </row>
    <row r="230" spans="1:13" x14ac:dyDescent="0.25">
      <c r="A230" s="208"/>
      <c r="G230" s="179"/>
      <c r="H230" s="191">
        <v>225</v>
      </c>
      <c r="I230" s="192" t="str">
        <f t="shared" si="14"/>
        <v/>
      </c>
      <c r="J230" s="191" t="e">
        <f t="shared" si="17"/>
        <v>#NUM!</v>
      </c>
      <c r="K230" s="191" t="e">
        <f t="shared" si="15"/>
        <v>#NUM!</v>
      </c>
      <c r="L230" s="191"/>
      <c r="M230" s="193">
        <f t="shared" si="16"/>
        <v>0</v>
      </c>
    </row>
    <row r="231" spans="1:13" x14ac:dyDescent="0.25">
      <c r="A231" s="208"/>
      <c r="G231" s="179"/>
      <c r="H231" s="191">
        <v>226</v>
      </c>
      <c r="I231" s="192" t="str">
        <f t="shared" si="14"/>
        <v/>
      </c>
      <c r="J231" s="191" t="e">
        <f t="shared" si="17"/>
        <v>#NUM!</v>
      </c>
      <c r="K231" s="191" t="e">
        <f t="shared" si="15"/>
        <v>#NUM!</v>
      </c>
      <c r="L231" s="191"/>
      <c r="M231" s="193">
        <f t="shared" si="16"/>
        <v>0</v>
      </c>
    </row>
    <row r="232" spans="1:13" x14ac:dyDescent="0.25">
      <c r="A232" s="208"/>
      <c r="G232" s="179"/>
      <c r="H232" s="191">
        <v>227</v>
      </c>
      <c r="I232" s="192" t="str">
        <f t="shared" si="14"/>
        <v/>
      </c>
      <c r="J232" s="191" t="e">
        <f t="shared" si="17"/>
        <v>#NUM!</v>
      </c>
      <c r="K232" s="191" t="e">
        <f t="shared" si="15"/>
        <v>#NUM!</v>
      </c>
      <c r="L232" s="191"/>
      <c r="M232" s="193">
        <f t="shared" si="16"/>
        <v>0</v>
      </c>
    </row>
    <row r="233" spans="1:13" x14ac:dyDescent="0.25">
      <c r="A233" s="208"/>
      <c r="G233" s="179"/>
      <c r="H233" s="191">
        <v>228</v>
      </c>
      <c r="I233" s="192" t="str">
        <f t="shared" si="14"/>
        <v/>
      </c>
      <c r="J233" s="191" t="e">
        <f t="shared" si="17"/>
        <v>#NUM!</v>
      </c>
      <c r="K233" s="191" t="e">
        <f t="shared" si="15"/>
        <v>#NUM!</v>
      </c>
      <c r="L233" s="191"/>
      <c r="M233" s="193">
        <f t="shared" si="16"/>
        <v>0</v>
      </c>
    </row>
    <row r="234" spans="1:13" x14ac:dyDescent="0.25">
      <c r="A234" s="208"/>
      <c r="G234" s="179"/>
      <c r="H234" s="191">
        <v>229</v>
      </c>
      <c r="I234" s="192" t="str">
        <f t="shared" si="14"/>
        <v/>
      </c>
      <c r="J234" s="191" t="e">
        <f t="shared" si="17"/>
        <v>#NUM!</v>
      </c>
      <c r="K234" s="191" t="e">
        <f t="shared" si="15"/>
        <v>#NUM!</v>
      </c>
      <c r="L234" s="191"/>
      <c r="M234" s="193">
        <f t="shared" si="16"/>
        <v>0</v>
      </c>
    </row>
    <row r="235" spans="1:13" x14ac:dyDescent="0.25">
      <c r="A235" s="208"/>
      <c r="G235" s="179"/>
      <c r="H235" s="191">
        <v>230</v>
      </c>
      <c r="I235" s="192" t="str">
        <f t="shared" si="14"/>
        <v/>
      </c>
      <c r="J235" s="191" t="e">
        <f t="shared" si="17"/>
        <v>#NUM!</v>
      </c>
      <c r="K235" s="191" t="e">
        <f t="shared" si="15"/>
        <v>#NUM!</v>
      </c>
      <c r="L235" s="191"/>
      <c r="M235" s="193">
        <f t="shared" si="16"/>
        <v>0</v>
      </c>
    </row>
    <row r="236" spans="1:13" x14ac:dyDescent="0.25">
      <c r="A236" s="208"/>
      <c r="G236" s="179"/>
      <c r="H236" s="191">
        <v>231</v>
      </c>
      <c r="I236" s="192" t="str">
        <f t="shared" si="14"/>
        <v/>
      </c>
      <c r="J236" s="191" t="e">
        <f t="shared" si="17"/>
        <v>#NUM!</v>
      </c>
      <c r="K236" s="191" t="e">
        <f t="shared" si="15"/>
        <v>#NUM!</v>
      </c>
      <c r="L236" s="191"/>
      <c r="M236" s="193">
        <f t="shared" si="16"/>
        <v>0</v>
      </c>
    </row>
    <row r="237" spans="1:13" x14ac:dyDescent="0.25">
      <c r="A237" s="208"/>
      <c r="G237" s="179"/>
      <c r="H237" s="191">
        <v>232</v>
      </c>
      <c r="I237" s="192" t="str">
        <f t="shared" si="14"/>
        <v/>
      </c>
      <c r="J237" s="191" t="e">
        <f t="shared" si="17"/>
        <v>#NUM!</v>
      </c>
      <c r="K237" s="191" t="e">
        <f t="shared" si="15"/>
        <v>#NUM!</v>
      </c>
      <c r="L237" s="191"/>
      <c r="M237" s="193">
        <f t="shared" si="16"/>
        <v>0</v>
      </c>
    </row>
    <row r="238" spans="1:13" x14ac:dyDescent="0.25">
      <c r="A238" s="208"/>
      <c r="G238" s="179"/>
      <c r="H238" s="191">
        <v>233</v>
      </c>
      <c r="I238" s="192" t="str">
        <f t="shared" si="14"/>
        <v/>
      </c>
      <c r="J238" s="191" t="e">
        <f t="shared" si="17"/>
        <v>#NUM!</v>
      </c>
      <c r="K238" s="191" t="e">
        <f t="shared" si="15"/>
        <v>#NUM!</v>
      </c>
      <c r="L238" s="191"/>
      <c r="M238" s="193">
        <f t="shared" si="16"/>
        <v>0</v>
      </c>
    </row>
    <row r="239" spans="1:13" x14ac:dyDescent="0.25">
      <c r="A239" s="208"/>
      <c r="G239" s="179"/>
      <c r="H239" s="191">
        <v>234</v>
      </c>
      <c r="I239" s="192" t="str">
        <f t="shared" si="14"/>
        <v/>
      </c>
      <c r="J239" s="191" t="e">
        <f t="shared" si="17"/>
        <v>#NUM!</v>
      </c>
      <c r="K239" s="191" t="e">
        <f t="shared" si="15"/>
        <v>#NUM!</v>
      </c>
      <c r="L239" s="191"/>
      <c r="M239" s="193">
        <f t="shared" si="16"/>
        <v>0</v>
      </c>
    </row>
    <row r="240" spans="1:13" x14ac:dyDescent="0.25">
      <c r="A240" s="208"/>
      <c r="G240" s="179"/>
      <c r="H240" s="191">
        <v>235</v>
      </c>
      <c r="I240" s="192" t="str">
        <f t="shared" si="14"/>
        <v/>
      </c>
      <c r="J240" s="191" t="e">
        <f t="shared" si="17"/>
        <v>#NUM!</v>
      </c>
      <c r="K240" s="191" t="e">
        <f t="shared" si="15"/>
        <v>#NUM!</v>
      </c>
      <c r="L240" s="191"/>
      <c r="M240" s="193">
        <f t="shared" si="16"/>
        <v>0</v>
      </c>
    </row>
    <row r="241" spans="1:13" x14ac:dyDescent="0.25">
      <c r="A241" s="208"/>
      <c r="G241" s="179"/>
      <c r="H241" s="191">
        <v>236</v>
      </c>
      <c r="I241" s="192" t="str">
        <f t="shared" si="14"/>
        <v/>
      </c>
      <c r="J241" s="191" t="e">
        <f t="shared" si="17"/>
        <v>#NUM!</v>
      </c>
      <c r="K241" s="191" t="e">
        <f t="shared" si="15"/>
        <v>#NUM!</v>
      </c>
      <c r="L241" s="191"/>
      <c r="M241" s="193">
        <f t="shared" si="16"/>
        <v>0</v>
      </c>
    </row>
    <row r="242" spans="1:13" x14ac:dyDescent="0.25">
      <c r="A242" s="208"/>
      <c r="G242" s="179"/>
      <c r="H242" s="191">
        <v>237</v>
      </c>
      <c r="I242" s="192" t="str">
        <f t="shared" si="14"/>
        <v/>
      </c>
      <c r="J242" s="191" t="e">
        <f t="shared" si="17"/>
        <v>#NUM!</v>
      </c>
      <c r="K242" s="191" t="e">
        <f t="shared" si="15"/>
        <v>#NUM!</v>
      </c>
      <c r="L242" s="191"/>
      <c r="M242" s="193">
        <f t="shared" si="16"/>
        <v>0</v>
      </c>
    </row>
    <row r="243" spans="1:13" x14ac:dyDescent="0.25">
      <c r="A243" s="208"/>
      <c r="G243" s="179"/>
      <c r="H243" s="191">
        <v>238</v>
      </c>
      <c r="I243" s="192" t="str">
        <f t="shared" si="14"/>
        <v/>
      </c>
      <c r="J243" s="191" t="e">
        <f t="shared" si="17"/>
        <v>#NUM!</v>
      </c>
      <c r="K243" s="191" t="e">
        <f t="shared" si="15"/>
        <v>#NUM!</v>
      </c>
      <c r="L243" s="191"/>
      <c r="M243" s="193">
        <f t="shared" si="16"/>
        <v>0</v>
      </c>
    </row>
    <row r="244" spans="1:13" x14ac:dyDescent="0.25">
      <c r="A244" s="208"/>
      <c r="G244" s="179"/>
      <c r="H244" s="191">
        <v>239</v>
      </c>
      <c r="I244" s="192" t="str">
        <f t="shared" si="14"/>
        <v/>
      </c>
      <c r="J244" s="191" t="e">
        <f t="shared" si="17"/>
        <v>#NUM!</v>
      </c>
      <c r="K244" s="191" t="e">
        <f t="shared" si="15"/>
        <v>#NUM!</v>
      </c>
      <c r="L244" s="191"/>
      <c r="M244" s="193">
        <f t="shared" si="16"/>
        <v>0</v>
      </c>
    </row>
    <row r="245" spans="1:13" x14ac:dyDescent="0.25">
      <c r="A245" s="208"/>
      <c r="G245" s="179"/>
      <c r="H245" s="191">
        <v>240</v>
      </c>
      <c r="I245" s="192" t="str">
        <f t="shared" si="14"/>
        <v/>
      </c>
      <c r="J245" s="191" t="e">
        <f t="shared" si="17"/>
        <v>#NUM!</v>
      </c>
      <c r="K245" s="191" t="e">
        <f t="shared" si="15"/>
        <v>#NUM!</v>
      </c>
      <c r="L245" s="191"/>
      <c r="M245" s="193">
        <f t="shared" si="16"/>
        <v>0</v>
      </c>
    </row>
    <row r="246" spans="1:13" x14ac:dyDescent="0.25">
      <c r="A246" s="208"/>
      <c r="G246" s="179"/>
      <c r="H246" s="191">
        <v>241</v>
      </c>
      <c r="I246" s="192" t="str">
        <f t="shared" si="14"/>
        <v/>
      </c>
      <c r="J246" s="191" t="e">
        <f t="shared" si="17"/>
        <v>#NUM!</v>
      </c>
      <c r="K246" s="191" t="e">
        <f t="shared" si="15"/>
        <v>#NUM!</v>
      </c>
      <c r="L246" s="191"/>
      <c r="M246" s="193">
        <f t="shared" si="16"/>
        <v>0</v>
      </c>
    </row>
    <row r="247" spans="1:13" x14ac:dyDescent="0.25">
      <c r="A247" s="208"/>
      <c r="G247" s="179"/>
      <c r="H247" s="191">
        <v>242</v>
      </c>
      <c r="I247" s="192" t="str">
        <f t="shared" si="14"/>
        <v/>
      </c>
      <c r="J247" s="191" t="e">
        <f t="shared" si="17"/>
        <v>#NUM!</v>
      </c>
      <c r="K247" s="191" t="e">
        <f t="shared" si="15"/>
        <v>#NUM!</v>
      </c>
      <c r="L247" s="191"/>
      <c r="M247" s="193">
        <f t="shared" si="16"/>
        <v>0</v>
      </c>
    </row>
    <row r="248" spans="1:13" x14ac:dyDescent="0.25">
      <c r="A248" s="208"/>
      <c r="G248" s="179"/>
      <c r="H248" s="191">
        <v>243</v>
      </c>
      <c r="I248" s="192" t="str">
        <f t="shared" si="14"/>
        <v/>
      </c>
      <c r="J248" s="191" t="e">
        <f t="shared" si="17"/>
        <v>#NUM!</v>
      </c>
      <c r="K248" s="191" t="e">
        <f t="shared" si="15"/>
        <v>#NUM!</v>
      </c>
      <c r="L248" s="191"/>
      <c r="M248" s="193">
        <f t="shared" si="16"/>
        <v>0</v>
      </c>
    </row>
    <row r="249" spans="1:13" x14ac:dyDescent="0.25">
      <c r="A249" s="208"/>
      <c r="G249" s="179"/>
      <c r="H249" s="191">
        <v>244</v>
      </c>
      <c r="I249" s="192" t="str">
        <f t="shared" si="14"/>
        <v/>
      </c>
      <c r="J249" s="191" t="e">
        <f t="shared" si="17"/>
        <v>#NUM!</v>
      </c>
      <c r="K249" s="191" t="e">
        <f t="shared" si="15"/>
        <v>#NUM!</v>
      </c>
      <c r="L249" s="191"/>
      <c r="M249" s="193">
        <f t="shared" si="16"/>
        <v>0</v>
      </c>
    </row>
    <row r="250" spans="1:13" x14ac:dyDescent="0.25">
      <c r="A250" s="208"/>
      <c r="G250" s="179"/>
      <c r="H250" s="191">
        <v>245</v>
      </c>
      <c r="I250" s="192" t="str">
        <f t="shared" si="14"/>
        <v/>
      </c>
      <c r="J250" s="191" t="e">
        <f t="shared" si="17"/>
        <v>#NUM!</v>
      </c>
      <c r="K250" s="191" t="e">
        <f t="shared" si="15"/>
        <v>#NUM!</v>
      </c>
      <c r="L250" s="191"/>
      <c r="M250" s="193">
        <f t="shared" si="16"/>
        <v>0</v>
      </c>
    </row>
    <row r="251" spans="1:13" x14ac:dyDescent="0.25">
      <c r="A251" s="208"/>
      <c r="G251" s="179"/>
      <c r="H251" s="191">
        <v>246</v>
      </c>
      <c r="I251" s="192" t="str">
        <f t="shared" si="14"/>
        <v/>
      </c>
      <c r="J251" s="191" t="e">
        <f t="shared" si="17"/>
        <v>#NUM!</v>
      </c>
      <c r="K251" s="191" t="e">
        <f t="shared" si="15"/>
        <v>#NUM!</v>
      </c>
      <c r="L251" s="191"/>
      <c r="M251" s="193">
        <f t="shared" si="16"/>
        <v>0</v>
      </c>
    </row>
    <row r="252" spans="1:13" x14ac:dyDescent="0.25">
      <c r="A252" s="208"/>
      <c r="G252" s="179"/>
      <c r="H252" s="191">
        <v>247</v>
      </c>
      <c r="I252" s="192" t="str">
        <f t="shared" si="14"/>
        <v/>
      </c>
      <c r="J252" s="191" t="e">
        <f t="shared" si="17"/>
        <v>#NUM!</v>
      </c>
      <c r="K252" s="191" t="e">
        <f t="shared" si="15"/>
        <v>#NUM!</v>
      </c>
      <c r="L252" s="191"/>
      <c r="M252" s="193">
        <f t="shared" si="16"/>
        <v>0</v>
      </c>
    </row>
    <row r="253" spans="1:13" x14ac:dyDescent="0.25">
      <c r="A253" s="208"/>
      <c r="G253" s="179"/>
      <c r="H253" s="191">
        <v>248</v>
      </c>
      <c r="I253" s="192" t="str">
        <f t="shared" si="14"/>
        <v/>
      </c>
      <c r="J253" s="191" t="e">
        <f t="shared" si="17"/>
        <v>#NUM!</v>
      </c>
      <c r="K253" s="191" t="e">
        <f t="shared" si="15"/>
        <v>#NUM!</v>
      </c>
      <c r="L253" s="191"/>
      <c r="M253" s="193">
        <f t="shared" si="16"/>
        <v>0</v>
      </c>
    </row>
    <row r="254" spans="1:13" x14ac:dyDescent="0.25">
      <c r="A254" s="208"/>
      <c r="G254" s="179"/>
      <c r="H254" s="191">
        <v>249</v>
      </c>
      <c r="I254" s="192" t="str">
        <f t="shared" si="14"/>
        <v/>
      </c>
      <c r="J254" s="191" t="e">
        <f t="shared" si="17"/>
        <v>#NUM!</v>
      </c>
      <c r="K254" s="191" t="e">
        <f t="shared" si="15"/>
        <v>#NUM!</v>
      </c>
      <c r="L254" s="191"/>
      <c r="M254" s="193">
        <f t="shared" si="16"/>
        <v>0</v>
      </c>
    </row>
    <row r="255" spans="1:13" x14ac:dyDescent="0.25">
      <c r="A255" s="208"/>
      <c r="G255" s="179"/>
      <c r="H255" s="191">
        <v>250</v>
      </c>
      <c r="I255" s="192" t="str">
        <f t="shared" si="14"/>
        <v/>
      </c>
      <c r="J255" s="191" t="e">
        <f t="shared" si="17"/>
        <v>#NUM!</v>
      </c>
      <c r="K255" s="191" t="e">
        <f t="shared" si="15"/>
        <v>#NUM!</v>
      </c>
      <c r="L255" s="191"/>
      <c r="M255" s="193">
        <f t="shared" si="16"/>
        <v>0</v>
      </c>
    </row>
    <row r="256" spans="1:13" x14ac:dyDescent="0.25">
      <c r="A256" s="208"/>
      <c r="G256" s="179"/>
      <c r="H256" s="191">
        <v>251</v>
      </c>
      <c r="I256" s="192" t="str">
        <f t="shared" si="14"/>
        <v/>
      </c>
      <c r="J256" s="191" t="e">
        <f t="shared" si="17"/>
        <v>#NUM!</v>
      </c>
      <c r="K256" s="191" t="e">
        <f t="shared" si="15"/>
        <v>#NUM!</v>
      </c>
      <c r="L256" s="191"/>
      <c r="M256" s="193">
        <f t="shared" si="16"/>
        <v>0</v>
      </c>
    </row>
    <row r="257" spans="1:13" x14ac:dyDescent="0.25">
      <c r="A257" s="208"/>
      <c r="G257" s="179"/>
      <c r="H257" s="191">
        <v>252</v>
      </c>
      <c r="I257" s="192" t="str">
        <f t="shared" si="14"/>
        <v/>
      </c>
      <c r="J257" s="191" t="e">
        <f t="shared" si="17"/>
        <v>#NUM!</v>
      </c>
      <c r="K257" s="191" t="e">
        <f t="shared" si="15"/>
        <v>#NUM!</v>
      </c>
      <c r="L257" s="191"/>
      <c r="M257" s="193">
        <f t="shared" si="16"/>
        <v>0</v>
      </c>
    </row>
    <row r="258" spans="1:13" x14ac:dyDescent="0.25">
      <c r="A258" s="208"/>
      <c r="G258" s="179"/>
      <c r="H258" s="191">
        <v>253</v>
      </c>
      <c r="I258" s="192" t="str">
        <f t="shared" si="14"/>
        <v/>
      </c>
      <c r="J258" s="191" t="e">
        <f t="shared" si="17"/>
        <v>#NUM!</v>
      </c>
      <c r="K258" s="191" t="e">
        <f t="shared" si="15"/>
        <v>#NUM!</v>
      </c>
      <c r="L258" s="191"/>
      <c r="M258" s="193">
        <f t="shared" si="16"/>
        <v>0</v>
      </c>
    </row>
    <row r="259" spans="1:13" x14ac:dyDescent="0.25">
      <c r="A259" s="208"/>
      <c r="G259" s="179"/>
      <c r="H259" s="191">
        <v>254</v>
      </c>
      <c r="I259" s="192" t="str">
        <f t="shared" si="14"/>
        <v/>
      </c>
      <c r="J259" s="191" t="e">
        <f t="shared" si="17"/>
        <v>#NUM!</v>
      </c>
      <c r="K259" s="191" t="e">
        <f t="shared" si="15"/>
        <v>#NUM!</v>
      </c>
      <c r="L259" s="191"/>
      <c r="M259" s="193">
        <f t="shared" si="16"/>
        <v>0</v>
      </c>
    </row>
    <row r="260" spans="1:13" x14ac:dyDescent="0.25">
      <c r="A260" s="208"/>
      <c r="G260" s="179"/>
      <c r="H260" s="191">
        <v>255</v>
      </c>
      <c r="I260" s="192" t="str">
        <f t="shared" si="14"/>
        <v/>
      </c>
      <c r="J260" s="191" t="e">
        <f t="shared" si="17"/>
        <v>#NUM!</v>
      </c>
      <c r="K260" s="191" t="e">
        <f t="shared" si="15"/>
        <v>#NUM!</v>
      </c>
      <c r="L260" s="191"/>
      <c r="M260" s="193">
        <f t="shared" si="16"/>
        <v>0</v>
      </c>
    </row>
    <row r="261" spans="1:13" x14ac:dyDescent="0.25">
      <c r="A261" s="208"/>
      <c r="G261" s="179"/>
      <c r="H261" s="191">
        <v>256</v>
      </c>
      <c r="I261" s="192" t="str">
        <f t="shared" si="14"/>
        <v/>
      </c>
      <c r="J261" s="191" t="e">
        <f t="shared" si="17"/>
        <v>#NUM!</v>
      </c>
      <c r="K261" s="191" t="e">
        <f t="shared" si="15"/>
        <v>#NUM!</v>
      </c>
      <c r="L261" s="191"/>
      <c r="M261" s="193">
        <f t="shared" si="16"/>
        <v>0</v>
      </c>
    </row>
    <row r="262" spans="1:13" x14ac:dyDescent="0.25">
      <c r="A262" s="208"/>
      <c r="G262" s="179"/>
      <c r="H262" s="191">
        <v>257</v>
      </c>
      <c r="I262" s="192" t="str">
        <f t="shared" ref="I262:I305" si="18">IF(H262&lt;$H$2+1,($I$2-($I$2-1)*(LOG(H262)/LOG($H$2))),"")</f>
        <v/>
      </c>
      <c r="J262" s="191" t="e">
        <f t="shared" si="17"/>
        <v>#NUM!</v>
      </c>
      <c r="K262" s="191" t="e">
        <f t="shared" ref="K262:K305" si="19">J262*$J$2</f>
        <v>#NUM!</v>
      </c>
      <c r="L262" s="191"/>
      <c r="M262" s="193">
        <f t="shared" ref="M262:M305" si="20">IF(I262&lt;&gt;"",K262+I262+L262,0)</f>
        <v>0</v>
      </c>
    </row>
    <row r="263" spans="1:13" x14ac:dyDescent="0.25">
      <c r="A263" s="208"/>
      <c r="G263" s="179"/>
      <c r="H263" s="191">
        <v>258</v>
      </c>
      <c r="I263" s="192" t="str">
        <f t="shared" si="18"/>
        <v/>
      </c>
      <c r="J263" s="191" t="e">
        <f t="shared" ref="J263:J326" si="21">INT(LOG($H$2,2))-ROUNDUP(LOG(H263,2),0)+IF(OR($H$2=1,$H$2=2,$H$2=4,$H$2=8,$H$2=16,$H$2=32,$H$2=64,$H$2=128,$H$2=256),0,1)</f>
        <v>#NUM!</v>
      </c>
      <c r="K263" s="191" t="e">
        <f t="shared" si="19"/>
        <v>#NUM!</v>
      </c>
      <c r="L263" s="191"/>
      <c r="M263" s="193">
        <f t="shared" si="20"/>
        <v>0</v>
      </c>
    </row>
    <row r="264" spans="1:13" x14ac:dyDescent="0.25">
      <c r="A264" s="208"/>
      <c r="G264" s="179"/>
      <c r="H264" s="191">
        <v>259</v>
      </c>
      <c r="I264" s="192" t="str">
        <f t="shared" si="18"/>
        <v/>
      </c>
      <c r="J264" s="191" t="e">
        <f t="shared" si="21"/>
        <v>#NUM!</v>
      </c>
      <c r="K264" s="191" t="e">
        <f t="shared" si="19"/>
        <v>#NUM!</v>
      </c>
      <c r="L264" s="191"/>
      <c r="M264" s="193">
        <f t="shared" si="20"/>
        <v>0</v>
      </c>
    </row>
    <row r="265" spans="1:13" x14ac:dyDescent="0.25">
      <c r="A265" s="208"/>
      <c r="G265" s="179"/>
      <c r="H265" s="191">
        <v>260</v>
      </c>
      <c r="I265" s="192" t="str">
        <f t="shared" si="18"/>
        <v/>
      </c>
      <c r="J265" s="191" t="e">
        <f t="shared" si="21"/>
        <v>#NUM!</v>
      </c>
      <c r="K265" s="191" t="e">
        <f t="shared" si="19"/>
        <v>#NUM!</v>
      </c>
      <c r="L265" s="191"/>
      <c r="M265" s="193">
        <f t="shared" si="20"/>
        <v>0</v>
      </c>
    </row>
    <row r="266" spans="1:13" x14ac:dyDescent="0.25">
      <c r="A266" s="208"/>
      <c r="G266" s="179"/>
      <c r="H266" s="191">
        <v>261</v>
      </c>
      <c r="I266" s="192" t="str">
        <f t="shared" si="18"/>
        <v/>
      </c>
      <c r="J266" s="191" t="e">
        <f t="shared" si="21"/>
        <v>#NUM!</v>
      </c>
      <c r="K266" s="191" t="e">
        <f t="shared" si="19"/>
        <v>#NUM!</v>
      </c>
      <c r="L266" s="191"/>
      <c r="M266" s="193">
        <f t="shared" si="20"/>
        <v>0</v>
      </c>
    </row>
    <row r="267" spans="1:13" x14ac:dyDescent="0.25">
      <c r="A267" s="208"/>
      <c r="G267" s="179"/>
      <c r="H267" s="191">
        <v>262</v>
      </c>
      <c r="I267" s="192" t="str">
        <f t="shared" si="18"/>
        <v/>
      </c>
      <c r="J267" s="191" t="e">
        <f t="shared" si="21"/>
        <v>#NUM!</v>
      </c>
      <c r="K267" s="191" t="e">
        <f t="shared" si="19"/>
        <v>#NUM!</v>
      </c>
      <c r="L267" s="191"/>
      <c r="M267" s="193">
        <f t="shared" si="20"/>
        <v>0</v>
      </c>
    </row>
    <row r="268" spans="1:13" x14ac:dyDescent="0.25">
      <c r="A268" s="208"/>
      <c r="G268" s="179"/>
      <c r="H268" s="191">
        <v>263</v>
      </c>
      <c r="I268" s="192" t="str">
        <f t="shared" si="18"/>
        <v/>
      </c>
      <c r="J268" s="191" t="e">
        <f t="shared" si="21"/>
        <v>#NUM!</v>
      </c>
      <c r="K268" s="191" t="e">
        <f t="shared" si="19"/>
        <v>#NUM!</v>
      </c>
      <c r="L268" s="191"/>
      <c r="M268" s="193">
        <f t="shared" si="20"/>
        <v>0</v>
      </c>
    </row>
    <row r="269" spans="1:13" x14ac:dyDescent="0.25">
      <c r="A269" s="208"/>
      <c r="G269" s="179"/>
      <c r="H269" s="191">
        <v>264</v>
      </c>
      <c r="I269" s="192" t="str">
        <f t="shared" si="18"/>
        <v/>
      </c>
      <c r="J269" s="191" t="e">
        <f t="shared" si="21"/>
        <v>#NUM!</v>
      </c>
      <c r="K269" s="191" t="e">
        <f t="shared" si="19"/>
        <v>#NUM!</v>
      </c>
      <c r="L269" s="191"/>
      <c r="M269" s="193">
        <f t="shared" si="20"/>
        <v>0</v>
      </c>
    </row>
    <row r="270" spans="1:13" x14ac:dyDescent="0.25">
      <c r="A270" s="208"/>
      <c r="G270" s="179"/>
      <c r="H270" s="191">
        <v>265</v>
      </c>
      <c r="I270" s="192" t="str">
        <f t="shared" si="18"/>
        <v/>
      </c>
      <c r="J270" s="191" t="e">
        <f t="shared" si="21"/>
        <v>#NUM!</v>
      </c>
      <c r="K270" s="191" t="e">
        <f t="shared" si="19"/>
        <v>#NUM!</v>
      </c>
      <c r="L270" s="191"/>
      <c r="M270" s="193">
        <f t="shared" si="20"/>
        <v>0</v>
      </c>
    </row>
    <row r="271" spans="1:13" x14ac:dyDescent="0.25">
      <c r="A271" s="208"/>
      <c r="G271" s="179"/>
      <c r="H271" s="191">
        <v>266</v>
      </c>
      <c r="I271" s="192" t="str">
        <f t="shared" si="18"/>
        <v/>
      </c>
      <c r="J271" s="191" t="e">
        <f t="shared" si="21"/>
        <v>#NUM!</v>
      </c>
      <c r="K271" s="191" t="e">
        <f t="shared" si="19"/>
        <v>#NUM!</v>
      </c>
      <c r="L271" s="191"/>
      <c r="M271" s="193">
        <f t="shared" si="20"/>
        <v>0</v>
      </c>
    </row>
    <row r="272" spans="1:13" x14ac:dyDescent="0.25">
      <c r="A272" s="208"/>
      <c r="G272" s="179"/>
      <c r="H272" s="191">
        <v>267</v>
      </c>
      <c r="I272" s="192" t="str">
        <f t="shared" si="18"/>
        <v/>
      </c>
      <c r="J272" s="191" t="e">
        <f t="shared" si="21"/>
        <v>#NUM!</v>
      </c>
      <c r="K272" s="191" t="e">
        <f t="shared" si="19"/>
        <v>#NUM!</v>
      </c>
      <c r="L272" s="191"/>
      <c r="M272" s="193">
        <f t="shared" si="20"/>
        <v>0</v>
      </c>
    </row>
    <row r="273" spans="1:13" x14ac:dyDescent="0.25">
      <c r="A273" s="208"/>
      <c r="G273" s="179"/>
      <c r="H273" s="191">
        <v>268</v>
      </c>
      <c r="I273" s="192" t="str">
        <f t="shared" si="18"/>
        <v/>
      </c>
      <c r="J273" s="191" t="e">
        <f t="shared" si="21"/>
        <v>#NUM!</v>
      </c>
      <c r="K273" s="191" t="e">
        <f t="shared" si="19"/>
        <v>#NUM!</v>
      </c>
      <c r="L273" s="191"/>
      <c r="M273" s="193">
        <f t="shared" si="20"/>
        <v>0</v>
      </c>
    </row>
    <row r="274" spans="1:13" x14ac:dyDescent="0.25">
      <c r="A274" s="208"/>
      <c r="G274" s="179"/>
      <c r="H274" s="191">
        <v>269</v>
      </c>
      <c r="I274" s="192" t="str">
        <f t="shared" si="18"/>
        <v/>
      </c>
      <c r="J274" s="191" t="e">
        <f t="shared" si="21"/>
        <v>#NUM!</v>
      </c>
      <c r="K274" s="191" t="e">
        <f t="shared" si="19"/>
        <v>#NUM!</v>
      </c>
      <c r="L274" s="191"/>
      <c r="M274" s="193">
        <f t="shared" si="20"/>
        <v>0</v>
      </c>
    </row>
    <row r="275" spans="1:13" x14ac:dyDescent="0.25">
      <c r="A275" s="208"/>
      <c r="G275" s="179"/>
      <c r="H275" s="191">
        <v>270</v>
      </c>
      <c r="I275" s="192" t="str">
        <f t="shared" si="18"/>
        <v/>
      </c>
      <c r="J275" s="191" t="e">
        <f t="shared" si="21"/>
        <v>#NUM!</v>
      </c>
      <c r="K275" s="191" t="e">
        <f t="shared" si="19"/>
        <v>#NUM!</v>
      </c>
      <c r="L275" s="191"/>
      <c r="M275" s="193">
        <f t="shared" si="20"/>
        <v>0</v>
      </c>
    </row>
    <row r="276" spans="1:13" x14ac:dyDescent="0.25">
      <c r="A276" s="208"/>
      <c r="G276" s="179"/>
      <c r="H276" s="191">
        <v>271</v>
      </c>
      <c r="I276" s="192" t="str">
        <f t="shared" si="18"/>
        <v/>
      </c>
      <c r="J276" s="191" t="e">
        <f t="shared" si="21"/>
        <v>#NUM!</v>
      </c>
      <c r="K276" s="191" t="e">
        <f t="shared" si="19"/>
        <v>#NUM!</v>
      </c>
      <c r="L276" s="191"/>
      <c r="M276" s="193">
        <f t="shared" si="20"/>
        <v>0</v>
      </c>
    </row>
    <row r="277" spans="1:13" x14ac:dyDescent="0.25">
      <c r="A277" s="208"/>
      <c r="G277" s="179"/>
      <c r="H277" s="191">
        <v>272</v>
      </c>
      <c r="I277" s="192" t="str">
        <f t="shared" si="18"/>
        <v/>
      </c>
      <c r="J277" s="191" t="e">
        <f t="shared" si="21"/>
        <v>#NUM!</v>
      </c>
      <c r="K277" s="191" t="e">
        <f t="shared" si="19"/>
        <v>#NUM!</v>
      </c>
      <c r="L277" s="191"/>
      <c r="M277" s="193">
        <f t="shared" si="20"/>
        <v>0</v>
      </c>
    </row>
    <row r="278" spans="1:13" x14ac:dyDescent="0.25">
      <c r="A278" s="208"/>
      <c r="G278" s="179"/>
      <c r="H278" s="191">
        <v>273</v>
      </c>
      <c r="I278" s="192" t="str">
        <f t="shared" si="18"/>
        <v/>
      </c>
      <c r="J278" s="191" t="e">
        <f t="shared" si="21"/>
        <v>#NUM!</v>
      </c>
      <c r="K278" s="191" t="e">
        <f t="shared" si="19"/>
        <v>#NUM!</v>
      </c>
      <c r="L278" s="191"/>
      <c r="M278" s="193">
        <f t="shared" si="20"/>
        <v>0</v>
      </c>
    </row>
    <row r="279" spans="1:13" x14ac:dyDescent="0.25">
      <c r="A279" s="208"/>
      <c r="G279" s="179"/>
      <c r="H279" s="191">
        <v>274</v>
      </c>
      <c r="I279" s="192" t="str">
        <f t="shared" si="18"/>
        <v/>
      </c>
      <c r="J279" s="191" t="e">
        <f t="shared" si="21"/>
        <v>#NUM!</v>
      </c>
      <c r="K279" s="191" t="e">
        <f t="shared" si="19"/>
        <v>#NUM!</v>
      </c>
      <c r="L279" s="191"/>
      <c r="M279" s="193">
        <f t="shared" si="20"/>
        <v>0</v>
      </c>
    </row>
    <row r="280" spans="1:13" x14ac:dyDescent="0.25">
      <c r="A280" s="208"/>
      <c r="G280" s="179"/>
      <c r="H280" s="191">
        <v>275</v>
      </c>
      <c r="I280" s="192" t="str">
        <f t="shared" si="18"/>
        <v/>
      </c>
      <c r="J280" s="191" t="e">
        <f t="shared" si="21"/>
        <v>#NUM!</v>
      </c>
      <c r="K280" s="191" t="e">
        <f t="shared" si="19"/>
        <v>#NUM!</v>
      </c>
      <c r="L280" s="191"/>
      <c r="M280" s="193">
        <f t="shared" si="20"/>
        <v>0</v>
      </c>
    </row>
    <row r="281" spans="1:13" x14ac:dyDescent="0.25">
      <c r="A281" s="208"/>
      <c r="G281" s="179"/>
      <c r="H281" s="191">
        <v>276</v>
      </c>
      <c r="I281" s="192" t="str">
        <f t="shared" si="18"/>
        <v/>
      </c>
      <c r="J281" s="191" t="e">
        <f t="shared" si="21"/>
        <v>#NUM!</v>
      </c>
      <c r="K281" s="191" t="e">
        <f t="shared" si="19"/>
        <v>#NUM!</v>
      </c>
      <c r="L281" s="191"/>
      <c r="M281" s="193">
        <f t="shared" si="20"/>
        <v>0</v>
      </c>
    </row>
    <row r="282" spans="1:13" x14ac:dyDescent="0.25">
      <c r="A282" s="208"/>
      <c r="G282" s="179"/>
      <c r="H282" s="191">
        <v>277</v>
      </c>
      <c r="I282" s="192" t="str">
        <f t="shared" si="18"/>
        <v/>
      </c>
      <c r="J282" s="191" t="e">
        <f t="shared" si="21"/>
        <v>#NUM!</v>
      </c>
      <c r="K282" s="191" t="e">
        <f t="shared" si="19"/>
        <v>#NUM!</v>
      </c>
      <c r="L282" s="191"/>
      <c r="M282" s="193">
        <f t="shared" si="20"/>
        <v>0</v>
      </c>
    </row>
    <row r="283" spans="1:13" x14ac:dyDescent="0.25">
      <c r="A283" s="208"/>
      <c r="G283" s="179"/>
      <c r="H283" s="191">
        <v>278</v>
      </c>
      <c r="I283" s="192" t="str">
        <f t="shared" si="18"/>
        <v/>
      </c>
      <c r="J283" s="191" t="e">
        <f t="shared" si="21"/>
        <v>#NUM!</v>
      </c>
      <c r="K283" s="191" t="e">
        <f t="shared" si="19"/>
        <v>#NUM!</v>
      </c>
      <c r="L283" s="191"/>
      <c r="M283" s="193">
        <f t="shared" si="20"/>
        <v>0</v>
      </c>
    </row>
    <row r="284" spans="1:13" x14ac:dyDescent="0.25">
      <c r="A284" s="208"/>
      <c r="G284" s="179"/>
      <c r="H284" s="191">
        <v>279</v>
      </c>
      <c r="I284" s="192" t="str">
        <f t="shared" si="18"/>
        <v/>
      </c>
      <c r="J284" s="191" t="e">
        <f t="shared" si="21"/>
        <v>#NUM!</v>
      </c>
      <c r="K284" s="191" t="e">
        <f t="shared" si="19"/>
        <v>#NUM!</v>
      </c>
      <c r="L284" s="191"/>
      <c r="M284" s="193">
        <f t="shared" si="20"/>
        <v>0</v>
      </c>
    </row>
    <row r="285" spans="1:13" x14ac:dyDescent="0.25">
      <c r="A285" s="208"/>
      <c r="G285" s="179"/>
      <c r="H285" s="191">
        <v>280</v>
      </c>
      <c r="I285" s="192" t="str">
        <f t="shared" si="18"/>
        <v/>
      </c>
      <c r="J285" s="191" t="e">
        <f t="shared" si="21"/>
        <v>#NUM!</v>
      </c>
      <c r="K285" s="191" t="e">
        <f t="shared" si="19"/>
        <v>#NUM!</v>
      </c>
      <c r="L285" s="191"/>
      <c r="M285" s="193">
        <f t="shared" si="20"/>
        <v>0</v>
      </c>
    </row>
    <row r="286" spans="1:13" x14ac:dyDescent="0.25">
      <c r="A286" s="208"/>
      <c r="G286" s="179"/>
      <c r="H286" s="191">
        <v>281</v>
      </c>
      <c r="I286" s="192" t="str">
        <f t="shared" si="18"/>
        <v/>
      </c>
      <c r="J286" s="191" t="e">
        <f t="shared" si="21"/>
        <v>#NUM!</v>
      </c>
      <c r="K286" s="191" t="e">
        <f t="shared" si="19"/>
        <v>#NUM!</v>
      </c>
      <c r="L286" s="191"/>
      <c r="M286" s="193">
        <f t="shared" si="20"/>
        <v>0</v>
      </c>
    </row>
    <row r="287" spans="1:13" x14ac:dyDescent="0.25">
      <c r="A287" s="208"/>
      <c r="G287" s="179"/>
      <c r="H287" s="191">
        <v>282</v>
      </c>
      <c r="I287" s="192" t="str">
        <f t="shared" si="18"/>
        <v/>
      </c>
      <c r="J287" s="191" t="e">
        <f t="shared" si="21"/>
        <v>#NUM!</v>
      </c>
      <c r="K287" s="191" t="e">
        <f t="shared" si="19"/>
        <v>#NUM!</v>
      </c>
      <c r="L287" s="191"/>
      <c r="M287" s="193">
        <f t="shared" si="20"/>
        <v>0</v>
      </c>
    </row>
    <row r="288" spans="1:13" x14ac:dyDescent="0.25">
      <c r="A288" s="208"/>
      <c r="G288" s="179"/>
      <c r="H288" s="191">
        <v>283</v>
      </c>
      <c r="I288" s="192" t="str">
        <f t="shared" si="18"/>
        <v/>
      </c>
      <c r="J288" s="191" t="e">
        <f t="shared" si="21"/>
        <v>#NUM!</v>
      </c>
      <c r="K288" s="191" t="e">
        <f t="shared" si="19"/>
        <v>#NUM!</v>
      </c>
      <c r="L288" s="191"/>
      <c r="M288" s="193">
        <f t="shared" si="20"/>
        <v>0</v>
      </c>
    </row>
    <row r="289" spans="1:13" x14ac:dyDescent="0.25">
      <c r="A289" s="208"/>
      <c r="G289" s="179"/>
      <c r="H289" s="191">
        <v>284</v>
      </c>
      <c r="I289" s="192" t="str">
        <f t="shared" si="18"/>
        <v/>
      </c>
      <c r="J289" s="191" t="e">
        <f t="shared" si="21"/>
        <v>#NUM!</v>
      </c>
      <c r="K289" s="191" t="e">
        <f t="shared" si="19"/>
        <v>#NUM!</v>
      </c>
      <c r="L289" s="191"/>
      <c r="M289" s="193">
        <f t="shared" si="20"/>
        <v>0</v>
      </c>
    </row>
    <row r="290" spans="1:13" x14ac:dyDescent="0.25">
      <c r="A290" s="208"/>
      <c r="G290" s="179"/>
      <c r="H290" s="191">
        <v>285</v>
      </c>
      <c r="I290" s="192" t="str">
        <f t="shared" si="18"/>
        <v/>
      </c>
      <c r="J290" s="191" t="e">
        <f t="shared" si="21"/>
        <v>#NUM!</v>
      </c>
      <c r="K290" s="191" t="e">
        <f t="shared" si="19"/>
        <v>#NUM!</v>
      </c>
      <c r="L290" s="191"/>
      <c r="M290" s="193">
        <f t="shared" si="20"/>
        <v>0</v>
      </c>
    </row>
    <row r="291" spans="1:13" x14ac:dyDescent="0.25">
      <c r="A291" s="208"/>
      <c r="G291" s="179"/>
      <c r="H291" s="191">
        <v>286</v>
      </c>
      <c r="I291" s="192" t="str">
        <f t="shared" si="18"/>
        <v/>
      </c>
      <c r="J291" s="191" t="e">
        <f t="shared" si="21"/>
        <v>#NUM!</v>
      </c>
      <c r="K291" s="191" t="e">
        <f t="shared" si="19"/>
        <v>#NUM!</v>
      </c>
      <c r="L291" s="191"/>
      <c r="M291" s="193">
        <f t="shared" si="20"/>
        <v>0</v>
      </c>
    </row>
    <row r="292" spans="1:13" x14ac:dyDescent="0.25">
      <c r="A292" s="208"/>
      <c r="G292" s="179"/>
      <c r="H292" s="191">
        <v>287</v>
      </c>
      <c r="I292" s="192" t="str">
        <f t="shared" si="18"/>
        <v/>
      </c>
      <c r="J292" s="191" t="e">
        <f t="shared" si="21"/>
        <v>#NUM!</v>
      </c>
      <c r="K292" s="191" t="e">
        <f t="shared" si="19"/>
        <v>#NUM!</v>
      </c>
      <c r="L292" s="191"/>
      <c r="M292" s="193">
        <f t="shared" si="20"/>
        <v>0</v>
      </c>
    </row>
    <row r="293" spans="1:13" x14ac:dyDescent="0.25">
      <c r="A293" s="208"/>
      <c r="G293" s="179"/>
      <c r="H293" s="191">
        <v>288</v>
      </c>
      <c r="I293" s="192" t="str">
        <f t="shared" si="18"/>
        <v/>
      </c>
      <c r="J293" s="191" t="e">
        <f t="shared" si="21"/>
        <v>#NUM!</v>
      </c>
      <c r="K293" s="191" t="e">
        <f t="shared" si="19"/>
        <v>#NUM!</v>
      </c>
      <c r="L293" s="191"/>
      <c r="M293" s="193">
        <f t="shared" si="20"/>
        <v>0</v>
      </c>
    </row>
    <row r="294" spans="1:13" x14ac:dyDescent="0.25">
      <c r="A294" s="208"/>
      <c r="G294" s="179"/>
      <c r="H294" s="191">
        <v>289</v>
      </c>
      <c r="I294" s="192" t="str">
        <f t="shared" si="18"/>
        <v/>
      </c>
      <c r="J294" s="191" t="e">
        <f t="shared" si="21"/>
        <v>#NUM!</v>
      </c>
      <c r="K294" s="191" t="e">
        <f t="shared" si="19"/>
        <v>#NUM!</v>
      </c>
      <c r="L294" s="191"/>
      <c r="M294" s="193">
        <f t="shared" si="20"/>
        <v>0</v>
      </c>
    </row>
    <row r="295" spans="1:13" x14ac:dyDescent="0.25">
      <c r="A295" s="208"/>
      <c r="G295" s="179"/>
      <c r="H295" s="191">
        <v>290</v>
      </c>
      <c r="I295" s="192" t="str">
        <f t="shared" si="18"/>
        <v/>
      </c>
      <c r="J295" s="191" t="e">
        <f t="shared" si="21"/>
        <v>#NUM!</v>
      </c>
      <c r="K295" s="191" t="e">
        <f t="shared" si="19"/>
        <v>#NUM!</v>
      </c>
      <c r="L295" s="191"/>
      <c r="M295" s="193">
        <f t="shared" si="20"/>
        <v>0</v>
      </c>
    </row>
    <row r="296" spans="1:13" x14ac:dyDescent="0.25">
      <c r="A296" s="208"/>
      <c r="G296" s="179"/>
      <c r="H296" s="191">
        <v>291</v>
      </c>
      <c r="I296" s="192" t="str">
        <f t="shared" si="18"/>
        <v/>
      </c>
      <c r="J296" s="191" t="e">
        <f t="shared" si="21"/>
        <v>#NUM!</v>
      </c>
      <c r="K296" s="191" t="e">
        <f t="shared" si="19"/>
        <v>#NUM!</v>
      </c>
      <c r="L296" s="191"/>
      <c r="M296" s="193">
        <f t="shared" si="20"/>
        <v>0</v>
      </c>
    </row>
    <row r="297" spans="1:13" x14ac:dyDescent="0.25">
      <c r="A297" s="208"/>
      <c r="G297" s="179"/>
      <c r="H297" s="191">
        <v>292</v>
      </c>
      <c r="I297" s="192" t="str">
        <f t="shared" si="18"/>
        <v/>
      </c>
      <c r="J297" s="191" t="e">
        <f t="shared" si="21"/>
        <v>#NUM!</v>
      </c>
      <c r="K297" s="191" t="e">
        <f t="shared" si="19"/>
        <v>#NUM!</v>
      </c>
      <c r="L297" s="191"/>
      <c r="M297" s="193">
        <f t="shared" si="20"/>
        <v>0</v>
      </c>
    </row>
    <row r="298" spans="1:13" x14ac:dyDescent="0.25">
      <c r="A298" s="208"/>
      <c r="G298" s="179"/>
      <c r="H298" s="191">
        <v>293</v>
      </c>
      <c r="I298" s="192" t="str">
        <f t="shared" si="18"/>
        <v/>
      </c>
      <c r="J298" s="191" t="e">
        <f t="shared" si="21"/>
        <v>#NUM!</v>
      </c>
      <c r="K298" s="191" t="e">
        <f t="shared" si="19"/>
        <v>#NUM!</v>
      </c>
      <c r="L298" s="191"/>
      <c r="M298" s="193">
        <f t="shared" si="20"/>
        <v>0</v>
      </c>
    </row>
    <row r="299" spans="1:13" x14ac:dyDescent="0.25">
      <c r="A299" s="208"/>
      <c r="G299" s="179"/>
      <c r="H299" s="191">
        <v>294</v>
      </c>
      <c r="I299" s="192" t="str">
        <f t="shared" si="18"/>
        <v/>
      </c>
      <c r="J299" s="191" t="e">
        <f t="shared" si="21"/>
        <v>#NUM!</v>
      </c>
      <c r="K299" s="191" t="e">
        <f t="shared" si="19"/>
        <v>#NUM!</v>
      </c>
      <c r="L299" s="191"/>
      <c r="M299" s="193">
        <f t="shared" si="20"/>
        <v>0</v>
      </c>
    </row>
    <row r="300" spans="1:13" x14ac:dyDescent="0.25">
      <c r="A300" s="208"/>
      <c r="G300" s="179"/>
      <c r="H300" s="191">
        <v>295</v>
      </c>
      <c r="I300" s="192" t="str">
        <f t="shared" si="18"/>
        <v/>
      </c>
      <c r="J300" s="191" t="e">
        <f t="shared" si="21"/>
        <v>#NUM!</v>
      </c>
      <c r="K300" s="191" t="e">
        <f t="shared" si="19"/>
        <v>#NUM!</v>
      </c>
      <c r="L300" s="191"/>
      <c r="M300" s="193">
        <f t="shared" si="20"/>
        <v>0</v>
      </c>
    </row>
    <row r="301" spans="1:13" x14ac:dyDescent="0.25">
      <c r="A301" s="208"/>
      <c r="G301" s="179"/>
      <c r="H301" s="191">
        <v>296</v>
      </c>
      <c r="I301" s="192" t="str">
        <f t="shared" si="18"/>
        <v/>
      </c>
      <c r="J301" s="191" t="e">
        <f t="shared" si="21"/>
        <v>#NUM!</v>
      </c>
      <c r="K301" s="191" t="e">
        <f t="shared" si="19"/>
        <v>#NUM!</v>
      </c>
      <c r="L301" s="191"/>
      <c r="M301" s="193">
        <f t="shared" si="20"/>
        <v>0</v>
      </c>
    </row>
    <row r="302" spans="1:13" x14ac:dyDescent="0.25">
      <c r="A302" s="208"/>
      <c r="G302" s="179"/>
      <c r="H302" s="191">
        <v>297</v>
      </c>
      <c r="I302" s="192" t="str">
        <f t="shared" si="18"/>
        <v/>
      </c>
      <c r="J302" s="191" t="e">
        <f t="shared" si="21"/>
        <v>#NUM!</v>
      </c>
      <c r="K302" s="191" t="e">
        <f t="shared" si="19"/>
        <v>#NUM!</v>
      </c>
      <c r="L302" s="191"/>
      <c r="M302" s="193">
        <f t="shared" si="20"/>
        <v>0</v>
      </c>
    </row>
    <row r="303" spans="1:13" x14ac:dyDescent="0.25">
      <c r="A303" s="208"/>
      <c r="G303" s="179"/>
      <c r="H303" s="191">
        <v>298</v>
      </c>
      <c r="I303" s="192" t="str">
        <f t="shared" si="18"/>
        <v/>
      </c>
      <c r="J303" s="191" t="e">
        <f t="shared" si="21"/>
        <v>#NUM!</v>
      </c>
      <c r="K303" s="191" t="e">
        <f t="shared" si="19"/>
        <v>#NUM!</v>
      </c>
      <c r="L303" s="191"/>
      <c r="M303" s="193">
        <f t="shared" si="20"/>
        <v>0</v>
      </c>
    </row>
    <row r="304" spans="1:13" x14ac:dyDescent="0.25">
      <c r="A304" s="208"/>
      <c r="G304" s="179"/>
      <c r="H304" s="191">
        <v>299</v>
      </c>
      <c r="I304" s="192" t="str">
        <f t="shared" si="18"/>
        <v/>
      </c>
      <c r="J304" s="191" t="e">
        <f t="shared" si="21"/>
        <v>#NUM!</v>
      </c>
      <c r="K304" s="191" t="e">
        <f t="shared" si="19"/>
        <v>#NUM!</v>
      </c>
      <c r="L304" s="191"/>
      <c r="M304" s="193">
        <f t="shared" si="20"/>
        <v>0</v>
      </c>
    </row>
    <row r="305" spans="1:16" x14ac:dyDescent="0.25">
      <c r="A305" s="208"/>
      <c r="G305" s="179"/>
      <c r="H305" s="191">
        <v>300</v>
      </c>
      <c r="I305" s="192" t="str">
        <f t="shared" si="18"/>
        <v/>
      </c>
      <c r="J305" s="191" t="e">
        <f t="shared" si="21"/>
        <v>#NUM!</v>
      </c>
      <c r="K305" s="191" t="e">
        <f t="shared" si="19"/>
        <v>#NUM!</v>
      </c>
      <c r="L305" s="191"/>
      <c r="M305" s="193">
        <f t="shared" si="20"/>
        <v>0</v>
      </c>
    </row>
    <row r="306" spans="1:16" x14ac:dyDescent="0.25">
      <c r="A306" s="209"/>
      <c r="J306" s="210" t="e">
        <f t="shared" si="21"/>
        <v>#NUM!</v>
      </c>
    </row>
    <row r="307" spans="1:16" x14ac:dyDescent="0.25">
      <c r="J307" s="210" t="e">
        <f t="shared" si="21"/>
        <v>#NUM!</v>
      </c>
    </row>
    <row r="308" spans="1:16" x14ac:dyDescent="0.25">
      <c r="J308" s="210" t="e">
        <f t="shared" si="21"/>
        <v>#NUM!</v>
      </c>
    </row>
    <row r="309" spans="1:16" x14ac:dyDescent="0.25">
      <c r="J309" s="210" t="e">
        <f t="shared" si="21"/>
        <v>#NUM!</v>
      </c>
    </row>
    <row r="310" spans="1:16" x14ac:dyDescent="0.25">
      <c r="J310" s="210" t="e">
        <f t="shared" si="21"/>
        <v>#NUM!</v>
      </c>
    </row>
    <row r="311" spans="1:16" x14ac:dyDescent="0.25">
      <c r="J311" s="210" t="e">
        <f t="shared" si="21"/>
        <v>#NUM!</v>
      </c>
    </row>
    <row r="312" spans="1:16" x14ac:dyDescent="0.25">
      <c r="J312" s="210" t="e">
        <f t="shared" si="21"/>
        <v>#NUM!</v>
      </c>
    </row>
    <row r="313" spans="1:16" x14ac:dyDescent="0.25">
      <c r="J313" s="210" t="e">
        <f t="shared" si="21"/>
        <v>#NUM!</v>
      </c>
    </row>
    <row r="314" spans="1:16" x14ac:dyDescent="0.25">
      <c r="J314" s="210" t="e">
        <f t="shared" si="21"/>
        <v>#NUM!</v>
      </c>
      <c r="L314" s="212"/>
      <c r="P314" s="202"/>
    </row>
    <row r="315" spans="1:16" x14ac:dyDescent="0.25">
      <c r="J315" s="210" t="e">
        <f t="shared" si="21"/>
        <v>#NUM!</v>
      </c>
      <c r="L315" s="212"/>
      <c r="P315" s="202"/>
    </row>
    <row r="316" spans="1:16" x14ac:dyDescent="0.25">
      <c r="J316" s="210" t="e">
        <f t="shared" si="21"/>
        <v>#NUM!</v>
      </c>
      <c r="L316" s="212"/>
      <c r="P316" s="202"/>
    </row>
    <row r="317" spans="1:16" x14ac:dyDescent="0.25">
      <c r="J317" s="210" t="e">
        <f t="shared" si="21"/>
        <v>#NUM!</v>
      </c>
      <c r="L317" s="212"/>
      <c r="P317" s="202"/>
    </row>
    <row r="318" spans="1:16" x14ac:dyDescent="0.25">
      <c r="J318" s="210" t="e">
        <f t="shared" si="21"/>
        <v>#NUM!</v>
      </c>
    </row>
    <row r="319" spans="1:16" x14ac:dyDescent="0.25">
      <c r="J319" s="210" t="e">
        <f t="shared" si="21"/>
        <v>#NUM!</v>
      </c>
    </row>
    <row r="320" spans="1:16" x14ac:dyDescent="0.25">
      <c r="J320" s="210" t="e">
        <f t="shared" si="21"/>
        <v>#NUM!</v>
      </c>
    </row>
    <row r="321" spans="10:10" x14ac:dyDescent="0.25">
      <c r="J321" s="210" t="e">
        <f t="shared" si="21"/>
        <v>#NUM!</v>
      </c>
    </row>
    <row r="322" spans="10:10" x14ac:dyDescent="0.25">
      <c r="J322" s="210" t="e">
        <f t="shared" si="21"/>
        <v>#NUM!</v>
      </c>
    </row>
    <row r="323" spans="10:10" x14ac:dyDescent="0.25">
      <c r="J323" s="210" t="e">
        <f t="shared" si="21"/>
        <v>#NUM!</v>
      </c>
    </row>
    <row r="324" spans="10:10" x14ac:dyDescent="0.25">
      <c r="J324" s="210" t="e">
        <f t="shared" si="21"/>
        <v>#NUM!</v>
      </c>
    </row>
    <row r="325" spans="10:10" x14ac:dyDescent="0.25">
      <c r="J325" s="210" t="e">
        <f t="shared" si="21"/>
        <v>#NUM!</v>
      </c>
    </row>
    <row r="326" spans="10:10" x14ac:dyDescent="0.25">
      <c r="J326" s="210" t="e">
        <f t="shared" si="21"/>
        <v>#NUM!</v>
      </c>
    </row>
    <row r="327" spans="10:10" x14ac:dyDescent="0.25">
      <c r="J327" s="210" t="e">
        <f t="shared" ref="J327:J374" si="22">INT(LOG($H$2,2))-ROUNDUP(LOG(H327,2),0)+IF(OR($H$2=1,$H$2=2,$H$2=4,$H$2=8,$H$2=16,$H$2=32,$H$2=64,$H$2=128,$H$2=256),0,1)</f>
        <v>#NUM!</v>
      </c>
    </row>
    <row r="328" spans="10:10" x14ac:dyDescent="0.25">
      <c r="J328" s="210" t="e">
        <f t="shared" si="22"/>
        <v>#NUM!</v>
      </c>
    </row>
    <row r="329" spans="10:10" x14ac:dyDescent="0.25">
      <c r="J329" s="210" t="e">
        <f t="shared" si="22"/>
        <v>#NUM!</v>
      </c>
    </row>
    <row r="330" spans="10:10" x14ac:dyDescent="0.25">
      <c r="J330" s="210" t="e">
        <f t="shared" si="22"/>
        <v>#NUM!</v>
      </c>
    </row>
    <row r="331" spans="10:10" x14ac:dyDescent="0.25">
      <c r="J331" s="210" t="e">
        <f t="shared" si="22"/>
        <v>#NUM!</v>
      </c>
    </row>
    <row r="332" spans="10:10" x14ac:dyDescent="0.25">
      <c r="J332" s="210" t="e">
        <f t="shared" si="22"/>
        <v>#NUM!</v>
      </c>
    </row>
    <row r="333" spans="10:10" x14ac:dyDescent="0.25">
      <c r="J333" s="210" t="e">
        <f t="shared" si="22"/>
        <v>#NUM!</v>
      </c>
    </row>
    <row r="334" spans="10:10" x14ac:dyDescent="0.25">
      <c r="J334" s="210" t="e">
        <f t="shared" si="22"/>
        <v>#NUM!</v>
      </c>
    </row>
    <row r="335" spans="10:10" x14ac:dyDescent="0.25">
      <c r="J335" s="210" t="e">
        <f t="shared" si="22"/>
        <v>#NUM!</v>
      </c>
    </row>
    <row r="336" spans="10:10" x14ac:dyDescent="0.25">
      <c r="J336" s="210" t="e">
        <f t="shared" si="22"/>
        <v>#NUM!</v>
      </c>
    </row>
    <row r="337" spans="10:10" x14ac:dyDescent="0.25">
      <c r="J337" s="210" t="e">
        <f t="shared" si="22"/>
        <v>#NUM!</v>
      </c>
    </row>
    <row r="338" spans="10:10" x14ac:dyDescent="0.25">
      <c r="J338" s="210" t="e">
        <f t="shared" si="22"/>
        <v>#NUM!</v>
      </c>
    </row>
    <row r="339" spans="10:10" x14ac:dyDescent="0.25">
      <c r="J339" s="210" t="e">
        <f t="shared" si="22"/>
        <v>#NUM!</v>
      </c>
    </row>
    <row r="340" spans="10:10" x14ac:dyDescent="0.25">
      <c r="J340" s="210" t="e">
        <f t="shared" si="22"/>
        <v>#NUM!</v>
      </c>
    </row>
    <row r="341" spans="10:10" x14ac:dyDescent="0.25">
      <c r="J341" s="210" t="e">
        <f t="shared" si="22"/>
        <v>#NUM!</v>
      </c>
    </row>
    <row r="342" spans="10:10" x14ac:dyDescent="0.25">
      <c r="J342" s="210" t="e">
        <f t="shared" si="22"/>
        <v>#NUM!</v>
      </c>
    </row>
    <row r="343" spans="10:10" x14ac:dyDescent="0.25">
      <c r="J343" s="210" t="e">
        <f t="shared" si="22"/>
        <v>#NUM!</v>
      </c>
    </row>
    <row r="344" spans="10:10" x14ac:dyDescent="0.25">
      <c r="J344" s="210" t="e">
        <f t="shared" si="22"/>
        <v>#NUM!</v>
      </c>
    </row>
    <row r="345" spans="10:10" x14ac:dyDescent="0.25">
      <c r="J345" s="210" t="e">
        <f t="shared" si="22"/>
        <v>#NUM!</v>
      </c>
    </row>
    <row r="346" spans="10:10" x14ac:dyDescent="0.25">
      <c r="J346" s="210" t="e">
        <f t="shared" si="22"/>
        <v>#NUM!</v>
      </c>
    </row>
    <row r="347" spans="10:10" x14ac:dyDescent="0.25">
      <c r="J347" s="210" t="e">
        <f t="shared" si="22"/>
        <v>#NUM!</v>
      </c>
    </row>
    <row r="348" spans="10:10" x14ac:dyDescent="0.25">
      <c r="J348" s="210" t="e">
        <f t="shared" si="22"/>
        <v>#NUM!</v>
      </c>
    </row>
    <row r="349" spans="10:10" x14ac:dyDescent="0.25">
      <c r="J349" s="210" t="e">
        <f t="shared" si="22"/>
        <v>#NUM!</v>
      </c>
    </row>
    <row r="350" spans="10:10" x14ac:dyDescent="0.25">
      <c r="J350" s="210" t="e">
        <f t="shared" si="22"/>
        <v>#NUM!</v>
      </c>
    </row>
    <row r="351" spans="10:10" x14ac:dyDescent="0.25">
      <c r="J351" s="210" t="e">
        <f t="shared" si="22"/>
        <v>#NUM!</v>
      </c>
    </row>
    <row r="352" spans="10:10" x14ac:dyDescent="0.25">
      <c r="J352" s="210" t="e">
        <f t="shared" si="22"/>
        <v>#NUM!</v>
      </c>
    </row>
    <row r="353" spans="10:10" x14ac:dyDescent="0.25">
      <c r="J353" s="210" t="e">
        <f t="shared" si="22"/>
        <v>#NUM!</v>
      </c>
    </row>
    <row r="354" spans="10:10" x14ac:dyDescent="0.25">
      <c r="J354" s="210" t="e">
        <f t="shared" si="22"/>
        <v>#NUM!</v>
      </c>
    </row>
    <row r="355" spans="10:10" x14ac:dyDescent="0.25">
      <c r="J355" s="210" t="e">
        <f t="shared" si="22"/>
        <v>#NUM!</v>
      </c>
    </row>
    <row r="356" spans="10:10" x14ac:dyDescent="0.25">
      <c r="J356" s="210" t="e">
        <f t="shared" si="22"/>
        <v>#NUM!</v>
      </c>
    </row>
    <row r="357" spans="10:10" x14ac:dyDescent="0.25">
      <c r="J357" s="210" t="e">
        <f t="shared" si="22"/>
        <v>#NUM!</v>
      </c>
    </row>
    <row r="358" spans="10:10" x14ac:dyDescent="0.25">
      <c r="J358" s="210" t="e">
        <f t="shared" si="22"/>
        <v>#NUM!</v>
      </c>
    </row>
    <row r="359" spans="10:10" x14ac:dyDescent="0.25">
      <c r="J359" s="210" t="e">
        <f t="shared" si="22"/>
        <v>#NUM!</v>
      </c>
    </row>
    <row r="360" spans="10:10" x14ac:dyDescent="0.25">
      <c r="J360" s="210" t="e">
        <f t="shared" si="22"/>
        <v>#NUM!</v>
      </c>
    </row>
    <row r="361" spans="10:10" x14ac:dyDescent="0.25">
      <c r="J361" s="210" t="e">
        <f t="shared" si="22"/>
        <v>#NUM!</v>
      </c>
    </row>
    <row r="362" spans="10:10" x14ac:dyDescent="0.25">
      <c r="J362" s="210" t="e">
        <f t="shared" si="22"/>
        <v>#NUM!</v>
      </c>
    </row>
    <row r="363" spans="10:10" x14ac:dyDescent="0.25">
      <c r="J363" s="210" t="e">
        <f t="shared" si="22"/>
        <v>#NUM!</v>
      </c>
    </row>
    <row r="364" spans="10:10" x14ac:dyDescent="0.25">
      <c r="J364" s="210" t="e">
        <f t="shared" si="22"/>
        <v>#NUM!</v>
      </c>
    </row>
    <row r="365" spans="10:10" x14ac:dyDescent="0.25">
      <c r="J365" s="210" t="e">
        <f t="shared" si="22"/>
        <v>#NUM!</v>
      </c>
    </row>
    <row r="366" spans="10:10" x14ac:dyDescent="0.25">
      <c r="J366" s="210" t="e">
        <f t="shared" si="22"/>
        <v>#NUM!</v>
      </c>
    </row>
    <row r="367" spans="10:10" x14ac:dyDescent="0.25">
      <c r="J367" s="210" t="e">
        <f t="shared" si="22"/>
        <v>#NUM!</v>
      </c>
    </row>
    <row r="368" spans="10:10" x14ac:dyDescent="0.25">
      <c r="J368" s="210" t="e">
        <f t="shared" si="22"/>
        <v>#NUM!</v>
      </c>
    </row>
    <row r="369" spans="10:10" x14ac:dyDescent="0.25">
      <c r="J369" s="210" t="e">
        <f t="shared" si="22"/>
        <v>#NUM!</v>
      </c>
    </row>
    <row r="370" spans="10:10" x14ac:dyDescent="0.25">
      <c r="J370" s="210" t="e">
        <f t="shared" si="22"/>
        <v>#NUM!</v>
      </c>
    </row>
    <row r="371" spans="10:10" x14ac:dyDescent="0.25">
      <c r="J371" s="210" t="e">
        <f t="shared" si="22"/>
        <v>#NUM!</v>
      </c>
    </row>
    <row r="372" spans="10:10" x14ac:dyDescent="0.25">
      <c r="J372" s="210" t="e">
        <f t="shared" si="22"/>
        <v>#NUM!</v>
      </c>
    </row>
    <row r="373" spans="10:10" x14ac:dyDescent="0.25">
      <c r="J373" s="210" t="e">
        <f t="shared" si="22"/>
        <v>#NUM!</v>
      </c>
    </row>
    <row r="374" spans="10:10" x14ac:dyDescent="0.25">
      <c r="J374" s="210" t="e">
        <f t="shared" si="22"/>
        <v>#NUM!</v>
      </c>
    </row>
  </sheetData>
  <conditionalFormatting sqref="J9:K305">
    <cfRule type="cellIs" dxfId="4" priority="1" operator="lessThanOrEqual">
      <formula>0</formula>
    </cfRule>
  </conditionalFormatting>
  <hyperlinks>
    <hyperlink ref="C2" r:id="rId1" xr:uid="{F0A2B7E8-FAC9-4F85-9F56-03EB3B9B7423}"/>
  </hyperlinks>
  <pageMargins left="0.7" right="0.7" top="0.75" bottom="0.75" header="0.3" footer="0.3"/>
  <pageSetup paperSize="9" orientation="portrait"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853D1-2672-4AF7-8E33-4ABBFCF1D210}">
  <sheetPr>
    <tabColor rgb="FF92D050"/>
  </sheetPr>
  <dimension ref="A1:AL317"/>
  <sheetViews>
    <sheetView workbookViewId="0">
      <selection activeCell="C20" sqref="C20"/>
    </sheetView>
  </sheetViews>
  <sheetFormatPr defaultColWidth="8.875" defaultRowHeight="14.3" x14ac:dyDescent="0.25"/>
  <cols>
    <col min="1" max="1" width="8" style="207" customWidth="1"/>
    <col min="2" max="2" width="8.25" style="207" customWidth="1"/>
    <col min="3" max="3" width="34.75" style="207" customWidth="1"/>
    <col min="4" max="4" width="11.25" style="207" customWidth="1"/>
    <col min="5" max="6" width="8.875" style="207"/>
    <col min="7" max="7" width="0.875" style="207" customWidth="1"/>
    <col min="8" max="8" width="8.875" style="210"/>
    <col min="9" max="9" width="11" style="210" customWidth="1"/>
    <col min="10" max="10" width="15.25" style="210" customWidth="1"/>
    <col min="11" max="11" width="8.75" style="210" customWidth="1"/>
    <col min="12" max="12" width="11" style="210" customWidth="1"/>
    <col min="13" max="13" width="12.25" style="211" customWidth="1"/>
    <col min="14" max="15" width="13.875" style="179" customWidth="1"/>
    <col min="16" max="18" width="8.875" style="179"/>
    <col min="19" max="20" width="8.875" style="184"/>
    <col min="21" max="21" width="12.125" style="184" customWidth="1"/>
    <col min="22" max="22" width="27.375" style="184" customWidth="1"/>
    <col min="23" max="38" width="8.875" style="184"/>
    <col min="39" max="16384" width="8.875" style="207"/>
  </cols>
  <sheetData>
    <row r="1" spans="1:36" x14ac:dyDescent="0.25">
      <c r="A1" s="179"/>
      <c r="B1" s="179"/>
      <c r="C1" s="179"/>
      <c r="D1" s="179"/>
      <c r="E1" s="179"/>
      <c r="F1" s="179"/>
      <c r="G1" s="179"/>
      <c r="H1" s="180" t="s">
        <v>20</v>
      </c>
      <c r="I1" s="181" t="s">
        <v>21</v>
      </c>
      <c r="J1" s="181" t="s">
        <v>22</v>
      </c>
      <c r="K1" s="182" t="s">
        <v>84</v>
      </c>
      <c r="L1" s="183"/>
      <c r="M1" s="183"/>
    </row>
    <row r="2" spans="1:36" x14ac:dyDescent="0.25">
      <c r="A2" s="179"/>
      <c r="B2" s="19" t="s">
        <v>24</v>
      </c>
      <c r="C2" s="253" t="s">
        <v>105</v>
      </c>
      <c r="D2" s="67"/>
      <c r="E2" s="20"/>
      <c r="F2" s="20"/>
      <c r="G2" s="20"/>
      <c r="H2" s="185">
        <v>0</v>
      </c>
      <c r="I2" s="186">
        <v>50</v>
      </c>
      <c r="J2" s="186">
        <v>10</v>
      </c>
      <c r="K2" s="187">
        <f>3*H2^(1/3)</f>
        <v>0</v>
      </c>
      <c r="L2" s="183"/>
      <c r="M2" s="183"/>
    </row>
    <row r="3" spans="1:36" x14ac:dyDescent="0.25">
      <c r="A3" s="179"/>
      <c r="B3" s="188" t="s">
        <v>26</v>
      </c>
      <c r="C3" s="68" t="s">
        <v>106</v>
      </c>
      <c r="D3" s="68"/>
      <c r="E3" s="25"/>
      <c r="F3" s="25"/>
      <c r="G3" s="25"/>
      <c r="H3" s="183"/>
      <c r="I3" s="183"/>
      <c r="J3" s="214"/>
      <c r="K3" s="183"/>
      <c r="L3" s="183"/>
      <c r="M3" s="183"/>
    </row>
    <row r="4" spans="1:36" ht="10.199999999999999" customHeight="1" x14ac:dyDescent="0.25">
      <c r="A4" s="27"/>
      <c r="B4" s="25"/>
      <c r="C4" s="27"/>
      <c r="D4" s="27"/>
      <c r="E4" s="27"/>
      <c r="F4" s="27"/>
      <c r="G4" s="27"/>
      <c r="H4" s="183"/>
      <c r="I4" s="183"/>
      <c r="J4" s="214"/>
      <c r="K4" s="183"/>
      <c r="L4" s="183"/>
      <c r="M4" s="183"/>
    </row>
    <row r="5" spans="1:36" ht="34.65" x14ac:dyDescent="0.25">
      <c r="A5" s="1" t="s">
        <v>28</v>
      </c>
      <c r="B5" s="28" t="s">
        <v>29</v>
      </c>
      <c r="C5" s="1" t="s">
        <v>30</v>
      </c>
      <c r="D5" s="1" t="s">
        <v>31</v>
      </c>
      <c r="E5" s="1" t="s">
        <v>32</v>
      </c>
      <c r="F5" s="1" t="s">
        <v>33</v>
      </c>
      <c r="G5" s="27"/>
      <c r="H5" s="189" t="s">
        <v>34</v>
      </c>
      <c r="I5" s="190" t="s">
        <v>35</v>
      </c>
      <c r="J5" s="215" t="s">
        <v>36</v>
      </c>
      <c r="K5" s="190" t="s">
        <v>37</v>
      </c>
      <c r="L5" s="190" t="s">
        <v>38</v>
      </c>
      <c r="M5" s="189" t="s">
        <v>39</v>
      </c>
    </row>
    <row r="6" spans="1:36" ht="14.45" customHeight="1" x14ac:dyDescent="0.25">
      <c r="A6" s="94">
        <f>M6</f>
        <v>0</v>
      </c>
      <c r="B6" s="33" t="str">
        <f t="shared" ref="B6:B69" si="0">IF(H6&gt;$H$2,"",(ROW()-5))</f>
        <v/>
      </c>
      <c r="C6" s="34"/>
      <c r="D6" s="34"/>
      <c r="E6" s="34"/>
      <c r="F6" s="34"/>
      <c r="G6" s="27"/>
      <c r="H6" s="191">
        <v>1</v>
      </c>
      <c r="I6" s="192" t="str">
        <f t="shared" ref="I6:I69" si="1">IF(H6&lt;$H$2+1,($I$2-($I$2-1)*(LOG(H6)/LOG($H$2))),"")</f>
        <v/>
      </c>
      <c r="J6" s="191" t="e">
        <f>INT(LOG($H$2,2))-ROUNDUP(LOG(H6,2),0)+IF(OR($H$2=1,$H$2=2,$H$2=4,$H$2=8,$H$2=16,$H$2=32,$H$2=64,$H$2=128,$H$2=256),0,1)</f>
        <v>#NUM!</v>
      </c>
      <c r="K6" s="191" t="e">
        <f t="shared" ref="K6:K69" si="2">J6*$J$2</f>
        <v>#NUM!</v>
      </c>
      <c r="L6" s="193">
        <f>3*K2</f>
        <v>0</v>
      </c>
      <c r="M6" s="193">
        <f t="shared" ref="M6:M69" si="3">IF(I6&lt;&gt;"",K6+I6+L6,0)</f>
        <v>0</v>
      </c>
    </row>
    <row r="7" spans="1:36" ht="14.45" customHeight="1" x14ac:dyDescent="0.25">
      <c r="A7" s="98">
        <f t="shared" ref="A7:A70" si="4">M7</f>
        <v>0</v>
      </c>
      <c r="B7" s="39" t="str">
        <f t="shared" si="0"/>
        <v/>
      </c>
      <c r="C7" s="40"/>
      <c r="D7" s="40"/>
      <c r="E7" s="40"/>
      <c r="F7" s="40"/>
      <c r="G7" s="27"/>
      <c r="H7" s="194">
        <v>2</v>
      </c>
      <c r="I7" s="195" t="str">
        <f t="shared" si="1"/>
        <v/>
      </c>
      <c r="J7" s="194" t="e">
        <f t="shared" ref="J7:J70" si="5">INT(LOG($H$2,2))-ROUNDUP(LOG(H7,2),0)+IF(OR($H$2=1,$H$2=2,$H$2=4,$H$2=8,$H$2=16,$H$2=32,$H$2=64,$H$2=128,$H$2=256),0,1)</f>
        <v>#NUM!</v>
      </c>
      <c r="K7" s="194" t="e">
        <f t="shared" si="2"/>
        <v>#NUM!</v>
      </c>
      <c r="L7" s="196">
        <f>2*K2</f>
        <v>0</v>
      </c>
      <c r="M7" s="196">
        <f t="shared" si="3"/>
        <v>0</v>
      </c>
    </row>
    <row r="8" spans="1:36" ht="14.45" customHeight="1" x14ac:dyDescent="0.25">
      <c r="A8" s="94">
        <f t="shared" si="4"/>
        <v>0</v>
      </c>
      <c r="B8" s="33" t="str">
        <f t="shared" si="0"/>
        <v/>
      </c>
      <c r="C8" s="34"/>
      <c r="D8" s="34"/>
      <c r="E8" s="34"/>
      <c r="F8" s="34"/>
      <c r="G8" s="27"/>
      <c r="H8" s="191">
        <v>3</v>
      </c>
      <c r="I8" s="192" t="str">
        <f t="shared" si="1"/>
        <v/>
      </c>
      <c r="J8" s="191" t="e">
        <f t="shared" si="5"/>
        <v>#NUM!</v>
      </c>
      <c r="K8" s="191" t="e">
        <f t="shared" si="2"/>
        <v>#NUM!</v>
      </c>
      <c r="L8" s="193">
        <f>K2</f>
        <v>0</v>
      </c>
      <c r="M8" s="193">
        <f t="shared" si="3"/>
        <v>0</v>
      </c>
    </row>
    <row r="9" spans="1:36" s="184" customFormat="1" ht="14.45" customHeight="1" x14ac:dyDescent="0.25">
      <c r="A9" s="98">
        <f t="shared" si="4"/>
        <v>0</v>
      </c>
      <c r="B9" s="39" t="str">
        <f>IF(H9&gt;$H$2,"",3)</f>
        <v/>
      </c>
      <c r="C9" s="40"/>
      <c r="D9" s="40"/>
      <c r="E9" s="40"/>
      <c r="F9" s="40"/>
      <c r="G9" s="27"/>
      <c r="H9" s="194">
        <v>3</v>
      </c>
      <c r="I9" s="195" t="str">
        <f t="shared" si="1"/>
        <v/>
      </c>
      <c r="J9" s="194" t="e">
        <f t="shared" si="5"/>
        <v>#NUM!</v>
      </c>
      <c r="K9" s="194" t="e">
        <f t="shared" si="2"/>
        <v>#NUM!</v>
      </c>
      <c r="L9" s="196">
        <f>K2</f>
        <v>0</v>
      </c>
      <c r="M9" s="196">
        <f t="shared" si="3"/>
        <v>0</v>
      </c>
      <c r="N9" s="179"/>
      <c r="O9" s="179"/>
      <c r="P9" s="179"/>
      <c r="Q9" s="179"/>
      <c r="R9" s="179"/>
      <c r="V9" s="197"/>
      <c r="Z9" s="198"/>
      <c r="AA9" s="198"/>
      <c r="AG9" s="199"/>
      <c r="AH9" s="184" t="s">
        <v>40</v>
      </c>
      <c r="AI9" s="184">
        <v>23</v>
      </c>
    </row>
    <row r="10" spans="1:36" ht="14.45" customHeight="1" x14ac:dyDescent="0.25">
      <c r="A10" s="94">
        <f t="shared" si="4"/>
        <v>0</v>
      </c>
      <c r="B10" s="33" t="str">
        <f t="shared" si="0"/>
        <v/>
      </c>
      <c r="C10" s="34"/>
      <c r="D10" s="34"/>
      <c r="E10" s="34"/>
      <c r="F10" s="34"/>
      <c r="G10" s="27"/>
      <c r="H10" s="191">
        <v>5</v>
      </c>
      <c r="I10" s="192" t="str">
        <f t="shared" si="1"/>
        <v/>
      </c>
      <c r="J10" s="191" t="e">
        <f t="shared" si="5"/>
        <v>#NUM!</v>
      </c>
      <c r="K10" s="191" t="e">
        <f t="shared" si="2"/>
        <v>#NUM!</v>
      </c>
      <c r="L10" s="191"/>
      <c r="M10" s="193">
        <f t="shared" si="3"/>
        <v>0</v>
      </c>
      <c r="V10" s="197"/>
      <c r="Z10" s="198"/>
      <c r="AA10" s="198"/>
      <c r="AG10" s="199"/>
      <c r="AH10" s="184" t="s">
        <v>41</v>
      </c>
      <c r="AI10" s="184">
        <v>45</v>
      </c>
    </row>
    <row r="11" spans="1:36" ht="14.45" customHeight="1" x14ac:dyDescent="0.25">
      <c r="A11" s="98">
        <f t="shared" si="4"/>
        <v>0</v>
      </c>
      <c r="B11" s="39" t="str">
        <f t="shared" si="0"/>
        <v/>
      </c>
      <c r="C11" s="40"/>
      <c r="D11" s="40"/>
      <c r="E11" s="40"/>
      <c r="F11" s="40"/>
      <c r="G11" s="27"/>
      <c r="H11" s="194">
        <v>6</v>
      </c>
      <c r="I11" s="195" t="str">
        <f t="shared" si="1"/>
        <v/>
      </c>
      <c r="J11" s="194" t="e">
        <f t="shared" si="5"/>
        <v>#NUM!</v>
      </c>
      <c r="K11" s="194" t="e">
        <f t="shared" si="2"/>
        <v>#NUM!</v>
      </c>
      <c r="L11" s="194"/>
      <c r="M11" s="196">
        <f t="shared" si="3"/>
        <v>0</v>
      </c>
      <c r="V11" s="200"/>
      <c r="Z11" s="198"/>
      <c r="AA11" s="198"/>
      <c r="AG11" s="199"/>
      <c r="AH11" s="184" t="s">
        <v>42</v>
      </c>
      <c r="AI11" s="184">
        <v>50</v>
      </c>
    </row>
    <row r="12" spans="1:36" ht="14.45" customHeight="1" x14ac:dyDescent="0.25">
      <c r="A12" s="94">
        <f t="shared" si="4"/>
        <v>0</v>
      </c>
      <c r="B12" s="33" t="str">
        <f t="shared" si="0"/>
        <v/>
      </c>
      <c r="C12" s="34"/>
      <c r="D12" s="34"/>
      <c r="E12" s="34"/>
      <c r="F12" s="34"/>
      <c r="G12" s="27"/>
      <c r="H12" s="191">
        <v>7</v>
      </c>
      <c r="I12" s="192" t="str">
        <f t="shared" si="1"/>
        <v/>
      </c>
      <c r="J12" s="191" t="e">
        <f t="shared" si="5"/>
        <v>#NUM!</v>
      </c>
      <c r="K12" s="191" t="e">
        <f t="shared" si="2"/>
        <v>#NUM!</v>
      </c>
      <c r="L12" s="191"/>
      <c r="M12" s="193">
        <f t="shared" si="3"/>
        <v>0</v>
      </c>
      <c r="Z12" s="198"/>
      <c r="AA12" s="198"/>
      <c r="AG12" s="199"/>
      <c r="AH12" s="184" t="s">
        <v>43</v>
      </c>
      <c r="AI12" s="184">
        <f>AI11-1</f>
        <v>49</v>
      </c>
    </row>
    <row r="13" spans="1:36" ht="14.45" customHeight="1" x14ac:dyDescent="0.25">
      <c r="A13" s="98">
        <f t="shared" si="4"/>
        <v>0</v>
      </c>
      <c r="B13" s="39" t="str">
        <f t="shared" si="0"/>
        <v/>
      </c>
      <c r="C13" s="40"/>
      <c r="D13" s="40"/>
      <c r="E13" s="40"/>
      <c r="F13" s="40"/>
      <c r="G13" s="27"/>
      <c r="H13" s="194">
        <v>8</v>
      </c>
      <c r="I13" s="195" t="str">
        <f t="shared" si="1"/>
        <v/>
      </c>
      <c r="J13" s="194" t="e">
        <f t="shared" si="5"/>
        <v>#NUM!</v>
      </c>
      <c r="K13" s="194" t="e">
        <f t="shared" si="2"/>
        <v>#NUM!</v>
      </c>
      <c r="L13" s="194"/>
      <c r="M13" s="196">
        <f t="shared" si="3"/>
        <v>0</v>
      </c>
      <c r="X13" s="197"/>
      <c r="AG13" s="199"/>
      <c r="AH13" s="184" t="s">
        <v>44</v>
      </c>
      <c r="AI13" s="184">
        <f>LOG(AI9)</f>
        <v>1.3617278360175928</v>
      </c>
    </row>
    <row r="14" spans="1:36" x14ac:dyDescent="0.25">
      <c r="A14" s="94">
        <f t="shared" si="4"/>
        <v>0</v>
      </c>
      <c r="B14" s="33" t="str">
        <f t="shared" si="0"/>
        <v/>
      </c>
      <c r="C14" s="34"/>
      <c r="D14" s="34"/>
      <c r="E14" s="34"/>
      <c r="F14" s="34"/>
      <c r="G14" s="27"/>
      <c r="H14" s="191">
        <v>9</v>
      </c>
      <c r="I14" s="192" t="str">
        <f t="shared" si="1"/>
        <v/>
      </c>
      <c r="J14" s="191" t="e">
        <f t="shared" si="5"/>
        <v>#NUM!</v>
      </c>
      <c r="K14" s="191" t="e">
        <f t="shared" si="2"/>
        <v>#NUM!</v>
      </c>
      <c r="L14" s="191"/>
      <c r="M14" s="193">
        <f t="shared" si="3"/>
        <v>0</v>
      </c>
      <c r="X14" s="201"/>
      <c r="Z14" s="198"/>
      <c r="AA14" s="198"/>
      <c r="AG14" s="199"/>
      <c r="AH14" s="184" t="s">
        <v>45</v>
      </c>
      <c r="AI14" s="184">
        <f>LOG(AI10)</f>
        <v>1.6532125137753437</v>
      </c>
    </row>
    <row r="15" spans="1:36" x14ac:dyDescent="0.25">
      <c r="A15" s="98">
        <f t="shared" si="4"/>
        <v>0</v>
      </c>
      <c r="B15" s="39" t="str">
        <f t="shared" si="0"/>
        <v/>
      </c>
      <c r="C15" s="40"/>
      <c r="D15" s="40"/>
      <c r="E15" s="40"/>
      <c r="F15" s="40"/>
      <c r="G15" s="27"/>
      <c r="H15" s="194">
        <v>10</v>
      </c>
      <c r="I15" s="195" t="str">
        <f t="shared" si="1"/>
        <v/>
      </c>
      <c r="J15" s="194" t="e">
        <f t="shared" si="5"/>
        <v>#NUM!</v>
      </c>
      <c r="K15" s="194" t="e">
        <f t="shared" si="2"/>
        <v>#NUM!</v>
      </c>
      <c r="L15" s="194"/>
      <c r="M15" s="196">
        <f t="shared" si="3"/>
        <v>0</v>
      </c>
      <c r="X15" s="197"/>
      <c r="Z15" s="198"/>
      <c r="AA15" s="198"/>
    </row>
    <row r="16" spans="1:36" x14ac:dyDescent="0.25">
      <c r="A16" s="94">
        <f t="shared" si="4"/>
        <v>0</v>
      </c>
      <c r="B16" s="33" t="str">
        <f t="shared" si="0"/>
        <v/>
      </c>
      <c r="C16" s="34"/>
      <c r="D16" s="34"/>
      <c r="E16" s="34"/>
      <c r="F16" s="34"/>
      <c r="G16" s="27"/>
      <c r="H16" s="191">
        <v>11</v>
      </c>
      <c r="I16" s="192" t="str">
        <f t="shared" si="1"/>
        <v/>
      </c>
      <c r="J16" s="191" t="e">
        <f t="shared" si="5"/>
        <v>#NUM!</v>
      </c>
      <c r="K16" s="191" t="e">
        <f t="shared" si="2"/>
        <v>#NUM!</v>
      </c>
      <c r="L16" s="191"/>
      <c r="M16" s="193">
        <f t="shared" si="3"/>
        <v>0</v>
      </c>
      <c r="R16" s="202"/>
      <c r="Z16" s="198"/>
      <c r="AA16" s="198"/>
      <c r="AH16" s="203" t="s">
        <v>46</v>
      </c>
      <c r="AI16" s="184">
        <f>AI11-AI12*AI13/AI14</f>
        <v>9.6393909380186855</v>
      </c>
      <c r="AJ16" s="184" t="s">
        <v>47</v>
      </c>
    </row>
    <row r="17" spans="1:19" x14ac:dyDescent="0.25">
      <c r="A17" s="98">
        <f t="shared" si="4"/>
        <v>0</v>
      </c>
      <c r="B17" s="39" t="str">
        <f t="shared" si="0"/>
        <v/>
      </c>
      <c r="C17" s="40"/>
      <c r="D17" s="40"/>
      <c r="E17" s="40"/>
      <c r="F17" s="40"/>
      <c r="G17" s="27"/>
      <c r="H17" s="194">
        <v>12</v>
      </c>
      <c r="I17" s="195" t="str">
        <f t="shared" si="1"/>
        <v/>
      </c>
      <c r="J17" s="194" t="e">
        <f t="shared" si="5"/>
        <v>#NUM!</v>
      </c>
      <c r="K17" s="194" t="e">
        <f t="shared" si="2"/>
        <v>#NUM!</v>
      </c>
      <c r="L17" s="194"/>
      <c r="M17" s="196">
        <f t="shared" si="3"/>
        <v>0</v>
      </c>
    </row>
    <row r="18" spans="1:19" x14ac:dyDescent="0.25">
      <c r="A18" s="94">
        <f t="shared" si="4"/>
        <v>0</v>
      </c>
      <c r="B18" s="33" t="str">
        <f t="shared" si="0"/>
        <v/>
      </c>
      <c r="C18" s="34"/>
      <c r="D18" s="34"/>
      <c r="E18" s="34"/>
      <c r="F18" s="34"/>
      <c r="G18" s="27"/>
      <c r="H18" s="191">
        <v>13</v>
      </c>
      <c r="I18" s="192" t="str">
        <f t="shared" si="1"/>
        <v/>
      </c>
      <c r="J18" s="191" t="e">
        <f t="shared" si="5"/>
        <v>#NUM!</v>
      </c>
      <c r="K18" s="191" t="e">
        <f t="shared" si="2"/>
        <v>#NUM!</v>
      </c>
      <c r="L18" s="191"/>
      <c r="M18" s="193">
        <f t="shared" si="3"/>
        <v>0</v>
      </c>
    </row>
    <row r="19" spans="1:19" x14ac:dyDescent="0.25">
      <c r="A19" s="98">
        <f t="shared" si="4"/>
        <v>0</v>
      </c>
      <c r="B19" s="39" t="str">
        <f t="shared" si="0"/>
        <v/>
      </c>
      <c r="C19" s="40"/>
      <c r="D19" s="40"/>
      <c r="E19" s="40"/>
      <c r="F19" s="40"/>
      <c r="G19" s="27"/>
      <c r="H19" s="194">
        <v>14</v>
      </c>
      <c r="I19" s="195" t="str">
        <f t="shared" si="1"/>
        <v/>
      </c>
      <c r="J19" s="194" t="e">
        <f t="shared" si="5"/>
        <v>#NUM!</v>
      </c>
      <c r="K19" s="194" t="e">
        <f t="shared" si="2"/>
        <v>#NUM!</v>
      </c>
      <c r="L19" s="194"/>
      <c r="M19" s="196">
        <f t="shared" si="3"/>
        <v>0</v>
      </c>
    </row>
    <row r="20" spans="1:19" x14ac:dyDescent="0.25">
      <c r="A20" s="94">
        <f t="shared" si="4"/>
        <v>0</v>
      </c>
      <c r="B20" s="33" t="str">
        <f t="shared" si="0"/>
        <v/>
      </c>
      <c r="C20" s="34"/>
      <c r="D20" s="34"/>
      <c r="E20" s="34"/>
      <c r="F20" s="34"/>
      <c r="G20" s="27"/>
      <c r="H20" s="191">
        <v>15</v>
      </c>
      <c r="I20" s="192" t="str">
        <f t="shared" si="1"/>
        <v/>
      </c>
      <c r="J20" s="191" t="e">
        <f t="shared" si="5"/>
        <v>#NUM!</v>
      </c>
      <c r="K20" s="191" t="e">
        <f t="shared" si="2"/>
        <v>#NUM!</v>
      </c>
      <c r="L20" s="191"/>
      <c r="M20" s="193">
        <f t="shared" si="3"/>
        <v>0</v>
      </c>
      <c r="R20" s="204"/>
      <c r="S20" s="205"/>
    </row>
    <row r="21" spans="1:19" x14ac:dyDescent="0.25">
      <c r="A21" s="98">
        <f t="shared" si="4"/>
        <v>0</v>
      </c>
      <c r="B21" s="39" t="str">
        <f t="shared" si="0"/>
        <v/>
      </c>
      <c r="C21" s="40"/>
      <c r="D21" s="40"/>
      <c r="E21" s="40"/>
      <c r="F21" s="40"/>
      <c r="G21" s="27"/>
      <c r="H21" s="194">
        <v>16</v>
      </c>
      <c r="I21" s="195" t="str">
        <f t="shared" si="1"/>
        <v/>
      </c>
      <c r="J21" s="194" t="e">
        <f t="shared" si="5"/>
        <v>#NUM!</v>
      </c>
      <c r="K21" s="194" t="e">
        <f t="shared" si="2"/>
        <v>#NUM!</v>
      </c>
      <c r="L21" s="194"/>
      <c r="M21" s="196">
        <f t="shared" si="3"/>
        <v>0</v>
      </c>
    </row>
    <row r="22" spans="1:19" x14ac:dyDescent="0.25">
      <c r="A22" s="94">
        <f t="shared" si="4"/>
        <v>0</v>
      </c>
      <c r="B22" s="33" t="str">
        <f t="shared" si="0"/>
        <v/>
      </c>
      <c r="C22" s="34"/>
      <c r="D22" s="34"/>
      <c r="E22" s="34"/>
      <c r="F22" s="34"/>
      <c r="G22" s="27"/>
      <c r="H22" s="191">
        <v>17</v>
      </c>
      <c r="I22" s="192" t="str">
        <f t="shared" si="1"/>
        <v/>
      </c>
      <c r="J22" s="191" t="e">
        <f t="shared" si="5"/>
        <v>#NUM!</v>
      </c>
      <c r="K22" s="191" t="e">
        <f t="shared" si="2"/>
        <v>#NUM!</v>
      </c>
      <c r="L22" s="191"/>
      <c r="M22" s="193">
        <f t="shared" si="3"/>
        <v>0</v>
      </c>
    </row>
    <row r="23" spans="1:19" x14ac:dyDescent="0.25">
      <c r="A23" s="98">
        <f t="shared" si="4"/>
        <v>0</v>
      </c>
      <c r="B23" s="39" t="str">
        <f t="shared" si="0"/>
        <v/>
      </c>
      <c r="C23" s="40"/>
      <c r="D23" s="40"/>
      <c r="E23" s="40"/>
      <c r="F23" s="40"/>
      <c r="G23" s="27"/>
      <c r="H23" s="194">
        <v>18</v>
      </c>
      <c r="I23" s="195" t="str">
        <f t="shared" si="1"/>
        <v/>
      </c>
      <c r="J23" s="194" t="e">
        <f t="shared" si="5"/>
        <v>#NUM!</v>
      </c>
      <c r="K23" s="194" t="e">
        <f t="shared" si="2"/>
        <v>#NUM!</v>
      </c>
      <c r="L23" s="194"/>
      <c r="M23" s="196">
        <f t="shared" si="3"/>
        <v>0</v>
      </c>
    </row>
    <row r="24" spans="1:19" x14ac:dyDescent="0.25">
      <c r="A24" s="94">
        <f t="shared" si="4"/>
        <v>0</v>
      </c>
      <c r="B24" s="33" t="str">
        <f t="shared" si="0"/>
        <v/>
      </c>
      <c r="C24" s="34"/>
      <c r="D24" s="34"/>
      <c r="E24" s="34"/>
      <c r="F24" s="34"/>
      <c r="G24" s="27"/>
      <c r="H24" s="191">
        <v>19</v>
      </c>
      <c r="I24" s="192" t="str">
        <f t="shared" si="1"/>
        <v/>
      </c>
      <c r="J24" s="191" t="e">
        <f t="shared" si="5"/>
        <v>#NUM!</v>
      </c>
      <c r="K24" s="191" t="e">
        <f t="shared" si="2"/>
        <v>#NUM!</v>
      </c>
      <c r="L24" s="191"/>
      <c r="M24" s="193">
        <f t="shared" si="3"/>
        <v>0</v>
      </c>
      <c r="R24" s="204"/>
      <c r="S24" s="205"/>
    </row>
    <row r="25" spans="1:19" x14ac:dyDescent="0.25">
      <c r="A25" s="98">
        <f t="shared" si="4"/>
        <v>0</v>
      </c>
      <c r="B25" s="39" t="str">
        <f t="shared" si="0"/>
        <v/>
      </c>
      <c r="C25" s="40"/>
      <c r="D25" s="40"/>
      <c r="E25" s="40"/>
      <c r="F25" s="40"/>
      <c r="G25" s="27"/>
      <c r="H25" s="194">
        <v>20</v>
      </c>
      <c r="I25" s="195" t="str">
        <f t="shared" si="1"/>
        <v/>
      </c>
      <c r="J25" s="194" t="e">
        <f t="shared" si="5"/>
        <v>#NUM!</v>
      </c>
      <c r="K25" s="194" t="e">
        <f t="shared" si="2"/>
        <v>#NUM!</v>
      </c>
      <c r="L25" s="194"/>
      <c r="M25" s="196">
        <f t="shared" si="3"/>
        <v>0</v>
      </c>
    </row>
    <row r="26" spans="1:19" x14ac:dyDescent="0.25">
      <c r="A26" s="94">
        <f t="shared" si="4"/>
        <v>0</v>
      </c>
      <c r="B26" s="33" t="str">
        <f t="shared" si="0"/>
        <v/>
      </c>
      <c r="C26" s="34"/>
      <c r="D26" s="34"/>
      <c r="E26" s="34"/>
      <c r="F26" s="34"/>
      <c r="G26" s="27"/>
      <c r="H26" s="191">
        <v>21</v>
      </c>
      <c r="I26" s="192" t="str">
        <f t="shared" si="1"/>
        <v/>
      </c>
      <c r="J26" s="191" t="e">
        <f t="shared" si="5"/>
        <v>#NUM!</v>
      </c>
      <c r="K26" s="191" t="e">
        <f t="shared" si="2"/>
        <v>#NUM!</v>
      </c>
      <c r="L26" s="191"/>
      <c r="M26" s="193">
        <f t="shared" si="3"/>
        <v>0</v>
      </c>
    </row>
    <row r="27" spans="1:19" x14ac:dyDescent="0.25">
      <c r="A27" s="98">
        <f t="shared" si="4"/>
        <v>0</v>
      </c>
      <c r="B27" s="39" t="str">
        <f t="shared" si="0"/>
        <v/>
      </c>
      <c r="C27" s="40"/>
      <c r="D27" s="40"/>
      <c r="E27" s="40"/>
      <c r="F27" s="40"/>
      <c r="G27" s="27"/>
      <c r="H27" s="194">
        <v>22</v>
      </c>
      <c r="I27" s="195" t="str">
        <f t="shared" si="1"/>
        <v/>
      </c>
      <c r="J27" s="194" t="e">
        <f t="shared" si="5"/>
        <v>#NUM!</v>
      </c>
      <c r="K27" s="194" t="e">
        <f t="shared" si="2"/>
        <v>#NUM!</v>
      </c>
      <c r="L27" s="194"/>
      <c r="M27" s="196">
        <f t="shared" si="3"/>
        <v>0</v>
      </c>
    </row>
    <row r="28" spans="1:19" x14ac:dyDescent="0.25">
      <c r="A28" s="94">
        <f t="shared" si="4"/>
        <v>0</v>
      </c>
      <c r="B28" s="33" t="str">
        <f t="shared" si="0"/>
        <v/>
      </c>
      <c r="C28" s="34"/>
      <c r="D28" s="34"/>
      <c r="E28" s="34"/>
      <c r="F28" s="34"/>
      <c r="G28" s="27"/>
      <c r="H28" s="191">
        <v>23</v>
      </c>
      <c r="I28" s="192" t="str">
        <f t="shared" si="1"/>
        <v/>
      </c>
      <c r="J28" s="191" t="e">
        <f t="shared" si="5"/>
        <v>#NUM!</v>
      </c>
      <c r="K28" s="191" t="e">
        <f t="shared" si="2"/>
        <v>#NUM!</v>
      </c>
      <c r="L28" s="191"/>
      <c r="M28" s="193">
        <f t="shared" si="3"/>
        <v>0</v>
      </c>
      <c r="R28" s="204"/>
      <c r="S28" s="205"/>
    </row>
    <row r="29" spans="1:19" x14ac:dyDescent="0.25">
      <c r="A29" s="98">
        <f t="shared" si="4"/>
        <v>0</v>
      </c>
      <c r="B29" s="39" t="str">
        <f t="shared" si="0"/>
        <v/>
      </c>
      <c r="C29" s="40"/>
      <c r="D29" s="40"/>
      <c r="E29" s="40"/>
      <c r="F29" s="40"/>
      <c r="G29" s="179"/>
      <c r="H29" s="194">
        <v>24</v>
      </c>
      <c r="I29" s="195" t="str">
        <f t="shared" si="1"/>
        <v/>
      </c>
      <c r="J29" s="194" t="e">
        <f t="shared" si="5"/>
        <v>#NUM!</v>
      </c>
      <c r="K29" s="194" t="e">
        <f t="shared" si="2"/>
        <v>#NUM!</v>
      </c>
      <c r="L29" s="194"/>
      <c r="M29" s="196">
        <f t="shared" si="3"/>
        <v>0</v>
      </c>
    </row>
    <row r="30" spans="1:19" x14ac:dyDescent="0.25">
      <c r="A30" s="94">
        <f t="shared" si="4"/>
        <v>0</v>
      </c>
      <c r="B30" s="33" t="str">
        <f t="shared" si="0"/>
        <v/>
      </c>
      <c r="C30" s="34"/>
      <c r="D30" s="34"/>
      <c r="E30" s="34"/>
      <c r="F30" s="34"/>
      <c r="G30" s="179"/>
      <c r="H30" s="191">
        <v>25</v>
      </c>
      <c r="I30" s="192" t="str">
        <f t="shared" si="1"/>
        <v/>
      </c>
      <c r="J30" s="191" t="e">
        <f t="shared" si="5"/>
        <v>#NUM!</v>
      </c>
      <c r="K30" s="191" t="e">
        <f t="shared" si="2"/>
        <v>#NUM!</v>
      </c>
      <c r="L30" s="191"/>
      <c r="M30" s="193">
        <f t="shared" si="3"/>
        <v>0</v>
      </c>
    </row>
    <row r="31" spans="1:19" x14ac:dyDescent="0.25">
      <c r="A31" s="98">
        <f t="shared" si="4"/>
        <v>0</v>
      </c>
      <c r="B31" s="39" t="str">
        <f t="shared" si="0"/>
        <v/>
      </c>
      <c r="C31" s="40"/>
      <c r="D31" s="40"/>
      <c r="E31" s="40"/>
      <c r="F31" s="40"/>
      <c r="G31" s="179"/>
      <c r="H31" s="194">
        <v>26</v>
      </c>
      <c r="I31" s="195" t="str">
        <f t="shared" si="1"/>
        <v/>
      </c>
      <c r="J31" s="194" t="e">
        <f t="shared" si="5"/>
        <v>#NUM!</v>
      </c>
      <c r="K31" s="194" t="e">
        <f t="shared" si="2"/>
        <v>#NUM!</v>
      </c>
      <c r="L31" s="194"/>
      <c r="M31" s="196">
        <f t="shared" si="3"/>
        <v>0</v>
      </c>
    </row>
    <row r="32" spans="1:19" x14ac:dyDescent="0.25">
      <c r="A32" s="94">
        <f t="shared" si="4"/>
        <v>0</v>
      </c>
      <c r="B32" s="33" t="str">
        <f t="shared" si="0"/>
        <v/>
      </c>
      <c r="C32" s="34"/>
      <c r="D32" s="34"/>
      <c r="E32" s="34"/>
      <c r="F32" s="34"/>
      <c r="G32" s="179"/>
      <c r="H32" s="191">
        <v>27</v>
      </c>
      <c r="I32" s="192" t="str">
        <f t="shared" si="1"/>
        <v/>
      </c>
      <c r="J32" s="191" t="e">
        <f t="shared" si="5"/>
        <v>#NUM!</v>
      </c>
      <c r="K32" s="191" t="e">
        <f t="shared" si="2"/>
        <v>#NUM!</v>
      </c>
      <c r="L32" s="191"/>
      <c r="M32" s="193">
        <f t="shared" si="3"/>
        <v>0</v>
      </c>
      <c r="R32" s="204"/>
      <c r="S32" s="205"/>
    </row>
    <row r="33" spans="1:19" x14ac:dyDescent="0.25">
      <c r="A33" s="98">
        <f t="shared" si="4"/>
        <v>0</v>
      </c>
      <c r="B33" s="39" t="str">
        <f t="shared" si="0"/>
        <v/>
      </c>
      <c r="C33" s="40"/>
      <c r="D33" s="40"/>
      <c r="E33" s="40"/>
      <c r="F33" s="40"/>
      <c r="G33" s="179"/>
      <c r="H33" s="194">
        <v>28</v>
      </c>
      <c r="I33" s="195" t="str">
        <f t="shared" si="1"/>
        <v/>
      </c>
      <c r="J33" s="194" t="e">
        <f t="shared" si="5"/>
        <v>#NUM!</v>
      </c>
      <c r="K33" s="194" t="e">
        <f t="shared" si="2"/>
        <v>#NUM!</v>
      </c>
      <c r="L33" s="194"/>
      <c r="M33" s="196">
        <f t="shared" si="3"/>
        <v>0</v>
      </c>
    </row>
    <row r="34" spans="1:19" x14ac:dyDescent="0.25">
      <c r="A34" s="94">
        <f t="shared" si="4"/>
        <v>0</v>
      </c>
      <c r="B34" s="33" t="str">
        <f t="shared" si="0"/>
        <v/>
      </c>
      <c r="C34" s="34"/>
      <c r="D34" s="34"/>
      <c r="E34" s="34"/>
      <c r="F34" s="34"/>
      <c r="G34" s="179"/>
      <c r="H34" s="191">
        <v>29</v>
      </c>
      <c r="I34" s="192" t="str">
        <f t="shared" si="1"/>
        <v/>
      </c>
      <c r="J34" s="191" t="e">
        <f t="shared" si="5"/>
        <v>#NUM!</v>
      </c>
      <c r="K34" s="191" t="e">
        <f t="shared" si="2"/>
        <v>#NUM!</v>
      </c>
      <c r="L34" s="191"/>
      <c r="M34" s="193">
        <f t="shared" si="3"/>
        <v>0</v>
      </c>
    </row>
    <row r="35" spans="1:19" x14ac:dyDescent="0.25">
      <c r="A35" s="98">
        <f t="shared" si="4"/>
        <v>0</v>
      </c>
      <c r="B35" s="39" t="str">
        <f t="shared" si="0"/>
        <v/>
      </c>
      <c r="C35" s="40"/>
      <c r="D35" s="40"/>
      <c r="E35" s="40"/>
      <c r="F35" s="40"/>
      <c r="G35" s="179"/>
      <c r="H35" s="194">
        <v>30</v>
      </c>
      <c r="I35" s="195" t="str">
        <f t="shared" si="1"/>
        <v/>
      </c>
      <c r="J35" s="194" t="e">
        <f t="shared" si="5"/>
        <v>#NUM!</v>
      </c>
      <c r="K35" s="194" t="e">
        <f t="shared" si="2"/>
        <v>#NUM!</v>
      </c>
      <c r="L35" s="194"/>
      <c r="M35" s="196">
        <f t="shared" si="3"/>
        <v>0</v>
      </c>
    </row>
    <row r="36" spans="1:19" x14ac:dyDescent="0.25">
      <c r="A36" s="94">
        <f t="shared" si="4"/>
        <v>0</v>
      </c>
      <c r="B36" s="33" t="str">
        <f t="shared" si="0"/>
        <v/>
      </c>
      <c r="C36" s="34"/>
      <c r="D36" s="34"/>
      <c r="E36" s="34"/>
      <c r="F36" s="34"/>
      <c r="G36" s="179"/>
      <c r="H36" s="191">
        <v>31</v>
      </c>
      <c r="I36" s="192" t="str">
        <f t="shared" si="1"/>
        <v/>
      </c>
      <c r="J36" s="191" t="e">
        <f t="shared" si="5"/>
        <v>#NUM!</v>
      </c>
      <c r="K36" s="191" t="e">
        <f t="shared" si="2"/>
        <v>#NUM!</v>
      </c>
      <c r="L36" s="191"/>
      <c r="M36" s="193">
        <f t="shared" si="3"/>
        <v>0</v>
      </c>
      <c r="R36" s="204"/>
      <c r="S36" s="205"/>
    </row>
    <row r="37" spans="1:19" x14ac:dyDescent="0.25">
      <c r="A37" s="98">
        <f t="shared" si="4"/>
        <v>0</v>
      </c>
      <c r="B37" s="39" t="str">
        <f t="shared" si="0"/>
        <v/>
      </c>
      <c r="C37" s="40"/>
      <c r="D37" s="40"/>
      <c r="E37" s="40"/>
      <c r="F37" s="40"/>
      <c r="G37" s="179"/>
      <c r="H37" s="194">
        <v>32</v>
      </c>
      <c r="I37" s="195" t="str">
        <f t="shared" si="1"/>
        <v/>
      </c>
      <c r="J37" s="194" t="e">
        <f t="shared" si="5"/>
        <v>#NUM!</v>
      </c>
      <c r="K37" s="194" t="e">
        <f t="shared" si="2"/>
        <v>#NUM!</v>
      </c>
      <c r="L37" s="194"/>
      <c r="M37" s="196">
        <f t="shared" si="3"/>
        <v>0</v>
      </c>
    </row>
    <row r="38" spans="1:19" x14ac:dyDescent="0.25">
      <c r="A38" s="94">
        <f t="shared" si="4"/>
        <v>0</v>
      </c>
      <c r="B38" s="33" t="str">
        <f t="shared" si="0"/>
        <v/>
      </c>
      <c r="C38" s="34"/>
      <c r="D38" s="34"/>
      <c r="E38" s="34"/>
      <c r="F38" s="34"/>
      <c r="G38" s="179"/>
      <c r="H38" s="191">
        <v>33</v>
      </c>
      <c r="I38" s="192" t="str">
        <f t="shared" si="1"/>
        <v/>
      </c>
      <c r="J38" s="191" t="e">
        <f t="shared" si="5"/>
        <v>#NUM!</v>
      </c>
      <c r="K38" s="191" t="e">
        <f t="shared" si="2"/>
        <v>#NUM!</v>
      </c>
      <c r="L38" s="191"/>
      <c r="M38" s="193">
        <f t="shared" si="3"/>
        <v>0</v>
      </c>
    </row>
    <row r="39" spans="1:19" x14ac:dyDescent="0.25">
      <c r="A39" s="98">
        <f t="shared" si="4"/>
        <v>0</v>
      </c>
      <c r="B39" s="39" t="str">
        <f t="shared" si="0"/>
        <v/>
      </c>
      <c r="C39" s="40"/>
      <c r="D39" s="40"/>
      <c r="E39" s="40"/>
      <c r="F39" s="40"/>
      <c r="G39" s="179"/>
      <c r="H39" s="194">
        <v>34</v>
      </c>
      <c r="I39" s="195" t="str">
        <f t="shared" si="1"/>
        <v/>
      </c>
      <c r="J39" s="194" t="e">
        <f t="shared" si="5"/>
        <v>#NUM!</v>
      </c>
      <c r="K39" s="194" t="e">
        <f t="shared" si="2"/>
        <v>#NUM!</v>
      </c>
      <c r="L39" s="194"/>
      <c r="M39" s="196">
        <f t="shared" si="3"/>
        <v>0</v>
      </c>
    </row>
    <row r="40" spans="1:19" x14ac:dyDescent="0.25">
      <c r="A40" s="94">
        <f t="shared" si="4"/>
        <v>0</v>
      </c>
      <c r="B40" s="33" t="str">
        <f t="shared" si="0"/>
        <v/>
      </c>
      <c r="C40" s="34"/>
      <c r="D40" s="34"/>
      <c r="E40" s="34"/>
      <c r="F40" s="34"/>
      <c r="G40" s="179"/>
      <c r="H40" s="191">
        <v>35</v>
      </c>
      <c r="I40" s="192" t="str">
        <f t="shared" si="1"/>
        <v/>
      </c>
      <c r="J40" s="191" t="e">
        <f t="shared" si="5"/>
        <v>#NUM!</v>
      </c>
      <c r="K40" s="191" t="e">
        <f t="shared" si="2"/>
        <v>#NUM!</v>
      </c>
      <c r="L40" s="191"/>
      <c r="M40" s="193">
        <f t="shared" si="3"/>
        <v>0</v>
      </c>
    </row>
    <row r="41" spans="1:19" x14ac:dyDescent="0.25">
      <c r="A41" s="98">
        <f t="shared" si="4"/>
        <v>0</v>
      </c>
      <c r="B41" s="39" t="str">
        <f t="shared" si="0"/>
        <v/>
      </c>
      <c r="C41" s="40"/>
      <c r="D41" s="40"/>
      <c r="E41" s="40"/>
      <c r="F41" s="40"/>
      <c r="G41" s="179"/>
      <c r="H41" s="194">
        <v>36</v>
      </c>
      <c r="I41" s="195" t="str">
        <f t="shared" si="1"/>
        <v/>
      </c>
      <c r="J41" s="194" t="e">
        <f t="shared" si="5"/>
        <v>#NUM!</v>
      </c>
      <c r="K41" s="194" t="e">
        <f t="shared" si="2"/>
        <v>#NUM!</v>
      </c>
      <c r="L41" s="194"/>
      <c r="M41" s="196">
        <f t="shared" si="3"/>
        <v>0</v>
      </c>
      <c r="S41" s="206"/>
    </row>
    <row r="42" spans="1:19" x14ac:dyDescent="0.25">
      <c r="A42" s="94">
        <f t="shared" si="4"/>
        <v>0</v>
      </c>
      <c r="B42" s="33" t="str">
        <f t="shared" si="0"/>
        <v/>
      </c>
      <c r="C42" s="34"/>
      <c r="D42" s="34"/>
      <c r="E42" s="34"/>
      <c r="F42" s="34"/>
      <c r="G42" s="179"/>
      <c r="H42" s="191">
        <v>37</v>
      </c>
      <c r="I42" s="192" t="str">
        <f t="shared" si="1"/>
        <v/>
      </c>
      <c r="J42" s="191" t="e">
        <f t="shared" si="5"/>
        <v>#NUM!</v>
      </c>
      <c r="K42" s="191" t="e">
        <f t="shared" si="2"/>
        <v>#NUM!</v>
      </c>
      <c r="L42" s="191"/>
      <c r="M42" s="193">
        <f t="shared" si="3"/>
        <v>0</v>
      </c>
    </row>
    <row r="43" spans="1:19" x14ac:dyDescent="0.25">
      <c r="A43" s="98">
        <f t="shared" si="4"/>
        <v>0</v>
      </c>
      <c r="B43" s="39" t="str">
        <f t="shared" si="0"/>
        <v/>
      </c>
      <c r="C43" s="40"/>
      <c r="D43" s="40"/>
      <c r="E43" s="40"/>
      <c r="F43" s="40"/>
      <c r="G43" s="179"/>
      <c r="H43" s="194">
        <v>38</v>
      </c>
      <c r="I43" s="195" t="str">
        <f t="shared" si="1"/>
        <v/>
      </c>
      <c r="J43" s="194" t="e">
        <f t="shared" si="5"/>
        <v>#NUM!</v>
      </c>
      <c r="K43" s="194" t="e">
        <f t="shared" si="2"/>
        <v>#NUM!</v>
      </c>
      <c r="L43" s="194"/>
      <c r="M43" s="196">
        <f t="shared" si="3"/>
        <v>0</v>
      </c>
    </row>
    <row r="44" spans="1:19" x14ac:dyDescent="0.25">
      <c r="A44" s="94">
        <f t="shared" si="4"/>
        <v>0</v>
      </c>
      <c r="B44" s="33" t="str">
        <f t="shared" si="0"/>
        <v/>
      </c>
      <c r="C44" s="34"/>
      <c r="D44" s="34"/>
      <c r="E44" s="34"/>
      <c r="F44" s="34"/>
      <c r="G44" s="179"/>
      <c r="H44" s="191">
        <v>39</v>
      </c>
      <c r="I44" s="192" t="str">
        <f t="shared" si="1"/>
        <v/>
      </c>
      <c r="J44" s="191" t="e">
        <f t="shared" si="5"/>
        <v>#NUM!</v>
      </c>
      <c r="K44" s="191" t="e">
        <f t="shared" si="2"/>
        <v>#NUM!</v>
      </c>
      <c r="L44" s="191"/>
      <c r="M44" s="193">
        <f t="shared" si="3"/>
        <v>0</v>
      </c>
    </row>
    <row r="45" spans="1:19" x14ac:dyDescent="0.25">
      <c r="A45" s="98">
        <f t="shared" si="4"/>
        <v>0</v>
      </c>
      <c r="B45" s="39" t="str">
        <f t="shared" si="0"/>
        <v/>
      </c>
      <c r="C45" s="40"/>
      <c r="D45" s="40"/>
      <c r="E45" s="40"/>
      <c r="F45" s="40"/>
      <c r="G45" s="179"/>
      <c r="H45" s="194">
        <v>40</v>
      </c>
      <c r="I45" s="195" t="str">
        <f t="shared" si="1"/>
        <v/>
      </c>
      <c r="J45" s="194" t="e">
        <f t="shared" si="5"/>
        <v>#NUM!</v>
      </c>
      <c r="K45" s="194" t="e">
        <f t="shared" si="2"/>
        <v>#NUM!</v>
      </c>
      <c r="L45" s="194"/>
      <c r="M45" s="196">
        <f t="shared" si="3"/>
        <v>0</v>
      </c>
    </row>
    <row r="46" spans="1:19" x14ac:dyDescent="0.25">
      <c r="A46" s="94">
        <f t="shared" si="4"/>
        <v>0</v>
      </c>
      <c r="B46" s="33" t="str">
        <f t="shared" si="0"/>
        <v/>
      </c>
      <c r="C46" s="34"/>
      <c r="D46" s="34"/>
      <c r="E46" s="34"/>
      <c r="F46" s="34"/>
      <c r="G46" s="179"/>
      <c r="H46" s="191">
        <v>41</v>
      </c>
      <c r="I46" s="192" t="str">
        <f t="shared" si="1"/>
        <v/>
      </c>
      <c r="J46" s="191" t="e">
        <f t="shared" si="5"/>
        <v>#NUM!</v>
      </c>
      <c r="K46" s="191" t="e">
        <f t="shared" si="2"/>
        <v>#NUM!</v>
      </c>
      <c r="L46" s="191"/>
      <c r="M46" s="193">
        <f t="shared" si="3"/>
        <v>0</v>
      </c>
    </row>
    <row r="47" spans="1:19" x14ac:dyDescent="0.25">
      <c r="A47" s="98">
        <f t="shared" si="4"/>
        <v>0</v>
      </c>
      <c r="B47" s="39" t="str">
        <f t="shared" si="0"/>
        <v/>
      </c>
      <c r="C47" s="40"/>
      <c r="D47" s="40"/>
      <c r="E47" s="40"/>
      <c r="F47" s="40"/>
      <c r="G47" s="179"/>
      <c r="H47" s="194">
        <v>42</v>
      </c>
      <c r="I47" s="195" t="str">
        <f t="shared" si="1"/>
        <v/>
      </c>
      <c r="J47" s="194" t="e">
        <f t="shared" si="5"/>
        <v>#NUM!</v>
      </c>
      <c r="K47" s="194" t="e">
        <f t="shared" si="2"/>
        <v>#NUM!</v>
      </c>
      <c r="L47" s="194"/>
      <c r="M47" s="196">
        <f t="shared" si="3"/>
        <v>0</v>
      </c>
    </row>
    <row r="48" spans="1:19" x14ac:dyDescent="0.25">
      <c r="A48" s="94">
        <f t="shared" si="4"/>
        <v>0</v>
      </c>
      <c r="B48" s="33" t="str">
        <f t="shared" si="0"/>
        <v/>
      </c>
      <c r="C48" s="34"/>
      <c r="D48" s="34"/>
      <c r="E48" s="34"/>
      <c r="F48" s="34"/>
      <c r="G48" s="179"/>
      <c r="H48" s="191">
        <v>43</v>
      </c>
      <c r="I48" s="192" t="str">
        <f t="shared" si="1"/>
        <v/>
      </c>
      <c r="J48" s="191" t="e">
        <f t="shared" si="5"/>
        <v>#NUM!</v>
      </c>
      <c r="K48" s="191" t="e">
        <f t="shared" si="2"/>
        <v>#NUM!</v>
      </c>
      <c r="L48" s="191"/>
      <c r="M48" s="193">
        <f t="shared" si="3"/>
        <v>0</v>
      </c>
    </row>
    <row r="49" spans="1:38" x14ac:dyDescent="0.25">
      <c r="A49" s="98">
        <f t="shared" si="4"/>
        <v>0</v>
      </c>
      <c r="B49" s="39" t="str">
        <f t="shared" si="0"/>
        <v/>
      </c>
      <c r="C49" s="40"/>
      <c r="D49" s="40"/>
      <c r="E49" s="40"/>
      <c r="F49" s="40"/>
      <c r="G49" s="179"/>
      <c r="H49" s="194">
        <v>44</v>
      </c>
      <c r="I49" s="195" t="str">
        <f t="shared" si="1"/>
        <v/>
      </c>
      <c r="J49" s="194" t="e">
        <f t="shared" si="5"/>
        <v>#NUM!</v>
      </c>
      <c r="K49" s="194" t="e">
        <f t="shared" si="2"/>
        <v>#NUM!</v>
      </c>
      <c r="L49" s="194"/>
      <c r="M49" s="196">
        <f t="shared" si="3"/>
        <v>0</v>
      </c>
    </row>
    <row r="50" spans="1:38" x14ac:dyDescent="0.25">
      <c r="A50" s="94">
        <f t="shared" si="4"/>
        <v>0</v>
      </c>
      <c r="B50" s="33" t="str">
        <f t="shared" si="0"/>
        <v/>
      </c>
      <c r="C50" s="34"/>
      <c r="D50" s="34"/>
      <c r="E50" s="34"/>
      <c r="F50" s="34"/>
      <c r="G50" s="179"/>
      <c r="H50" s="191">
        <v>45</v>
      </c>
      <c r="I50" s="192" t="str">
        <f t="shared" si="1"/>
        <v/>
      </c>
      <c r="J50" s="191" t="e">
        <f t="shared" si="5"/>
        <v>#NUM!</v>
      </c>
      <c r="K50" s="191" t="e">
        <f t="shared" si="2"/>
        <v>#NUM!</v>
      </c>
      <c r="L50" s="191"/>
      <c r="M50" s="193">
        <f t="shared" si="3"/>
        <v>0</v>
      </c>
    </row>
    <row r="51" spans="1:38" x14ac:dyDescent="0.25">
      <c r="A51" s="98">
        <f t="shared" si="4"/>
        <v>0</v>
      </c>
      <c r="B51" s="39" t="str">
        <f t="shared" si="0"/>
        <v/>
      </c>
      <c r="C51" s="40"/>
      <c r="D51" s="40"/>
      <c r="E51" s="40"/>
      <c r="F51" s="40"/>
      <c r="G51" s="179"/>
      <c r="H51" s="194">
        <v>46</v>
      </c>
      <c r="I51" s="195" t="str">
        <f t="shared" si="1"/>
        <v/>
      </c>
      <c r="J51" s="194" t="e">
        <f t="shared" si="5"/>
        <v>#NUM!</v>
      </c>
      <c r="K51" s="194" t="e">
        <f t="shared" si="2"/>
        <v>#NUM!</v>
      </c>
      <c r="L51" s="194"/>
      <c r="M51" s="196">
        <f t="shared" si="3"/>
        <v>0</v>
      </c>
    </row>
    <row r="52" spans="1:38" x14ac:dyDescent="0.25">
      <c r="A52" s="94">
        <f t="shared" si="4"/>
        <v>0</v>
      </c>
      <c r="B52" s="33" t="str">
        <f t="shared" si="0"/>
        <v/>
      </c>
      <c r="C52" s="34"/>
      <c r="D52" s="34"/>
      <c r="E52" s="34"/>
      <c r="F52" s="34"/>
      <c r="G52" s="179"/>
      <c r="H52" s="191">
        <v>47</v>
      </c>
      <c r="I52" s="192" t="str">
        <f t="shared" si="1"/>
        <v/>
      </c>
      <c r="J52" s="191" t="e">
        <f t="shared" si="5"/>
        <v>#NUM!</v>
      </c>
      <c r="K52" s="191" t="e">
        <f t="shared" si="2"/>
        <v>#NUM!</v>
      </c>
      <c r="L52" s="191"/>
      <c r="M52" s="193">
        <f t="shared" si="3"/>
        <v>0</v>
      </c>
    </row>
    <row r="53" spans="1:38" x14ac:dyDescent="0.25">
      <c r="A53" s="98">
        <f t="shared" si="4"/>
        <v>0</v>
      </c>
      <c r="B53" s="39" t="str">
        <f t="shared" si="0"/>
        <v/>
      </c>
      <c r="C53" s="40"/>
      <c r="D53" s="40"/>
      <c r="E53" s="40"/>
      <c r="F53" s="40"/>
      <c r="G53" s="179"/>
      <c r="H53" s="194">
        <v>48</v>
      </c>
      <c r="I53" s="195" t="str">
        <f t="shared" si="1"/>
        <v/>
      </c>
      <c r="J53" s="194" t="e">
        <f t="shared" si="5"/>
        <v>#NUM!</v>
      </c>
      <c r="K53" s="194" t="e">
        <f t="shared" si="2"/>
        <v>#NUM!</v>
      </c>
      <c r="L53" s="194"/>
      <c r="M53" s="196">
        <f t="shared" si="3"/>
        <v>0</v>
      </c>
    </row>
    <row r="54" spans="1:38" x14ac:dyDescent="0.25">
      <c r="A54" s="94">
        <f t="shared" si="4"/>
        <v>0</v>
      </c>
      <c r="B54" s="33" t="str">
        <f t="shared" si="0"/>
        <v/>
      </c>
      <c r="C54" s="34"/>
      <c r="D54" s="34"/>
      <c r="E54" s="34"/>
      <c r="F54" s="34"/>
      <c r="G54" s="179"/>
      <c r="H54" s="191">
        <v>49</v>
      </c>
      <c r="I54" s="192" t="str">
        <f t="shared" si="1"/>
        <v/>
      </c>
      <c r="J54" s="191" t="e">
        <f t="shared" si="5"/>
        <v>#NUM!</v>
      </c>
      <c r="K54" s="191" t="e">
        <f t="shared" si="2"/>
        <v>#NUM!</v>
      </c>
      <c r="L54" s="191"/>
      <c r="M54" s="193">
        <f t="shared" si="3"/>
        <v>0</v>
      </c>
    </row>
    <row r="55" spans="1:38" x14ac:dyDescent="0.25">
      <c r="A55" s="98">
        <f t="shared" si="4"/>
        <v>0</v>
      </c>
      <c r="B55" s="39" t="str">
        <f t="shared" si="0"/>
        <v/>
      </c>
      <c r="C55" s="40"/>
      <c r="D55" s="40"/>
      <c r="E55" s="40"/>
      <c r="F55" s="40"/>
      <c r="G55" s="179"/>
      <c r="H55" s="194">
        <v>50</v>
      </c>
      <c r="I55" s="195" t="str">
        <f t="shared" si="1"/>
        <v/>
      </c>
      <c r="J55" s="194" t="e">
        <f t="shared" si="5"/>
        <v>#NUM!</v>
      </c>
      <c r="K55" s="194" t="e">
        <f t="shared" si="2"/>
        <v>#NUM!</v>
      </c>
      <c r="L55" s="194"/>
      <c r="M55" s="196">
        <f t="shared" si="3"/>
        <v>0</v>
      </c>
    </row>
    <row r="56" spans="1:38" x14ac:dyDescent="0.25">
      <c r="A56" s="94">
        <f t="shared" si="4"/>
        <v>0</v>
      </c>
      <c r="B56" s="33" t="str">
        <f t="shared" si="0"/>
        <v/>
      </c>
      <c r="C56" s="34"/>
      <c r="D56" s="34"/>
      <c r="E56" s="34"/>
      <c r="F56" s="34"/>
      <c r="G56" s="179"/>
      <c r="H56" s="191">
        <v>51</v>
      </c>
      <c r="I56" s="192" t="str">
        <f t="shared" si="1"/>
        <v/>
      </c>
      <c r="J56" s="191" t="e">
        <f t="shared" si="5"/>
        <v>#NUM!</v>
      </c>
      <c r="K56" s="191" t="e">
        <f t="shared" si="2"/>
        <v>#NUM!</v>
      </c>
      <c r="L56" s="191"/>
      <c r="M56" s="193">
        <f t="shared" si="3"/>
        <v>0</v>
      </c>
    </row>
    <row r="57" spans="1:38" s="179" customFormat="1" x14ac:dyDescent="0.25">
      <c r="A57" s="98">
        <f t="shared" si="4"/>
        <v>0</v>
      </c>
      <c r="B57" s="39" t="str">
        <f t="shared" si="0"/>
        <v/>
      </c>
      <c r="C57" s="40"/>
      <c r="D57" s="40"/>
      <c r="E57" s="40"/>
      <c r="F57" s="40"/>
      <c r="H57" s="194">
        <v>52</v>
      </c>
      <c r="I57" s="195" t="str">
        <f t="shared" si="1"/>
        <v/>
      </c>
      <c r="J57" s="194" t="e">
        <f t="shared" si="5"/>
        <v>#NUM!</v>
      </c>
      <c r="K57" s="194" t="e">
        <f t="shared" si="2"/>
        <v>#NUM!</v>
      </c>
      <c r="L57" s="194"/>
      <c r="M57" s="196">
        <f t="shared" si="3"/>
        <v>0</v>
      </c>
      <c r="S57" s="184"/>
      <c r="T57" s="184"/>
      <c r="U57" s="184"/>
      <c r="V57" s="184"/>
      <c r="W57" s="184"/>
      <c r="X57" s="184"/>
      <c r="Y57" s="184"/>
      <c r="Z57" s="184"/>
      <c r="AA57" s="184"/>
      <c r="AB57" s="184"/>
      <c r="AC57" s="184"/>
      <c r="AD57" s="184"/>
      <c r="AE57" s="184"/>
      <c r="AF57" s="184"/>
      <c r="AG57" s="184"/>
      <c r="AH57" s="184"/>
      <c r="AI57" s="184"/>
      <c r="AJ57" s="184"/>
      <c r="AK57" s="184"/>
      <c r="AL57" s="184"/>
    </row>
    <row r="58" spans="1:38" s="179" customFormat="1" x14ac:dyDescent="0.25">
      <c r="A58" s="94">
        <f t="shared" si="4"/>
        <v>0</v>
      </c>
      <c r="B58" s="33" t="str">
        <f t="shared" si="0"/>
        <v/>
      </c>
      <c r="C58" s="34"/>
      <c r="D58" s="34"/>
      <c r="E58" s="34"/>
      <c r="F58" s="34"/>
      <c r="H58" s="191">
        <v>53</v>
      </c>
      <c r="I58" s="192" t="str">
        <f t="shared" si="1"/>
        <v/>
      </c>
      <c r="J58" s="191" t="e">
        <f t="shared" si="5"/>
        <v>#NUM!</v>
      </c>
      <c r="K58" s="191" t="e">
        <f t="shared" si="2"/>
        <v>#NUM!</v>
      </c>
      <c r="L58" s="191"/>
      <c r="M58" s="193">
        <f t="shared" si="3"/>
        <v>0</v>
      </c>
      <c r="S58" s="184"/>
      <c r="T58" s="184"/>
      <c r="U58" s="184"/>
      <c r="V58" s="184"/>
      <c r="W58" s="184"/>
      <c r="X58" s="184"/>
      <c r="Y58" s="184"/>
      <c r="Z58" s="184"/>
      <c r="AA58" s="184"/>
      <c r="AB58" s="184"/>
      <c r="AC58" s="184"/>
      <c r="AD58" s="184"/>
      <c r="AE58" s="184"/>
      <c r="AF58" s="184"/>
      <c r="AG58" s="184"/>
      <c r="AH58" s="184"/>
      <c r="AI58" s="184"/>
      <c r="AJ58" s="184"/>
      <c r="AK58" s="184"/>
      <c r="AL58" s="184"/>
    </row>
    <row r="59" spans="1:38" s="179" customFormat="1" x14ac:dyDescent="0.25">
      <c r="A59" s="98">
        <f t="shared" si="4"/>
        <v>0</v>
      </c>
      <c r="B59" s="39" t="str">
        <f t="shared" si="0"/>
        <v/>
      </c>
      <c r="C59" s="40"/>
      <c r="D59" s="40"/>
      <c r="E59" s="40"/>
      <c r="F59" s="40"/>
      <c r="H59" s="194">
        <v>54</v>
      </c>
      <c r="I59" s="195" t="str">
        <f t="shared" si="1"/>
        <v/>
      </c>
      <c r="J59" s="194" t="e">
        <f t="shared" si="5"/>
        <v>#NUM!</v>
      </c>
      <c r="K59" s="194" t="e">
        <f t="shared" si="2"/>
        <v>#NUM!</v>
      </c>
      <c r="L59" s="194"/>
      <c r="M59" s="196">
        <f t="shared" si="3"/>
        <v>0</v>
      </c>
      <c r="S59" s="184"/>
      <c r="T59" s="184"/>
      <c r="U59" s="184"/>
      <c r="V59" s="184"/>
      <c r="W59" s="184"/>
      <c r="X59" s="184"/>
      <c r="Y59" s="184"/>
      <c r="Z59" s="184"/>
      <c r="AA59" s="184"/>
      <c r="AB59" s="184"/>
      <c r="AC59" s="184"/>
      <c r="AD59" s="184"/>
      <c r="AE59" s="184"/>
      <c r="AF59" s="184"/>
      <c r="AG59" s="184"/>
      <c r="AH59" s="184"/>
      <c r="AI59" s="184"/>
      <c r="AJ59" s="184"/>
      <c r="AK59" s="184"/>
      <c r="AL59" s="184"/>
    </row>
    <row r="60" spans="1:38" s="179" customFormat="1" x14ac:dyDescent="0.25">
      <c r="A60" s="94">
        <f t="shared" si="4"/>
        <v>0</v>
      </c>
      <c r="B60" s="33" t="str">
        <f t="shared" si="0"/>
        <v/>
      </c>
      <c r="C60" s="34"/>
      <c r="D60" s="34"/>
      <c r="E60" s="34"/>
      <c r="F60" s="34"/>
      <c r="H60" s="191">
        <v>55</v>
      </c>
      <c r="I60" s="192" t="str">
        <f t="shared" si="1"/>
        <v/>
      </c>
      <c r="J60" s="191" t="e">
        <f t="shared" si="5"/>
        <v>#NUM!</v>
      </c>
      <c r="K60" s="191" t="e">
        <f t="shared" si="2"/>
        <v>#NUM!</v>
      </c>
      <c r="L60" s="191"/>
      <c r="M60" s="193">
        <f t="shared" si="3"/>
        <v>0</v>
      </c>
      <c r="S60" s="184"/>
      <c r="T60" s="184"/>
      <c r="U60" s="184"/>
      <c r="V60" s="184"/>
      <c r="W60" s="184"/>
      <c r="X60" s="184"/>
      <c r="Y60" s="184"/>
      <c r="Z60" s="184"/>
      <c r="AA60" s="184"/>
      <c r="AB60" s="184"/>
      <c r="AC60" s="184"/>
      <c r="AD60" s="184"/>
      <c r="AE60" s="184"/>
      <c r="AF60" s="184"/>
      <c r="AG60" s="184"/>
      <c r="AH60" s="184"/>
      <c r="AI60" s="184"/>
      <c r="AJ60" s="184"/>
      <c r="AK60" s="184"/>
      <c r="AL60" s="184"/>
    </row>
    <row r="61" spans="1:38" s="179" customFormat="1" x14ac:dyDescent="0.25">
      <c r="A61" s="98">
        <f t="shared" si="4"/>
        <v>0</v>
      </c>
      <c r="B61" s="39" t="str">
        <f t="shared" si="0"/>
        <v/>
      </c>
      <c r="C61" s="40"/>
      <c r="D61" s="40"/>
      <c r="E61" s="40"/>
      <c r="F61" s="40"/>
      <c r="H61" s="194">
        <v>56</v>
      </c>
      <c r="I61" s="195" t="str">
        <f t="shared" si="1"/>
        <v/>
      </c>
      <c r="J61" s="194" t="e">
        <f t="shared" si="5"/>
        <v>#NUM!</v>
      </c>
      <c r="K61" s="194" t="e">
        <f t="shared" si="2"/>
        <v>#NUM!</v>
      </c>
      <c r="L61" s="194"/>
      <c r="M61" s="196">
        <f t="shared" si="3"/>
        <v>0</v>
      </c>
      <c r="S61" s="184"/>
      <c r="T61" s="184"/>
      <c r="U61" s="184"/>
      <c r="V61" s="184"/>
      <c r="W61" s="184"/>
      <c r="X61" s="184"/>
      <c r="Y61" s="184"/>
      <c r="Z61" s="184"/>
      <c r="AA61" s="184"/>
      <c r="AB61" s="184"/>
      <c r="AC61" s="184"/>
      <c r="AD61" s="184"/>
      <c r="AE61" s="184"/>
      <c r="AF61" s="184"/>
      <c r="AG61" s="184"/>
      <c r="AH61" s="184"/>
      <c r="AI61" s="184"/>
      <c r="AJ61" s="184"/>
      <c r="AK61" s="184"/>
      <c r="AL61" s="184"/>
    </row>
    <row r="62" spans="1:38" s="179" customFormat="1" x14ac:dyDescent="0.25">
      <c r="A62" s="94">
        <f t="shared" si="4"/>
        <v>0</v>
      </c>
      <c r="B62" s="33" t="str">
        <f t="shared" si="0"/>
        <v/>
      </c>
      <c r="C62" s="34"/>
      <c r="D62" s="34"/>
      <c r="E62" s="34"/>
      <c r="F62" s="34"/>
      <c r="H62" s="191">
        <v>57</v>
      </c>
      <c r="I62" s="192" t="str">
        <f t="shared" si="1"/>
        <v/>
      </c>
      <c r="J62" s="191" t="e">
        <f t="shared" si="5"/>
        <v>#NUM!</v>
      </c>
      <c r="K62" s="191" t="e">
        <f t="shared" si="2"/>
        <v>#NUM!</v>
      </c>
      <c r="L62" s="191"/>
      <c r="M62" s="193">
        <f t="shared" si="3"/>
        <v>0</v>
      </c>
      <c r="S62" s="184"/>
      <c r="T62" s="184"/>
      <c r="U62" s="184"/>
      <c r="V62" s="184"/>
      <c r="W62" s="184"/>
      <c r="X62" s="184"/>
      <c r="Y62" s="184"/>
      <c r="Z62" s="184"/>
      <c r="AA62" s="184"/>
      <c r="AB62" s="184"/>
      <c r="AC62" s="184"/>
      <c r="AD62" s="184"/>
      <c r="AE62" s="184"/>
      <c r="AF62" s="184"/>
      <c r="AG62" s="184"/>
      <c r="AH62" s="184"/>
      <c r="AI62" s="184"/>
      <c r="AJ62" s="184"/>
      <c r="AK62" s="184"/>
      <c r="AL62" s="184"/>
    </row>
    <row r="63" spans="1:38" s="179" customFormat="1" x14ac:dyDescent="0.25">
      <c r="A63" s="98">
        <f t="shared" si="4"/>
        <v>0</v>
      </c>
      <c r="B63" s="39" t="str">
        <f t="shared" si="0"/>
        <v/>
      </c>
      <c r="C63" s="40"/>
      <c r="D63" s="40"/>
      <c r="E63" s="40"/>
      <c r="F63" s="40"/>
      <c r="H63" s="194">
        <v>58</v>
      </c>
      <c r="I63" s="195" t="str">
        <f t="shared" si="1"/>
        <v/>
      </c>
      <c r="J63" s="194" t="e">
        <f t="shared" si="5"/>
        <v>#NUM!</v>
      </c>
      <c r="K63" s="194" t="e">
        <f t="shared" si="2"/>
        <v>#NUM!</v>
      </c>
      <c r="L63" s="194"/>
      <c r="M63" s="196">
        <f t="shared" si="3"/>
        <v>0</v>
      </c>
      <c r="S63" s="184"/>
      <c r="T63" s="184"/>
      <c r="U63" s="184"/>
      <c r="V63" s="184"/>
      <c r="W63" s="184"/>
      <c r="X63" s="184"/>
      <c r="Y63" s="184"/>
      <c r="Z63" s="184"/>
      <c r="AA63" s="184"/>
      <c r="AB63" s="184"/>
      <c r="AC63" s="184"/>
      <c r="AD63" s="184"/>
      <c r="AE63" s="184"/>
      <c r="AF63" s="184"/>
      <c r="AG63" s="184"/>
      <c r="AH63" s="184"/>
      <c r="AI63" s="184"/>
      <c r="AJ63" s="184"/>
      <c r="AK63" s="184"/>
      <c r="AL63" s="184"/>
    </row>
    <row r="64" spans="1:38" s="179" customFormat="1" x14ac:dyDescent="0.25">
      <c r="A64" s="94">
        <f t="shared" si="4"/>
        <v>0</v>
      </c>
      <c r="B64" s="33" t="str">
        <f t="shared" si="0"/>
        <v/>
      </c>
      <c r="C64" s="34"/>
      <c r="D64" s="34"/>
      <c r="E64" s="34"/>
      <c r="F64" s="34"/>
      <c r="H64" s="191">
        <v>59</v>
      </c>
      <c r="I64" s="192" t="str">
        <f t="shared" si="1"/>
        <v/>
      </c>
      <c r="J64" s="191" t="e">
        <f t="shared" si="5"/>
        <v>#NUM!</v>
      </c>
      <c r="K64" s="191" t="e">
        <f t="shared" si="2"/>
        <v>#NUM!</v>
      </c>
      <c r="L64" s="191"/>
      <c r="M64" s="193">
        <f t="shared" si="3"/>
        <v>0</v>
      </c>
      <c r="S64" s="184"/>
      <c r="T64" s="184"/>
      <c r="U64" s="184"/>
      <c r="V64" s="184"/>
      <c r="W64" s="184"/>
      <c r="X64" s="184"/>
      <c r="Y64" s="184"/>
      <c r="Z64" s="184"/>
      <c r="AA64" s="184"/>
      <c r="AB64" s="184"/>
      <c r="AC64" s="184"/>
      <c r="AD64" s="184"/>
      <c r="AE64" s="184"/>
      <c r="AF64" s="184"/>
      <c r="AG64" s="184"/>
      <c r="AH64" s="184"/>
      <c r="AI64" s="184"/>
      <c r="AJ64" s="184"/>
      <c r="AK64" s="184"/>
      <c r="AL64" s="184"/>
    </row>
    <row r="65" spans="1:38" s="179" customFormat="1" x14ac:dyDescent="0.25">
      <c r="A65" s="98">
        <f t="shared" si="4"/>
        <v>0</v>
      </c>
      <c r="B65" s="39" t="str">
        <f t="shared" si="0"/>
        <v/>
      </c>
      <c r="C65" s="40"/>
      <c r="D65" s="40"/>
      <c r="E65" s="40"/>
      <c r="F65" s="40"/>
      <c r="H65" s="194">
        <v>60</v>
      </c>
      <c r="I65" s="195" t="str">
        <f t="shared" si="1"/>
        <v/>
      </c>
      <c r="J65" s="194" t="e">
        <f t="shared" si="5"/>
        <v>#NUM!</v>
      </c>
      <c r="K65" s="194" t="e">
        <f t="shared" si="2"/>
        <v>#NUM!</v>
      </c>
      <c r="L65" s="194"/>
      <c r="M65" s="196">
        <f t="shared" si="3"/>
        <v>0</v>
      </c>
      <c r="S65" s="184"/>
      <c r="T65" s="184"/>
      <c r="U65" s="184"/>
      <c r="V65" s="184"/>
      <c r="W65" s="184"/>
      <c r="X65" s="184"/>
      <c r="Y65" s="184"/>
      <c r="Z65" s="184"/>
      <c r="AA65" s="184"/>
      <c r="AB65" s="184"/>
      <c r="AC65" s="184"/>
      <c r="AD65" s="184"/>
      <c r="AE65" s="184"/>
      <c r="AF65" s="184"/>
      <c r="AG65" s="184"/>
      <c r="AH65" s="184"/>
      <c r="AI65" s="184"/>
      <c r="AJ65" s="184"/>
      <c r="AK65" s="184"/>
      <c r="AL65" s="184"/>
    </row>
    <row r="66" spans="1:38" s="179" customFormat="1" x14ac:dyDescent="0.25">
      <c r="A66" s="94">
        <f t="shared" si="4"/>
        <v>0</v>
      </c>
      <c r="B66" s="33" t="str">
        <f t="shared" si="0"/>
        <v/>
      </c>
      <c r="C66" s="34"/>
      <c r="D66" s="34"/>
      <c r="E66" s="34"/>
      <c r="F66" s="34"/>
      <c r="H66" s="191">
        <v>61</v>
      </c>
      <c r="I66" s="192" t="str">
        <f t="shared" si="1"/>
        <v/>
      </c>
      <c r="J66" s="191" t="e">
        <f t="shared" si="5"/>
        <v>#NUM!</v>
      </c>
      <c r="K66" s="191" t="e">
        <f t="shared" si="2"/>
        <v>#NUM!</v>
      </c>
      <c r="L66" s="191"/>
      <c r="M66" s="193">
        <f t="shared" si="3"/>
        <v>0</v>
      </c>
      <c r="S66" s="184"/>
      <c r="T66" s="184"/>
      <c r="U66" s="184"/>
      <c r="V66" s="184"/>
      <c r="W66" s="184"/>
      <c r="X66" s="184"/>
      <c r="Y66" s="184"/>
      <c r="Z66" s="184"/>
      <c r="AA66" s="184"/>
      <c r="AB66" s="184"/>
      <c r="AC66" s="184"/>
      <c r="AD66" s="184"/>
      <c r="AE66" s="184"/>
      <c r="AF66" s="184"/>
      <c r="AG66" s="184"/>
      <c r="AH66" s="184"/>
      <c r="AI66" s="184"/>
      <c r="AJ66" s="184"/>
      <c r="AK66" s="184"/>
      <c r="AL66" s="184"/>
    </row>
    <row r="67" spans="1:38" s="179" customFormat="1" x14ac:dyDescent="0.25">
      <c r="A67" s="98">
        <f t="shared" si="4"/>
        <v>0</v>
      </c>
      <c r="B67" s="39" t="str">
        <f t="shared" si="0"/>
        <v/>
      </c>
      <c r="C67" s="40"/>
      <c r="D67" s="40"/>
      <c r="E67" s="40"/>
      <c r="F67" s="40"/>
      <c r="H67" s="194">
        <v>62</v>
      </c>
      <c r="I67" s="195" t="str">
        <f t="shared" si="1"/>
        <v/>
      </c>
      <c r="J67" s="194" t="e">
        <f t="shared" si="5"/>
        <v>#NUM!</v>
      </c>
      <c r="K67" s="194" t="e">
        <f t="shared" si="2"/>
        <v>#NUM!</v>
      </c>
      <c r="L67" s="194"/>
      <c r="M67" s="196">
        <f t="shared" si="3"/>
        <v>0</v>
      </c>
      <c r="S67" s="184"/>
      <c r="T67" s="184"/>
      <c r="U67" s="184"/>
      <c r="V67" s="184"/>
      <c r="W67" s="184"/>
      <c r="X67" s="184"/>
      <c r="Y67" s="184"/>
      <c r="Z67" s="184"/>
      <c r="AA67" s="184"/>
      <c r="AB67" s="184"/>
      <c r="AC67" s="184"/>
      <c r="AD67" s="184"/>
      <c r="AE67" s="184"/>
      <c r="AF67" s="184"/>
      <c r="AG67" s="184"/>
      <c r="AH67" s="184"/>
      <c r="AI67" s="184"/>
      <c r="AJ67" s="184"/>
      <c r="AK67" s="184"/>
      <c r="AL67" s="184"/>
    </row>
    <row r="68" spans="1:38" s="179" customFormat="1" x14ac:dyDescent="0.25">
      <c r="A68" s="94">
        <f t="shared" si="4"/>
        <v>0</v>
      </c>
      <c r="B68" s="33" t="str">
        <f t="shared" si="0"/>
        <v/>
      </c>
      <c r="C68" s="34"/>
      <c r="D68" s="34"/>
      <c r="E68" s="34"/>
      <c r="F68" s="34"/>
      <c r="H68" s="191">
        <v>63</v>
      </c>
      <c r="I68" s="192" t="str">
        <f t="shared" si="1"/>
        <v/>
      </c>
      <c r="J68" s="191" t="e">
        <f t="shared" si="5"/>
        <v>#NUM!</v>
      </c>
      <c r="K68" s="191" t="e">
        <f t="shared" si="2"/>
        <v>#NUM!</v>
      </c>
      <c r="L68" s="191"/>
      <c r="M68" s="193">
        <f t="shared" si="3"/>
        <v>0</v>
      </c>
      <c r="S68" s="184"/>
      <c r="T68" s="184"/>
      <c r="U68" s="184"/>
      <c r="V68" s="184"/>
      <c r="W68" s="184"/>
      <c r="X68" s="184"/>
      <c r="Y68" s="184"/>
      <c r="Z68" s="184"/>
      <c r="AA68" s="184"/>
      <c r="AB68" s="184"/>
      <c r="AC68" s="184"/>
      <c r="AD68" s="184"/>
      <c r="AE68" s="184"/>
      <c r="AF68" s="184"/>
      <c r="AG68" s="184"/>
      <c r="AH68" s="184"/>
      <c r="AI68" s="184"/>
      <c r="AJ68" s="184"/>
      <c r="AK68" s="184"/>
      <c r="AL68" s="184"/>
    </row>
    <row r="69" spans="1:38" s="179" customFormat="1" x14ac:dyDescent="0.25">
      <c r="A69" s="98">
        <f t="shared" si="4"/>
        <v>0</v>
      </c>
      <c r="B69" s="39" t="str">
        <f t="shared" si="0"/>
        <v/>
      </c>
      <c r="C69" s="40"/>
      <c r="D69" s="40"/>
      <c r="E69" s="40"/>
      <c r="F69" s="40"/>
      <c r="H69" s="194">
        <v>64</v>
      </c>
      <c r="I69" s="195" t="str">
        <f t="shared" si="1"/>
        <v/>
      </c>
      <c r="J69" s="194" t="e">
        <f t="shared" si="5"/>
        <v>#NUM!</v>
      </c>
      <c r="K69" s="194" t="e">
        <f t="shared" si="2"/>
        <v>#NUM!</v>
      </c>
      <c r="L69" s="194"/>
      <c r="M69" s="196">
        <f t="shared" si="3"/>
        <v>0</v>
      </c>
      <c r="S69" s="184"/>
      <c r="T69" s="184"/>
      <c r="U69" s="184"/>
      <c r="V69" s="184"/>
      <c r="W69" s="184"/>
      <c r="X69" s="184"/>
      <c r="Y69" s="184"/>
      <c r="Z69" s="184"/>
      <c r="AA69" s="184"/>
      <c r="AB69" s="184"/>
      <c r="AC69" s="184"/>
      <c r="AD69" s="184"/>
      <c r="AE69" s="184"/>
      <c r="AF69" s="184"/>
      <c r="AG69" s="184"/>
      <c r="AH69" s="184"/>
      <c r="AI69" s="184"/>
      <c r="AJ69" s="184"/>
      <c r="AK69" s="184"/>
      <c r="AL69" s="184"/>
    </row>
    <row r="70" spans="1:38" s="179" customFormat="1" x14ac:dyDescent="0.25">
      <c r="A70" s="94">
        <f t="shared" si="4"/>
        <v>0</v>
      </c>
      <c r="B70" s="33" t="str">
        <f t="shared" ref="B70:B133" si="6">IF(H70&gt;$H$2,"",(ROW()-5))</f>
        <v/>
      </c>
      <c r="C70" s="34"/>
      <c r="D70" s="34"/>
      <c r="E70" s="34"/>
      <c r="F70" s="34"/>
      <c r="H70" s="191">
        <v>65</v>
      </c>
      <c r="I70" s="192" t="str">
        <f t="shared" ref="I70:I133" si="7">IF(H70&lt;$H$2+1,($I$2-($I$2-1)*(LOG(H70)/LOG($H$2))),"")</f>
        <v/>
      </c>
      <c r="J70" s="191" t="e">
        <f t="shared" si="5"/>
        <v>#NUM!</v>
      </c>
      <c r="K70" s="191" t="e">
        <f t="shared" ref="K70:K133" si="8">J70*$J$2</f>
        <v>#NUM!</v>
      </c>
      <c r="L70" s="191"/>
      <c r="M70" s="193">
        <f t="shared" ref="M70:M133" si="9">IF(I70&lt;&gt;"",K70+I70+L70,0)</f>
        <v>0</v>
      </c>
      <c r="S70" s="184"/>
      <c r="T70" s="184"/>
      <c r="U70" s="184"/>
      <c r="V70" s="184"/>
      <c r="W70" s="184"/>
      <c r="X70" s="184"/>
      <c r="Y70" s="184"/>
      <c r="Z70" s="184"/>
      <c r="AA70" s="184"/>
      <c r="AB70" s="184"/>
      <c r="AC70" s="184"/>
      <c r="AD70" s="184"/>
      <c r="AE70" s="184"/>
      <c r="AF70" s="184"/>
      <c r="AG70" s="184"/>
      <c r="AH70" s="184"/>
      <c r="AI70" s="184"/>
      <c r="AJ70" s="184"/>
      <c r="AK70" s="184"/>
      <c r="AL70" s="184"/>
    </row>
    <row r="71" spans="1:38" s="179" customFormat="1" x14ac:dyDescent="0.25">
      <c r="A71" s="98">
        <f t="shared" ref="A71:A134" si="10">M71</f>
        <v>0</v>
      </c>
      <c r="B71" s="39" t="str">
        <f t="shared" si="6"/>
        <v/>
      </c>
      <c r="C71" s="40"/>
      <c r="D71" s="40"/>
      <c r="E71" s="40"/>
      <c r="F71" s="40"/>
      <c r="H71" s="194">
        <v>66</v>
      </c>
      <c r="I71" s="195" t="str">
        <f t="shared" si="7"/>
        <v/>
      </c>
      <c r="J71" s="194" t="e">
        <f t="shared" ref="J71:J134" si="11">INT(LOG($H$2,2))-ROUNDUP(LOG(H71,2),0)+IF(OR($H$2=1,$H$2=2,$H$2=4,$H$2=8,$H$2=16,$H$2=32,$H$2=64,$H$2=128,$H$2=256),0,1)</f>
        <v>#NUM!</v>
      </c>
      <c r="K71" s="194" t="e">
        <f t="shared" si="8"/>
        <v>#NUM!</v>
      </c>
      <c r="L71" s="194"/>
      <c r="M71" s="196">
        <f t="shared" si="9"/>
        <v>0</v>
      </c>
      <c r="S71" s="184"/>
      <c r="T71" s="184"/>
      <c r="U71" s="184"/>
      <c r="V71" s="184"/>
      <c r="W71" s="184"/>
      <c r="X71" s="184"/>
      <c r="Y71" s="184"/>
      <c r="Z71" s="184"/>
      <c r="AA71" s="184"/>
      <c r="AB71" s="184"/>
      <c r="AC71" s="184"/>
      <c r="AD71" s="184"/>
      <c r="AE71" s="184"/>
      <c r="AF71" s="184"/>
      <c r="AG71" s="184"/>
      <c r="AH71" s="184"/>
      <c r="AI71" s="184"/>
      <c r="AJ71" s="184"/>
      <c r="AK71" s="184"/>
      <c r="AL71" s="184"/>
    </row>
    <row r="72" spans="1:38" s="179" customFormat="1" x14ac:dyDescent="0.25">
      <c r="A72" s="94">
        <f t="shared" si="10"/>
        <v>0</v>
      </c>
      <c r="B72" s="33" t="str">
        <f t="shared" si="6"/>
        <v/>
      </c>
      <c r="C72" s="34"/>
      <c r="D72" s="34"/>
      <c r="E72" s="34"/>
      <c r="F72" s="34"/>
      <c r="H72" s="191">
        <v>67</v>
      </c>
      <c r="I72" s="192" t="str">
        <f t="shared" si="7"/>
        <v/>
      </c>
      <c r="J72" s="191" t="e">
        <f t="shared" si="11"/>
        <v>#NUM!</v>
      </c>
      <c r="K72" s="191" t="e">
        <f t="shared" si="8"/>
        <v>#NUM!</v>
      </c>
      <c r="L72" s="191"/>
      <c r="M72" s="193">
        <f t="shared" si="9"/>
        <v>0</v>
      </c>
      <c r="S72" s="184"/>
      <c r="T72" s="184"/>
      <c r="U72" s="184"/>
      <c r="V72" s="184"/>
      <c r="W72" s="184"/>
      <c r="X72" s="184"/>
      <c r="Y72" s="184"/>
      <c r="Z72" s="184"/>
      <c r="AA72" s="184"/>
      <c r="AB72" s="184"/>
      <c r="AC72" s="184"/>
      <c r="AD72" s="184"/>
      <c r="AE72" s="184"/>
      <c r="AF72" s="184"/>
      <c r="AG72" s="184"/>
      <c r="AH72" s="184"/>
      <c r="AI72" s="184"/>
      <c r="AJ72" s="184"/>
      <c r="AK72" s="184"/>
      <c r="AL72" s="184"/>
    </row>
    <row r="73" spans="1:38" s="179" customFormat="1" x14ac:dyDescent="0.25">
      <c r="A73" s="98">
        <f t="shared" si="10"/>
        <v>0</v>
      </c>
      <c r="B73" s="39" t="str">
        <f t="shared" si="6"/>
        <v/>
      </c>
      <c r="C73" s="40"/>
      <c r="D73" s="40"/>
      <c r="E73" s="40"/>
      <c r="F73" s="40"/>
      <c r="H73" s="194">
        <v>68</v>
      </c>
      <c r="I73" s="195" t="str">
        <f t="shared" si="7"/>
        <v/>
      </c>
      <c r="J73" s="194" t="e">
        <f t="shared" si="11"/>
        <v>#NUM!</v>
      </c>
      <c r="K73" s="194" t="e">
        <f t="shared" si="8"/>
        <v>#NUM!</v>
      </c>
      <c r="L73" s="194"/>
      <c r="M73" s="196">
        <f t="shared" si="9"/>
        <v>0</v>
      </c>
      <c r="S73" s="184"/>
      <c r="T73" s="184"/>
      <c r="U73" s="184"/>
      <c r="V73" s="184"/>
      <c r="W73" s="184"/>
      <c r="X73" s="184"/>
      <c r="Y73" s="184"/>
      <c r="Z73" s="184"/>
      <c r="AA73" s="184"/>
      <c r="AB73" s="184"/>
      <c r="AC73" s="184"/>
      <c r="AD73" s="184"/>
      <c r="AE73" s="184"/>
      <c r="AF73" s="184"/>
      <c r="AG73" s="184"/>
      <c r="AH73" s="184"/>
      <c r="AI73" s="184"/>
      <c r="AJ73" s="184"/>
      <c r="AK73" s="184"/>
      <c r="AL73" s="184"/>
    </row>
    <row r="74" spans="1:38" s="179" customFormat="1" x14ac:dyDescent="0.25">
      <c r="A74" s="94">
        <f t="shared" si="10"/>
        <v>0</v>
      </c>
      <c r="B74" s="33" t="str">
        <f t="shared" si="6"/>
        <v/>
      </c>
      <c r="C74" s="34"/>
      <c r="D74" s="34"/>
      <c r="E74" s="34"/>
      <c r="F74" s="34"/>
      <c r="H74" s="191">
        <v>69</v>
      </c>
      <c r="I74" s="192" t="str">
        <f t="shared" si="7"/>
        <v/>
      </c>
      <c r="J74" s="191" t="e">
        <f t="shared" si="11"/>
        <v>#NUM!</v>
      </c>
      <c r="K74" s="191" t="e">
        <f t="shared" si="8"/>
        <v>#NUM!</v>
      </c>
      <c r="L74" s="191"/>
      <c r="M74" s="193">
        <f t="shared" si="9"/>
        <v>0</v>
      </c>
      <c r="S74" s="184"/>
      <c r="T74" s="184"/>
      <c r="U74" s="184"/>
      <c r="V74" s="184"/>
      <c r="W74" s="184"/>
      <c r="X74" s="184"/>
      <c r="Y74" s="184"/>
      <c r="Z74" s="184"/>
      <c r="AA74" s="184"/>
      <c r="AB74" s="184"/>
      <c r="AC74" s="184"/>
      <c r="AD74" s="184"/>
      <c r="AE74" s="184"/>
      <c r="AF74" s="184"/>
      <c r="AG74" s="184"/>
      <c r="AH74" s="184"/>
      <c r="AI74" s="184"/>
      <c r="AJ74" s="184"/>
      <c r="AK74" s="184"/>
      <c r="AL74" s="184"/>
    </row>
    <row r="75" spans="1:38" s="179" customFormat="1" x14ac:dyDescent="0.25">
      <c r="A75" s="98">
        <f t="shared" si="10"/>
        <v>0</v>
      </c>
      <c r="B75" s="39" t="str">
        <f t="shared" si="6"/>
        <v/>
      </c>
      <c r="C75" s="40"/>
      <c r="D75" s="40"/>
      <c r="E75" s="40"/>
      <c r="F75" s="40"/>
      <c r="H75" s="194">
        <v>70</v>
      </c>
      <c r="I75" s="195" t="str">
        <f t="shared" si="7"/>
        <v/>
      </c>
      <c r="J75" s="194" t="e">
        <f t="shared" si="11"/>
        <v>#NUM!</v>
      </c>
      <c r="K75" s="194" t="e">
        <f t="shared" si="8"/>
        <v>#NUM!</v>
      </c>
      <c r="L75" s="194"/>
      <c r="M75" s="196">
        <f t="shared" si="9"/>
        <v>0</v>
      </c>
      <c r="S75" s="184"/>
      <c r="T75" s="184"/>
      <c r="U75" s="184"/>
      <c r="V75" s="184"/>
      <c r="W75" s="184"/>
      <c r="X75" s="184"/>
      <c r="Y75" s="184"/>
      <c r="Z75" s="184"/>
      <c r="AA75" s="184"/>
      <c r="AB75" s="184"/>
      <c r="AC75" s="184"/>
      <c r="AD75" s="184"/>
      <c r="AE75" s="184"/>
      <c r="AF75" s="184"/>
      <c r="AG75" s="184"/>
      <c r="AH75" s="184"/>
      <c r="AI75" s="184"/>
      <c r="AJ75" s="184"/>
      <c r="AK75" s="184"/>
      <c r="AL75" s="184"/>
    </row>
    <row r="76" spans="1:38" s="179" customFormat="1" x14ac:dyDescent="0.25">
      <c r="A76" s="94">
        <f t="shared" si="10"/>
        <v>0</v>
      </c>
      <c r="B76" s="33" t="str">
        <f t="shared" si="6"/>
        <v/>
      </c>
      <c r="C76" s="34"/>
      <c r="D76" s="34"/>
      <c r="E76" s="34"/>
      <c r="F76" s="34"/>
      <c r="H76" s="191">
        <v>71</v>
      </c>
      <c r="I76" s="192" t="str">
        <f t="shared" si="7"/>
        <v/>
      </c>
      <c r="J76" s="191" t="e">
        <f t="shared" si="11"/>
        <v>#NUM!</v>
      </c>
      <c r="K76" s="191" t="e">
        <f t="shared" si="8"/>
        <v>#NUM!</v>
      </c>
      <c r="L76" s="191"/>
      <c r="M76" s="193">
        <f t="shared" si="9"/>
        <v>0</v>
      </c>
      <c r="S76" s="184"/>
      <c r="T76" s="184"/>
      <c r="U76" s="184"/>
      <c r="V76" s="184"/>
      <c r="W76" s="184"/>
      <c r="X76" s="184"/>
      <c r="Y76" s="184"/>
      <c r="Z76" s="184"/>
      <c r="AA76" s="184"/>
      <c r="AB76" s="184"/>
      <c r="AC76" s="184"/>
      <c r="AD76" s="184"/>
      <c r="AE76" s="184"/>
      <c r="AF76" s="184"/>
      <c r="AG76" s="184"/>
      <c r="AH76" s="184"/>
      <c r="AI76" s="184"/>
      <c r="AJ76" s="184"/>
      <c r="AK76" s="184"/>
      <c r="AL76" s="184"/>
    </row>
    <row r="77" spans="1:38" s="179" customFormat="1" x14ac:dyDescent="0.25">
      <c r="A77" s="98">
        <f t="shared" si="10"/>
        <v>0</v>
      </c>
      <c r="B77" s="39" t="str">
        <f t="shared" si="6"/>
        <v/>
      </c>
      <c r="C77" s="40"/>
      <c r="D77" s="40"/>
      <c r="E77" s="40"/>
      <c r="F77" s="40"/>
      <c r="H77" s="194">
        <v>72</v>
      </c>
      <c r="I77" s="195" t="str">
        <f t="shared" si="7"/>
        <v/>
      </c>
      <c r="J77" s="194" t="e">
        <f t="shared" si="11"/>
        <v>#NUM!</v>
      </c>
      <c r="K77" s="194" t="e">
        <f t="shared" si="8"/>
        <v>#NUM!</v>
      </c>
      <c r="L77" s="194"/>
      <c r="M77" s="196">
        <f t="shared" si="9"/>
        <v>0</v>
      </c>
      <c r="S77" s="184"/>
      <c r="T77" s="184"/>
      <c r="U77" s="184"/>
      <c r="V77" s="184"/>
      <c r="W77" s="184"/>
      <c r="X77" s="184"/>
      <c r="Y77" s="184"/>
      <c r="Z77" s="184"/>
      <c r="AA77" s="184"/>
      <c r="AB77" s="184"/>
      <c r="AC77" s="184"/>
      <c r="AD77" s="184"/>
      <c r="AE77" s="184"/>
      <c r="AF77" s="184"/>
      <c r="AG77" s="184"/>
      <c r="AH77" s="184"/>
      <c r="AI77" s="184"/>
      <c r="AJ77" s="184"/>
      <c r="AK77" s="184"/>
      <c r="AL77" s="184"/>
    </row>
    <row r="78" spans="1:38" s="179" customFormat="1" x14ac:dyDescent="0.25">
      <c r="A78" s="94">
        <f t="shared" si="10"/>
        <v>0</v>
      </c>
      <c r="B78" s="33" t="str">
        <f t="shared" si="6"/>
        <v/>
      </c>
      <c r="C78" s="34"/>
      <c r="D78" s="34"/>
      <c r="E78" s="34"/>
      <c r="F78" s="34"/>
      <c r="H78" s="191">
        <v>73</v>
      </c>
      <c r="I78" s="192" t="str">
        <f t="shared" si="7"/>
        <v/>
      </c>
      <c r="J78" s="191" t="e">
        <f t="shared" si="11"/>
        <v>#NUM!</v>
      </c>
      <c r="K78" s="191" t="e">
        <f t="shared" si="8"/>
        <v>#NUM!</v>
      </c>
      <c r="L78" s="191"/>
      <c r="M78" s="193">
        <f t="shared" si="9"/>
        <v>0</v>
      </c>
      <c r="S78" s="184"/>
      <c r="T78" s="184"/>
      <c r="U78" s="184"/>
      <c r="V78" s="184"/>
      <c r="W78" s="184"/>
      <c r="X78" s="184"/>
      <c r="Y78" s="184"/>
      <c r="Z78" s="184"/>
      <c r="AA78" s="184"/>
      <c r="AB78" s="184"/>
      <c r="AC78" s="184"/>
      <c r="AD78" s="184"/>
      <c r="AE78" s="184"/>
      <c r="AF78" s="184"/>
      <c r="AG78" s="184"/>
      <c r="AH78" s="184"/>
      <c r="AI78" s="184"/>
      <c r="AJ78" s="184"/>
      <c r="AK78" s="184"/>
      <c r="AL78" s="184"/>
    </row>
    <row r="79" spans="1:38" s="179" customFormat="1" x14ac:dyDescent="0.25">
      <c r="A79" s="98">
        <f t="shared" si="10"/>
        <v>0</v>
      </c>
      <c r="B79" s="39" t="str">
        <f t="shared" si="6"/>
        <v/>
      </c>
      <c r="C79" s="40"/>
      <c r="D79" s="40"/>
      <c r="E79" s="40"/>
      <c r="F79" s="40"/>
      <c r="H79" s="194">
        <v>74</v>
      </c>
      <c r="I79" s="195" t="str">
        <f t="shared" si="7"/>
        <v/>
      </c>
      <c r="J79" s="194" t="e">
        <f t="shared" si="11"/>
        <v>#NUM!</v>
      </c>
      <c r="K79" s="194" t="e">
        <f t="shared" si="8"/>
        <v>#NUM!</v>
      </c>
      <c r="L79" s="194"/>
      <c r="M79" s="196">
        <f t="shared" si="9"/>
        <v>0</v>
      </c>
      <c r="S79" s="184"/>
      <c r="T79" s="184"/>
      <c r="U79" s="184"/>
      <c r="V79" s="184"/>
      <c r="W79" s="184"/>
      <c r="X79" s="184"/>
      <c r="Y79" s="184"/>
      <c r="Z79" s="184"/>
      <c r="AA79" s="184"/>
      <c r="AB79" s="184"/>
      <c r="AC79" s="184"/>
      <c r="AD79" s="184"/>
      <c r="AE79" s="184"/>
      <c r="AF79" s="184"/>
      <c r="AG79" s="184"/>
      <c r="AH79" s="184"/>
      <c r="AI79" s="184"/>
      <c r="AJ79" s="184"/>
      <c r="AK79" s="184"/>
      <c r="AL79" s="184"/>
    </row>
    <row r="80" spans="1:38" s="179" customFormat="1" x14ac:dyDescent="0.25">
      <c r="A80" s="94">
        <f t="shared" si="10"/>
        <v>0</v>
      </c>
      <c r="B80" s="33" t="str">
        <f t="shared" si="6"/>
        <v/>
      </c>
      <c r="C80" s="34"/>
      <c r="D80" s="34"/>
      <c r="E80" s="34"/>
      <c r="F80" s="34"/>
      <c r="H80" s="191">
        <v>75</v>
      </c>
      <c r="I80" s="192" t="str">
        <f t="shared" si="7"/>
        <v/>
      </c>
      <c r="J80" s="191" t="e">
        <f t="shared" si="11"/>
        <v>#NUM!</v>
      </c>
      <c r="K80" s="191" t="e">
        <f t="shared" si="8"/>
        <v>#NUM!</v>
      </c>
      <c r="L80" s="191"/>
      <c r="M80" s="193">
        <f t="shared" si="9"/>
        <v>0</v>
      </c>
      <c r="S80" s="184"/>
      <c r="T80" s="184"/>
      <c r="U80" s="184"/>
      <c r="V80" s="184"/>
      <c r="W80" s="184"/>
      <c r="X80" s="184"/>
      <c r="Y80" s="184"/>
      <c r="Z80" s="184"/>
      <c r="AA80" s="184"/>
      <c r="AB80" s="184"/>
      <c r="AC80" s="184"/>
      <c r="AD80" s="184"/>
      <c r="AE80" s="184"/>
      <c r="AF80" s="184"/>
      <c r="AG80" s="184"/>
      <c r="AH80" s="184"/>
      <c r="AI80" s="184"/>
      <c r="AJ80" s="184"/>
      <c r="AK80" s="184"/>
      <c r="AL80" s="184"/>
    </row>
    <row r="81" spans="1:38" s="179" customFormat="1" x14ac:dyDescent="0.25">
      <c r="A81" s="98">
        <f t="shared" si="10"/>
        <v>0</v>
      </c>
      <c r="B81" s="39" t="str">
        <f t="shared" si="6"/>
        <v/>
      </c>
      <c r="C81" s="40"/>
      <c r="D81" s="40"/>
      <c r="E81" s="40"/>
      <c r="F81" s="40"/>
      <c r="H81" s="194">
        <v>76</v>
      </c>
      <c r="I81" s="195" t="str">
        <f t="shared" si="7"/>
        <v/>
      </c>
      <c r="J81" s="194" t="e">
        <f t="shared" si="11"/>
        <v>#NUM!</v>
      </c>
      <c r="K81" s="194" t="e">
        <f t="shared" si="8"/>
        <v>#NUM!</v>
      </c>
      <c r="L81" s="194"/>
      <c r="M81" s="196">
        <f t="shared" si="9"/>
        <v>0</v>
      </c>
      <c r="S81" s="184"/>
      <c r="T81" s="184"/>
      <c r="U81" s="184"/>
      <c r="V81" s="184"/>
      <c r="W81" s="184"/>
      <c r="X81" s="184"/>
      <c r="Y81" s="184"/>
      <c r="Z81" s="184"/>
      <c r="AA81" s="184"/>
      <c r="AB81" s="184"/>
      <c r="AC81" s="184"/>
      <c r="AD81" s="184"/>
      <c r="AE81" s="184"/>
      <c r="AF81" s="184"/>
      <c r="AG81" s="184"/>
      <c r="AH81" s="184"/>
      <c r="AI81" s="184"/>
      <c r="AJ81" s="184"/>
      <c r="AK81" s="184"/>
      <c r="AL81" s="184"/>
    </row>
    <row r="82" spans="1:38" s="179" customFormat="1" x14ac:dyDescent="0.25">
      <c r="A82" s="94">
        <f t="shared" si="10"/>
        <v>0</v>
      </c>
      <c r="B82" s="33" t="str">
        <f t="shared" si="6"/>
        <v/>
      </c>
      <c r="C82" s="34"/>
      <c r="D82" s="34"/>
      <c r="E82" s="34"/>
      <c r="F82" s="34"/>
      <c r="H82" s="191">
        <v>77</v>
      </c>
      <c r="I82" s="192" t="str">
        <f t="shared" si="7"/>
        <v/>
      </c>
      <c r="J82" s="191" t="e">
        <f t="shared" si="11"/>
        <v>#NUM!</v>
      </c>
      <c r="K82" s="191" t="e">
        <f t="shared" si="8"/>
        <v>#NUM!</v>
      </c>
      <c r="L82" s="191"/>
      <c r="M82" s="193">
        <f t="shared" si="9"/>
        <v>0</v>
      </c>
      <c r="S82" s="184"/>
      <c r="T82" s="184"/>
      <c r="U82" s="184"/>
      <c r="V82" s="184"/>
      <c r="W82" s="184"/>
      <c r="X82" s="184"/>
      <c r="Y82" s="184"/>
      <c r="Z82" s="184"/>
      <c r="AA82" s="184"/>
      <c r="AB82" s="184"/>
      <c r="AC82" s="184"/>
      <c r="AD82" s="184"/>
      <c r="AE82" s="184"/>
      <c r="AF82" s="184"/>
      <c r="AG82" s="184"/>
      <c r="AH82" s="184"/>
      <c r="AI82" s="184"/>
      <c r="AJ82" s="184"/>
      <c r="AK82" s="184"/>
      <c r="AL82" s="184"/>
    </row>
    <row r="83" spans="1:38" s="179" customFormat="1" x14ac:dyDescent="0.25">
      <c r="A83" s="98">
        <f t="shared" si="10"/>
        <v>0</v>
      </c>
      <c r="B83" s="39" t="str">
        <f t="shared" si="6"/>
        <v/>
      </c>
      <c r="C83" s="40"/>
      <c r="D83" s="40"/>
      <c r="E83" s="40"/>
      <c r="F83" s="40"/>
      <c r="H83" s="194">
        <v>78</v>
      </c>
      <c r="I83" s="195" t="str">
        <f t="shared" si="7"/>
        <v/>
      </c>
      <c r="J83" s="194" t="e">
        <f t="shared" si="11"/>
        <v>#NUM!</v>
      </c>
      <c r="K83" s="194" t="e">
        <f t="shared" si="8"/>
        <v>#NUM!</v>
      </c>
      <c r="L83" s="194"/>
      <c r="M83" s="196">
        <f t="shared" si="9"/>
        <v>0</v>
      </c>
      <c r="S83" s="184"/>
      <c r="T83" s="184"/>
      <c r="U83" s="184"/>
      <c r="V83" s="184"/>
      <c r="W83" s="184"/>
      <c r="X83" s="184"/>
      <c r="Y83" s="184"/>
      <c r="Z83" s="184"/>
      <c r="AA83" s="184"/>
      <c r="AB83" s="184"/>
      <c r="AC83" s="184"/>
      <c r="AD83" s="184"/>
      <c r="AE83" s="184"/>
      <c r="AF83" s="184"/>
      <c r="AG83" s="184"/>
      <c r="AH83" s="184"/>
      <c r="AI83" s="184"/>
      <c r="AJ83" s="184"/>
      <c r="AK83" s="184"/>
      <c r="AL83" s="184"/>
    </row>
    <row r="84" spans="1:38" s="179" customFormat="1" x14ac:dyDescent="0.25">
      <c r="A84" s="94">
        <f t="shared" si="10"/>
        <v>0</v>
      </c>
      <c r="B84" s="33" t="str">
        <f t="shared" si="6"/>
        <v/>
      </c>
      <c r="C84" s="34"/>
      <c r="D84" s="34"/>
      <c r="E84" s="34"/>
      <c r="F84" s="34"/>
      <c r="H84" s="191">
        <v>79</v>
      </c>
      <c r="I84" s="192" t="str">
        <f t="shared" si="7"/>
        <v/>
      </c>
      <c r="J84" s="191" t="e">
        <f t="shared" si="11"/>
        <v>#NUM!</v>
      </c>
      <c r="K84" s="191" t="e">
        <f t="shared" si="8"/>
        <v>#NUM!</v>
      </c>
      <c r="L84" s="191"/>
      <c r="M84" s="193">
        <f t="shared" si="9"/>
        <v>0</v>
      </c>
      <c r="S84" s="184"/>
      <c r="T84" s="184"/>
      <c r="U84" s="184"/>
      <c r="V84" s="184"/>
      <c r="W84" s="184"/>
      <c r="X84" s="184"/>
      <c r="Y84" s="184"/>
      <c r="Z84" s="184"/>
      <c r="AA84" s="184"/>
      <c r="AB84" s="184"/>
      <c r="AC84" s="184"/>
      <c r="AD84" s="184"/>
      <c r="AE84" s="184"/>
      <c r="AF84" s="184"/>
      <c r="AG84" s="184"/>
      <c r="AH84" s="184"/>
      <c r="AI84" s="184"/>
      <c r="AJ84" s="184"/>
      <c r="AK84" s="184"/>
      <c r="AL84" s="184"/>
    </row>
    <row r="85" spans="1:38" s="179" customFormat="1" x14ac:dyDescent="0.25">
      <c r="A85" s="98">
        <f t="shared" si="10"/>
        <v>0</v>
      </c>
      <c r="B85" s="39" t="str">
        <f t="shared" si="6"/>
        <v/>
      </c>
      <c r="C85" s="40"/>
      <c r="D85" s="40"/>
      <c r="E85" s="40"/>
      <c r="F85" s="40"/>
      <c r="H85" s="194">
        <v>80</v>
      </c>
      <c r="I85" s="195" t="str">
        <f t="shared" si="7"/>
        <v/>
      </c>
      <c r="J85" s="194" t="e">
        <f t="shared" si="11"/>
        <v>#NUM!</v>
      </c>
      <c r="K85" s="194" t="e">
        <f t="shared" si="8"/>
        <v>#NUM!</v>
      </c>
      <c r="L85" s="194"/>
      <c r="M85" s="196">
        <f t="shared" si="9"/>
        <v>0</v>
      </c>
      <c r="S85" s="184"/>
      <c r="T85" s="184"/>
      <c r="U85" s="184"/>
      <c r="V85" s="184"/>
      <c r="W85" s="184"/>
      <c r="X85" s="184"/>
      <c r="Y85" s="184"/>
      <c r="Z85" s="184"/>
      <c r="AA85" s="184"/>
      <c r="AB85" s="184"/>
      <c r="AC85" s="184"/>
      <c r="AD85" s="184"/>
      <c r="AE85" s="184"/>
      <c r="AF85" s="184"/>
      <c r="AG85" s="184"/>
      <c r="AH85" s="184"/>
      <c r="AI85" s="184"/>
      <c r="AJ85" s="184"/>
      <c r="AK85" s="184"/>
      <c r="AL85" s="184"/>
    </row>
    <row r="86" spans="1:38" s="179" customFormat="1" x14ac:dyDescent="0.25">
      <c r="A86" s="94">
        <f t="shared" si="10"/>
        <v>0</v>
      </c>
      <c r="B86" s="33" t="str">
        <f t="shared" si="6"/>
        <v/>
      </c>
      <c r="C86" s="34"/>
      <c r="D86" s="34"/>
      <c r="E86" s="34"/>
      <c r="F86" s="34"/>
      <c r="H86" s="191">
        <v>81</v>
      </c>
      <c r="I86" s="192" t="str">
        <f t="shared" si="7"/>
        <v/>
      </c>
      <c r="J86" s="191" t="e">
        <f t="shared" si="11"/>
        <v>#NUM!</v>
      </c>
      <c r="K86" s="191" t="e">
        <f t="shared" si="8"/>
        <v>#NUM!</v>
      </c>
      <c r="L86" s="191"/>
      <c r="M86" s="193">
        <f t="shared" si="9"/>
        <v>0</v>
      </c>
      <c r="S86" s="184"/>
      <c r="T86" s="184"/>
      <c r="U86" s="184"/>
      <c r="V86" s="184"/>
      <c r="W86" s="184"/>
      <c r="X86" s="184"/>
      <c r="Y86" s="184"/>
      <c r="Z86" s="184"/>
      <c r="AA86" s="184"/>
      <c r="AB86" s="184"/>
      <c r="AC86" s="184"/>
      <c r="AD86" s="184"/>
      <c r="AE86" s="184"/>
      <c r="AF86" s="184"/>
      <c r="AG86" s="184"/>
      <c r="AH86" s="184"/>
      <c r="AI86" s="184"/>
      <c r="AJ86" s="184"/>
      <c r="AK86" s="184"/>
      <c r="AL86" s="184"/>
    </row>
    <row r="87" spans="1:38" s="179" customFormat="1" x14ac:dyDescent="0.25">
      <c r="A87" s="98">
        <f t="shared" si="10"/>
        <v>0</v>
      </c>
      <c r="B87" s="39" t="str">
        <f t="shared" si="6"/>
        <v/>
      </c>
      <c r="C87" s="40"/>
      <c r="D87" s="40"/>
      <c r="E87" s="40"/>
      <c r="F87" s="40"/>
      <c r="H87" s="194">
        <v>82</v>
      </c>
      <c r="I87" s="195" t="str">
        <f t="shared" si="7"/>
        <v/>
      </c>
      <c r="J87" s="194" t="e">
        <f t="shared" si="11"/>
        <v>#NUM!</v>
      </c>
      <c r="K87" s="194" t="e">
        <f t="shared" si="8"/>
        <v>#NUM!</v>
      </c>
      <c r="L87" s="194"/>
      <c r="M87" s="196">
        <f t="shared" si="9"/>
        <v>0</v>
      </c>
      <c r="S87" s="184"/>
      <c r="T87" s="184"/>
      <c r="U87" s="184"/>
      <c r="V87" s="184"/>
      <c r="W87" s="184"/>
      <c r="X87" s="184"/>
      <c r="Y87" s="184"/>
      <c r="Z87" s="184"/>
      <c r="AA87" s="184"/>
      <c r="AB87" s="184"/>
      <c r="AC87" s="184"/>
      <c r="AD87" s="184"/>
      <c r="AE87" s="184"/>
      <c r="AF87" s="184"/>
      <c r="AG87" s="184"/>
      <c r="AH87" s="184"/>
      <c r="AI87" s="184"/>
      <c r="AJ87" s="184"/>
      <c r="AK87" s="184"/>
      <c r="AL87" s="184"/>
    </row>
    <row r="88" spans="1:38" s="179" customFormat="1" x14ac:dyDescent="0.25">
      <c r="A88" s="94">
        <f t="shared" si="10"/>
        <v>0</v>
      </c>
      <c r="B88" s="33" t="str">
        <f t="shared" si="6"/>
        <v/>
      </c>
      <c r="C88" s="34"/>
      <c r="D88" s="34"/>
      <c r="E88" s="34"/>
      <c r="F88" s="34"/>
      <c r="H88" s="191">
        <v>83</v>
      </c>
      <c r="I88" s="192" t="str">
        <f t="shared" si="7"/>
        <v/>
      </c>
      <c r="J88" s="191" t="e">
        <f t="shared" si="11"/>
        <v>#NUM!</v>
      </c>
      <c r="K88" s="191" t="e">
        <f t="shared" si="8"/>
        <v>#NUM!</v>
      </c>
      <c r="L88" s="191"/>
      <c r="M88" s="193">
        <f t="shared" si="9"/>
        <v>0</v>
      </c>
      <c r="S88" s="184"/>
      <c r="T88" s="184"/>
      <c r="U88" s="184"/>
      <c r="V88" s="184"/>
      <c r="W88" s="184"/>
      <c r="X88" s="184"/>
      <c r="Y88" s="184"/>
      <c r="Z88" s="184"/>
      <c r="AA88" s="184"/>
      <c r="AB88" s="184"/>
      <c r="AC88" s="184"/>
      <c r="AD88" s="184"/>
      <c r="AE88" s="184"/>
      <c r="AF88" s="184"/>
      <c r="AG88" s="184"/>
      <c r="AH88" s="184"/>
      <c r="AI88" s="184"/>
      <c r="AJ88" s="184"/>
      <c r="AK88" s="184"/>
      <c r="AL88" s="184"/>
    </row>
    <row r="89" spans="1:38" s="179" customFormat="1" x14ac:dyDescent="0.25">
      <c r="A89" s="98">
        <f t="shared" si="10"/>
        <v>0</v>
      </c>
      <c r="B89" s="39" t="str">
        <f t="shared" si="6"/>
        <v/>
      </c>
      <c r="C89" s="40"/>
      <c r="D89" s="40"/>
      <c r="E89" s="40"/>
      <c r="F89" s="40"/>
      <c r="H89" s="194">
        <v>84</v>
      </c>
      <c r="I89" s="195" t="str">
        <f t="shared" si="7"/>
        <v/>
      </c>
      <c r="J89" s="194" t="e">
        <f t="shared" si="11"/>
        <v>#NUM!</v>
      </c>
      <c r="K89" s="194" t="e">
        <f t="shared" si="8"/>
        <v>#NUM!</v>
      </c>
      <c r="L89" s="194"/>
      <c r="M89" s="196">
        <f t="shared" si="9"/>
        <v>0</v>
      </c>
      <c r="S89" s="184"/>
      <c r="T89" s="184"/>
      <c r="U89" s="184"/>
      <c r="V89" s="184"/>
      <c r="W89" s="184"/>
      <c r="X89" s="184"/>
      <c r="Y89" s="184"/>
      <c r="Z89" s="184"/>
      <c r="AA89" s="184"/>
      <c r="AB89" s="184"/>
      <c r="AC89" s="184"/>
      <c r="AD89" s="184"/>
      <c r="AE89" s="184"/>
      <c r="AF89" s="184"/>
      <c r="AG89" s="184"/>
      <c r="AH89" s="184"/>
      <c r="AI89" s="184"/>
      <c r="AJ89" s="184"/>
      <c r="AK89" s="184"/>
      <c r="AL89" s="184"/>
    </row>
    <row r="90" spans="1:38" s="179" customFormat="1" x14ac:dyDescent="0.25">
      <c r="A90" s="94">
        <f t="shared" si="10"/>
        <v>0</v>
      </c>
      <c r="B90" s="33" t="str">
        <f t="shared" si="6"/>
        <v/>
      </c>
      <c r="C90" s="34"/>
      <c r="D90" s="34"/>
      <c r="E90" s="34"/>
      <c r="F90" s="34"/>
      <c r="H90" s="191">
        <v>85</v>
      </c>
      <c r="I90" s="192" t="str">
        <f t="shared" si="7"/>
        <v/>
      </c>
      <c r="J90" s="191" t="e">
        <f t="shared" si="11"/>
        <v>#NUM!</v>
      </c>
      <c r="K90" s="191" t="e">
        <f t="shared" si="8"/>
        <v>#NUM!</v>
      </c>
      <c r="L90" s="191"/>
      <c r="M90" s="193">
        <f t="shared" si="9"/>
        <v>0</v>
      </c>
      <c r="S90" s="184"/>
      <c r="T90" s="184"/>
      <c r="U90" s="184"/>
      <c r="V90" s="184"/>
      <c r="W90" s="184"/>
      <c r="X90" s="184"/>
      <c r="Y90" s="184"/>
      <c r="Z90" s="184"/>
      <c r="AA90" s="184"/>
      <c r="AB90" s="184"/>
      <c r="AC90" s="184"/>
      <c r="AD90" s="184"/>
      <c r="AE90" s="184"/>
      <c r="AF90" s="184"/>
      <c r="AG90" s="184"/>
      <c r="AH90" s="184"/>
      <c r="AI90" s="184"/>
      <c r="AJ90" s="184"/>
      <c r="AK90" s="184"/>
      <c r="AL90" s="184"/>
    </row>
    <row r="91" spans="1:38" s="179" customFormat="1" x14ac:dyDescent="0.25">
      <c r="A91" s="98">
        <f t="shared" si="10"/>
        <v>0</v>
      </c>
      <c r="B91" s="39" t="str">
        <f t="shared" si="6"/>
        <v/>
      </c>
      <c r="C91" s="40"/>
      <c r="D91" s="40"/>
      <c r="E91" s="40"/>
      <c r="F91" s="40"/>
      <c r="H91" s="194">
        <v>86</v>
      </c>
      <c r="I91" s="195" t="str">
        <f t="shared" si="7"/>
        <v/>
      </c>
      <c r="J91" s="194" t="e">
        <f t="shared" si="11"/>
        <v>#NUM!</v>
      </c>
      <c r="K91" s="194" t="e">
        <f t="shared" si="8"/>
        <v>#NUM!</v>
      </c>
      <c r="L91" s="194"/>
      <c r="M91" s="196">
        <f t="shared" si="9"/>
        <v>0</v>
      </c>
      <c r="S91" s="184"/>
      <c r="T91" s="184"/>
      <c r="U91" s="184"/>
      <c r="V91" s="184"/>
      <c r="W91" s="184"/>
      <c r="X91" s="184"/>
      <c r="Y91" s="184"/>
      <c r="Z91" s="184"/>
      <c r="AA91" s="184"/>
      <c r="AB91" s="184"/>
      <c r="AC91" s="184"/>
      <c r="AD91" s="184"/>
      <c r="AE91" s="184"/>
      <c r="AF91" s="184"/>
      <c r="AG91" s="184"/>
      <c r="AH91" s="184"/>
      <c r="AI91" s="184"/>
      <c r="AJ91" s="184"/>
      <c r="AK91" s="184"/>
      <c r="AL91" s="184"/>
    </row>
    <row r="92" spans="1:38" s="179" customFormat="1" x14ac:dyDescent="0.25">
      <c r="A92" s="94">
        <f t="shared" si="10"/>
        <v>0</v>
      </c>
      <c r="B92" s="33" t="str">
        <f t="shared" si="6"/>
        <v/>
      </c>
      <c r="C92" s="34"/>
      <c r="D92" s="34"/>
      <c r="E92" s="34"/>
      <c r="F92" s="34"/>
      <c r="H92" s="191">
        <v>87</v>
      </c>
      <c r="I92" s="192" t="str">
        <f t="shared" si="7"/>
        <v/>
      </c>
      <c r="J92" s="191" t="e">
        <f t="shared" si="11"/>
        <v>#NUM!</v>
      </c>
      <c r="K92" s="191" t="e">
        <f t="shared" si="8"/>
        <v>#NUM!</v>
      </c>
      <c r="L92" s="191"/>
      <c r="M92" s="193">
        <f t="shared" si="9"/>
        <v>0</v>
      </c>
      <c r="S92" s="184"/>
      <c r="T92" s="184"/>
      <c r="U92" s="184"/>
      <c r="V92" s="184"/>
      <c r="W92" s="184"/>
      <c r="X92" s="184"/>
      <c r="Y92" s="184"/>
      <c r="Z92" s="184"/>
      <c r="AA92" s="184"/>
      <c r="AB92" s="184"/>
      <c r="AC92" s="184"/>
      <c r="AD92" s="184"/>
      <c r="AE92" s="184"/>
      <c r="AF92" s="184"/>
      <c r="AG92" s="184"/>
      <c r="AH92" s="184"/>
      <c r="AI92" s="184"/>
      <c r="AJ92" s="184"/>
      <c r="AK92" s="184"/>
      <c r="AL92" s="184"/>
    </row>
    <row r="93" spans="1:38" s="179" customFormat="1" x14ac:dyDescent="0.25">
      <c r="A93" s="98">
        <f t="shared" si="10"/>
        <v>0</v>
      </c>
      <c r="B93" s="39" t="str">
        <f t="shared" si="6"/>
        <v/>
      </c>
      <c r="C93" s="40"/>
      <c r="D93" s="40"/>
      <c r="E93" s="40"/>
      <c r="F93" s="40"/>
      <c r="H93" s="194">
        <v>88</v>
      </c>
      <c r="I93" s="195" t="str">
        <f t="shared" si="7"/>
        <v/>
      </c>
      <c r="J93" s="194" t="e">
        <f t="shared" si="11"/>
        <v>#NUM!</v>
      </c>
      <c r="K93" s="194" t="e">
        <f t="shared" si="8"/>
        <v>#NUM!</v>
      </c>
      <c r="L93" s="194"/>
      <c r="M93" s="196">
        <f t="shared" si="9"/>
        <v>0</v>
      </c>
      <c r="S93" s="184"/>
      <c r="T93" s="184"/>
      <c r="U93" s="184"/>
      <c r="V93" s="184"/>
      <c r="W93" s="184"/>
      <c r="X93" s="184"/>
      <c r="Y93" s="184"/>
      <c r="Z93" s="184"/>
      <c r="AA93" s="184"/>
      <c r="AB93" s="184"/>
      <c r="AC93" s="184"/>
      <c r="AD93" s="184"/>
      <c r="AE93" s="184"/>
      <c r="AF93" s="184"/>
      <c r="AG93" s="184"/>
      <c r="AH93" s="184"/>
      <c r="AI93" s="184"/>
      <c r="AJ93" s="184"/>
      <c r="AK93" s="184"/>
      <c r="AL93" s="184"/>
    </row>
    <row r="94" spans="1:38" s="179" customFormat="1" x14ac:dyDescent="0.25">
      <c r="A94" s="94">
        <f t="shared" si="10"/>
        <v>0</v>
      </c>
      <c r="B94" s="33" t="str">
        <f t="shared" si="6"/>
        <v/>
      </c>
      <c r="C94" s="34"/>
      <c r="D94" s="34"/>
      <c r="E94" s="34"/>
      <c r="F94" s="34"/>
      <c r="H94" s="191">
        <v>89</v>
      </c>
      <c r="I94" s="192" t="str">
        <f t="shared" si="7"/>
        <v/>
      </c>
      <c r="J94" s="191" t="e">
        <f t="shared" si="11"/>
        <v>#NUM!</v>
      </c>
      <c r="K94" s="191" t="e">
        <f t="shared" si="8"/>
        <v>#NUM!</v>
      </c>
      <c r="L94" s="191"/>
      <c r="M94" s="193">
        <f t="shared" si="9"/>
        <v>0</v>
      </c>
      <c r="S94" s="184"/>
      <c r="T94" s="184"/>
      <c r="U94" s="184"/>
      <c r="V94" s="184"/>
      <c r="W94" s="184"/>
      <c r="X94" s="184"/>
      <c r="Y94" s="184"/>
      <c r="Z94" s="184"/>
      <c r="AA94" s="184"/>
      <c r="AB94" s="184"/>
      <c r="AC94" s="184"/>
      <c r="AD94" s="184"/>
      <c r="AE94" s="184"/>
      <c r="AF94" s="184"/>
      <c r="AG94" s="184"/>
      <c r="AH94" s="184"/>
      <c r="AI94" s="184"/>
      <c r="AJ94" s="184"/>
      <c r="AK94" s="184"/>
      <c r="AL94" s="184"/>
    </row>
    <row r="95" spans="1:38" s="179" customFormat="1" x14ac:dyDescent="0.25">
      <c r="A95" s="98">
        <f t="shared" si="10"/>
        <v>0</v>
      </c>
      <c r="B95" s="39" t="str">
        <f t="shared" si="6"/>
        <v/>
      </c>
      <c r="C95" s="40"/>
      <c r="D95" s="40"/>
      <c r="E95" s="40"/>
      <c r="F95" s="40"/>
      <c r="H95" s="194">
        <v>90</v>
      </c>
      <c r="I95" s="195" t="str">
        <f t="shared" si="7"/>
        <v/>
      </c>
      <c r="J95" s="194" t="e">
        <f t="shared" si="11"/>
        <v>#NUM!</v>
      </c>
      <c r="K95" s="194" t="e">
        <f t="shared" si="8"/>
        <v>#NUM!</v>
      </c>
      <c r="L95" s="194"/>
      <c r="M95" s="196">
        <f t="shared" si="9"/>
        <v>0</v>
      </c>
      <c r="S95" s="184"/>
      <c r="T95" s="184"/>
      <c r="U95" s="184"/>
      <c r="V95" s="184"/>
      <c r="W95" s="184"/>
      <c r="X95" s="184"/>
      <c r="Y95" s="184"/>
      <c r="Z95" s="184"/>
      <c r="AA95" s="184"/>
      <c r="AB95" s="184"/>
      <c r="AC95" s="184"/>
      <c r="AD95" s="184"/>
      <c r="AE95" s="184"/>
      <c r="AF95" s="184"/>
      <c r="AG95" s="184"/>
      <c r="AH95" s="184"/>
      <c r="AI95" s="184"/>
      <c r="AJ95" s="184"/>
      <c r="AK95" s="184"/>
      <c r="AL95" s="184"/>
    </row>
    <row r="96" spans="1:38" s="179" customFormat="1" x14ac:dyDescent="0.25">
      <c r="A96" s="94">
        <f t="shared" si="10"/>
        <v>0</v>
      </c>
      <c r="B96" s="33" t="str">
        <f t="shared" si="6"/>
        <v/>
      </c>
      <c r="C96" s="34"/>
      <c r="D96" s="34"/>
      <c r="E96" s="34"/>
      <c r="F96" s="34"/>
      <c r="H96" s="191">
        <v>91</v>
      </c>
      <c r="I96" s="192" t="str">
        <f t="shared" si="7"/>
        <v/>
      </c>
      <c r="J96" s="191" t="e">
        <f t="shared" si="11"/>
        <v>#NUM!</v>
      </c>
      <c r="K96" s="191" t="e">
        <f t="shared" si="8"/>
        <v>#NUM!</v>
      </c>
      <c r="L96" s="191"/>
      <c r="M96" s="193">
        <f t="shared" si="9"/>
        <v>0</v>
      </c>
      <c r="S96" s="184"/>
      <c r="T96" s="184"/>
      <c r="U96" s="184"/>
      <c r="V96" s="184"/>
      <c r="W96" s="184"/>
      <c r="X96" s="184"/>
      <c r="Y96" s="184"/>
      <c r="Z96" s="184"/>
      <c r="AA96" s="184"/>
      <c r="AB96" s="184"/>
      <c r="AC96" s="184"/>
      <c r="AD96" s="184"/>
      <c r="AE96" s="184"/>
      <c r="AF96" s="184"/>
      <c r="AG96" s="184"/>
      <c r="AH96" s="184"/>
      <c r="AI96" s="184"/>
      <c r="AJ96" s="184"/>
      <c r="AK96" s="184"/>
      <c r="AL96" s="184"/>
    </row>
    <row r="97" spans="1:38" s="179" customFormat="1" x14ac:dyDescent="0.25">
      <c r="A97" s="98">
        <f t="shared" si="10"/>
        <v>0</v>
      </c>
      <c r="B97" s="39" t="str">
        <f t="shared" si="6"/>
        <v/>
      </c>
      <c r="C97" s="40"/>
      <c r="D97" s="40"/>
      <c r="E97" s="40"/>
      <c r="F97" s="40"/>
      <c r="H97" s="194">
        <v>92</v>
      </c>
      <c r="I97" s="195" t="str">
        <f t="shared" si="7"/>
        <v/>
      </c>
      <c r="J97" s="194" t="e">
        <f t="shared" si="11"/>
        <v>#NUM!</v>
      </c>
      <c r="K97" s="194" t="e">
        <f t="shared" si="8"/>
        <v>#NUM!</v>
      </c>
      <c r="L97" s="194"/>
      <c r="M97" s="196">
        <f t="shared" si="9"/>
        <v>0</v>
      </c>
      <c r="S97" s="184"/>
      <c r="T97" s="184"/>
      <c r="U97" s="184"/>
      <c r="V97" s="184"/>
      <c r="W97" s="184"/>
      <c r="X97" s="184"/>
      <c r="Y97" s="184"/>
      <c r="Z97" s="184"/>
      <c r="AA97" s="184"/>
      <c r="AB97" s="184"/>
      <c r="AC97" s="184"/>
      <c r="AD97" s="184"/>
      <c r="AE97" s="184"/>
      <c r="AF97" s="184"/>
      <c r="AG97" s="184"/>
      <c r="AH97" s="184"/>
      <c r="AI97" s="184"/>
      <c r="AJ97" s="184"/>
      <c r="AK97" s="184"/>
      <c r="AL97" s="184"/>
    </row>
    <row r="98" spans="1:38" s="179" customFormat="1" x14ac:dyDescent="0.25">
      <c r="A98" s="94">
        <f t="shared" si="10"/>
        <v>0</v>
      </c>
      <c r="B98" s="33" t="str">
        <f t="shared" si="6"/>
        <v/>
      </c>
      <c r="C98" s="34"/>
      <c r="D98" s="34"/>
      <c r="E98" s="34"/>
      <c r="F98" s="34"/>
      <c r="H98" s="191">
        <v>93</v>
      </c>
      <c r="I98" s="192" t="str">
        <f t="shared" si="7"/>
        <v/>
      </c>
      <c r="J98" s="191" t="e">
        <f t="shared" si="11"/>
        <v>#NUM!</v>
      </c>
      <c r="K98" s="191" t="e">
        <f t="shared" si="8"/>
        <v>#NUM!</v>
      </c>
      <c r="L98" s="191"/>
      <c r="M98" s="193">
        <f t="shared" si="9"/>
        <v>0</v>
      </c>
      <c r="S98" s="184"/>
      <c r="T98" s="184"/>
      <c r="U98" s="184"/>
      <c r="V98" s="184"/>
      <c r="W98" s="184"/>
      <c r="X98" s="184"/>
      <c r="Y98" s="184"/>
      <c r="Z98" s="184"/>
      <c r="AA98" s="184"/>
      <c r="AB98" s="184"/>
      <c r="AC98" s="184"/>
      <c r="AD98" s="184"/>
      <c r="AE98" s="184"/>
      <c r="AF98" s="184"/>
      <c r="AG98" s="184"/>
      <c r="AH98" s="184"/>
      <c r="AI98" s="184"/>
      <c r="AJ98" s="184"/>
      <c r="AK98" s="184"/>
      <c r="AL98" s="184"/>
    </row>
    <row r="99" spans="1:38" s="179" customFormat="1" x14ac:dyDescent="0.25">
      <c r="A99" s="98">
        <f t="shared" si="10"/>
        <v>0</v>
      </c>
      <c r="B99" s="39" t="str">
        <f t="shared" si="6"/>
        <v/>
      </c>
      <c r="C99" s="40"/>
      <c r="D99" s="40"/>
      <c r="E99" s="40"/>
      <c r="F99" s="40"/>
      <c r="H99" s="194">
        <v>94</v>
      </c>
      <c r="I99" s="195" t="str">
        <f t="shared" si="7"/>
        <v/>
      </c>
      <c r="J99" s="194" t="e">
        <f t="shared" si="11"/>
        <v>#NUM!</v>
      </c>
      <c r="K99" s="194" t="e">
        <f t="shared" si="8"/>
        <v>#NUM!</v>
      </c>
      <c r="L99" s="194"/>
      <c r="M99" s="196">
        <f t="shared" si="9"/>
        <v>0</v>
      </c>
      <c r="S99" s="184"/>
      <c r="T99" s="184"/>
      <c r="U99" s="184"/>
      <c r="V99" s="184"/>
      <c r="W99" s="184"/>
      <c r="X99" s="184"/>
      <c r="Y99" s="184"/>
      <c r="Z99" s="184"/>
      <c r="AA99" s="184"/>
      <c r="AB99" s="184"/>
      <c r="AC99" s="184"/>
      <c r="AD99" s="184"/>
      <c r="AE99" s="184"/>
      <c r="AF99" s="184"/>
      <c r="AG99" s="184"/>
      <c r="AH99" s="184"/>
      <c r="AI99" s="184"/>
      <c r="AJ99" s="184"/>
      <c r="AK99" s="184"/>
      <c r="AL99" s="184"/>
    </row>
    <row r="100" spans="1:38" s="179" customFormat="1" x14ac:dyDescent="0.25">
      <c r="A100" s="94">
        <f t="shared" si="10"/>
        <v>0</v>
      </c>
      <c r="B100" s="33" t="str">
        <f t="shared" si="6"/>
        <v/>
      </c>
      <c r="C100" s="34"/>
      <c r="D100" s="34"/>
      <c r="E100" s="34"/>
      <c r="F100" s="34"/>
      <c r="H100" s="191">
        <v>95</v>
      </c>
      <c r="I100" s="192" t="str">
        <f t="shared" si="7"/>
        <v/>
      </c>
      <c r="J100" s="191" t="e">
        <f t="shared" si="11"/>
        <v>#NUM!</v>
      </c>
      <c r="K100" s="191" t="e">
        <f t="shared" si="8"/>
        <v>#NUM!</v>
      </c>
      <c r="L100" s="191"/>
      <c r="M100" s="193">
        <f t="shared" si="9"/>
        <v>0</v>
      </c>
      <c r="S100" s="184"/>
      <c r="T100" s="184"/>
      <c r="U100" s="184"/>
      <c r="V100" s="184"/>
      <c r="W100" s="184"/>
      <c r="X100" s="184"/>
      <c r="Y100" s="184"/>
      <c r="Z100" s="184"/>
      <c r="AA100" s="184"/>
      <c r="AB100" s="184"/>
      <c r="AC100" s="184"/>
      <c r="AD100" s="184"/>
      <c r="AE100" s="184"/>
      <c r="AF100" s="184"/>
      <c r="AG100" s="184"/>
      <c r="AH100" s="184"/>
      <c r="AI100" s="184"/>
      <c r="AJ100" s="184"/>
      <c r="AK100" s="184"/>
      <c r="AL100" s="184"/>
    </row>
    <row r="101" spans="1:38" s="179" customFormat="1" x14ac:dyDescent="0.25">
      <c r="A101" s="98">
        <f t="shared" si="10"/>
        <v>0</v>
      </c>
      <c r="B101" s="39" t="str">
        <f t="shared" si="6"/>
        <v/>
      </c>
      <c r="C101" s="40"/>
      <c r="D101" s="40"/>
      <c r="E101" s="40"/>
      <c r="F101" s="40"/>
      <c r="H101" s="194">
        <v>96</v>
      </c>
      <c r="I101" s="195" t="str">
        <f t="shared" si="7"/>
        <v/>
      </c>
      <c r="J101" s="194" t="e">
        <f t="shared" si="11"/>
        <v>#NUM!</v>
      </c>
      <c r="K101" s="194" t="e">
        <f t="shared" si="8"/>
        <v>#NUM!</v>
      </c>
      <c r="L101" s="194"/>
      <c r="M101" s="196">
        <f t="shared" si="9"/>
        <v>0</v>
      </c>
      <c r="S101" s="184"/>
      <c r="T101" s="184"/>
      <c r="U101" s="184"/>
      <c r="V101" s="184"/>
      <c r="W101" s="184"/>
      <c r="X101" s="184"/>
      <c r="Y101" s="184"/>
      <c r="Z101" s="184"/>
      <c r="AA101" s="184"/>
      <c r="AB101" s="184"/>
      <c r="AC101" s="184"/>
      <c r="AD101" s="184"/>
      <c r="AE101" s="184"/>
      <c r="AF101" s="184"/>
      <c r="AG101" s="184"/>
      <c r="AH101" s="184"/>
      <c r="AI101" s="184"/>
      <c r="AJ101" s="184"/>
      <c r="AK101" s="184"/>
      <c r="AL101" s="184"/>
    </row>
    <row r="102" spans="1:38" s="179" customFormat="1" x14ac:dyDescent="0.25">
      <c r="A102" s="94">
        <f t="shared" si="10"/>
        <v>0</v>
      </c>
      <c r="B102" s="33" t="str">
        <f t="shared" si="6"/>
        <v/>
      </c>
      <c r="C102" s="34"/>
      <c r="D102" s="34"/>
      <c r="E102" s="34"/>
      <c r="F102" s="34"/>
      <c r="H102" s="191">
        <v>97</v>
      </c>
      <c r="I102" s="192" t="str">
        <f t="shared" si="7"/>
        <v/>
      </c>
      <c r="J102" s="191" t="e">
        <f t="shared" si="11"/>
        <v>#NUM!</v>
      </c>
      <c r="K102" s="191" t="e">
        <f t="shared" si="8"/>
        <v>#NUM!</v>
      </c>
      <c r="L102" s="191"/>
      <c r="M102" s="193">
        <f t="shared" si="9"/>
        <v>0</v>
      </c>
      <c r="S102" s="184"/>
      <c r="T102" s="184"/>
      <c r="U102" s="184"/>
      <c r="V102" s="184"/>
      <c r="W102" s="184"/>
      <c r="X102" s="184"/>
      <c r="Y102" s="184"/>
      <c r="Z102" s="184"/>
      <c r="AA102" s="184"/>
      <c r="AB102" s="184"/>
      <c r="AC102" s="184"/>
      <c r="AD102" s="184"/>
      <c r="AE102" s="184"/>
      <c r="AF102" s="184"/>
      <c r="AG102" s="184"/>
      <c r="AH102" s="184"/>
      <c r="AI102" s="184"/>
      <c r="AJ102" s="184"/>
      <c r="AK102" s="184"/>
      <c r="AL102" s="184"/>
    </row>
    <row r="103" spans="1:38" s="179" customFormat="1" x14ac:dyDescent="0.25">
      <c r="A103" s="98">
        <f t="shared" si="10"/>
        <v>0</v>
      </c>
      <c r="B103" s="39" t="str">
        <f t="shared" si="6"/>
        <v/>
      </c>
      <c r="C103" s="40"/>
      <c r="D103" s="40"/>
      <c r="E103" s="40"/>
      <c r="F103" s="40"/>
      <c r="H103" s="194">
        <v>98</v>
      </c>
      <c r="I103" s="195" t="str">
        <f t="shared" si="7"/>
        <v/>
      </c>
      <c r="J103" s="194" t="e">
        <f t="shared" si="11"/>
        <v>#NUM!</v>
      </c>
      <c r="K103" s="194" t="e">
        <f t="shared" si="8"/>
        <v>#NUM!</v>
      </c>
      <c r="L103" s="194"/>
      <c r="M103" s="196">
        <f t="shared" si="9"/>
        <v>0</v>
      </c>
      <c r="S103" s="184"/>
      <c r="T103" s="184"/>
      <c r="U103" s="184"/>
      <c r="V103" s="184"/>
      <c r="W103" s="184"/>
      <c r="X103" s="184"/>
      <c r="Y103" s="184"/>
      <c r="Z103" s="184"/>
      <c r="AA103" s="184"/>
      <c r="AB103" s="184"/>
      <c r="AC103" s="184"/>
      <c r="AD103" s="184"/>
      <c r="AE103" s="184"/>
      <c r="AF103" s="184"/>
      <c r="AG103" s="184"/>
      <c r="AH103" s="184"/>
      <c r="AI103" s="184"/>
      <c r="AJ103" s="184"/>
      <c r="AK103" s="184"/>
      <c r="AL103" s="184"/>
    </row>
    <row r="104" spans="1:38" s="179" customFormat="1" x14ac:dyDescent="0.25">
      <c r="A104" s="94">
        <f t="shared" si="10"/>
        <v>0</v>
      </c>
      <c r="B104" s="33" t="str">
        <f t="shared" si="6"/>
        <v/>
      </c>
      <c r="C104" s="34"/>
      <c r="D104" s="34"/>
      <c r="E104" s="34"/>
      <c r="F104" s="34"/>
      <c r="H104" s="191">
        <v>99</v>
      </c>
      <c r="I104" s="192" t="str">
        <f t="shared" si="7"/>
        <v/>
      </c>
      <c r="J104" s="191" t="e">
        <f t="shared" si="11"/>
        <v>#NUM!</v>
      </c>
      <c r="K104" s="191" t="e">
        <f t="shared" si="8"/>
        <v>#NUM!</v>
      </c>
      <c r="L104" s="191"/>
      <c r="M104" s="193">
        <f t="shared" si="9"/>
        <v>0</v>
      </c>
      <c r="S104" s="184"/>
      <c r="T104" s="184"/>
      <c r="U104" s="184"/>
      <c r="V104" s="184"/>
      <c r="W104" s="184"/>
      <c r="X104" s="184"/>
      <c r="Y104" s="184"/>
      <c r="Z104" s="184"/>
      <c r="AA104" s="184"/>
      <c r="AB104" s="184"/>
      <c r="AC104" s="184"/>
      <c r="AD104" s="184"/>
      <c r="AE104" s="184"/>
      <c r="AF104" s="184"/>
      <c r="AG104" s="184"/>
      <c r="AH104" s="184"/>
      <c r="AI104" s="184"/>
      <c r="AJ104" s="184"/>
      <c r="AK104" s="184"/>
      <c r="AL104" s="184"/>
    </row>
    <row r="105" spans="1:38" s="179" customFormat="1" x14ac:dyDescent="0.25">
      <c r="A105" s="98">
        <f t="shared" si="10"/>
        <v>0</v>
      </c>
      <c r="B105" s="39" t="str">
        <f t="shared" si="6"/>
        <v/>
      </c>
      <c r="C105" s="40"/>
      <c r="D105" s="40"/>
      <c r="E105" s="40"/>
      <c r="F105" s="40"/>
      <c r="H105" s="194">
        <v>100</v>
      </c>
      <c r="I105" s="195" t="str">
        <f t="shared" si="7"/>
        <v/>
      </c>
      <c r="J105" s="194" t="e">
        <f t="shared" si="11"/>
        <v>#NUM!</v>
      </c>
      <c r="K105" s="194" t="e">
        <f t="shared" si="8"/>
        <v>#NUM!</v>
      </c>
      <c r="L105" s="194"/>
      <c r="M105" s="196">
        <f t="shared" si="9"/>
        <v>0</v>
      </c>
      <c r="S105" s="184"/>
      <c r="T105" s="184"/>
      <c r="U105" s="184"/>
      <c r="V105" s="184"/>
      <c r="W105" s="184"/>
      <c r="X105" s="184"/>
      <c r="Y105" s="184"/>
      <c r="Z105" s="184"/>
      <c r="AA105" s="184"/>
      <c r="AB105" s="184"/>
      <c r="AC105" s="184"/>
      <c r="AD105" s="184"/>
      <c r="AE105" s="184"/>
      <c r="AF105" s="184"/>
      <c r="AG105" s="184"/>
      <c r="AH105" s="184"/>
      <c r="AI105" s="184"/>
      <c r="AJ105" s="184"/>
      <c r="AK105" s="184"/>
      <c r="AL105" s="184"/>
    </row>
    <row r="106" spans="1:38" s="179" customFormat="1" x14ac:dyDescent="0.25">
      <c r="A106" s="94">
        <f t="shared" si="10"/>
        <v>0</v>
      </c>
      <c r="B106" s="33" t="str">
        <f t="shared" si="6"/>
        <v/>
      </c>
      <c r="C106" s="34"/>
      <c r="D106" s="34"/>
      <c r="E106" s="34"/>
      <c r="F106" s="34"/>
      <c r="H106" s="191">
        <v>101</v>
      </c>
      <c r="I106" s="192" t="str">
        <f t="shared" si="7"/>
        <v/>
      </c>
      <c r="J106" s="191" t="e">
        <f t="shared" si="11"/>
        <v>#NUM!</v>
      </c>
      <c r="K106" s="191" t="e">
        <f t="shared" si="8"/>
        <v>#NUM!</v>
      </c>
      <c r="L106" s="191"/>
      <c r="M106" s="193">
        <f t="shared" si="9"/>
        <v>0</v>
      </c>
      <c r="S106" s="184"/>
      <c r="T106" s="184"/>
      <c r="U106" s="184"/>
      <c r="V106" s="184"/>
      <c r="W106" s="184"/>
      <c r="X106" s="184"/>
      <c r="Y106" s="184"/>
      <c r="Z106" s="184"/>
      <c r="AA106" s="184"/>
      <c r="AB106" s="184"/>
      <c r="AC106" s="184"/>
      <c r="AD106" s="184"/>
      <c r="AE106" s="184"/>
      <c r="AF106" s="184"/>
      <c r="AG106" s="184"/>
      <c r="AH106" s="184"/>
      <c r="AI106" s="184"/>
      <c r="AJ106" s="184"/>
      <c r="AK106" s="184"/>
      <c r="AL106" s="184"/>
    </row>
    <row r="107" spans="1:38" s="179" customFormat="1" x14ac:dyDescent="0.25">
      <c r="A107" s="98">
        <f t="shared" si="10"/>
        <v>0</v>
      </c>
      <c r="B107" s="39" t="str">
        <f t="shared" si="6"/>
        <v/>
      </c>
      <c r="C107" s="40"/>
      <c r="D107" s="40"/>
      <c r="E107" s="40"/>
      <c r="F107" s="40"/>
      <c r="H107" s="194">
        <v>102</v>
      </c>
      <c r="I107" s="195" t="str">
        <f t="shared" si="7"/>
        <v/>
      </c>
      <c r="J107" s="194" t="e">
        <f t="shared" si="11"/>
        <v>#NUM!</v>
      </c>
      <c r="K107" s="194" t="e">
        <f t="shared" si="8"/>
        <v>#NUM!</v>
      </c>
      <c r="L107" s="194"/>
      <c r="M107" s="196">
        <f t="shared" si="9"/>
        <v>0</v>
      </c>
      <c r="S107" s="184"/>
      <c r="T107" s="184"/>
      <c r="U107" s="184"/>
      <c r="V107" s="184"/>
      <c r="W107" s="184"/>
      <c r="X107" s="184"/>
      <c r="Y107" s="184"/>
      <c r="Z107" s="184"/>
      <c r="AA107" s="184"/>
      <c r="AB107" s="184"/>
      <c r="AC107" s="184"/>
      <c r="AD107" s="184"/>
      <c r="AE107" s="184"/>
      <c r="AF107" s="184"/>
      <c r="AG107" s="184"/>
      <c r="AH107" s="184"/>
      <c r="AI107" s="184"/>
      <c r="AJ107" s="184"/>
      <c r="AK107" s="184"/>
      <c r="AL107" s="184"/>
    </row>
    <row r="108" spans="1:38" s="179" customFormat="1" x14ac:dyDescent="0.25">
      <c r="A108" s="94">
        <f t="shared" si="10"/>
        <v>0</v>
      </c>
      <c r="B108" s="33" t="str">
        <f t="shared" si="6"/>
        <v/>
      </c>
      <c r="C108" s="34"/>
      <c r="D108" s="34"/>
      <c r="E108" s="34"/>
      <c r="F108" s="34"/>
      <c r="H108" s="191">
        <v>103</v>
      </c>
      <c r="I108" s="192" t="str">
        <f t="shared" si="7"/>
        <v/>
      </c>
      <c r="J108" s="191" t="e">
        <f t="shared" si="11"/>
        <v>#NUM!</v>
      </c>
      <c r="K108" s="191" t="e">
        <f t="shared" si="8"/>
        <v>#NUM!</v>
      </c>
      <c r="L108" s="191"/>
      <c r="M108" s="193">
        <f t="shared" si="9"/>
        <v>0</v>
      </c>
      <c r="S108" s="184"/>
      <c r="T108" s="184"/>
      <c r="U108" s="184"/>
      <c r="V108" s="184"/>
      <c r="W108" s="184"/>
      <c r="X108" s="184"/>
      <c r="Y108" s="184"/>
      <c r="Z108" s="184"/>
      <c r="AA108" s="184"/>
      <c r="AB108" s="184"/>
      <c r="AC108" s="184"/>
      <c r="AD108" s="184"/>
      <c r="AE108" s="184"/>
      <c r="AF108" s="184"/>
      <c r="AG108" s="184"/>
      <c r="AH108" s="184"/>
      <c r="AI108" s="184"/>
      <c r="AJ108" s="184"/>
      <c r="AK108" s="184"/>
      <c r="AL108" s="184"/>
    </row>
    <row r="109" spans="1:38" s="179" customFormat="1" x14ac:dyDescent="0.25">
      <c r="A109" s="98">
        <f t="shared" si="10"/>
        <v>0</v>
      </c>
      <c r="B109" s="39" t="str">
        <f t="shared" si="6"/>
        <v/>
      </c>
      <c r="C109" s="40"/>
      <c r="D109" s="40"/>
      <c r="E109" s="40"/>
      <c r="F109" s="40"/>
      <c r="H109" s="194">
        <v>104</v>
      </c>
      <c r="I109" s="195" t="str">
        <f t="shared" si="7"/>
        <v/>
      </c>
      <c r="J109" s="194" t="e">
        <f t="shared" si="11"/>
        <v>#NUM!</v>
      </c>
      <c r="K109" s="194" t="e">
        <f t="shared" si="8"/>
        <v>#NUM!</v>
      </c>
      <c r="L109" s="194"/>
      <c r="M109" s="196">
        <f t="shared" si="9"/>
        <v>0</v>
      </c>
      <c r="S109" s="184"/>
      <c r="T109" s="184"/>
      <c r="U109" s="184"/>
      <c r="V109" s="184"/>
      <c r="W109" s="184"/>
      <c r="X109" s="184"/>
      <c r="Y109" s="184"/>
      <c r="Z109" s="184"/>
      <c r="AA109" s="184"/>
      <c r="AB109" s="184"/>
      <c r="AC109" s="184"/>
      <c r="AD109" s="184"/>
      <c r="AE109" s="184"/>
      <c r="AF109" s="184"/>
      <c r="AG109" s="184"/>
      <c r="AH109" s="184"/>
      <c r="AI109" s="184"/>
      <c r="AJ109" s="184"/>
      <c r="AK109" s="184"/>
      <c r="AL109" s="184"/>
    </row>
    <row r="110" spans="1:38" s="179" customFormat="1" x14ac:dyDescent="0.25">
      <c r="A110" s="94">
        <f t="shared" si="10"/>
        <v>0</v>
      </c>
      <c r="B110" s="33" t="str">
        <f t="shared" si="6"/>
        <v/>
      </c>
      <c r="C110" s="34"/>
      <c r="D110" s="34"/>
      <c r="E110" s="34"/>
      <c r="F110" s="34"/>
      <c r="H110" s="191">
        <v>105</v>
      </c>
      <c r="I110" s="192" t="str">
        <f t="shared" si="7"/>
        <v/>
      </c>
      <c r="J110" s="191" t="e">
        <f t="shared" si="11"/>
        <v>#NUM!</v>
      </c>
      <c r="K110" s="191" t="e">
        <f t="shared" si="8"/>
        <v>#NUM!</v>
      </c>
      <c r="L110" s="191"/>
      <c r="M110" s="193">
        <f t="shared" si="9"/>
        <v>0</v>
      </c>
      <c r="S110" s="184"/>
      <c r="T110" s="184"/>
      <c r="U110" s="184"/>
      <c r="V110" s="184"/>
      <c r="W110" s="184"/>
      <c r="X110" s="184"/>
      <c r="Y110" s="184"/>
      <c r="Z110" s="184"/>
      <c r="AA110" s="184"/>
      <c r="AB110" s="184"/>
      <c r="AC110" s="184"/>
      <c r="AD110" s="184"/>
      <c r="AE110" s="184"/>
      <c r="AF110" s="184"/>
      <c r="AG110" s="184"/>
      <c r="AH110" s="184"/>
      <c r="AI110" s="184"/>
      <c r="AJ110" s="184"/>
      <c r="AK110" s="184"/>
      <c r="AL110" s="184"/>
    </row>
    <row r="111" spans="1:38" s="179" customFormat="1" x14ac:dyDescent="0.25">
      <c r="A111" s="98">
        <f t="shared" si="10"/>
        <v>0</v>
      </c>
      <c r="B111" s="39" t="str">
        <f t="shared" si="6"/>
        <v/>
      </c>
      <c r="C111" s="40"/>
      <c r="D111" s="40"/>
      <c r="E111" s="40"/>
      <c r="F111" s="40"/>
      <c r="H111" s="194">
        <v>106</v>
      </c>
      <c r="I111" s="195" t="str">
        <f t="shared" si="7"/>
        <v/>
      </c>
      <c r="J111" s="194" t="e">
        <f t="shared" si="11"/>
        <v>#NUM!</v>
      </c>
      <c r="K111" s="194" t="e">
        <f t="shared" si="8"/>
        <v>#NUM!</v>
      </c>
      <c r="L111" s="194"/>
      <c r="M111" s="196">
        <f t="shared" si="9"/>
        <v>0</v>
      </c>
      <c r="S111" s="184"/>
      <c r="T111" s="184"/>
      <c r="U111" s="184"/>
      <c r="V111" s="184"/>
      <c r="W111" s="184"/>
      <c r="X111" s="184"/>
      <c r="Y111" s="184"/>
      <c r="Z111" s="184"/>
      <c r="AA111" s="184"/>
      <c r="AB111" s="184"/>
      <c r="AC111" s="184"/>
      <c r="AD111" s="184"/>
      <c r="AE111" s="184"/>
      <c r="AF111" s="184"/>
      <c r="AG111" s="184"/>
      <c r="AH111" s="184"/>
      <c r="AI111" s="184"/>
      <c r="AJ111" s="184"/>
      <c r="AK111" s="184"/>
      <c r="AL111" s="184"/>
    </row>
    <row r="112" spans="1:38" s="179" customFormat="1" x14ac:dyDescent="0.25">
      <c r="A112" s="94">
        <f t="shared" si="10"/>
        <v>0</v>
      </c>
      <c r="B112" s="33" t="str">
        <f t="shared" si="6"/>
        <v/>
      </c>
      <c r="C112" s="34"/>
      <c r="D112" s="34"/>
      <c r="E112" s="34"/>
      <c r="F112" s="34"/>
      <c r="H112" s="191">
        <v>107</v>
      </c>
      <c r="I112" s="192" t="str">
        <f t="shared" si="7"/>
        <v/>
      </c>
      <c r="J112" s="191" t="e">
        <f t="shared" si="11"/>
        <v>#NUM!</v>
      </c>
      <c r="K112" s="191" t="e">
        <f t="shared" si="8"/>
        <v>#NUM!</v>
      </c>
      <c r="L112" s="191"/>
      <c r="M112" s="193">
        <f t="shared" si="9"/>
        <v>0</v>
      </c>
      <c r="S112" s="184"/>
      <c r="T112" s="184"/>
      <c r="U112" s="184"/>
      <c r="V112" s="184"/>
      <c r="W112" s="184"/>
      <c r="X112" s="184"/>
      <c r="Y112" s="184"/>
      <c r="Z112" s="184"/>
      <c r="AA112" s="184"/>
      <c r="AB112" s="184"/>
      <c r="AC112" s="184"/>
      <c r="AD112" s="184"/>
      <c r="AE112" s="184"/>
      <c r="AF112" s="184"/>
      <c r="AG112" s="184"/>
      <c r="AH112" s="184"/>
      <c r="AI112" s="184"/>
      <c r="AJ112" s="184"/>
      <c r="AK112" s="184"/>
      <c r="AL112" s="184"/>
    </row>
    <row r="113" spans="1:38" s="179" customFormat="1" x14ac:dyDescent="0.25">
      <c r="A113" s="98">
        <f t="shared" si="10"/>
        <v>0</v>
      </c>
      <c r="B113" s="39" t="str">
        <f t="shared" si="6"/>
        <v/>
      </c>
      <c r="C113" s="40"/>
      <c r="D113" s="40"/>
      <c r="E113" s="40"/>
      <c r="F113" s="40"/>
      <c r="H113" s="194">
        <v>108</v>
      </c>
      <c r="I113" s="195" t="str">
        <f t="shared" si="7"/>
        <v/>
      </c>
      <c r="J113" s="194" t="e">
        <f t="shared" si="11"/>
        <v>#NUM!</v>
      </c>
      <c r="K113" s="194" t="e">
        <f t="shared" si="8"/>
        <v>#NUM!</v>
      </c>
      <c r="L113" s="194"/>
      <c r="M113" s="196">
        <f t="shared" si="9"/>
        <v>0</v>
      </c>
      <c r="S113" s="184"/>
      <c r="T113" s="184"/>
      <c r="U113" s="184"/>
      <c r="V113" s="184"/>
      <c r="W113" s="184"/>
      <c r="X113" s="184"/>
      <c r="Y113" s="184"/>
      <c r="Z113" s="184"/>
      <c r="AA113" s="184"/>
      <c r="AB113" s="184"/>
      <c r="AC113" s="184"/>
      <c r="AD113" s="184"/>
      <c r="AE113" s="184"/>
      <c r="AF113" s="184"/>
      <c r="AG113" s="184"/>
      <c r="AH113" s="184"/>
      <c r="AI113" s="184"/>
      <c r="AJ113" s="184"/>
      <c r="AK113" s="184"/>
      <c r="AL113" s="184"/>
    </row>
    <row r="114" spans="1:38" s="179" customFormat="1" x14ac:dyDescent="0.25">
      <c r="A114" s="94">
        <f t="shared" si="10"/>
        <v>0</v>
      </c>
      <c r="B114" s="33" t="str">
        <f t="shared" si="6"/>
        <v/>
      </c>
      <c r="C114" s="34"/>
      <c r="D114" s="34"/>
      <c r="E114" s="34"/>
      <c r="F114" s="34"/>
      <c r="H114" s="191">
        <v>109</v>
      </c>
      <c r="I114" s="192" t="str">
        <f t="shared" si="7"/>
        <v/>
      </c>
      <c r="J114" s="191" t="e">
        <f t="shared" si="11"/>
        <v>#NUM!</v>
      </c>
      <c r="K114" s="191" t="e">
        <f t="shared" si="8"/>
        <v>#NUM!</v>
      </c>
      <c r="L114" s="191"/>
      <c r="M114" s="193">
        <f t="shared" si="9"/>
        <v>0</v>
      </c>
      <c r="S114" s="184"/>
      <c r="T114" s="184"/>
      <c r="U114" s="184"/>
      <c r="V114" s="184"/>
      <c r="W114" s="184"/>
      <c r="X114" s="184"/>
      <c r="Y114" s="184"/>
      <c r="Z114" s="184"/>
      <c r="AA114" s="184"/>
      <c r="AB114" s="184"/>
      <c r="AC114" s="184"/>
      <c r="AD114" s="184"/>
      <c r="AE114" s="184"/>
      <c r="AF114" s="184"/>
      <c r="AG114" s="184"/>
      <c r="AH114" s="184"/>
      <c r="AI114" s="184"/>
      <c r="AJ114" s="184"/>
      <c r="AK114" s="184"/>
      <c r="AL114" s="184"/>
    </row>
    <row r="115" spans="1:38" s="179" customFormat="1" x14ac:dyDescent="0.25">
      <c r="A115" s="98">
        <f t="shared" si="10"/>
        <v>0</v>
      </c>
      <c r="B115" s="39" t="str">
        <f t="shared" si="6"/>
        <v/>
      </c>
      <c r="C115" s="40"/>
      <c r="D115" s="40"/>
      <c r="E115" s="40"/>
      <c r="F115" s="40"/>
      <c r="H115" s="194">
        <v>110</v>
      </c>
      <c r="I115" s="195" t="str">
        <f t="shared" si="7"/>
        <v/>
      </c>
      <c r="J115" s="194" t="e">
        <f t="shared" si="11"/>
        <v>#NUM!</v>
      </c>
      <c r="K115" s="194" t="e">
        <f t="shared" si="8"/>
        <v>#NUM!</v>
      </c>
      <c r="L115" s="194"/>
      <c r="M115" s="196">
        <f t="shared" si="9"/>
        <v>0</v>
      </c>
      <c r="S115" s="184"/>
      <c r="T115" s="184"/>
      <c r="U115" s="184"/>
      <c r="V115" s="184"/>
      <c r="W115" s="184"/>
      <c r="X115" s="184"/>
      <c r="Y115" s="184"/>
      <c r="Z115" s="184"/>
      <c r="AA115" s="184"/>
      <c r="AB115" s="184"/>
      <c r="AC115" s="184"/>
      <c r="AD115" s="184"/>
      <c r="AE115" s="184"/>
      <c r="AF115" s="184"/>
      <c r="AG115" s="184"/>
      <c r="AH115" s="184"/>
      <c r="AI115" s="184"/>
      <c r="AJ115" s="184"/>
      <c r="AK115" s="184"/>
      <c r="AL115" s="184"/>
    </row>
    <row r="116" spans="1:38" s="179" customFormat="1" x14ac:dyDescent="0.25">
      <c r="A116" s="94">
        <f t="shared" si="10"/>
        <v>0</v>
      </c>
      <c r="B116" s="33" t="str">
        <f t="shared" si="6"/>
        <v/>
      </c>
      <c r="C116" s="34"/>
      <c r="D116" s="34"/>
      <c r="E116" s="34"/>
      <c r="F116" s="34"/>
      <c r="H116" s="191">
        <v>111</v>
      </c>
      <c r="I116" s="192" t="str">
        <f t="shared" si="7"/>
        <v/>
      </c>
      <c r="J116" s="191" t="e">
        <f t="shared" si="11"/>
        <v>#NUM!</v>
      </c>
      <c r="K116" s="191" t="e">
        <f t="shared" si="8"/>
        <v>#NUM!</v>
      </c>
      <c r="L116" s="191"/>
      <c r="M116" s="193">
        <f t="shared" si="9"/>
        <v>0</v>
      </c>
      <c r="S116" s="184"/>
      <c r="T116" s="184"/>
      <c r="U116" s="184"/>
      <c r="V116" s="184"/>
      <c r="W116" s="184"/>
      <c r="X116" s="184"/>
      <c r="Y116" s="184"/>
      <c r="Z116" s="184"/>
      <c r="AA116" s="184"/>
      <c r="AB116" s="184"/>
      <c r="AC116" s="184"/>
      <c r="AD116" s="184"/>
      <c r="AE116" s="184"/>
      <c r="AF116" s="184"/>
      <c r="AG116" s="184"/>
      <c r="AH116" s="184"/>
      <c r="AI116" s="184"/>
      <c r="AJ116" s="184"/>
      <c r="AK116" s="184"/>
      <c r="AL116" s="184"/>
    </row>
    <row r="117" spans="1:38" s="179" customFormat="1" x14ac:dyDescent="0.25">
      <c r="A117" s="98">
        <f t="shared" si="10"/>
        <v>0</v>
      </c>
      <c r="B117" s="39" t="str">
        <f t="shared" si="6"/>
        <v/>
      </c>
      <c r="C117" s="40"/>
      <c r="D117" s="40"/>
      <c r="E117" s="40"/>
      <c r="F117" s="40"/>
      <c r="H117" s="194">
        <v>112</v>
      </c>
      <c r="I117" s="195" t="str">
        <f t="shared" si="7"/>
        <v/>
      </c>
      <c r="J117" s="194" t="e">
        <f t="shared" si="11"/>
        <v>#NUM!</v>
      </c>
      <c r="K117" s="194" t="e">
        <f t="shared" si="8"/>
        <v>#NUM!</v>
      </c>
      <c r="L117" s="194"/>
      <c r="M117" s="196">
        <f t="shared" si="9"/>
        <v>0</v>
      </c>
      <c r="S117" s="184"/>
      <c r="T117" s="184"/>
      <c r="U117" s="184"/>
      <c r="V117" s="184"/>
      <c r="W117" s="184"/>
      <c r="X117" s="184"/>
      <c r="Y117" s="184"/>
      <c r="Z117" s="184"/>
      <c r="AA117" s="184"/>
      <c r="AB117" s="184"/>
      <c r="AC117" s="184"/>
      <c r="AD117" s="184"/>
      <c r="AE117" s="184"/>
      <c r="AF117" s="184"/>
      <c r="AG117" s="184"/>
      <c r="AH117" s="184"/>
      <c r="AI117" s="184"/>
      <c r="AJ117" s="184"/>
      <c r="AK117" s="184"/>
      <c r="AL117" s="184"/>
    </row>
    <row r="118" spans="1:38" s="179" customFormat="1" x14ac:dyDescent="0.25">
      <c r="A118" s="94">
        <f t="shared" si="10"/>
        <v>0</v>
      </c>
      <c r="B118" s="33" t="str">
        <f t="shared" si="6"/>
        <v/>
      </c>
      <c r="C118" s="34"/>
      <c r="D118" s="34"/>
      <c r="E118" s="34"/>
      <c r="F118" s="34"/>
      <c r="H118" s="191">
        <v>113</v>
      </c>
      <c r="I118" s="192" t="str">
        <f t="shared" si="7"/>
        <v/>
      </c>
      <c r="J118" s="191" t="e">
        <f t="shared" si="11"/>
        <v>#NUM!</v>
      </c>
      <c r="K118" s="191" t="e">
        <f t="shared" si="8"/>
        <v>#NUM!</v>
      </c>
      <c r="L118" s="191"/>
      <c r="M118" s="193">
        <f t="shared" si="9"/>
        <v>0</v>
      </c>
      <c r="S118" s="184"/>
      <c r="T118" s="184"/>
      <c r="U118" s="184"/>
      <c r="V118" s="184"/>
      <c r="W118" s="184"/>
      <c r="X118" s="184"/>
      <c r="Y118" s="184"/>
      <c r="Z118" s="184"/>
      <c r="AA118" s="184"/>
      <c r="AB118" s="184"/>
      <c r="AC118" s="184"/>
      <c r="AD118" s="184"/>
      <c r="AE118" s="184"/>
      <c r="AF118" s="184"/>
      <c r="AG118" s="184"/>
      <c r="AH118" s="184"/>
      <c r="AI118" s="184"/>
      <c r="AJ118" s="184"/>
      <c r="AK118" s="184"/>
      <c r="AL118" s="184"/>
    </row>
    <row r="119" spans="1:38" s="179" customFormat="1" x14ac:dyDescent="0.25">
      <c r="A119" s="98">
        <f t="shared" si="10"/>
        <v>0</v>
      </c>
      <c r="B119" s="39" t="str">
        <f t="shared" si="6"/>
        <v/>
      </c>
      <c r="C119" s="40"/>
      <c r="D119" s="40"/>
      <c r="E119" s="40"/>
      <c r="F119" s="40"/>
      <c r="H119" s="194">
        <v>114</v>
      </c>
      <c r="I119" s="195" t="str">
        <f t="shared" si="7"/>
        <v/>
      </c>
      <c r="J119" s="194" t="e">
        <f t="shared" si="11"/>
        <v>#NUM!</v>
      </c>
      <c r="K119" s="194" t="e">
        <f t="shared" si="8"/>
        <v>#NUM!</v>
      </c>
      <c r="L119" s="194"/>
      <c r="M119" s="196">
        <f t="shared" si="9"/>
        <v>0</v>
      </c>
      <c r="S119" s="184"/>
      <c r="T119" s="184"/>
      <c r="U119" s="184"/>
      <c r="V119" s="184"/>
      <c r="W119" s="184"/>
      <c r="X119" s="184"/>
      <c r="Y119" s="184"/>
      <c r="Z119" s="184"/>
      <c r="AA119" s="184"/>
      <c r="AB119" s="184"/>
      <c r="AC119" s="184"/>
      <c r="AD119" s="184"/>
      <c r="AE119" s="184"/>
      <c r="AF119" s="184"/>
      <c r="AG119" s="184"/>
      <c r="AH119" s="184"/>
      <c r="AI119" s="184"/>
      <c r="AJ119" s="184"/>
      <c r="AK119" s="184"/>
      <c r="AL119" s="184"/>
    </row>
    <row r="120" spans="1:38" s="179" customFormat="1" x14ac:dyDescent="0.25">
      <c r="A120" s="94">
        <f t="shared" si="10"/>
        <v>0</v>
      </c>
      <c r="B120" s="33" t="str">
        <f t="shared" si="6"/>
        <v/>
      </c>
      <c r="C120" s="34"/>
      <c r="D120" s="34"/>
      <c r="E120" s="34"/>
      <c r="F120" s="34"/>
      <c r="H120" s="191">
        <v>115</v>
      </c>
      <c r="I120" s="192" t="str">
        <f t="shared" si="7"/>
        <v/>
      </c>
      <c r="J120" s="191" t="e">
        <f t="shared" si="11"/>
        <v>#NUM!</v>
      </c>
      <c r="K120" s="191" t="e">
        <f t="shared" si="8"/>
        <v>#NUM!</v>
      </c>
      <c r="L120" s="191"/>
      <c r="M120" s="193">
        <f t="shared" si="9"/>
        <v>0</v>
      </c>
      <c r="S120" s="184"/>
      <c r="T120" s="184"/>
      <c r="U120" s="184"/>
      <c r="V120" s="184"/>
      <c r="W120" s="184"/>
      <c r="X120" s="184"/>
      <c r="Y120" s="184"/>
      <c r="Z120" s="184"/>
      <c r="AA120" s="184"/>
      <c r="AB120" s="184"/>
      <c r="AC120" s="184"/>
      <c r="AD120" s="184"/>
      <c r="AE120" s="184"/>
      <c r="AF120" s="184"/>
      <c r="AG120" s="184"/>
      <c r="AH120" s="184"/>
      <c r="AI120" s="184"/>
      <c r="AJ120" s="184"/>
      <c r="AK120" s="184"/>
      <c r="AL120" s="184"/>
    </row>
    <row r="121" spans="1:38" s="179" customFormat="1" x14ac:dyDescent="0.25">
      <c r="A121" s="98">
        <f t="shared" si="10"/>
        <v>0</v>
      </c>
      <c r="B121" s="39" t="str">
        <f t="shared" si="6"/>
        <v/>
      </c>
      <c r="C121" s="40"/>
      <c r="D121" s="40"/>
      <c r="E121" s="40"/>
      <c r="F121" s="40"/>
      <c r="H121" s="194">
        <v>116</v>
      </c>
      <c r="I121" s="195" t="str">
        <f t="shared" si="7"/>
        <v/>
      </c>
      <c r="J121" s="194" t="e">
        <f t="shared" si="11"/>
        <v>#NUM!</v>
      </c>
      <c r="K121" s="194" t="e">
        <f t="shared" si="8"/>
        <v>#NUM!</v>
      </c>
      <c r="L121" s="194"/>
      <c r="M121" s="196">
        <f t="shared" si="9"/>
        <v>0</v>
      </c>
      <c r="S121" s="184"/>
      <c r="T121" s="184"/>
      <c r="U121" s="184"/>
      <c r="V121" s="184"/>
      <c r="W121" s="184"/>
      <c r="X121" s="184"/>
      <c r="Y121" s="184"/>
      <c r="Z121" s="184"/>
      <c r="AA121" s="184"/>
      <c r="AB121" s="184"/>
      <c r="AC121" s="184"/>
      <c r="AD121" s="184"/>
      <c r="AE121" s="184"/>
      <c r="AF121" s="184"/>
      <c r="AG121" s="184"/>
      <c r="AH121" s="184"/>
      <c r="AI121" s="184"/>
      <c r="AJ121" s="184"/>
      <c r="AK121" s="184"/>
      <c r="AL121" s="184"/>
    </row>
    <row r="122" spans="1:38" s="179" customFormat="1" x14ac:dyDescent="0.25">
      <c r="A122" s="94">
        <f t="shared" si="10"/>
        <v>0</v>
      </c>
      <c r="B122" s="33" t="str">
        <f t="shared" si="6"/>
        <v/>
      </c>
      <c r="C122" s="34"/>
      <c r="D122" s="34"/>
      <c r="E122" s="34"/>
      <c r="F122" s="34"/>
      <c r="H122" s="191">
        <v>117</v>
      </c>
      <c r="I122" s="192" t="str">
        <f t="shared" si="7"/>
        <v/>
      </c>
      <c r="J122" s="191" t="e">
        <f t="shared" si="11"/>
        <v>#NUM!</v>
      </c>
      <c r="K122" s="191" t="e">
        <f t="shared" si="8"/>
        <v>#NUM!</v>
      </c>
      <c r="L122" s="191"/>
      <c r="M122" s="193">
        <f t="shared" si="9"/>
        <v>0</v>
      </c>
      <c r="S122" s="184"/>
      <c r="T122" s="184"/>
      <c r="U122" s="184"/>
      <c r="V122" s="184"/>
      <c r="W122" s="184"/>
      <c r="X122" s="184"/>
      <c r="Y122" s="184"/>
      <c r="Z122" s="184"/>
      <c r="AA122" s="184"/>
      <c r="AB122" s="184"/>
      <c r="AC122" s="184"/>
      <c r="AD122" s="184"/>
      <c r="AE122" s="184"/>
      <c r="AF122" s="184"/>
      <c r="AG122" s="184"/>
      <c r="AH122" s="184"/>
      <c r="AI122" s="184"/>
      <c r="AJ122" s="184"/>
      <c r="AK122" s="184"/>
      <c r="AL122" s="184"/>
    </row>
    <row r="123" spans="1:38" s="179" customFormat="1" x14ac:dyDescent="0.25">
      <c r="A123" s="98">
        <f t="shared" si="10"/>
        <v>0</v>
      </c>
      <c r="B123" s="39" t="str">
        <f t="shared" si="6"/>
        <v/>
      </c>
      <c r="C123" s="40"/>
      <c r="D123" s="40"/>
      <c r="E123" s="40"/>
      <c r="F123" s="40"/>
      <c r="H123" s="194">
        <v>118</v>
      </c>
      <c r="I123" s="195" t="str">
        <f t="shared" si="7"/>
        <v/>
      </c>
      <c r="J123" s="194" t="e">
        <f t="shared" si="11"/>
        <v>#NUM!</v>
      </c>
      <c r="K123" s="194" t="e">
        <f t="shared" si="8"/>
        <v>#NUM!</v>
      </c>
      <c r="L123" s="194"/>
      <c r="M123" s="196">
        <f t="shared" si="9"/>
        <v>0</v>
      </c>
      <c r="S123" s="184"/>
      <c r="T123" s="184"/>
      <c r="U123" s="184"/>
      <c r="V123" s="184"/>
      <c r="W123" s="184"/>
      <c r="X123" s="184"/>
      <c r="Y123" s="184"/>
      <c r="Z123" s="184"/>
      <c r="AA123" s="184"/>
      <c r="AB123" s="184"/>
      <c r="AC123" s="184"/>
      <c r="AD123" s="184"/>
      <c r="AE123" s="184"/>
      <c r="AF123" s="184"/>
      <c r="AG123" s="184"/>
      <c r="AH123" s="184"/>
      <c r="AI123" s="184"/>
      <c r="AJ123" s="184"/>
      <c r="AK123" s="184"/>
      <c r="AL123" s="184"/>
    </row>
    <row r="124" spans="1:38" s="179" customFormat="1" x14ac:dyDescent="0.25">
      <c r="A124" s="94">
        <f t="shared" si="10"/>
        <v>0</v>
      </c>
      <c r="B124" s="33" t="str">
        <f t="shared" si="6"/>
        <v/>
      </c>
      <c r="C124" s="34"/>
      <c r="D124" s="34"/>
      <c r="E124" s="34"/>
      <c r="F124" s="34"/>
      <c r="H124" s="191">
        <v>119</v>
      </c>
      <c r="I124" s="192" t="str">
        <f t="shared" si="7"/>
        <v/>
      </c>
      <c r="J124" s="191" t="e">
        <f t="shared" si="11"/>
        <v>#NUM!</v>
      </c>
      <c r="K124" s="191" t="e">
        <f t="shared" si="8"/>
        <v>#NUM!</v>
      </c>
      <c r="L124" s="191"/>
      <c r="M124" s="193">
        <f t="shared" si="9"/>
        <v>0</v>
      </c>
      <c r="S124" s="184"/>
      <c r="T124" s="184"/>
      <c r="U124" s="184"/>
      <c r="V124" s="184"/>
      <c r="W124" s="184"/>
      <c r="X124" s="184"/>
      <c r="Y124" s="184"/>
      <c r="Z124" s="184"/>
      <c r="AA124" s="184"/>
      <c r="AB124" s="184"/>
      <c r="AC124" s="184"/>
      <c r="AD124" s="184"/>
      <c r="AE124" s="184"/>
      <c r="AF124" s="184"/>
      <c r="AG124" s="184"/>
      <c r="AH124" s="184"/>
      <c r="AI124" s="184"/>
      <c r="AJ124" s="184"/>
      <c r="AK124" s="184"/>
      <c r="AL124" s="184"/>
    </row>
    <row r="125" spans="1:38" s="179" customFormat="1" x14ac:dyDescent="0.25">
      <c r="A125" s="98">
        <f t="shared" si="10"/>
        <v>0</v>
      </c>
      <c r="B125" s="39" t="str">
        <f t="shared" si="6"/>
        <v/>
      </c>
      <c r="C125" s="40"/>
      <c r="D125" s="40"/>
      <c r="E125" s="40"/>
      <c r="F125" s="40"/>
      <c r="H125" s="194">
        <v>120</v>
      </c>
      <c r="I125" s="195" t="str">
        <f t="shared" si="7"/>
        <v/>
      </c>
      <c r="J125" s="194" t="e">
        <f t="shared" si="11"/>
        <v>#NUM!</v>
      </c>
      <c r="K125" s="194" t="e">
        <f t="shared" si="8"/>
        <v>#NUM!</v>
      </c>
      <c r="L125" s="194"/>
      <c r="M125" s="196">
        <f t="shared" si="9"/>
        <v>0</v>
      </c>
      <c r="S125" s="184"/>
      <c r="T125" s="184"/>
      <c r="U125" s="184"/>
      <c r="V125" s="184"/>
      <c r="W125" s="184"/>
      <c r="X125" s="184"/>
      <c r="Y125" s="184"/>
      <c r="Z125" s="184"/>
      <c r="AA125" s="184"/>
      <c r="AB125" s="184"/>
      <c r="AC125" s="184"/>
      <c r="AD125" s="184"/>
      <c r="AE125" s="184"/>
      <c r="AF125" s="184"/>
      <c r="AG125" s="184"/>
      <c r="AH125" s="184"/>
      <c r="AI125" s="184"/>
      <c r="AJ125" s="184"/>
      <c r="AK125" s="184"/>
      <c r="AL125" s="184"/>
    </row>
    <row r="126" spans="1:38" s="179" customFormat="1" x14ac:dyDescent="0.25">
      <c r="A126" s="94">
        <f t="shared" si="10"/>
        <v>0</v>
      </c>
      <c r="B126" s="33" t="str">
        <f t="shared" si="6"/>
        <v/>
      </c>
      <c r="C126" s="34"/>
      <c r="D126" s="34"/>
      <c r="E126" s="34"/>
      <c r="F126" s="34"/>
      <c r="H126" s="191">
        <v>121</v>
      </c>
      <c r="I126" s="192" t="str">
        <f t="shared" si="7"/>
        <v/>
      </c>
      <c r="J126" s="191" t="e">
        <f t="shared" si="11"/>
        <v>#NUM!</v>
      </c>
      <c r="K126" s="191" t="e">
        <f t="shared" si="8"/>
        <v>#NUM!</v>
      </c>
      <c r="L126" s="191"/>
      <c r="M126" s="193">
        <f t="shared" si="9"/>
        <v>0</v>
      </c>
      <c r="S126" s="184"/>
      <c r="T126" s="184"/>
      <c r="U126" s="184"/>
      <c r="V126" s="184"/>
      <c r="W126" s="184"/>
      <c r="X126" s="184"/>
      <c r="Y126" s="184"/>
      <c r="Z126" s="184"/>
      <c r="AA126" s="184"/>
      <c r="AB126" s="184"/>
      <c r="AC126" s="184"/>
      <c r="AD126" s="184"/>
      <c r="AE126" s="184"/>
      <c r="AF126" s="184"/>
      <c r="AG126" s="184"/>
      <c r="AH126" s="184"/>
      <c r="AI126" s="184"/>
      <c r="AJ126" s="184"/>
      <c r="AK126" s="184"/>
      <c r="AL126" s="184"/>
    </row>
    <row r="127" spans="1:38" s="179" customFormat="1" x14ac:dyDescent="0.25">
      <c r="A127" s="98">
        <f t="shared" si="10"/>
        <v>0</v>
      </c>
      <c r="B127" s="39" t="str">
        <f t="shared" si="6"/>
        <v/>
      </c>
      <c r="C127" s="40"/>
      <c r="D127" s="40"/>
      <c r="E127" s="40"/>
      <c r="F127" s="40"/>
      <c r="H127" s="194">
        <v>122</v>
      </c>
      <c r="I127" s="195" t="str">
        <f t="shared" si="7"/>
        <v/>
      </c>
      <c r="J127" s="194" t="e">
        <f t="shared" si="11"/>
        <v>#NUM!</v>
      </c>
      <c r="K127" s="194" t="e">
        <f t="shared" si="8"/>
        <v>#NUM!</v>
      </c>
      <c r="L127" s="194"/>
      <c r="M127" s="196">
        <f t="shared" si="9"/>
        <v>0</v>
      </c>
      <c r="S127" s="184"/>
      <c r="T127" s="184"/>
      <c r="U127" s="184"/>
      <c r="V127" s="184"/>
      <c r="W127" s="184"/>
      <c r="X127" s="184"/>
      <c r="Y127" s="184"/>
      <c r="Z127" s="184"/>
      <c r="AA127" s="184"/>
      <c r="AB127" s="184"/>
      <c r="AC127" s="184"/>
      <c r="AD127" s="184"/>
      <c r="AE127" s="184"/>
      <c r="AF127" s="184"/>
      <c r="AG127" s="184"/>
      <c r="AH127" s="184"/>
      <c r="AI127" s="184"/>
      <c r="AJ127" s="184"/>
      <c r="AK127" s="184"/>
      <c r="AL127" s="184"/>
    </row>
    <row r="128" spans="1:38" s="179" customFormat="1" x14ac:dyDescent="0.25">
      <c r="A128" s="94">
        <f t="shared" si="10"/>
        <v>0</v>
      </c>
      <c r="B128" s="33" t="str">
        <f t="shared" si="6"/>
        <v/>
      </c>
      <c r="C128" s="34"/>
      <c r="D128" s="34"/>
      <c r="E128" s="34"/>
      <c r="F128" s="34"/>
      <c r="H128" s="191">
        <v>123</v>
      </c>
      <c r="I128" s="192" t="str">
        <f t="shared" si="7"/>
        <v/>
      </c>
      <c r="J128" s="191" t="e">
        <f t="shared" si="11"/>
        <v>#NUM!</v>
      </c>
      <c r="K128" s="191" t="e">
        <f t="shared" si="8"/>
        <v>#NUM!</v>
      </c>
      <c r="L128" s="191"/>
      <c r="M128" s="193">
        <f t="shared" si="9"/>
        <v>0</v>
      </c>
      <c r="S128" s="184"/>
      <c r="T128" s="184"/>
      <c r="U128" s="184"/>
      <c r="V128" s="184"/>
      <c r="W128" s="184"/>
      <c r="X128" s="184"/>
      <c r="Y128" s="184"/>
      <c r="Z128" s="184"/>
      <c r="AA128" s="184"/>
      <c r="AB128" s="184"/>
      <c r="AC128" s="184"/>
      <c r="AD128" s="184"/>
      <c r="AE128" s="184"/>
      <c r="AF128" s="184"/>
      <c r="AG128" s="184"/>
      <c r="AH128" s="184"/>
      <c r="AI128" s="184"/>
      <c r="AJ128" s="184"/>
      <c r="AK128" s="184"/>
      <c r="AL128" s="184"/>
    </row>
    <row r="129" spans="1:38" s="179" customFormat="1" x14ac:dyDescent="0.25">
      <c r="A129" s="98">
        <f t="shared" si="10"/>
        <v>0</v>
      </c>
      <c r="B129" s="39" t="str">
        <f t="shared" si="6"/>
        <v/>
      </c>
      <c r="C129" s="40"/>
      <c r="D129" s="40"/>
      <c r="E129" s="40"/>
      <c r="F129" s="40"/>
      <c r="H129" s="194">
        <v>124</v>
      </c>
      <c r="I129" s="195" t="str">
        <f t="shared" si="7"/>
        <v/>
      </c>
      <c r="J129" s="194" t="e">
        <f t="shared" si="11"/>
        <v>#NUM!</v>
      </c>
      <c r="K129" s="194" t="e">
        <f t="shared" si="8"/>
        <v>#NUM!</v>
      </c>
      <c r="L129" s="194"/>
      <c r="M129" s="196">
        <f t="shared" si="9"/>
        <v>0</v>
      </c>
      <c r="S129" s="184"/>
      <c r="T129" s="184"/>
      <c r="U129" s="184"/>
      <c r="V129" s="184"/>
      <c r="W129" s="184"/>
      <c r="X129" s="184"/>
      <c r="Y129" s="184"/>
      <c r="Z129" s="184"/>
      <c r="AA129" s="184"/>
      <c r="AB129" s="184"/>
      <c r="AC129" s="184"/>
      <c r="AD129" s="184"/>
      <c r="AE129" s="184"/>
      <c r="AF129" s="184"/>
      <c r="AG129" s="184"/>
      <c r="AH129" s="184"/>
      <c r="AI129" s="184"/>
      <c r="AJ129" s="184"/>
      <c r="AK129" s="184"/>
      <c r="AL129" s="184"/>
    </row>
    <row r="130" spans="1:38" s="179" customFormat="1" x14ac:dyDescent="0.25">
      <c r="A130" s="94">
        <f t="shared" si="10"/>
        <v>0</v>
      </c>
      <c r="B130" s="33" t="str">
        <f t="shared" si="6"/>
        <v/>
      </c>
      <c r="C130" s="34"/>
      <c r="D130" s="34"/>
      <c r="E130" s="34"/>
      <c r="F130" s="34"/>
      <c r="H130" s="191">
        <v>125</v>
      </c>
      <c r="I130" s="192" t="str">
        <f t="shared" si="7"/>
        <v/>
      </c>
      <c r="J130" s="191" t="e">
        <f t="shared" si="11"/>
        <v>#NUM!</v>
      </c>
      <c r="K130" s="191" t="e">
        <f t="shared" si="8"/>
        <v>#NUM!</v>
      </c>
      <c r="L130" s="191"/>
      <c r="M130" s="193">
        <f t="shared" si="9"/>
        <v>0</v>
      </c>
      <c r="S130" s="184"/>
      <c r="T130" s="184"/>
      <c r="U130" s="184"/>
      <c r="V130" s="184"/>
      <c r="W130" s="184"/>
      <c r="X130" s="184"/>
      <c r="Y130" s="184"/>
      <c r="Z130" s="184"/>
      <c r="AA130" s="184"/>
      <c r="AB130" s="184"/>
      <c r="AC130" s="184"/>
      <c r="AD130" s="184"/>
      <c r="AE130" s="184"/>
      <c r="AF130" s="184"/>
      <c r="AG130" s="184"/>
      <c r="AH130" s="184"/>
      <c r="AI130" s="184"/>
      <c r="AJ130" s="184"/>
      <c r="AK130" s="184"/>
      <c r="AL130" s="184"/>
    </row>
    <row r="131" spans="1:38" s="179" customFormat="1" x14ac:dyDescent="0.25">
      <c r="A131" s="98">
        <f t="shared" si="10"/>
        <v>0</v>
      </c>
      <c r="B131" s="39" t="str">
        <f t="shared" si="6"/>
        <v/>
      </c>
      <c r="C131" s="40"/>
      <c r="D131" s="40"/>
      <c r="E131" s="40"/>
      <c r="F131" s="40"/>
      <c r="H131" s="194">
        <v>126</v>
      </c>
      <c r="I131" s="195" t="str">
        <f t="shared" si="7"/>
        <v/>
      </c>
      <c r="J131" s="194" t="e">
        <f t="shared" si="11"/>
        <v>#NUM!</v>
      </c>
      <c r="K131" s="194" t="e">
        <f t="shared" si="8"/>
        <v>#NUM!</v>
      </c>
      <c r="L131" s="194"/>
      <c r="M131" s="196">
        <f t="shared" si="9"/>
        <v>0</v>
      </c>
      <c r="S131" s="184"/>
      <c r="T131" s="184"/>
      <c r="U131" s="184"/>
      <c r="V131" s="184"/>
      <c r="W131" s="184"/>
      <c r="X131" s="184"/>
      <c r="Y131" s="184"/>
      <c r="Z131" s="184"/>
      <c r="AA131" s="184"/>
      <c r="AB131" s="184"/>
      <c r="AC131" s="184"/>
      <c r="AD131" s="184"/>
      <c r="AE131" s="184"/>
      <c r="AF131" s="184"/>
      <c r="AG131" s="184"/>
      <c r="AH131" s="184"/>
      <c r="AI131" s="184"/>
      <c r="AJ131" s="184"/>
      <c r="AK131" s="184"/>
      <c r="AL131" s="184"/>
    </row>
    <row r="132" spans="1:38" s="179" customFormat="1" x14ac:dyDescent="0.25">
      <c r="A132" s="94">
        <f t="shared" si="10"/>
        <v>0</v>
      </c>
      <c r="B132" s="33" t="str">
        <f t="shared" si="6"/>
        <v/>
      </c>
      <c r="C132" s="34"/>
      <c r="D132" s="34"/>
      <c r="E132" s="34"/>
      <c r="F132" s="34"/>
      <c r="H132" s="191">
        <v>127</v>
      </c>
      <c r="I132" s="192" t="str">
        <f t="shared" si="7"/>
        <v/>
      </c>
      <c r="J132" s="191" t="e">
        <f t="shared" si="11"/>
        <v>#NUM!</v>
      </c>
      <c r="K132" s="191" t="e">
        <f t="shared" si="8"/>
        <v>#NUM!</v>
      </c>
      <c r="L132" s="191"/>
      <c r="M132" s="193">
        <f t="shared" si="9"/>
        <v>0</v>
      </c>
      <c r="S132" s="184"/>
      <c r="T132" s="184"/>
      <c r="U132" s="184"/>
      <c r="V132" s="184"/>
      <c r="W132" s="184"/>
      <c r="X132" s="184"/>
      <c r="Y132" s="184"/>
      <c r="Z132" s="184"/>
      <c r="AA132" s="184"/>
      <c r="AB132" s="184"/>
      <c r="AC132" s="184"/>
      <c r="AD132" s="184"/>
      <c r="AE132" s="184"/>
      <c r="AF132" s="184"/>
      <c r="AG132" s="184"/>
      <c r="AH132" s="184"/>
      <c r="AI132" s="184"/>
      <c r="AJ132" s="184"/>
      <c r="AK132" s="184"/>
      <c r="AL132" s="184"/>
    </row>
    <row r="133" spans="1:38" s="179" customFormat="1" x14ac:dyDescent="0.25">
      <c r="A133" s="98">
        <f t="shared" si="10"/>
        <v>0</v>
      </c>
      <c r="B133" s="39" t="str">
        <f t="shared" si="6"/>
        <v/>
      </c>
      <c r="C133" s="40"/>
      <c r="D133" s="40"/>
      <c r="E133" s="40"/>
      <c r="F133" s="40"/>
      <c r="H133" s="194">
        <v>128</v>
      </c>
      <c r="I133" s="195" t="str">
        <f t="shared" si="7"/>
        <v/>
      </c>
      <c r="J133" s="194" t="e">
        <f t="shared" si="11"/>
        <v>#NUM!</v>
      </c>
      <c r="K133" s="194" t="e">
        <f t="shared" si="8"/>
        <v>#NUM!</v>
      </c>
      <c r="L133" s="194"/>
      <c r="M133" s="196">
        <f t="shared" si="9"/>
        <v>0</v>
      </c>
      <c r="S133" s="184"/>
      <c r="T133" s="184"/>
      <c r="U133" s="184"/>
      <c r="V133" s="184"/>
      <c r="W133" s="184"/>
      <c r="X133" s="184"/>
      <c r="Y133" s="184"/>
      <c r="Z133" s="184"/>
      <c r="AA133" s="184"/>
      <c r="AB133" s="184"/>
      <c r="AC133" s="184"/>
      <c r="AD133" s="184"/>
      <c r="AE133" s="184"/>
      <c r="AF133" s="184"/>
      <c r="AG133" s="184"/>
      <c r="AH133" s="184"/>
      <c r="AI133" s="184"/>
      <c r="AJ133" s="184"/>
      <c r="AK133" s="184"/>
      <c r="AL133" s="184"/>
    </row>
    <row r="134" spans="1:38" s="179" customFormat="1" x14ac:dyDescent="0.25">
      <c r="A134" s="94">
        <f t="shared" si="10"/>
        <v>0</v>
      </c>
      <c r="B134" s="33" t="str">
        <f t="shared" ref="B134:B140" si="12">IF(H134&gt;$H$2,"",(ROW()-5))</f>
        <v/>
      </c>
      <c r="C134" s="34"/>
      <c r="D134" s="34"/>
      <c r="E134" s="34"/>
      <c r="F134" s="34"/>
      <c r="H134" s="191">
        <v>129</v>
      </c>
      <c r="I134" s="192" t="str">
        <f t="shared" ref="I134:I197" si="13">IF(H134&lt;$H$2+1,($I$2-($I$2-1)*(LOG(H134)/LOG($H$2))),"")</f>
        <v/>
      </c>
      <c r="J134" s="191" t="e">
        <f t="shared" si="11"/>
        <v>#NUM!</v>
      </c>
      <c r="K134" s="191" t="e">
        <f t="shared" ref="K134:K197" si="14">J134*$J$2</f>
        <v>#NUM!</v>
      </c>
      <c r="L134" s="191"/>
      <c r="M134" s="193">
        <f t="shared" ref="M134:M197" si="15">IF(I134&lt;&gt;"",K134+I134+L134,0)</f>
        <v>0</v>
      </c>
      <c r="S134" s="184"/>
      <c r="T134" s="184"/>
      <c r="U134" s="184"/>
      <c r="V134" s="184"/>
      <c r="W134" s="184"/>
      <c r="X134" s="184"/>
      <c r="Y134" s="184"/>
      <c r="Z134" s="184"/>
      <c r="AA134" s="184"/>
      <c r="AB134" s="184"/>
      <c r="AC134" s="184"/>
      <c r="AD134" s="184"/>
      <c r="AE134" s="184"/>
      <c r="AF134" s="184"/>
      <c r="AG134" s="184"/>
      <c r="AH134" s="184"/>
      <c r="AI134" s="184"/>
      <c r="AJ134" s="184"/>
      <c r="AK134" s="184"/>
      <c r="AL134" s="184"/>
    </row>
    <row r="135" spans="1:38" s="179" customFormat="1" x14ac:dyDescent="0.25">
      <c r="A135" s="98">
        <f t="shared" ref="A135:A140" si="16">M135</f>
        <v>0</v>
      </c>
      <c r="B135" s="39" t="str">
        <f t="shared" si="12"/>
        <v/>
      </c>
      <c r="C135" s="40"/>
      <c r="D135" s="40"/>
      <c r="E135" s="40"/>
      <c r="F135" s="40"/>
      <c r="H135" s="194">
        <v>130</v>
      </c>
      <c r="I135" s="195" t="str">
        <f t="shared" si="13"/>
        <v/>
      </c>
      <c r="J135" s="194" t="e">
        <f t="shared" ref="J135:J198" si="17">INT(LOG($H$2,2))-ROUNDUP(LOG(H135,2),0)+IF(OR($H$2=1,$H$2=2,$H$2=4,$H$2=8,$H$2=16,$H$2=32,$H$2=64,$H$2=128,$H$2=256),0,1)</f>
        <v>#NUM!</v>
      </c>
      <c r="K135" s="194" t="e">
        <f t="shared" si="14"/>
        <v>#NUM!</v>
      </c>
      <c r="L135" s="194"/>
      <c r="M135" s="196">
        <f t="shared" si="15"/>
        <v>0</v>
      </c>
      <c r="S135" s="184"/>
      <c r="T135" s="184"/>
      <c r="U135" s="184"/>
      <c r="V135" s="184"/>
      <c r="W135" s="184"/>
      <c r="X135" s="184"/>
      <c r="Y135" s="184"/>
      <c r="Z135" s="184"/>
      <c r="AA135" s="184"/>
      <c r="AB135" s="184"/>
      <c r="AC135" s="184"/>
      <c r="AD135" s="184"/>
      <c r="AE135" s="184"/>
      <c r="AF135" s="184"/>
      <c r="AG135" s="184"/>
      <c r="AH135" s="184"/>
      <c r="AI135" s="184"/>
      <c r="AJ135" s="184"/>
      <c r="AK135" s="184"/>
      <c r="AL135" s="184"/>
    </row>
    <row r="136" spans="1:38" s="179" customFormat="1" x14ac:dyDescent="0.25">
      <c r="A136" s="94">
        <f t="shared" si="16"/>
        <v>0</v>
      </c>
      <c r="B136" s="33" t="str">
        <f t="shared" si="12"/>
        <v/>
      </c>
      <c r="C136" s="34"/>
      <c r="D136" s="34"/>
      <c r="E136" s="34"/>
      <c r="F136" s="34"/>
      <c r="H136" s="191">
        <v>131</v>
      </c>
      <c r="I136" s="192" t="str">
        <f t="shared" si="13"/>
        <v/>
      </c>
      <c r="J136" s="191" t="e">
        <f t="shared" si="17"/>
        <v>#NUM!</v>
      </c>
      <c r="K136" s="191" t="e">
        <f t="shared" si="14"/>
        <v>#NUM!</v>
      </c>
      <c r="L136" s="191"/>
      <c r="M136" s="193">
        <f t="shared" si="15"/>
        <v>0</v>
      </c>
      <c r="S136" s="184"/>
      <c r="T136" s="184"/>
      <c r="U136" s="184"/>
      <c r="V136" s="184"/>
      <c r="W136" s="184"/>
      <c r="X136" s="184"/>
      <c r="Y136" s="184"/>
      <c r="Z136" s="184"/>
      <c r="AA136" s="184"/>
      <c r="AB136" s="184"/>
      <c r="AC136" s="184"/>
      <c r="AD136" s="184"/>
      <c r="AE136" s="184"/>
      <c r="AF136" s="184"/>
      <c r="AG136" s="184"/>
      <c r="AH136" s="184"/>
      <c r="AI136" s="184"/>
      <c r="AJ136" s="184"/>
      <c r="AK136" s="184"/>
      <c r="AL136" s="184"/>
    </row>
    <row r="137" spans="1:38" s="179" customFormat="1" x14ac:dyDescent="0.25">
      <c r="A137" s="98">
        <f t="shared" si="16"/>
        <v>0</v>
      </c>
      <c r="B137" s="39" t="str">
        <f t="shared" si="12"/>
        <v/>
      </c>
      <c r="C137" s="40"/>
      <c r="D137" s="40"/>
      <c r="E137" s="40"/>
      <c r="F137" s="40"/>
      <c r="H137" s="194">
        <v>132</v>
      </c>
      <c r="I137" s="195" t="str">
        <f t="shared" si="13"/>
        <v/>
      </c>
      <c r="J137" s="194" t="e">
        <f t="shared" si="17"/>
        <v>#NUM!</v>
      </c>
      <c r="K137" s="194" t="e">
        <f t="shared" si="14"/>
        <v>#NUM!</v>
      </c>
      <c r="L137" s="194"/>
      <c r="M137" s="196">
        <f t="shared" si="15"/>
        <v>0</v>
      </c>
      <c r="S137" s="184"/>
      <c r="T137" s="184"/>
      <c r="U137" s="184"/>
      <c r="V137" s="184"/>
      <c r="W137" s="184"/>
      <c r="X137" s="184"/>
      <c r="Y137" s="184"/>
      <c r="Z137" s="184"/>
      <c r="AA137" s="184"/>
      <c r="AB137" s="184"/>
      <c r="AC137" s="184"/>
      <c r="AD137" s="184"/>
      <c r="AE137" s="184"/>
      <c r="AF137" s="184"/>
      <c r="AG137" s="184"/>
      <c r="AH137" s="184"/>
      <c r="AI137" s="184"/>
      <c r="AJ137" s="184"/>
      <c r="AK137" s="184"/>
      <c r="AL137" s="184"/>
    </row>
    <row r="138" spans="1:38" s="179" customFormat="1" x14ac:dyDescent="0.25">
      <c r="A138" s="94">
        <f t="shared" si="16"/>
        <v>0</v>
      </c>
      <c r="B138" s="33" t="str">
        <f t="shared" si="12"/>
        <v/>
      </c>
      <c r="C138" s="34"/>
      <c r="D138" s="34"/>
      <c r="E138" s="34"/>
      <c r="F138" s="34"/>
      <c r="H138" s="191">
        <v>133</v>
      </c>
      <c r="I138" s="192" t="str">
        <f t="shared" si="13"/>
        <v/>
      </c>
      <c r="J138" s="191" t="e">
        <f t="shared" si="17"/>
        <v>#NUM!</v>
      </c>
      <c r="K138" s="191" t="e">
        <f t="shared" si="14"/>
        <v>#NUM!</v>
      </c>
      <c r="L138" s="191"/>
      <c r="M138" s="193">
        <f t="shared" si="15"/>
        <v>0</v>
      </c>
      <c r="S138" s="184"/>
      <c r="T138" s="184"/>
      <c r="U138" s="184"/>
      <c r="V138" s="184"/>
      <c r="W138" s="184"/>
      <c r="X138" s="184"/>
      <c r="Y138" s="184"/>
      <c r="Z138" s="184"/>
      <c r="AA138" s="184"/>
      <c r="AB138" s="184"/>
      <c r="AC138" s="184"/>
      <c r="AD138" s="184"/>
      <c r="AE138" s="184"/>
      <c r="AF138" s="184"/>
      <c r="AG138" s="184"/>
      <c r="AH138" s="184"/>
      <c r="AI138" s="184"/>
      <c r="AJ138" s="184"/>
      <c r="AK138" s="184"/>
      <c r="AL138" s="184"/>
    </row>
    <row r="139" spans="1:38" s="179" customFormat="1" x14ac:dyDescent="0.25">
      <c r="A139" s="98">
        <f t="shared" si="16"/>
        <v>0</v>
      </c>
      <c r="B139" s="39" t="str">
        <f t="shared" si="12"/>
        <v/>
      </c>
      <c r="C139" s="40"/>
      <c r="D139" s="40"/>
      <c r="E139" s="40"/>
      <c r="F139" s="40"/>
      <c r="H139" s="194">
        <v>134</v>
      </c>
      <c r="I139" s="195" t="str">
        <f t="shared" si="13"/>
        <v/>
      </c>
      <c r="J139" s="194" t="e">
        <f t="shared" si="17"/>
        <v>#NUM!</v>
      </c>
      <c r="K139" s="194" t="e">
        <f t="shared" si="14"/>
        <v>#NUM!</v>
      </c>
      <c r="L139" s="194"/>
      <c r="M139" s="196">
        <f t="shared" si="15"/>
        <v>0</v>
      </c>
      <c r="S139" s="184"/>
      <c r="T139" s="184"/>
      <c r="U139" s="184"/>
      <c r="V139" s="184"/>
      <c r="W139" s="184"/>
      <c r="X139" s="184"/>
      <c r="Y139" s="184"/>
      <c r="Z139" s="184"/>
      <c r="AA139" s="184"/>
      <c r="AB139" s="184"/>
      <c r="AC139" s="184"/>
      <c r="AD139" s="184"/>
      <c r="AE139" s="184"/>
      <c r="AF139" s="184"/>
      <c r="AG139" s="184"/>
      <c r="AH139" s="184"/>
      <c r="AI139" s="184"/>
      <c r="AJ139" s="184"/>
      <c r="AK139" s="184"/>
      <c r="AL139" s="184"/>
    </row>
    <row r="140" spans="1:38" s="179" customFormat="1" x14ac:dyDescent="0.25">
      <c r="A140" s="94">
        <f t="shared" si="16"/>
        <v>0</v>
      </c>
      <c r="B140" s="33" t="str">
        <f t="shared" si="12"/>
        <v/>
      </c>
      <c r="C140" s="34"/>
      <c r="D140" s="34"/>
      <c r="E140" s="34"/>
      <c r="F140" s="34"/>
      <c r="H140" s="191">
        <v>135</v>
      </c>
      <c r="I140" s="192" t="str">
        <f t="shared" si="13"/>
        <v/>
      </c>
      <c r="J140" s="191" t="e">
        <f t="shared" si="17"/>
        <v>#NUM!</v>
      </c>
      <c r="K140" s="191" t="e">
        <f t="shared" si="14"/>
        <v>#NUM!</v>
      </c>
      <c r="L140" s="191"/>
      <c r="M140" s="193">
        <f t="shared" si="15"/>
        <v>0</v>
      </c>
      <c r="S140" s="184"/>
      <c r="T140" s="184"/>
      <c r="U140" s="184"/>
      <c r="V140" s="184"/>
      <c r="W140" s="184"/>
      <c r="X140" s="184"/>
      <c r="Y140" s="184"/>
      <c r="Z140" s="184"/>
      <c r="AA140" s="184"/>
      <c r="AB140" s="184"/>
      <c r="AC140" s="184"/>
      <c r="AD140" s="184"/>
      <c r="AE140" s="184"/>
      <c r="AF140" s="184"/>
      <c r="AG140" s="184"/>
      <c r="AH140" s="184"/>
      <c r="AI140" s="184"/>
      <c r="AJ140" s="184"/>
      <c r="AK140" s="184"/>
      <c r="AL140" s="184"/>
    </row>
    <row r="141" spans="1:38" x14ac:dyDescent="0.25">
      <c r="A141" s="208"/>
      <c r="G141" s="179"/>
      <c r="H141" s="194">
        <v>136</v>
      </c>
      <c r="I141" s="192" t="str">
        <f t="shared" si="13"/>
        <v/>
      </c>
      <c r="J141" s="191" t="e">
        <f t="shared" si="17"/>
        <v>#NUM!</v>
      </c>
      <c r="K141" s="191" t="e">
        <f t="shared" si="14"/>
        <v>#NUM!</v>
      </c>
      <c r="L141" s="191"/>
      <c r="M141" s="193">
        <f t="shared" si="15"/>
        <v>0</v>
      </c>
    </row>
    <row r="142" spans="1:38" x14ac:dyDescent="0.25">
      <c r="A142" s="208"/>
      <c r="G142" s="179"/>
      <c r="H142" s="191">
        <v>137</v>
      </c>
      <c r="I142" s="192" t="str">
        <f t="shared" si="13"/>
        <v/>
      </c>
      <c r="J142" s="191" t="e">
        <f t="shared" si="17"/>
        <v>#NUM!</v>
      </c>
      <c r="K142" s="191" t="e">
        <f t="shared" si="14"/>
        <v>#NUM!</v>
      </c>
      <c r="L142" s="191"/>
      <c r="M142" s="193">
        <f t="shared" si="15"/>
        <v>0</v>
      </c>
    </row>
    <row r="143" spans="1:38" x14ac:dyDescent="0.25">
      <c r="A143" s="208"/>
      <c r="G143" s="179"/>
      <c r="H143" s="194">
        <v>138</v>
      </c>
      <c r="I143" s="192" t="str">
        <f t="shared" si="13"/>
        <v/>
      </c>
      <c r="J143" s="191" t="e">
        <f t="shared" si="17"/>
        <v>#NUM!</v>
      </c>
      <c r="K143" s="191" t="e">
        <f t="shared" si="14"/>
        <v>#NUM!</v>
      </c>
      <c r="L143" s="191"/>
      <c r="M143" s="193">
        <f t="shared" si="15"/>
        <v>0</v>
      </c>
    </row>
    <row r="144" spans="1:38" x14ac:dyDescent="0.25">
      <c r="A144" s="208"/>
      <c r="G144" s="179"/>
      <c r="H144" s="191">
        <v>139</v>
      </c>
      <c r="I144" s="192" t="str">
        <f t="shared" si="13"/>
        <v/>
      </c>
      <c r="J144" s="191" t="e">
        <f t="shared" si="17"/>
        <v>#NUM!</v>
      </c>
      <c r="K144" s="191" t="e">
        <f t="shared" si="14"/>
        <v>#NUM!</v>
      </c>
      <c r="L144" s="191"/>
      <c r="M144" s="193">
        <f t="shared" si="15"/>
        <v>0</v>
      </c>
    </row>
    <row r="145" spans="1:13" x14ac:dyDescent="0.25">
      <c r="A145" s="208"/>
      <c r="G145" s="179"/>
      <c r="H145" s="194">
        <v>140</v>
      </c>
      <c r="I145" s="192" t="str">
        <f t="shared" si="13"/>
        <v/>
      </c>
      <c r="J145" s="191" t="e">
        <f t="shared" si="17"/>
        <v>#NUM!</v>
      </c>
      <c r="K145" s="191" t="e">
        <f t="shared" si="14"/>
        <v>#NUM!</v>
      </c>
      <c r="L145" s="191"/>
      <c r="M145" s="193">
        <f t="shared" si="15"/>
        <v>0</v>
      </c>
    </row>
    <row r="146" spans="1:13" x14ac:dyDescent="0.25">
      <c r="A146" s="208"/>
      <c r="G146" s="179"/>
      <c r="H146" s="191">
        <v>141</v>
      </c>
      <c r="I146" s="192" t="str">
        <f t="shared" si="13"/>
        <v/>
      </c>
      <c r="J146" s="191" t="e">
        <f t="shared" si="17"/>
        <v>#NUM!</v>
      </c>
      <c r="K146" s="191" t="e">
        <f t="shared" si="14"/>
        <v>#NUM!</v>
      </c>
      <c r="L146" s="191"/>
      <c r="M146" s="193">
        <f t="shared" si="15"/>
        <v>0</v>
      </c>
    </row>
    <row r="147" spans="1:13" x14ac:dyDescent="0.25">
      <c r="A147" s="208"/>
      <c r="G147" s="179"/>
      <c r="H147" s="194">
        <v>142</v>
      </c>
      <c r="I147" s="192" t="str">
        <f t="shared" si="13"/>
        <v/>
      </c>
      <c r="J147" s="191" t="e">
        <f t="shared" si="17"/>
        <v>#NUM!</v>
      </c>
      <c r="K147" s="191" t="e">
        <f t="shared" si="14"/>
        <v>#NUM!</v>
      </c>
      <c r="L147" s="191"/>
      <c r="M147" s="193">
        <f t="shared" si="15"/>
        <v>0</v>
      </c>
    </row>
    <row r="148" spans="1:13" x14ac:dyDescent="0.25">
      <c r="A148" s="208"/>
      <c r="G148" s="179"/>
      <c r="H148" s="191">
        <v>143</v>
      </c>
      <c r="I148" s="192" t="str">
        <f t="shared" si="13"/>
        <v/>
      </c>
      <c r="J148" s="191" t="e">
        <f t="shared" si="17"/>
        <v>#NUM!</v>
      </c>
      <c r="K148" s="191" t="e">
        <f t="shared" si="14"/>
        <v>#NUM!</v>
      </c>
      <c r="L148" s="191"/>
      <c r="M148" s="193">
        <f t="shared" si="15"/>
        <v>0</v>
      </c>
    </row>
    <row r="149" spans="1:13" x14ac:dyDescent="0.25">
      <c r="A149" s="208"/>
      <c r="G149" s="179"/>
      <c r="H149" s="194">
        <v>144</v>
      </c>
      <c r="I149" s="192" t="str">
        <f t="shared" si="13"/>
        <v/>
      </c>
      <c r="J149" s="191" t="e">
        <f t="shared" si="17"/>
        <v>#NUM!</v>
      </c>
      <c r="K149" s="191" t="e">
        <f t="shared" si="14"/>
        <v>#NUM!</v>
      </c>
      <c r="L149" s="191"/>
      <c r="M149" s="193">
        <f t="shared" si="15"/>
        <v>0</v>
      </c>
    </row>
    <row r="150" spans="1:13" x14ac:dyDescent="0.25">
      <c r="A150" s="208"/>
      <c r="G150" s="179"/>
      <c r="H150" s="191">
        <v>145</v>
      </c>
      <c r="I150" s="192" t="str">
        <f t="shared" si="13"/>
        <v/>
      </c>
      <c r="J150" s="191" t="e">
        <f t="shared" si="17"/>
        <v>#NUM!</v>
      </c>
      <c r="K150" s="191" t="e">
        <f t="shared" si="14"/>
        <v>#NUM!</v>
      </c>
      <c r="L150" s="191"/>
      <c r="M150" s="193">
        <f t="shared" si="15"/>
        <v>0</v>
      </c>
    </row>
    <row r="151" spans="1:13" x14ac:dyDescent="0.25">
      <c r="A151" s="208"/>
      <c r="G151" s="179"/>
      <c r="H151" s="194">
        <v>146</v>
      </c>
      <c r="I151" s="192" t="str">
        <f t="shared" si="13"/>
        <v/>
      </c>
      <c r="J151" s="191" t="e">
        <f t="shared" si="17"/>
        <v>#NUM!</v>
      </c>
      <c r="K151" s="191" t="e">
        <f t="shared" si="14"/>
        <v>#NUM!</v>
      </c>
      <c r="L151" s="191"/>
      <c r="M151" s="193">
        <f t="shared" si="15"/>
        <v>0</v>
      </c>
    </row>
    <row r="152" spans="1:13" x14ac:dyDescent="0.25">
      <c r="A152" s="208"/>
      <c r="G152" s="179"/>
      <c r="H152" s="191">
        <v>147</v>
      </c>
      <c r="I152" s="192" t="str">
        <f t="shared" si="13"/>
        <v/>
      </c>
      <c r="J152" s="191" t="e">
        <f t="shared" si="17"/>
        <v>#NUM!</v>
      </c>
      <c r="K152" s="191" t="e">
        <f t="shared" si="14"/>
        <v>#NUM!</v>
      </c>
      <c r="L152" s="191"/>
      <c r="M152" s="193">
        <f t="shared" si="15"/>
        <v>0</v>
      </c>
    </row>
    <row r="153" spans="1:13" x14ac:dyDescent="0.25">
      <c r="A153" s="208"/>
      <c r="G153" s="179"/>
      <c r="H153" s="194">
        <v>148</v>
      </c>
      <c r="I153" s="192" t="str">
        <f t="shared" si="13"/>
        <v/>
      </c>
      <c r="J153" s="191" t="e">
        <f t="shared" si="17"/>
        <v>#NUM!</v>
      </c>
      <c r="K153" s="191" t="e">
        <f t="shared" si="14"/>
        <v>#NUM!</v>
      </c>
      <c r="L153" s="191"/>
      <c r="M153" s="193">
        <f t="shared" si="15"/>
        <v>0</v>
      </c>
    </row>
    <row r="154" spans="1:13" x14ac:dyDescent="0.25">
      <c r="A154" s="208"/>
      <c r="G154" s="179"/>
      <c r="H154" s="191">
        <v>149</v>
      </c>
      <c r="I154" s="192" t="str">
        <f t="shared" si="13"/>
        <v/>
      </c>
      <c r="J154" s="191" t="e">
        <f t="shared" si="17"/>
        <v>#NUM!</v>
      </c>
      <c r="K154" s="191" t="e">
        <f t="shared" si="14"/>
        <v>#NUM!</v>
      </c>
      <c r="L154" s="191"/>
      <c r="M154" s="193">
        <f t="shared" si="15"/>
        <v>0</v>
      </c>
    </row>
    <row r="155" spans="1:13" x14ac:dyDescent="0.25">
      <c r="A155" s="208"/>
      <c r="G155" s="179"/>
      <c r="H155" s="194">
        <v>150</v>
      </c>
      <c r="I155" s="192" t="str">
        <f t="shared" si="13"/>
        <v/>
      </c>
      <c r="J155" s="191" t="e">
        <f t="shared" si="17"/>
        <v>#NUM!</v>
      </c>
      <c r="K155" s="191" t="e">
        <f t="shared" si="14"/>
        <v>#NUM!</v>
      </c>
      <c r="L155" s="191"/>
      <c r="M155" s="193">
        <f t="shared" si="15"/>
        <v>0</v>
      </c>
    </row>
    <row r="156" spans="1:13" x14ac:dyDescent="0.25">
      <c r="A156" s="208"/>
      <c r="G156" s="179"/>
      <c r="H156" s="191">
        <v>151</v>
      </c>
      <c r="I156" s="192" t="str">
        <f t="shared" si="13"/>
        <v/>
      </c>
      <c r="J156" s="191" t="e">
        <f t="shared" si="17"/>
        <v>#NUM!</v>
      </c>
      <c r="K156" s="191" t="e">
        <f t="shared" si="14"/>
        <v>#NUM!</v>
      </c>
      <c r="L156" s="191"/>
      <c r="M156" s="193">
        <f t="shared" si="15"/>
        <v>0</v>
      </c>
    </row>
    <row r="157" spans="1:13" x14ac:dyDescent="0.25">
      <c r="A157" s="208"/>
      <c r="G157" s="179"/>
      <c r="H157" s="194">
        <v>152</v>
      </c>
      <c r="I157" s="192" t="str">
        <f t="shared" si="13"/>
        <v/>
      </c>
      <c r="J157" s="191" t="e">
        <f t="shared" si="17"/>
        <v>#NUM!</v>
      </c>
      <c r="K157" s="191" t="e">
        <f t="shared" si="14"/>
        <v>#NUM!</v>
      </c>
      <c r="L157" s="191"/>
      <c r="M157" s="193">
        <f t="shared" si="15"/>
        <v>0</v>
      </c>
    </row>
    <row r="158" spans="1:13" x14ac:dyDescent="0.25">
      <c r="A158" s="208"/>
      <c r="G158" s="179"/>
      <c r="H158" s="191">
        <v>153</v>
      </c>
      <c r="I158" s="192" t="str">
        <f t="shared" si="13"/>
        <v/>
      </c>
      <c r="J158" s="191" t="e">
        <f t="shared" si="17"/>
        <v>#NUM!</v>
      </c>
      <c r="K158" s="191" t="e">
        <f t="shared" si="14"/>
        <v>#NUM!</v>
      </c>
      <c r="L158" s="191"/>
      <c r="M158" s="193">
        <f t="shared" si="15"/>
        <v>0</v>
      </c>
    </row>
    <row r="159" spans="1:13" x14ac:dyDescent="0.25">
      <c r="A159" s="208"/>
      <c r="G159" s="179"/>
      <c r="H159" s="194">
        <v>154</v>
      </c>
      <c r="I159" s="192" t="str">
        <f t="shared" si="13"/>
        <v/>
      </c>
      <c r="J159" s="191" t="e">
        <f t="shared" si="17"/>
        <v>#NUM!</v>
      </c>
      <c r="K159" s="191" t="e">
        <f t="shared" si="14"/>
        <v>#NUM!</v>
      </c>
      <c r="L159" s="191"/>
      <c r="M159" s="193">
        <f t="shared" si="15"/>
        <v>0</v>
      </c>
    </row>
    <row r="160" spans="1:13" x14ac:dyDescent="0.25">
      <c r="A160" s="208"/>
      <c r="G160" s="179"/>
      <c r="H160" s="191">
        <v>155</v>
      </c>
      <c r="I160" s="192" t="str">
        <f t="shared" si="13"/>
        <v/>
      </c>
      <c r="J160" s="191" t="e">
        <f t="shared" si="17"/>
        <v>#NUM!</v>
      </c>
      <c r="K160" s="191" t="e">
        <f t="shared" si="14"/>
        <v>#NUM!</v>
      </c>
      <c r="L160" s="191"/>
      <c r="M160" s="193">
        <f t="shared" si="15"/>
        <v>0</v>
      </c>
    </row>
    <row r="161" spans="1:13" x14ac:dyDescent="0.25">
      <c r="A161" s="208"/>
      <c r="G161" s="179"/>
      <c r="H161" s="194">
        <v>156</v>
      </c>
      <c r="I161" s="192" t="str">
        <f t="shared" si="13"/>
        <v/>
      </c>
      <c r="J161" s="191" t="e">
        <f t="shared" si="17"/>
        <v>#NUM!</v>
      </c>
      <c r="K161" s="191" t="e">
        <f t="shared" si="14"/>
        <v>#NUM!</v>
      </c>
      <c r="L161" s="191"/>
      <c r="M161" s="193">
        <f t="shared" si="15"/>
        <v>0</v>
      </c>
    </row>
    <row r="162" spans="1:13" x14ac:dyDescent="0.25">
      <c r="A162" s="208"/>
      <c r="G162" s="179"/>
      <c r="H162" s="191">
        <v>157</v>
      </c>
      <c r="I162" s="192" t="str">
        <f t="shared" si="13"/>
        <v/>
      </c>
      <c r="J162" s="191" t="e">
        <f t="shared" si="17"/>
        <v>#NUM!</v>
      </c>
      <c r="K162" s="191" t="e">
        <f t="shared" si="14"/>
        <v>#NUM!</v>
      </c>
      <c r="L162" s="191"/>
      <c r="M162" s="193">
        <f t="shared" si="15"/>
        <v>0</v>
      </c>
    </row>
    <row r="163" spans="1:13" x14ac:dyDescent="0.25">
      <c r="A163" s="208"/>
      <c r="G163" s="179"/>
      <c r="H163" s="194">
        <v>158</v>
      </c>
      <c r="I163" s="192" t="str">
        <f t="shared" si="13"/>
        <v/>
      </c>
      <c r="J163" s="191" t="e">
        <f t="shared" si="17"/>
        <v>#NUM!</v>
      </c>
      <c r="K163" s="191" t="e">
        <f t="shared" si="14"/>
        <v>#NUM!</v>
      </c>
      <c r="L163" s="191"/>
      <c r="M163" s="193">
        <f t="shared" si="15"/>
        <v>0</v>
      </c>
    </row>
    <row r="164" spans="1:13" x14ac:dyDescent="0.25">
      <c r="A164" s="208"/>
      <c r="G164" s="179"/>
      <c r="H164" s="191">
        <v>159</v>
      </c>
      <c r="I164" s="192" t="str">
        <f t="shared" si="13"/>
        <v/>
      </c>
      <c r="J164" s="191" t="e">
        <f t="shared" si="17"/>
        <v>#NUM!</v>
      </c>
      <c r="K164" s="191" t="e">
        <f t="shared" si="14"/>
        <v>#NUM!</v>
      </c>
      <c r="L164" s="191"/>
      <c r="M164" s="193">
        <f t="shared" si="15"/>
        <v>0</v>
      </c>
    </row>
    <row r="165" spans="1:13" x14ac:dyDescent="0.25">
      <c r="A165" s="208"/>
      <c r="G165" s="179"/>
      <c r="H165" s="194">
        <v>160</v>
      </c>
      <c r="I165" s="192" t="str">
        <f t="shared" si="13"/>
        <v/>
      </c>
      <c r="J165" s="191" t="e">
        <f t="shared" si="17"/>
        <v>#NUM!</v>
      </c>
      <c r="K165" s="191" t="e">
        <f t="shared" si="14"/>
        <v>#NUM!</v>
      </c>
      <c r="L165" s="191"/>
      <c r="M165" s="193">
        <f t="shared" si="15"/>
        <v>0</v>
      </c>
    </row>
    <row r="166" spans="1:13" x14ac:dyDescent="0.25">
      <c r="A166" s="208"/>
      <c r="G166" s="179"/>
      <c r="H166" s="191">
        <v>161</v>
      </c>
      <c r="I166" s="192" t="str">
        <f t="shared" si="13"/>
        <v/>
      </c>
      <c r="J166" s="191" t="e">
        <f t="shared" si="17"/>
        <v>#NUM!</v>
      </c>
      <c r="K166" s="191" t="e">
        <f t="shared" si="14"/>
        <v>#NUM!</v>
      </c>
      <c r="L166" s="191"/>
      <c r="M166" s="193">
        <f t="shared" si="15"/>
        <v>0</v>
      </c>
    </row>
    <row r="167" spans="1:13" x14ac:dyDescent="0.25">
      <c r="A167" s="208"/>
      <c r="G167" s="179"/>
      <c r="H167" s="194">
        <v>162</v>
      </c>
      <c r="I167" s="192" t="str">
        <f t="shared" si="13"/>
        <v/>
      </c>
      <c r="J167" s="191" t="e">
        <f t="shared" si="17"/>
        <v>#NUM!</v>
      </c>
      <c r="K167" s="191" t="e">
        <f t="shared" si="14"/>
        <v>#NUM!</v>
      </c>
      <c r="L167" s="191"/>
      <c r="M167" s="193">
        <f t="shared" si="15"/>
        <v>0</v>
      </c>
    </row>
    <row r="168" spans="1:13" x14ac:dyDescent="0.25">
      <c r="A168" s="208"/>
      <c r="G168" s="179"/>
      <c r="H168" s="191">
        <v>163</v>
      </c>
      <c r="I168" s="192" t="str">
        <f t="shared" si="13"/>
        <v/>
      </c>
      <c r="J168" s="191" t="e">
        <f t="shared" si="17"/>
        <v>#NUM!</v>
      </c>
      <c r="K168" s="191" t="e">
        <f t="shared" si="14"/>
        <v>#NUM!</v>
      </c>
      <c r="L168" s="191"/>
      <c r="M168" s="193">
        <f t="shared" si="15"/>
        <v>0</v>
      </c>
    </row>
    <row r="169" spans="1:13" x14ac:dyDescent="0.25">
      <c r="A169" s="208"/>
      <c r="C169" s="207" t="s">
        <v>40</v>
      </c>
      <c r="G169" s="179"/>
      <c r="H169" s="194">
        <v>164</v>
      </c>
      <c r="I169" s="192" t="str">
        <f t="shared" si="13"/>
        <v/>
      </c>
      <c r="J169" s="191" t="e">
        <f t="shared" si="17"/>
        <v>#NUM!</v>
      </c>
      <c r="K169" s="191" t="e">
        <f t="shared" si="14"/>
        <v>#NUM!</v>
      </c>
      <c r="L169" s="191"/>
      <c r="M169" s="193">
        <f t="shared" si="15"/>
        <v>0</v>
      </c>
    </row>
    <row r="170" spans="1:13" x14ac:dyDescent="0.25">
      <c r="A170" s="208"/>
      <c r="G170" s="179"/>
      <c r="H170" s="191">
        <v>165</v>
      </c>
      <c r="I170" s="192" t="str">
        <f t="shared" si="13"/>
        <v/>
      </c>
      <c r="J170" s="191" t="e">
        <f t="shared" si="17"/>
        <v>#NUM!</v>
      </c>
      <c r="K170" s="191" t="e">
        <f t="shared" si="14"/>
        <v>#NUM!</v>
      </c>
      <c r="L170" s="191"/>
      <c r="M170" s="193">
        <f t="shared" si="15"/>
        <v>0</v>
      </c>
    </row>
    <row r="171" spans="1:13" x14ac:dyDescent="0.25">
      <c r="A171" s="208"/>
      <c r="G171" s="179"/>
      <c r="H171" s="194">
        <v>166</v>
      </c>
      <c r="I171" s="192" t="str">
        <f t="shared" si="13"/>
        <v/>
      </c>
      <c r="J171" s="191" t="e">
        <f t="shared" si="17"/>
        <v>#NUM!</v>
      </c>
      <c r="K171" s="191" t="e">
        <f t="shared" si="14"/>
        <v>#NUM!</v>
      </c>
      <c r="L171" s="191"/>
      <c r="M171" s="193">
        <f t="shared" si="15"/>
        <v>0</v>
      </c>
    </row>
    <row r="172" spans="1:13" x14ac:dyDescent="0.25">
      <c r="A172" s="208"/>
      <c r="G172" s="179"/>
      <c r="H172" s="191">
        <v>167</v>
      </c>
      <c r="I172" s="192" t="str">
        <f t="shared" si="13"/>
        <v/>
      </c>
      <c r="J172" s="191" t="e">
        <f t="shared" si="17"/>
        <v>#NUM!</v>
      </c>
      <c r="K172" s="191" t="e">
        <f t="shared" si="14"/>
        <v>#NUM!</v>
      </c>
      <c r="L172" s="191"/>
      <c r="M172" s="193">
        <f t="shared" si="15"/>
        <v>0</v>
      </c>
    </row>
    <row r="173" spans="1:13" x14ac:dyDescent="0.25">
      <c r="A173" s="208"/>
      <c r="G173" s="179"/>
      <c r="H173" s="194">
        <v>168</v>
      </c>
      <c r="I173" s="192" t="str">
        <f t="shared" si="13"/>
        <v/>
      </c>
      <c r="J173" s="191" t="e">
        <f t="shared" si="17"/>
        <v>#NUM!</v>
      </c>
      <c r="K173" s="191" t="e">
        <f t="shared" si="14"/>
        <v>#NUM!</v>
      </c>
      <c r="L173" s="191"/>
      <c r="M173" s="193">
        <f t="shared" si="15"/>
        <v>0</v>
      </c>
    </row>
    <row r="174" spans="1:13" x14ac:dyDescent="0.25">
      <c r="A174" s="208"/>
      <c r="G174" s="179"/>
      <c r="H174" s="191">
        <v>169</v>
      </c>
      <c r="I174" s="192" t="str">
        <f t="shared" si="13"/>
        <v/>
      </c>
      <c r="J174" s="191" t="e">
        <f t="shared" si="17"/>
        <v>#NUM!</v>
      </c>
      <c r="K174" s="191" t="e">
        <f t="shared" si="14"/>
        <v>#NUM!</v>
      </c>
      <c r="L174" s="191"/>
      <c r="M174" s="193">
        <f t="shared" si="15"/>
        <v>0</v>
      </c>
    </row>
    <row r="175" spans="1:13" x14ac:dyDescent="0.25">
      <c r="A175" s="208"/>
      <c r="G175" s="179"/>
      <c r="H175" s="194">
        <v>170</v>
      </c>
      <c r="I175" s="192" t="str">
        <f t="shared" si="13"/>
        <v/>
      </c>
      <c r="J175" s="191" t="e">
        <f t="shared" si="17"/>
        <v>#NUM!</v>
      </c>
      <c r="K175" s="191" t="e">
        <f t="shared" si="14"/>
        <v>#NUM!</v>
      </c>
      <c r="L175" s="191"/>
      <c r="M175" s="193">
        <f t="shared" si="15"/>
        <v>0</v>
      </c>
    </row>
    <row r="176" spans="1:13" x14ac:dyDescent="0.25">
      <c r="A176" s="208"/>
      <c r="G176" s="179"/>
      <c r="H176" s="191">
        <v>171</v>
      </c>
      <c r="I176" s="192" t="str">
        <f t="shared" si="13"/>
        <v/>
      </c>
      <c r="J176" s="191" t="e">
        <f t="shared" si="17"/>
        <v>#NUM!</v>
      </c>
      <c r="K176" s="191" t="e">
        <f t="shared" si="14"/>
        <v>#NUM!</v>
      </c>
      <c r="L176" s="191"/>
      <c r="M176" s="193">
        <f t="shared" si="15"/>
        <v>0</v>
      </c>
    </row>
    <row r="177" spans="1:13" x14ac:dyDescent="0.25">
      <c r="A177" s="208"/>
      <c r="G177" s="179"/>
      <c r="H177" s="194">
        <v>172</v>
      </c>
      <c r="I177" s="192" t="str">
        <f t="shared" si="13"/>
        <v/>
      </c>
      <c r="J177" s="191" t="e">
        <f t="shared" si="17"/>
        <v>#NUM!</v>
      </c>
      <c r="K177" s="191" t="e">
        <f t="shared" si="14"/>
        <v>#NUM!</v>
      </c>
      <c r="L177" s="191"/>
      <c r="M177" s="193">
        <f t="shared" si="15"/>
        <v>0</v>
      </c>
    </row>
    <row r="178" spans="1:13" x14ac:dyDescent="0.25">
      <c r="A178" s="208"/>
      <c r="G178" s="179"/>
      <c r="H178" s="191">
        <v>173</v>
      </c>
      <c r="I178" s="192" t="str">
        <f t="shared" si="13"/>
        <v/>
      </c>
      <c r="J178" s="191" t="e">
        <f t="shared" si="17"/>
        <v>#NUM!</v>
      </c>
      <c r="K178" s="191" t="e">
        <f t="shared" si="14"/>
        <v>#NUM!</v>
      </c>
      <c r="L178" s="191"/>
      <c r="M178" s="193">
        <f t="shared" si="15"/>
        <v>0</v>
      </c>
    </row>
    <row r="179" spans="1:13" x14ac:dyDescent="0.25">
      <c r="A179" s="208"/>
      <c r="G179" s="179"/>
      <c r="H179" s="194">
        <v>174</v>
      </c>
      <c r="I179" s="192" t="str">
        <f t="shared" si="13"/>
        <v/>
      </c>
      <c r="J179" s="191" t="e">
        <f t="shared" si="17"/>
        <v>#NUM!</v>
      </c>
      <c r="K179" s="191" t="e">
        <f t="shared" si="14"/>
        <v>#NUM!</v>
      </c>
      <c r="L179" s="191"/>
      <c r="M179" s="193">
        <f t="shared" si="15"/>
        <v>0</v>
      </c>
    </row>
    <row r="180" spans="1:13" x14ac:dyDescent="0.25">
      <c r="A180" s="208"/>
      <c r="G180" s="179"/>
      <c r="H180" s="191">
        <v>175</v>
      </c>
      <c r="I180" s="192" t="str">
        <f t="shared" si="13"/>
        <v/>
      </c>
      <c r="J180" s="191" t="e">
        <f t="shared" si="17"/>
        <v>#NUM!</v>
      </c>
      <c r="K180" s="191" t="e">
        <f t="shared" si="14"/>
        <v>#NUM!</v>
      </c>
      <c r="L180" s="191"/>
      <c r="M180" s="193">
        <f t="shared" si="15"/>
        <v>0</v>
      </c>
    </row>
    <row r="181" spans="1:13" x14ac:dyDescent="0.25">
      <c r="A181" s="208"/>
      <c r="G181" s="179"/>
      <c r="H181" s="194">
        <v>176</v>
      </c>
      <c r="I181" s="192" t="str">
        <f t="shared" si="13"/>
        <v/>
      </c>
      <c r="J181" s="191" t="e">
        <f t="shared" si="17"/>
        <v>#NUM!</v>
      </c>
      <c r="K181" s="191" t="e">
        <f t="shared" si="14"/>
        <v>#NUM!</v>
      </c>
      <c r="L181" s="191"/>
      <c r="M181" s="193">
        <f t="shared" si="15"/>
        <v>0</v>
      </c>
    </row>
    <row r="182" spans="1:13" x14ac:dyDescent="0.25">
      <c r="A182" s="208"/>
      <c r="G182" s="179"/>
      <c r="H182" s="191">
        <v>177</v>
      </c>
      <c r="I182" s="192" t="str">
        <f t="shared" si="13"/>
        <v/>
      </c>
      <c r="J182" s="191" t="e">
        <f t="shared" si="17"/>
        <v>#NUM!</v>
      </c>
      <c r="K182" s="191" t="e">
        <f t="shared" si="14"/>
        <v>#NUM!</v>
      </c>
      <c r="L182" s="191"/>
      <c r="M182" s="193">
        <f t="shared" si="15"/>
        <v>0</v>
      </c>
    </row>
    <row r="183" spans="1:13" x14ac:dyDescent="0.25">
      <c r="A183" s="208"/>
      <c r="G183" s="179"/>
      <c r="H183" s="194">
        <v>178</v>
      </c>
      <c r="I183" s="192" t="str">
        <f t="shared" si="13"/>
        <v/>
      </c>
      <c r="J183" s="191" t="e">
        <f t="shared" si="17"/>
        <v>#NUM!</v>
      </c>
      <c r="K183" s="191" t="e">
        <f t="shared" si="14"/>
        <v>#NUM!</v>
      </c>
      <c r="L183" s="191"/>
      <c r="M183" s="193">
        <f t="shared" si="15"/>
        <v>0</v>
      </c>
    </row>
    <row r="184" spans="1:13" x14ac:dyDescent="0.25">
      <c r="A184" s="208"/>
      <c r="G184" s="179"/>
      <c r="H184" s="191">
        <v>179</v>
      </c>
      <c r="I184" s="192" t="str">
        <f t="shared" si="13"/>
        <v/>
      </c>
      <c r="J184" s="191" t="e">
        <f t="shared" si="17"/>
        <v>#NUM!</v>
      </c>
      <c r="K184" s="191" t="e">
        <f t="shared" si="14"/>
        <v>#NUM!</v>
      </c>
      <c r="L184" s="191"/>
      <c r="M184" s="193">
        <f t="shared" si="15"/>
        <v>0</v>
      </c>
    </row>
    <row r="185" spans="1:13" x14ac:dyDescent="0.25">
      <c r="A185" s="208"/>
      <c r="G185" s="179"/>
      <c r="H185" s="194">
        <v>180</v>
      </c>
      <c r="I185" s="192" t="str">
        <f t="shared" si="13"/>
        <v/>
      </c>
      <c r="J185" s="191" t="e">
        <f t="shared" si="17"/>
        <v>#NUM!</v>
      </c>
      <c r="K185" s="191" t="e">
        <f t="shared" si="14"/>
        <v>#NUM!</v>
      </c>
      <c r="L185" s="191"/>
      <c r="M185" s="193">
        <f t="shared" si="15"/>
        <v>0</v>
      </c>
    </row>
    <row r="186" spans="1:13" x14ac:dyDescent="0.25">
      <c r="A186" s="208"/>
      <c r="G186" s="179"/>
      <c r="H186" s="191">
        <v>181</v>
      </c>
      <c r="I186" s="192" t="str">
        <f t="shared" si="13"/>
        <v/>
      </c>
      <c r="J186" s="191" t="e">
        <f t="shared" si="17"/>
        <v>#NUM!</v>
      </c>
      <c r="K186" s="191" t="e">
        <f t="shared" si="14"/>
        <v>#NUM!</v>
      </c>
      <c r="L186" s="191"/>
      <c r="M186" s="193">
        <f t="shared" si="15"/>
        <v>0</v>
      </c>
    </row>
    <row r="187" spans="1:13" x14ac:dyDescent="0.25">
      <c r="A187" s="208"/>
      <c r="G187" s="179"/>
      <c r="H187" s="194">
        <v>182</v>
      </c>
      <c r="I187" s="192" t="str">
        <f t="shared" si="13"/>
        <v/>
      </c>
      <c r="J187" s="191" t="e">
        <f t="shared" si="17"/>
        <v>#NUM!</v>
      </c>
      <c r="K187" s="191" t="e">
        <f t="shared" si="14"/>
        <v>#NUM!</v>
      </c>
      <c r="L187" s="191"/>
      <c r="M187" s="193">
        <f t="shared" si="15"/>
        <v>0</v>
      </c>
    </row>
    <row r="188" spans="1:13" x14ac:dyDescent="0.25">
      <c r="A188" s="208"/>
      <c r="G188" s="179"/>
      <c r="H188" s="191">
        <v>183</v>
      </c>
      <c r="I188" s="192" t="str">
        <f t="shared" si="13"/>
        <v/>
      </c>
      <c r="J188" s="191" t="e">
        <f t="shared" si="17"/>
        <v>#NUM!</v>
      </c>
      <c r="K188" s="191" t="e">
        <f t="shared" si="14"/>
        <v>#NUM!</v>
      </c>
      <c r="L188" s="191"/>
      <c r="M188" s="193">
        <f t="shared" si="15"/>
        <v>0</v>
      </c>
    </row>
    <row r="189" spans="1:13" x14ac:dyDescent="0.25">
      <c r="A189" s="208"/>
      <c r="G189" s="179"/>
      <c r="H189" s="194">
        <v>184</v>
      </c>
      <c r="I189" s="192" t="str">
        <f t="shared" si="13"/>
        <v/>
      </c>
      <c r="J189" s="191" t="e">
        <f t="shared" si="17"/>
        <v>#NUM!</v>
      </c>
      <c r="K189" s="191" t="e">
        <f t="shared" si="14"/>
        <v>#NUM!</v>
      </c>
      <c r="L189" s="191"/>
      <c r="M189" s="193">
        <f t="shared" si="15"/>
        <v>0</v>
      </c>
    </row>
    <row r="190" spans="1:13" x14ac:dyDescent="0.25">
      <c r="A190" s="208"/>
      <c r="G190" s="179"/>
      <c r="H190" s="191">
        <v>185</v>
      </c>
      <c r="I190" s="192" t="str">
        <f t="shared" si="13"/>
        <v/>
      </c>
      <c r="J190" s="191" t="e">
        <f t="shared" si="17"/>
        <v>#NUM!</v>
      </c>
      <c r="K190" s="191" t="e">
        <f t="shared" si="14"/>
        <v>#NUM!</v>
      </c>
      <c r="L190" s="191"/>
      <c r="M190" s="193">
        <f t="shared" si="15"/>
        <v>0</v>
      </c>
    </row>
    <row r="191" spans="1:13" x14ac:dyDescent="0.25">
      <c r="A191" s="208"/>
      <c r="G191" s="179"/>
      <c r="H191" s="194">
        <v>186</v>
      </c>
      <c r="I191" s="192" t="str">
        <f t="shared" si="13"/>
        <v/>
      </c>
      <c r="J191" s="191" t="e">
        <f t="shared" si="17"/>
        <v>#NUM!</v>
      </c>
      <c r="K191" s="191" t="e">
        <f t="shared" si="14"/>
        <v>#NUM!</v>
      </c>
      <c r="L191" s="191"/>
      <c r="M191" s="193">
        <f t="shared" si="15"/>
        <v>0</v>
      </c>
    </row>
    <row r="192" spans="1:13" x14ac:dyDescent="0.25">
      <c r="A192" s="208"/>
      <c r="G192" s="179"/>
      <c r="H192" s="191">
        <v>187</v>
      </c>
      <c r="I192" s="192" t="str">
        <f t="shared" si="13"/>
        <v/>
      </c>
      <c r="J192" s="191" t="e">
        <f t="shared" si="17"/>
        <v>#NUM!</v>
      </c>
      <c r="K192" s="191" t="e">
        <f t="shared" si="14"/>
        <v>#NUM!</v>
      </c>
      <c r="L192" s="191"/>
      <c r="M192" s="193">
        <f t="shared" si="15"/>
        <v>0</v>
      </c>
    </row>
    <row r="193" spans="1:13" x14ac:dyDescent="0.25">
      <c r="A193" s="208"/>
      <c r="G193" s="179"/>
      <c r="H193" s="194">
        <v>188</v>
      </c>
      <c r="I193" s="192" t="str">
        <f t="shared" si="13"/>
        <v/>
      </c>
      <c r="J193" s="191" t="e">
        <f t="shared" si="17"/>
        <v>#NUM!</v>
      </c>
      <c r="K193" s="191" t="e">
        <f t="shared" si="14"/>
        <v>#NUM!</v>
      </c>
      <c r="L193" s="191"/>
      <c r="M193" s="193">
        <f t="shared" si="15"/>
        <v>0</v>
      </c>
    </row>
    <row r="194" spans="1:13" x14ac:dyDescent="0.25">
      <c r="A194" s="208"/>
      <c r="G194" s="179"/>
      <c r="H194" s="191">
        <v>189</v>
      </c>
      <c r="I194" s="192" t="str">
        <f t="shared" si="13"/>
        <v/>
      </c>
      <c r="J194" s="191" t="e">
        <f t="shared" si="17"/>
        <v>#NUM!</v>
      </c>
      <c r="K194" s="191" t="e">
        <f t="shared" si="14"/>
        <v>#NUM!</v>
      </c>
      <c r="L194" s="191"/>
      <c r="M194" s="193">
        <f t="shared" si="15"/>
        <v>0</v>
      </c>
    </row>
    <row r="195" spans="1:13" x14ac:dyDescent="0.25">
      <c r="A195" s="208"/>
      <c r="G195" s="179"/>
      <c r="H195" s="194">
        <v>190</v>
      </c>
      <c r="I195" s="192" t="str">
        <f t="shared" si="13"/>
        <v/>
      </c>
      <c r="J195" s="191" t="e">
        <f t="shared" si="17"/>
        <v>#NUM!</v>
      </c>
      <c r="K195" s="191" t="e">
        <f t="shared" si="14"/>
        <v>#NUM!</v>
      </c>
      <c r="L195" s="191"/>
      <c r="M195" s="193">
        <f t="shared" si="15"/>
        <v>0</v>
      </c>
    </row>
    <row r="196" spans="1:13" x14ac:dyDescent="0.25">
      <c r="A196" s="208"/>
      <c r="G196" s="179"/>
      <c r="H196" s="191">
        <v>191</v>
      </c>
      <c r="I196" s="192" t="str">
        <f t="shared" si="13"/>
        <v/>
      </c>
      <c r="J196" s="191" t="e">
        <f t="shared" si="17"/>
        <v>#NUM!</v>
      </c>
      <c r="K196" s="191" t="e">
        <f t="shared" si="14"/>
        <v>#NUM!</v>
      </c>
      <c r="L196" s="191"/>
      <c r="M196" s="193">
        <f t="shared" si="15"/>
        <v>0</v>
      </c>
    </row>
    <row r="197" spans="1:13" x14ac:dyDescent="0.25">
      <c r="A197" s="208"/>
      <c r="G197" s="179"/>
      <c r="H197" s="194">
        <v>192</v>
      </c>
      <c r="I197" s="192" t="str">
        <f t="shared" si="13"/>
        <v/>
      </c>
      <c r="J197" s="191" t="e">
        <f t="shared" si="17"/>
        <v>#NUM!</v>
      </c>
      <c r="K197" s="191" t="e">
        <f t="shared" si="14"/>
        <v>#NUM!</v>
      </c>
      <c r="L197" s="191"/>
      <c r="M197" s="193">
        <f t="shared" si="15"/>
        <v>0</v>
      </c>
    </row>
    <row r="198" spans="1:13" x14ac:dyDescent="0.25">
      <c r="A198" s="208"/>
      <c r="G198" s="179"/>
      <c r="H198" s="191">
        <v>193</v>
      </c>
      <c r="I198" s="192" t="str">
        <f t="shared" ref="I198:I261" si="18">IF(H198&lt;$H$2+1,($I$2-($I$2-1)*(LOG(H198)/LOG($H$2))),"")</f>
        <v/>
      </c>
      <c r="J198" s="191" t="e">
        <f t="shared" si="17"/>
        <v>#NUM!</v>
      </c>
      <c r="K198" s="191" t="e">
        <f t="shared" ref="K198:K261" si="19">J198*$J$2</f>
        <v>#NUM!</v>
      </c>
      <c r="L198" s="191"/>
      <c r="M198" s="193">
        <f t="shared" ref="M198:M261" si="20">IF(I198&lt;&gt;"",K198+I198+L198,0)</f>
        <v>0</v>
      </c>
    </row>
    <row r="199" spans="1:13" x14ac:dyDescent="0.25">
      <c r="A199" s="208"/>
      <c r="G199" s="179"/>
      <c r="H199" s="194">
        <v>194</v>
      </c>
      <c r="I199" s="192" t="str">
        <f t="shared" si="18"/>
        <v/>
      </c>
      <c r="J199" s="191" t="e">
        <f t="shared" ref="J199:J262" si="21">INT(LOG($H$2,2))-ROUNDUP(LOG(H199,2),0)+IF(OR($H$2=1,$H$2=2,$H$2=4,$H$2=8,$H$2=16,$H$2=32,$H$2=64,$H$2=128,$H$2=256),0,1)</f>
        <v>#NUM!</v>
      </c>
      <c r="K199" s="191" t="e">
        <f t="shared" si="19"/>
        <v>#NUM!</v>
      </c>
      <c r="L199" s="191"/>
      <c r="M199" s="193">
        <f t="shared" si="20"/>
        <v>0</v>
      </c>
    </row>
    <row r="200" spans="1:13" x14ac:dyDescent="0.25">
      <c r="A200" s="208"/>
      <c r="G200" s="179"/>
      <c r="H200" s="191">
        <v>195</v>
      </c>
      <c r="I200" s="192" t="str">
        <f t="shared" si="18"/>
        <v/>
      </c>
      <c r="J200" s="191" t="e">
        <f t="shared" si="21"/>
        <v>#NUM!</v>
      </c>
      <c r="K200" s="191" t="e">
        <f t="shared" si="19"/>
        <v>#NUM!</v>
      </c>
      <c r="L200" s="191"/>
      <c r="M200" s="193">
        <f t="shared" si="20"/>
        <v>0</v>
      </c>
    </row>
    <row r="201" spans="1:13" x14ac:dyDescent="0.25">
      <c r="A201" s="208"/>
      <c r="G201" s="179"/>
      <c r="H201" s="194">
        <v>196</v>
      </c>
      <c r="I201" s="192" t="str">
        <f t="shared" si="18"/>
        <v/>
      </c>
      <c r="J201" s="191" t="e">
        <f t="shared" si="21"/>
        <v>#NUM!</v>
      </c>
      <c r="K201" s="191" t="e">
        <f t="shared" si="19"/>
        <v>#NUM!</v>
      </c>
      <c r="L201" s="191"/>
      <c r="M201" s="193">
        <f t="shared" si="20"/>
        <v>0</v>
      </c>
    </row>
    <row r="202" spans="1:13" x14ac:dyDescent="0.25">
      <c r="A202" s="208"/>
      <c r="G202" s="179"/>
      <c r="H202" s="191">
        <v>197</v>
      </c>
      <c r="I202" s="192" t="str">
        <f t="shared" si="18"/>
        <v/>
      </c>
      <c r="J202" s="191" t="e">
        <f t="shared" si="21"/>
        <v>#NUM!</v>
      </c>
      <c r="K202" s="191" t="e">
        <f t="shared" si="19"/>
        <v>#NUM!</v>
      </c>
      <c r="L202" s="191"/>
      <c r="M202" s="193">
        <f t="shared" si="20"/>
        <v>0</v>
      </c>
    </row>
    <row r="203" spans="1:13" x14ac:dyDescent="0.25">
      <c r="A203" s="208"/>
      <c r="G203" s="179"/>
      <c r="H203" s="194">
        <v>198</v>
      </c>
      <c r="I203" s="192" t="str">
        <f t="shared" si="18"/>
        <v/>
      </c>
      <c r="J203" s="191" t="e">
        <f t="shared" si="21"/>
        <v>#NUM!</v>
      </c>
      <c r="K203" s="191" t="e">
        <f t="shared" si="19"/>
        <v>#NUM!</v>
      </c>
      <c r="L203" s="191"/>
      <c r="M203" s="193">
        <f t="shared" si="20"/>
        <v>0</v>
      </c>
    </row>
    <row r="204" spans="1:13" x14ac:dyDescent="0.25">
      <c r="A204" s="208"/>
      <c r="G204" s="179"/>
      <c r="H204" s="191">
        <v>199</v>
      </c>
      <c r="I204" s="192" t="str">
        <f t="shared" si="18"/>
        <v/>
      </c>
      <c r="J204" s="191" t="e">
        <f t="shared" si="21"/>
        <v>#NUM!</v>
      </c>
      <c r="K204" s="191" t="e">
        <f t="shared" si="19"/>
        <v>#NUM!</v>
      </c>
      <c r="L204" s="191"/>
      <c r="M204" s="193">
        <f t="shared" si="20"/>
        <v>0</v>
      </c>
    </row>
    <row r="205" spans="1:13" x14ac:dyDescent="0.25">
      <c r="A205" s="208"/>
      <c r="G205" s="179"/>
      <c r="H205" s="194">
        <v>200</v>
      </c>
      <c r="I205" s="192" t="str">
        <f t="shared" si="18"/>
        <v/>
      </c>
      <c r="J205" s="191" t="e">
        <f t="shared" si="21"/>
        <v>#NUM!</v>
      </c>
      <c r="K205" s="191" t="e">
        <f t="shared" si="19"/>
        <v>#NUM!</v>
      </c>
      <c r="L205" s="191"/>
      <c r="M205" s="193">
        <f t="shared" si="20"/>
        <v>0</v>
      </c>
    </row>
    <row r="206" spans="1:13" x14ac:dyDescent="0.25">
      <c r="A206" s="208"/>
      <c r="G206" s="179"/>
      <c r="H206" s="191">
        <v>201</v>
      </c>
      <c r="I206" s="192" t="str">
        <f t="shared" si="18"/>
        <v/>
      </c>
      <c r="J206" s="191" t="e">
        <f t="shared" si="21"/>
        <v>#NUM!</v>
      </c>
      <c r="K206" s="191" t="e">
        <f t="shared" si="19"/>
        <v>#NUM!</v>
      </c>
      <c r="L206" s="191"/>
      <c r="M206" s="193">
        <f t="shared" si="20"/>
        <v>0</v>
      </c>
    </row>
    <row r="207" spans="1:13" x14ac:dyDescent="0.25">
      <c r="A207" s="208"/>
      <c r="G207" s="179"/>
      <c r="H207" s="194">
        <v>202</v>
      </c>
      <c r="I207" s="192" t="str">
        <f t="shared" si="18"/>
        <v/>
      </c>
      <c r="J207" s="191" t="e">
        <f t="shared" si="21"/>
        <v>#NUM!</v>
      </c>
      <c r="K207" s="191" t="e">
        <f t="shared" si="19"/>
        <v>#NUM!</v>
      </c>
      <c r="L207" s="191"/>
      <c r="M207" s="193">
        <f t="shared" si="20"/>
        <v>0</v>
      </c>
    </row>
    <row r="208" spans="1:13" x14ac:dyDescent="0.25">
      <c r="A208" s="208"/>
      <c r="G208" s="179"/>
      <c r="H208" s="191">
        <v>203</v>
      </c>
      <c r="I208" s="192" t="str">
        <f t="shared" si="18"/>
        <v/>
      </c>
      <c r="J208" s="191" t="e">
        <f t="shared" si="21"/>
        <v>#NUM!</v>
      </c>
      <c r="K208" s="191" t="e">
        <f t="shared" si="19"/>
        <v>#NUM!</v>
      </c>
      <c r="L208" s="191"/>
      <c r="M208" s="193">
        <f t="shared" si="20"/>
        <v>0</v>
      </c>
    </row>
    <row r="209" spans="1:13" x14ac:dyDescent="0.25">
      <c r="A209" s="208"/>
      <c r="G209" s="179"/>
      <c r="H209" s="194">
        <v>204</v>
      </c>
      <c r="I209" s="192" t="str">
        <f t="shared" si="18"/>
        <v/>
      </c>
      <c r="J209" s="191" t="e">
        <f t="shared" si="21"/>
        <v>#NUM!</v>
      </c>
      <c r="K209" s="191" t="e">
        <f t="shared" si="19"/>
        <v>#NUM!</v>
      </c>
      <c r="L209" s="191"/>
      <c r="M209" s="193">
        <f t="shared" si="20"/>
        <v>0</v>
      </c>
    </row>
    <row r="210" spans="1:13" x14ac:dyDescent="0.25">
      <c r="A210" s="208"/>
      <c r="G210" s="179"/>
      <c r="H210" s="191">
        <v>205</v>
      </c>
      <c r="I210" s="192" t="str">
        <f t="shared" si="18"/>
        <v/>
      </c>
      <c r="J210" s="191" t="e">
        <f t="shared" si="21"/>
        <v>#NUM!</v>
      </c>
      <c r="K210" s="191" t="e">
        <f t="shared" si="19"/>
        <v>#NUM!</v>
      </c>
      <c r="L210" s="191"/>
      <c r="M210" s="193">
        <f t="shared" si="20"/>
        <v>0</v>
      </c>
    </row>
    <row r="211" spans="1:13" x14ac:dyDescent="0.25">
      <c r="A211" s="208"/>
      <c r="G211" s="179"/>
      <c r="H211" s="194">
        <v>206</v>
      </c>
      <c r="I211" s="192" t="str">
        <f t="shared" si="18"/>
        <v/>
      </c>
      <c r="J211" s="191" t="e">
        <f t="shared" si="21"/>
        <v>#NUM!</v>
      </c>
      <c r="K211" s="191" t="e">
        <f t="shared" si="19"/>
        <v>#NUM!</v>
      </c>
      <c r="L211" s="191"/>
      <c r="M211" s="193">
        <f t="shared" si="20"/>
        <v>0</v>
      </c>
    </row>
    <row r="212" spans="1:13" x14ac:dyDescent="0.25">
      <c r="A212" s="208"/>
      <c r="G212" s="179"/>
      <c r="H212" s="191">
        <v>207</v>
      </c>
      <c r="I212" s="192" t="str">
        <f t="shared" si="18"/>
        <v/>
      </c>
      <c r="J212" s="191" t="e">
        <f t="shared" si="21"/>
        <v>#NUM!</v>
      </c>
      <c r="K212" s="191" t="e">
        <f t="shared" si="19"/>
        <v>#NUM!</v>
      </c>
      <c r="L212" s="191"/>
      <c r="M212" s="193">
        <f t="shared" si="20"/>
        <v>0</v>
      </c>
    </row>
    <row r="213" spans="1:13" x14ac:dyDescent="0.25">
      <c r="A213" s="208"/>
      <c r="G213" s="179"/>
      <c r="H213" s="194">
        <v>208</v>
      </c>
      <c r="I213" s="192" t="str">
        <f t="shared" si="18"/>
        <v/>
      </c>
      <c r="J213" s="191" t="e">
        <f t="shared" si="21"/>
        <v>#NUM!</v>
      </c>
      <c r="K213" s="191" t="e">
        <f t="shared" si="19"/>
        <v>#NUM!</v>
      </c>
      <c r="L213" s="191"/>
      <c r="M213" s="193">
        <f t="shared" si="20"/>
        <v>0</v>
      </c>
    </row>
    <row r="214" spans="1:13" x14ac:dyDescent="0.25">
      <c r="A214" s="208"/>
      <c r="G214" s="179"/>
      <c r="H214" s="191">
        <v>209</v>
      </c>
      <c r="I214" s="192" t="str">
        <f t="shared" si="18"/>
        <v/>
      </c>
      <c r="J214" s="191" t="e">
        <f t="shared" si="21"/>
        <v>#NUM!</v>
      </c>
      <c r="K214" s="191" t="e">
        <f t="shared" si="19"/>
        <v>#NUM!</v>
      </c>
      <c r="L214" s="191"/>
      <c r="M214" s="193">
        <f t="shared" si="20"/>
        <v>0</v>
      </c>
    </row>
    <row r="215" spans="1:13" x14ac:dyDescent="0.25">
      <c r="A215" s="208"/>
      <c r="G215" s="179"/>
      <c r="H215" s="194">
        <v>210</v>
      </c>
      <c r="I215" s="192" t="str">
        <f t="shared" si="18"/>
        <v/>
      </c>
      <c r="J215" s="191" t="e">
        <f t="shared" si="21"/>
        <v>#NUM!</v>
      </c>
      <c r="K215" s="191" t="e">
        <f t="shared" si="19"/>
        <v>#NUM!</v>
      </c>
      <c r="L215" s="191"/>
      <c r="M215" s="193">
        <f t="shared" si="20"/>
        <v>0</v>
      </c>
    </row>
    <row r="216" spans="1:13" x14ac:dyDescent="0.25">
      <c r="A216" s="208"/>
      <c r="G216" s="179"/>
      <c r="H216" s="191">
        <v>211</v>
      </c>
      <c r="I216" s="192" t="str">
        <f t="shared" si="18"/>
        <v/>
      </c>
      <c r="J216" s="191" t="e">
        <f t="shared" si="21"/>
        <v>#NUM!</v>
      </c>
      <c r="K216" s="191" t="e">
        <f t="shared" si="19"/>
        <v>#NUM!</v>
      </c>
      <c r="L216" s="191"/>
      <c r="M216" s="193">
        <f t="shared" si="20"/>
        <v>0</v>
      </c>
    </row>
    <row r="217" spans="1:13" x14ac:dyDescent="0.25">
      <c r="A217" s="208"/>
      <c r="G217" s="179"/>
      <c r="H217" s="194">
        <v>212</v>
      </c>
      <c r="I217" s="192" t="str">
        <f t="shared" si="18"/>
        <v/>
      </c>
      <c r="J217" s="191" t="e">
        <f t="shared" si="21"/>
        <v>#NUM!</v>
      </c>
      <c r="K217" s="191" t="e">
        <f t="shared" si="19"/>
        <v>#NUM!</v>
      </c>
      <c r="L217" s="191"/>
      <c r="M217" s="193">
        <f t="shared" si="20"/>
        <v>0</v>
      </c>
    </row>
    <row r="218" spans="1:13" x14ac:dyDescent="0.25">
      <c r="A218" s="208"/>
      <c r="G218" s="179"/>
      <c r="H218" s="191">
        <v>213</v>
      </c>
      <c r="I218" s="192" t="str">
        <f t="shared" si="18"/>
        <v/>
      </c>
      <c r="J218" s="191" t="e">
        <f t="shared" si="21"/>
        <v>#NUM!</v>
      </c>
      <c r="K218" s="191" t="e">
        <f t="shared" si="19"/>
        <v>#NUM!</v>
      </c>
      <c r="L218" s="191"/>
      <c r="M218" s="193">
        <f t="shared" si="20"/>
        <v>0</v>
      </c>
    </row>
    <row r="219" spans="1:13" x14ac:dyDescent="0.25">
      <c r="A219" s="208"/>
      <c r="G219" s="179"/>
      <c r="H219" s="194">
        <v>214</v>
      </c>
      <c r="I219" s="192" t="str">
        <f t="shared" si="18"/>
        <v/>
      </c>
      <c r="J219" s="191" t="e">
        <f t="shared" si="21"/>
        <v>#NUM!</v>
      </c>
      <c r="K219" s="191" t="e">
        <f t="shared" si="19"/>
        <v>#NUM!</v>
      </c>
      <c r="L219" s="191"/>
      <c r="M219" s="193">
        <f t="shared" si="20"/>
        <v>0</v>
      </c>
    </row>
    <row r="220" spans="1:13" x14ac:dyDescent="0.25">
      <c r="A220" s="208"/>
      <c r="G220" s="179"/>
      <c r="H220" s="191">
        <v>215</v>
      </c>
      <c r="I220" s="192" t="str">
        <f t="shared" si="18"/>
        <v/>
      </c>
      <c r="J220" s="191" t="e">
        <f t="shared" si="21"/>
        <v>#NUM!</v>
      </c>
      <c r="K220" s="191" t="e">
        <f t="shared" si="19"/>
        <v>#NUM!</v>
      </c>
      <c r="L220" s="191"/>
      <c r="M220" s="193">
        <f t="shared" si="20"/>
        <v>0</v>
      </c>
    </row>
    <row r="221" spans="1:13" x14ac:dyDescent="0.25">
      <c r="A221" s="208"/>
      <c r="G221" s="179"/>
      <c r="H221" s="194">
        <v>216</v>
      </c>
      <c r="I221" s="192" t="str">
        <f t="shared" si="18"/>
        <v/>
      </c>
      <c r="J221" s="191" t="e">
        <f t="shared" si="21"/>
        <v>#NUM!</v>
      </c>
      <c r="K221" s="191" t="e">
        <f t="shared" si="19"/>
        <v>#NUM!</v>
      </c>
      <c r="L221" s="191"/>
      <c r="M221" s="193">
        <f t="shared" si="20"/>
        <v>0</v>
      </c>
    </row>
    <row r="222" spans="1:13" x14ac:dyDescent="0.25">
      <c r="A222" s="208"/>
      <c r="G222" s="179"/>
      <c r="H222" s="191">
        <v>217</v>
      </c>
      <c r="I222" s="192" t="str">
        <f t="shared" si="18"/>
        <v/>
      </c>
      <c r="J222" s="191" t="e">
        <f t="shared" si="21"/>
        <v>#NUM!</v>
      </c>
      <c r="K222" s="191" t="e">
        <f t="shared" si="19"/>
        <v>#NUM!</v>
      </c>
      <c r="L222" s="191"/>
      <c r="M222" s="193">
        <f t="shared" si="20"/>
        <v>0</v>
      </c>
    </row>
    <row r="223" spans="1:13" x14ac:dyDescent="0.25">
      <c r="A223" s="208"/>
      <c r="G223" s="179"/>
      <c r="H223" s="194">
        <v>218</v>
      </c>
      <c r="I223" s="192" t="str">
        <f t="shared" si="18"/>
        <v/>
      </c>
      <c r="J223" s="191" t="e">
        <f t="shared" si="21"/>
        <v>#NUM!</v>
      </c>
      <c r="K223" s="191" t="e">
        <f t="shared" si="19"/>
        <v>#NUM!</v>
      </c>
      <c r="L223" s="191"/>
      <c r="M223" s="193">
        <f t="shared" si="20"/>
        <v>0</v>
      </c>
    </row>
    <row r="224" spans="1:13" x14ac:dyDescent="0.25">
      <c r="A224" s="208"/>
      <c r="G224" s="179"/>
      <c r="H224" s="191">
        <v>219</v>
      </c>
      <c r="I224" s="192" t="str">
        <f t="shared" si="18"/>
        <v/>
      </c>
      <c r="J224" s="191" t="e">
        <f t="shared" si="21"/>
        <v>#NUM!</v>
      </c>
      <c r="K224" s="191" t="e">
        <f t="shared" si="19"/>
        <v>#NUM!</v>
      </c>
      <c r="L224" s="191"/>
      <c r="M224" s="193">
        <f t="shared" si="20"/>
        <v>0</v>
      </c>
    </row>
    <row r="225" spans="1:13" x14ac:dyDescent="0.25">
      <c r="A225" s="208"/>
      <c r="G225" s="179"/>
      <c r="H225" s="194">
        <v>220</v>
      </c>
      <c r="I225" s="192" t="str">
        <f t="shared" si="18"/>
        <v/>
      </c>
      <c r="J225" s="191" t="e">
        <f t="shared" si="21"/>
        <v>#NUM!</v>
      </c>
      <c r="K225" s="191" t="e">
        <f t="shared" si="19"/>
        <v>#NUM!</v>
      </c>
      <c r="L225" s="191"/>
      <c r="M225" s="193">
        <f t="shared" si="20"/>
        <v>0</v>
      </c>
    </row>
    <row r="226" spans="1:13" x14ac:dyDescent="0.25">
      <c r="A226" s="208"/>
      <c r="G226" s="179"/>
      <c r="H226" s="191">
        <v>221</v>
      </c>
      <c r="I226" s="192" t="str">
        <f t="shared" si="18"/>
        <v/>
      </c>
      <c r="J226" s="191" t="e">
        <f t="shared" si="21"/>
        <v>#NUM!</v>
      </c>
      <c r="K226" s="191" t="e">
        <f t="shared" si="19"/>
        <v>#NUM!</v>
      </c>
      <c r="L226" s="191"/>
      <c r="M226" s="193">
        <f t="shared" si="20"/>
        <v>0</v>
      </c>
    </row>
    <row r="227" spans="1:13" x14ac:dyDescent="0.25">
      <c r="A227" s="208"/>
      <c r="G227" s="179"/>
      <c r="H227" s="194">
        <v>222</v>
      </c>
      <c r="I227" s="192" t="str">
        <f t="shared" si="18"/>
        <v/>
      </c>
      <c r="J227" s="191" t="e">
        <f t="shared" si="21"/>
        <v>#NUM!</v>
      </c>
      <c r="K227" s="191" t="e">
        <f t="shared" si="19"/>
        <v>#NUM!</v>
      </c>
      <c r="L227" s="191"/>
      <c r="M227" s="193">
        <f t="shared" si="20"/>
        <v>0</v>
      </c>
    </row>
    <row r="228" spans="1:13" x14ac:dyDescent="0.25">
      <c r="A228" s="208"/>
      <c r="G228" s="179"/>
      <c r="H228" s="191">
        <v>223</v>
      </c>
      <c r="I228" s="192" t="str">
        <f t="shared" si="18"/>
        <v/>
      </c>
      <c r="J228" s="191" t="e">
        <f t="shared" si="21"/>
        <v>#NUM!</v>
      </c>
      <c r="K228" s="191" t="e">
        <f t="shared" si="19"/>
        <v>#NUM!</v>
      </c>
      <c r="L228" s="191"/>
      <c r="M228" s="193">
        <f t="shared" si="20"/>
        <v>0</v>
      </c>
    </row>
    <row r="229" spans="1:13" x14ac:dyDescent="0.25">
      <c r="A229" s="208"/>
      <c r="G229" s="179"/>
      <c r="H229" s="194">
        <v>224</v>
      </c>
      <c r="I229" s="192" t="str">
        <f t="shared" si="18"/>
        <v/>
      </c>
      <c r="J229" s="191" t="e">
        <f t="shared" si="21"/>
        <v>#NUM!</v>
      </c>
      <c r="K229" s="191" t="e">
        <f t="shared" si="19"/>
        <v>#NUM!</v>
      </c>
      <c r="L229" s="191"/>
      <c r="M229" s="193">
        <f t="shared" si="20"/>
        <v>0</v>
      </c>
    </row>
    <row r="230" spans="1:13" x14ac:dyDescent="0.25">
      <c r="A230" s="208"/>
      <c r="G230" s="179"/>
      <c r="H230" s="191">
        <v>225</v>
      </c>
      <c r="I230" s="192" t="str">
        <f t="shared" si="18"/>
        <v/>
      </c>
      <c r="J230" s="191" t="e">
        <f t="shared" si="21"/>
        <v>#NUM!</v>
      </c>
      <c r="K230" s="191" t="e">
        <f t="shared" si="19"/>
        <v>#NUM!</v>
      </c>
      <c r="L230" s="191"/>
      <c r="M230" s="193">
        <f t="shared" si="20"/>
        <v>0</v>
      </c>
    </row>
    <row r="231" spans="1:13" x14ac:dyDescent="0.25">
      <c r="A231" s="208"/>
      <c r="G231" s="179"/>
      <c r="H231" s="194">
        <v>226</v>
      </c>
      <c r="I231" s="192" t="str">
        <f t="shared" si="18"/>
        <v/>
      </c>
      <c r="J231" s="191" t="e">
        <f t="shared" si="21"/>
        <v>#NUM!</v>
      </c>
      <c r="K231" s="191" t="e">
        <f t="shared" si="19"/>
        <v>#NUM!</v>
      </c>
      <c r="L231" s="191"/>
      <c r="M231" s="193">
        <f t="shared" si="20"/>
        <v>0</v>
      </c>
    </row>
    <row r="232" spans="1:13" x14ac:dyDescent="0.25">
      <c r="A232" s="208"/>
      <c r="G232" s="179"/>
      <c r="H232" s="191">
        <v>227</v>
      </c>
      <c r="I232" s="192" t="str">
        <f t="shared" si="18"/>
        <v/>
      </c>
      <c r="J232" s="191" t="e">
        <f t="shared" si="21"/>
        <v>#NUM!</v>
      </c>
      <c r="K232" s="191" t="e">
        <f t="shared" si="19"/>
        <v>#NUM!</v>
      </c>
      <c r="L232" s="191"/>
      <c r="M232" s="193">
        <f t="shared" si="20"/>
        <v>0</v>
      </c>
    </row>
    <row r="233" spans="1:13" x14ac:dyDescent="0.25">
      <c r="A233" s="208"/>
      <c r="G233" s="179"/>
      <c r="H233" s="194">
        <v>228</v>
      </c>
      <c r="I233" s="192" t="str">
        <f t="shared" si="18"/>
        <v/>
      </c>
      <c r="J233" s="191" t="e">
        <f t="shared" si="21"/>
        <v>#NUM!</v>
      </c>
      <c r="K233" s="191" t="e">
        <f t="shared" si="19"/>
        <v>#NUM!</v>
      </c>
      <c r="L233" s="191"/>
      <c r="M233" s="193">
        <f t="shared" si="20"/>
        <v>0</v>
      </c>
    </row>
    <row r="234" spans="1:13" x14ac:dyDescent="0.25">
      <c r="A234" s="208"/>
      <c r="G234" s="179"/>
      <c r="H234" s="191">
        <v>229</v>
      </c>
      <c r="I234" s="192" t="str">
        <f t="shared" si="18"/>
        <v/>
      </c>
      <c r="J234" s="191" t="e">
        <f t="shared" si="21"/>
        <v>#NUM!</v>
      </c>
      <c r="K234" s="191" t="e">
        <f t="shared" si="19"/>
        <v>#NUM!</v>
      </c>
      <c r="L234" s="191"/>
      <c r="M234" s="193">
        <f t="shared" si="20"/>
        <v>0</v>
      </c>
    </row>
    <row r="235" spans="1:13" x14ac:dyDescent="0.25">
      <c r="A235" s="208"/>
      <c r="G235" s="179"/>
      <c r="H235" s="194">
        <v>230</v>
      </c>
      <c r="I235" s="192" t="str">
        <f t="shared" si="18"/>
        <v/>
      </c>
      <c r="J235" s="191" t="e">
        <f t="shared" si="21"/>
        <v>#NUM!</v>
      </c>
      <c r="K235" s="191" t="e">
        <f t="shared" si="19"/>
        <v>#NUM!</v>
      </c>
      <c r="L235" s="191"/>
      <c r="M235" s="193">
        <f t="shared" si="20"/>
        <v>0</v>
      </c>
    </row>
    <row r="236" spans="1:13" x14ac:dyDescent="0.25">
      <c r="A236" s="208"/>
      <c r="G236" s="179"/>
      <c r="H236" s="191">
        <v>231</v>
      </c>
      <c r="I236" s="192" t="str">
        <f t="shared" si="18"/>
        <v/>
      </c>
      <c r="J236" s="191" t="e">
        <f t="shared" si="21"/>
        <v>#NUM!</v>
      </c>
      <c r="K236" s="191" t="e">
        <f t="shared" si="19"/>
        <v>#NUM!</v>
      </c>
      <c r="L236" s="191"/>
      <c r="M236" s="193">
        <f t="shared" si="20"/>
        <v>0</v>
      </c>
    </row>
    <row r="237" spans="1:13" x14ac:dyDescent="0.25">
      <c r="A237" s="208"/>
      <c r="G237" s="179"/>
      <c r="H237" s="194">
        <v>232</v>
      </c>
      <c r="I237" s="192" t="str">
        <f t="shared" si="18"/>
        <v/>
      </c>
      <c r="J237" s="191" t="e">
        <f t="shared" si="21"/>
        <v>#NUM!</v>
      </c>
      <c r="K237" s="191" t="e">
        <f t="shared" si="19"/>
        <v>#NUM!</v>
      </c>
      <c r="L237" s="191"/>
      <c r="M237" s="193">
        <f t="shared" si="20"/>
        <v>0</v>
      </c>
    </row>
    <row r="238" spans="1:13" x14ac:dyDescent="0.25">
      <c r="A238" s="208"/>
      <c r="G238" s="179"/>
      <c r="H238" s="191">
        <v>233</v>
      </c>
      <c r="I238" s="192" t="str">
        <f t="shared" si="18"/>
        <v/>
      </c>
      <c r="J238" s="191" t="e">
        <f t="shared" si="21"/>
        <v>#NUM!</v>
      </c>
      <c r="K238" s="191" t="e">
        <f t="shared" si="19"/>
        <v>#NUM!</v>
      </c>
      <c r="L238" s="191"/>
      <c r="M238" s="193">
        <f t="shared" si="20"/>
        <v>0</v>
      </c>
    </row>
    <row r="239" spans="1:13" x14ac:dyDescent="0.25">
      <c r="A239" s="208"/>
      <c r="G239" s="179"/>
      <c r="H239" s="194">
        <v>234</v>
      </c>
      <c r="I239" s="192" t="str">
        <f t="shared" si="18"/>
        <v/>
      </c>
      <c r="J239" s="191" t="e">
        <f t="shared" si="21"/>
        <v>#NUM!</v>
      </c>
      <c r="K239" s="191" t="e">
        <f t="shared" si="19"/>
        <v>#NUM!</v>
      </c>
      <c r="L239" s="191"/>
      <c r="M239" s="193">
        <f t="shared" si="20"/>
        <v>0</v>
      </c>
    </row>
    <row r="240" spans="1:13" x14ac:dyDescent="0.25">
      <c r="A240" s="208"/>
      <c r="G240" s="179"/>
      <c r="H240" s="191">
        <v>235</v>
      </c>
      <c r="I240" s="192" t="str">
        <f t="shared" si="18"/>
        <v/>
      </c>
      <c r="J240" s="191" t="e">
        <f t="shared" si="21"/>
        <v>#NUM!</v>
      </c>
      <c r="K240" s="191" t="e">
        <f t="shared" si="19"/>
        <v>#NUM!</v>
      </c>
      <c r="L240" s="191"/>
      <c r="M240" s="193">
        <f t="shared" si="20"/>
        <v>0</v>
      </c>
    </row>
    <row r="241" spans="1:13" x14ac:dyDescent="0.25">
      <c r="A241" s="208"/>
      <c r="G241" s="179"/>
      <c r="H241" s="194">
        <v>236</v>
      </c>
      <c r="I241" s="192" t="str">
        <f t="shared" si="18"/>
        <v/>
      </c>
      <c r="J241" s="191" t="e">
        <f t="shared" si="21"/>
        <v>#NUM!</v>
      </c>
      <c r="K241" s="191" t="e">
        <f t="shared" si="19"/>
        <v>#NUM!</v>
      </c>
      <c r="L241" s="191"/>
      <c r="M241" s="193">
        <f t="shared" si="20"/>
        <v>0</v>
      </c>
    </row>
    <row r="242" spans="1:13" x14ac:dyDescent="0.25">
      <c r="A242" s="208"/>
      <c r="G242" s="179"/>
      <c r="H242" s="191">
        <v>237</v>
      </c>
      <c r="I242" s="192" t="str">
        <f t="shared" si="18"/>
        <v/>
      </c>
      <c r="J242" s="191" t="e">
        <f t="shared" si="21"/>
        <v>#NUM!</v>
      </c>
      <c r="K242" s="191" t="e">
        <f t="shared" si="19"/>
        <v>#NUM!</v>
      </c>
      <c r="L242" s="191"/>
      <c r="M242" s="193">
        <f t="shared" si="20"/>
        <v>0</v>
      </c>
    </row>
    <row r="243" spans="1:13" x14ac:dyDescent="0.25">
      <c r="A243" s="208"/>
      <c r="G243" s="179"/>
      <c r="H243" s="194">
        <v>238</v>
      </c>
      <c r="I243" s="192" t="str">
        <f t="shared" si="18"/>
        <v/>
      </c>
      <c r="J243" s="191" t="e">
        <f t="shared" si="21"/>
        <v>#NUM!</v>
      </c>
      <c r="K243" s="191" t="e">
        <f t="shared" si="19"/>
        <v>#NUM!</v>
      </c>
      <c r="L243" s="191"/>
      <c r="M243" s="193">
        <f t="shared" si="20"/>
        <v>0</v>
      </c>
    </row>
    <row r="244" spans="1:13" x14ac:dyDescent="0.25">
      <c r="A244" s="208"/>
      <c r="G244" s="179"/>
      <c r="H244" s="191">
        <v>239</v>
      </c>
      <c r="I244" s="192" t="str">
        <f t="shared" si="18"/>
        <v/>
      </c>
      <c r="J244" s="191" t="e">
        <f t="shared" si="21"/>
        <v>#NUM!</v>
      </c>
      <c r="K244" s="191" t="e">
        <f t="shared" si="19"/>
        <v>#NUM!</v>
      </c>
      <c r="L244" s="191"/>
      <c r="M244" s="193">
        <f t="shared" si="20"/>
        <v>0</v>
      </c>
    </row>
    <row r="245" spans="1:13" x14ac:dyDescent="0.25">
      <c r="A245" s="208"/>
      <c r="G245" s="179"/>
      <c r="H245" s="194">
        <v>240</v>
      </c>
      <c r="I245" s="192" t="str">
        <f t="shared" si="18"/>
        <v/>
      </c>
      <c r="J245" s="191" t="e">
        <f t="shared" si="21"/>
        <v>#NUM!</v>
      </c>
      <c r="K245" s="191" t="e">
        <f t="shared" si="19"/>
        <v>#NUM!</v>
      </c>
      <c r="L245" s="191"/>
      <c r="M245" s="193">
        <f t="shared" si="20"/>
        <v>0</v>
      </c>
    </row>
    <row r="246" spans="1:13" x14ac:dyDescent="0.25">
      <c r="A246" s="208"/>
      <c r="G246" s="179"/>
      <c r="H246" s="191">
        <v>241</v>
      </c>
      <c r="I246" s="192" t="str">
        <f t="shared" si="18"/>
        <v/>
      </c>
      <c r="J246" s="191" t="e">
        <f t="shared" si="21"/>
        <v>#NUM!</v>
      </c>
      <c r="K246" s="191" t="e">
        <f t="shared" si="19"/>
        <v>#NUM!</v>
      </c>
      <c r="L246" s="191"/>
      <c r="M246" s="193">
        <f t="shared" si="20"/>
        <v>0</v>
      </c>
    </row>
    <row r="247" spans="1:13" x14ac:dyDescent="0.25">
      <c r="A247" s="208"/>
      <c r="G247" s="179"/>
      <c r="H247" s="194">
        <v>242</v>
      </c>
      <c r="I247" s="192" t="str">
        <f t="shared" si="18"/>
        <v/>
      </c>
      <c r="J247" s="191" t="e">
        <f t="shared" si="21"/>
        <v>#NUM!</v>
      </c>
      <c r="K247" s="191" t="e">
        <f t="shared" si="19"/>
        <v>#NUM!</v>
      </c>
      <c r="L247" s="191"/>
      <c r="M247" s="193">
        <f t="shared" si="20"/>
        <v>0</v>
      </c>
    </row>
    <row r="248" spans="1:13" x14ac:dyDescent="0.25">
      <c r="A248" s="208"/>
      <c r="G248" s="179"/>
      <c r="H248" s="191">
        <v>243</v>
      </c>
      <c r="I248" s="192" t="str">
        <f t="shared" si="18"/>
        <v/>
      </c>
      <c r="J248" s="191" t="e">
        <f t="shared" si="21"/>
        <v>#NUM!</v>
      </c>
      <c r="K248" s="191" t="e">
        <f t="shared" si="19"/>
        <v>#NUM!</v>
      </c>
      <c r="L248" s="191"/>
      <c r="M248" s="193">
        <f t="shared" si="20"/>
        <v>0</v>
      </c>
    </row>
    <row r="249" spans="1:13" x14ac:dyDescent="0.25">
      <c r="A249" s="208"/>
      <c r="G249" s="179"/>
      <c r="H249" s="194">
        <v>244</v>
      </c>
      <c r="I249" s="192" t="str">
        <f t="shared" si="18"/>
        <v/>
      </c>
      <c r="J249" s="191" t="e">
        <f t="shared" si="21"/>
        <v>#NUM!</v>
      </c>
      <c r="K249" s="191" t="e">
        <f t="shared" si="19"/>
        <v>#NUM!</v>
      </c>
      <c r="L249" s="191"/>
      <c r="M249" s="193">
        <f t="shared" si="20"/>
        <v>0</v>
      </c>
    </row>
    <row r="250" spans="1:13" x14ac:dyDescent="0.25">
      <c r="A250" s="208"/>
      <c r="G250" s="179"/>
      <c r="H250" s="191">
        <v>245</v>
      </c>
      <c r="I250" s="192" t="str">
        <f t="shared" si="18"/>
        <v/>
      </c>
      <c r="J250" s="191" t="e">
        <f t="shared" si="21"/>
        <v>#NUM!</v>
      </c>
      <c r="K250" s="191" t="e">
        <f t="shared" si="19"/>
        <v>#NUM!</v>
      </c>
      <c r="L250" s="191"/>
      <c r="M250" s="193">
        <f t="shared" si="20"/>
        <v>0</v>
      </c>
    </row>
    <row r="251" spans="1:13" x14ac:dyDescent="0.25">
      <c r="A251" s="208"/>
      <c r="G251" s="179"/>
      <c r="H251" s="194">
        <v>246</v>
      </c>
      <c r="I251" s="192" t="str">
        <f t="shared" si="18"/>
        <v/>
      </c>
      <c r="J251" s="191" t="e">
        <f t="shared" si="21"/>
        <v>#NUM!</v>
      </c>
      <c r="K251" s="191" t="e">
        <f t="shared" si="19"/>
        <v>#NUM!</v>
      </c>
      <c r="L251" s="191"/>
      <c r="M251" s="193">
        <f t="shared" si="20"/>
        <v>0</v>
      </c>
    </row>
    <row r="252" spans="1:13" x14ac:dyDescent="0.25">
      <c r="A252" s="208"/>
      <c r="G252" s="179"/>
      <c r="H252" s="191">
        <v>247</v>
      </c>
      <c r="I252" s="192" t="str">
        <f t="shared" si="18"/>
        <v/>
      </c>
      <c r="J252" s="191" t="e">
        <f t="shared" si="21"/>
        <v>#NUM!</v>
      </c>
      <c r="K252" s="191" t="e">
        <f t="shared" si="19"/>
        <v>#NUM!</v>
      </c>
      <c r="L252" s="191"/>
      <c r="M252" s="193">
        <f t="shared" si="20"/>
        <v>0</v>
      </c>
    </row>
    <row r="253" spans="1:13" x14ac:dyDescent="0.25">
      <c r="A253" s="208"/>
      <c r="G253" s="179"/>
      <c r="H253" s="194">
        <v>248</v>
      </c>
      <c r="I253" s="192" t="str">
        <f t="shared" si="18"/>
        <v/>
      </c>
      <c r="J253" s="191" t="e">
        <f t="shared" si="21"/>
        <v>#NUM!</v>
      </c>
      <c r="K253" s="191" t="e">
        <f t="shared" si="19"/>
        <v>#NUM!</v>
      </c>
      <c r="L253" s="191"/>
      <c r="M253" s="193">
        <f t="shared" si="20"/>
        <v>0</v>
      </c>
    </row>
    <row r="254" spans="1:13" x14ac:dyDescent="0.25">
      <c r="A254" s="208"/>
      <c r="G254" s="179"/>
      <c r="H254" s="191">
        <v>249</v>
      </c>
      <c r="I254" s="192" t="str">
        <f t="shared" si="18"/>
        <v/>
      </c>
      <c r="J254" s="191" t="e">
        <f t="shared" si="21"/>
        <v>#NUM!</v>
      </c>
      <c r="K254" s="191" t="e">
        <f t="shared" si="19"/>
        <v>#NUM!</v>
      </c>
      <c r="L254" s="191"/>
      <c r="M254" s="193">
        <f t="shared" si="20"/>
        <v>0</v>
      </c>
    </row>
    <row r="255" spans="1:13" x14ac:dyDescent="0.25">
      <c r="A255" s="208"/>
      <c r="G255" s="179"/>
      <c r="H255" s="194">
        <v>250</v>
      </c>
      <c r="I255" s="192" t="str">
        <f t="shared" si="18"/>
        <v/>
      </c>
      <c r="J255" s="191" t="e">
        <f t="shared" si="21"/>
        <v>#NUM!</v>
      </c>
      <c r="K255" s="191" t="e">
        <f t="shared" si="19"/>
        <v>#NUM!</v>
      </c>
      <c r="L255" s="191"/>
      <c r="M255" s="193">
        <f t="shared" si="20"/>
        <v>0</v>
      </c>
    </row>
    <row r="256" spans="1:13" x14ac:dyDescent="0.25">
      <c r="A256" s="208"/>
      <c r="G256" s="179"/>
      <c r="H256" s="191">
        <v>251</v>
      </c>
      <c r="I256" s="192" t="str">
        <f t="shared" si="18"/>
        <v/>
      </c>
      <c r="J256" s="191" t="e">
        <f t="shared" si="21"/>
        <v>#NUM!</v>
      </c>
      <c r="K256" s="191" t="e">
        <f t="shared" si="19"/>
        <v>#NUM!</v>
      </c>
      <c r="L256" s="191"/>
      <c r="M256" s="193">
        <f t="shared" si="20"/>
        <v>0</v>
      </c>
    </row>
    <row r="257" spans="1:13" x14ac:dyDescent="0.25">
      <c r="A257" s="208"/>
      <c r="G257" s="179"/>
      <c r="H257" s="194">
        <v>252</v>
      </c>
      <c r="I257" s="192" t="str">
        <f t="shared" si="18"/>
        <v/>
      </c>
      <c r="J257" s="191" t="e">
        <f t="shared" si="21"/>
        <v>#NUM!</v>
      </c>
      <c r="K257" s="191" t="e">
        <f t="shared" si="19"/>
        <v>#NUM!</v>
      </c>
      <c r="L257" s="191"/>
      <c r="M257" s="193">
        <f t="shared" si="20"/>
        <v>0</v>
      </c>
    </row>
    <row r="258" spans="1:13" x14ac:dyDescent="0.25">
      <c r="A258" s="208"/>
      <c r="G258" s="179"/>
      <c r="H258" s="191">
        <v>253</v>
      </c>
      <c r="I258" s="192" t="str">
        <f t="shared" si="18"/>
        <v/>
      </c>
      <c r="J258" s="191" t="e">
        <f t="shared" si="21"/>
        <v>#NUM!</v>
      </c>
      <c r="K258" s="191" t="e">
        <f t="shared" si="19"/>
        <v>#NUM!</v>
      </c>
      <c r="L258" s="191"/>
      <c r="M258" s="193">
        <f t="shared" si="20"/>
        <v>0</v>
      </c>
    </row>
    <row r="259" spans="1:13" x14ac:dyDescent="0.25">
      <c r="A259" s="208"/>
      <c r="G259" s="179"/>
      <c r="H259" s="194">
        <v>254</v>
      </c>
      <c r="I259" s="192" t="str">
        <f t="shared" si="18"/>
        <v/>
      </c>
      <c r="J259" s="191" t="e">
        <f t="shared" si="21"/>
        <v>#NUM!</v>
      </c>
      <c r="K259" s="191" t="e">
        <f t="shared" si="19"/>
        <v>#NUM!</v>
      </c>
      <c r="L259" s="191"/>
      <c r="M259" s="193">
        <f t="shared" si="20"/>
        <v>0</v>
      </c>
    </row>
    <row r="260" spans="1:13" x14ac:dyDescent="0.25">
      <c r="A260" s="208"/>
      <c r="G260" s="179"/>
      <c r="H260" s="191">
        <v>255</v>
      </c>
      <c r="I260" s="192" t="str">
        <f t="shared" si="18"/>
        <v/>
      </c>
      <c r="J260" s="191" t="e">
        <f t="shared" si="21"/>
        <v>#NUM!</v>
      </c>
      <c r="K260" s="191" t="e">
        <f t="shared" si="19"/>
        <v>#NUM!</v>
      </c>
      <c r="L260" s="191"/>
      <c r="M260" s="193">
        <f t="shared" si="20"/>
        <v>0</v>
      </c>
    </row>
    <row r="261" spans="1:13" x14ac:dyDescent="0.25">
      <c r="A261" s="208"/>
      <c r="G261" s="179"/>
      <c r="H261" s="194">
        <v>256</v>
      </c>
      <c r="I261" s="192" t="str">
        <f t="shared" si="18"/>
        <v/>
      </c>
      <c r="J261" s="191" t="e">
        <f t="shared" si="21"/>
        <v>#NUM!</v>
      </c>
      <c r="K261" s="191" t="e">
        <f t="shared" si="19"/>
        <v>#NUM!</v>
      </c>
      <c r="L261" s="191"/>
      <c r="M261" s="193">
        <f t="shared" si="20"/>
        <v>0</v>
      </c>
    </row>
    <row r="262" spans="1:13" x14ac:dyDescent="0.25">
      <c r="A262" s="208"/>
      <c r="G262" s="179"/>
      <c r="H262" s="191">
        <v>257</v>
      </c>
      <c r="I262" s="192" t="str">
        <f t="shared" ref="I262:I305" si="22">IF(H262&lt;$H$2+1,($I$2-($I$2-1)*(LOG(H262)/LOG($H$2))),"")</f>
        <v/>
      </c>
      <c r="J262" s="191" t="e">
        <f t="shared" si="21"/>
        <v>#NUM!</v>
      </c>
      <c r="K262" s="191" t="e">
        <f t="shared" ref="K262:K305" si="23">J262*$J$2</f>
        <v>#NUM!</v>
      </c>
      <c r="L262" s="191"/>
      <c r="M262" s="193">
        <f t="shared" ref="M262:M305" si="24">IF(I262&lt;&gt;"",K262+I262+L262,0)</f>
        <v>0</v>
      </c>
    </row>
    <row r="263" spans="1:13" x14ac:dyDescent="0.25">
      <c r="A263" s="208"/>
      <c r="G263" s="179"/>
      <c r="H263" s="194">
        <v>258</v>
      </c>
      <c r="I263" s="192" t="str">
        <f t="shared" si="22"/>
        <v/>
      </c>
      <c r="J263" s="191" t="e">
        <f t="shared" ref="J263:J305" si="25">INT(LOG($H$2,2))-ROUNDUP(LOG(H263,2),0)+IF(OR($H$2=1,$H$2=2,$H$2=4,$H$2=8,$H$2=16,$H$2=32,$H$2=64,$H$2=128,$H$2=256),0,1)</f>
        <v>#NUM!</v>
      </c>
      <c r="K263" s="191" t="e">
        <f t="shared" si="23"/>
        <v>#NUM!</v>
      </c>
      <c r="L263" s="191"/>
      <c r="M263" s="193">
        <f t="shared" si="24"/>
        <v>0</v>
      </c>
    </row>
    <row r="264" spans="1:13" x14ac:dyDescent="0.25">
      <c r="A264" s="208"/>
      <c r="G264" s="179"/>
      <c r="H264" s="191">
        <v>259</v>
      </c>
      <c r="I264" s="192" t="str">
        <f t="shared" si="22"/>
        <v/>
      </c>
      <c r="J264" s="191" t="e">
        <f t="shared" si="25"/>
        <v>#NUM!</v>
      </c>
      <c r="K264" s="191" t="e">
        <f t="shared" si="23"/>
        <v>#NUM!</v>
      </c>
      <c r="L264" s="191"/>
      <c r="M264" s="193">
        <f t="shared" si="24"/>
        <v>0</v>
      </c>
    </row>
    <row r="265" spans="1:13" x14ac:dyDescent="0.25">
      <c r="A265" s="208"/>
      <c r="G265" s="179"/>
      <c r="H265" s="194">
        <v>260</v>
      </c>
      <c r="I265" s="192" t="str">
        <f t="shared" si="22"/>
        <v/>
      </c>
      <c r="J265" s="191" t="e">
        <f t="shared" si="25"/>
        <v>#NUM!</v>
      </c>
      <c r="K265" s="191" t="e">
        <f t="shared" si="23"/>
        <v>#NUM!</v>
      </c>
      <c r="L265" s="191"/>
      <c r="M265" s="193">
        <f t="shared" si="24"/>
        <v>0</v>
      </c>
    </row>
    <row r="266" spans="1:13" x14ac:dyDescent="0.25">
      <c r="A266" s="208"/>
      <c r="G266" s="179"/>
      <c r="H266" s="191">
        <v>261</v>
      </c>
      <c r="I266" s="192" t="str">
        <f t="shared" si="22"/>
        <v/>
      </c>
      <c r="J266" s="191" t="e">
        <f t="shared" si="25"/>
        <v>#NUM!</v>
      </c>
      <c r="K266" s="191" t="e">
        <f t="shared" si="23"/>
        <v>#NUM!</v>
      </c>
      <c r="L266" s="191"/>
      <c r="M266" s="193">
        <f t="shared" si="24"/>
        <v>0</v>
      </c>
    </row>
    <row r="267" spans="1:13" x14ac:dyDescent="0.25">
      <c r="A267" s="208"/>
      <c r="G267" s="179"/>
      <c r="H267" s="194">
        <v>262</v>
      </c>
      <c r="I267" s="192" t="str">
        <f t="shared" si="22"/>
        <v/>
      </c>
      <c r="J267" s="191" t="e">
        <f t="shared" si="25"/>
        <v>#NUM!</v>
      </c>
      <c r="K267" s="191" t="e">
        <f t="shared" si="23"/>
        <v>#NUM!</v>
      </c>
      <c r="L267" s="191"/>
      <c r="M267" s="193">
        <f t="shared" si="24"/>
        <v>0</v>
      </c>
    </row>
    <row r="268" spans="1:13" x14ac:dyDescent="0.25">
      <c r="A268" s="208"/>
      <c r="G268" s="179"/>
      <c r="H268" s="191">
        <v>263</v>
      </c>
      <c r="I268" s="192" t="str">
        <f t="shared" si="22"/>
        <v/>
      </c>
      <c r="J268" s="191" t="e">
        <f t="shared" si="25"/>
        <v>#NUM!</v>
      </c>
      <c r="K268" s="191" t="e">
        <f t="shared" si="23"/>
        <v>#NUM!</v>
      </c>
      <c r="L268" s="191"/>
      <c r="M268" s="193">
        <f t="shared" si="24"/>
        <v>0</v>
      </c>
    </row>
    <row r="269" spans="1:13" x14ac:dyDescent="0.25">
      <c r="A269" s="208"/>
      <c r="G269" s="179"/>
      <c r="H269" s="194">
        <v>264</v>
      </c>
      <c r="I269" s="192" t="str">
        <f t="shared" si="22"/>
        <v/>
      </c>
      <c r="J269" s="191" t="e">
        <f t="shared" si="25"/>
        <v>#NUM!</v>
      </c>
      <c r="K269" s="191" t="e">
        <f t="shared" si="23"/>
        <v>#NUM!</v>
      </c>
      <c r="L269" s="191"/>
      <c r="M269" s="193">
        <f t="shared" si="24"/>
        <v>0</v>
      </c>
    </row>
    <row r="270" spans="1:13" x14ac:dyDescent="0.25">
      <c r="A270" s="208"/>
      <c r="G270" s="179"/>
      <c r="H270" s="191">
        <v>265</v>
      </c>
      <c r="I270" s="192" t="str">
        <f t="shared" si="22"/>
        <v/>
      </c>
      <c r="J270" s="191" t="e">
        <f t="shared" si="25"/>
        <v>#NUM!</v>
      </c>
      <c r="K270" s="191" t="e">
        <f t="shared" si="23"/>
        <v>#NUM!</v>
      </c>
      <c r="L270" s="191"/>
      <c r="M270" s="193">
        <f t="shared" si="24"/>
        <v>0</v>
      </c>
    </row>
    <row r="271" spans="1:13" x14ac:dyDescent="0.25">
      <c r="A271" s="208"/>
      <c r="G271" s="179"/>
      <c r="H271" s="194">
        <v>266</v>
      </c>
      <c r="I271" s="192" t="str">
        <f t="shared" si="22"/>
        <v/>
      </c>
      <c r="J271" s="191" t="e">
        <f t="shared" si="25"/>
        <v>#NUM!</v>
      </c>
      <c r="K271" s="191" t="e">
        <f t="shared" si="23"/>
        <v>#NUM!</v>
      </c>
      <c r="L271" s="191"/>
      <c r="M271" s="193">
        <f t="shared" si="24"/>
        <v>0</v>
      </c>
    </row>
    <row r="272" spans="1:13" x14ac:dyDescent="0.25">
      <c r="A272" s="208"/>
      <c r="G272" s="179"/>
      <c r="H272" s="191">
        <v>267</v>
      </c>
      <c r="I272" s="192" t="str">
        <f t="shared" si="22"/>
        <v/>
      </c>
      <c r="J272" s="191" t="e">
        <f t="shared" si="25"/>
        <v>#NUM!</v>
      </c>
      <c r="K272" s="191" t="e">
        <f t="shared" si="23"/>
        <v>#NUM!</v>
      </c>
      <c r="L272" s="191"/>
      <c r="M272" s="193">
        <f t="shared" si="24"/>
        <v>0</v>
      </c>
    </row>
    <row r="273" spans="1:13" x14ac:dyDescent="0.25">
      <c r="A273" s="208"/>
      <c r="G273" s="179"/>
      <c r="H273" s="194">
        <v>268</v>
      </c>
      <c r="I273" s="192" t="str">
        <f t="shared" si="22"/>
        <v/>
      </c>
      <c r="J273" s="191" t="e">
        <f t="shared" si="25"/>
        <v>#NUM!</v>
      </c>
      <c r="K273" s="191" t="e">
        <f t="shared" si="23"/>
        <v>#NUM!</v>
      </c>
      <c r="L273" s="191"/>
      <c r="M273" s="193">
        <f t="shared" si="24"/>
        <v>0</v>
      </c>
    </row>
    <row r="274" spans="1:13" x14ac:dyDescent="0.25">
      <c r="A274" s="208"/>
      <c r="G274" s="179"/>
      <c r="H274" s="191">
        <v>269</v>
      </c>
      <c r="I274" s="192" t="str">
        <f t="shared" si="22"/>
        <v/>
      </c>
      <c r="J274" s="191" t="e">
        <f t="shared" si="25"/>
        <v>#NUM!</v>
      </c>
      <c r="K274" s="191" t="e">
        <f t="shared" si="23"/>
        <v>#NUM!</v>
      </c>
      <c r="L274" s="191"/>
      <c r="M274" s="193">
        <f t="shared" si="24"/>
        <v>0</v>
      </c>
    </row>
    <row r="275" spans="1:13" x14ac:dyDescent="0.25">
      <c r="A275" s="208"/>
      <c r="G275" s="179"/>
      <c r="H275" s="194">
        <v>270</v>
      </c>
      <c r="I275" s="192" t="str">
        <f t="shared" si="22"/>
        <v/>
      </c>
      <c r="J275" s="191" t="e">
        <f t="shared" si="25"/>
        <v>#NUM!</v>
      </c>
      <c r="K275" s="191" t="e">
        <f t="shared" si="23"/>
        <v>#NUM!</v>
      </c>
      <c r="L275" s="191"/>
      <c r="M275" s="193">
        <f t="shared" si="24"/>
        <v>0</v>
      </c>
    </row>
    <row r="276" spans="1:13" x14ac:dyDescent="0.25">
      <c r="A276" s="208"/>
      <c r="G276" s="179"/>
      <c r="H276" s="191">
        <v>271</v>
      </c>
      <c r="I276" s="192" t="str">
        <f t="shared" si="22"/>
        <v/>
      </c>
      <c r="J276" s="191" t="e">
        <f t="shared" si="25"/>
        <v>#NUM!</v>
      </c>
      <c r="K276" s="191" t="e">
        <f t="shared" si="23"/>
        <v>#NUM!</v>
      </c>
      <c r="L276" s="191"/>
      <c r="M276" s="193">
        <f t="shared" si="24"/>
        <v>0</v>
      </c>
    </row>
    <row r="277" spans="1:13" x14ac:dyDescent="0.25">
      <c r="A277" s="208"/>
      <c r="G277" s="179"/>
      <c r="H277" s="194">
        <v>272</v>
      </c>
      <c r="I277" s="192" t="str">
        <f t="shared" si="22"/>
        <v/>
      </c>
      <c r="J277" s="191" t="e">
        <f t="shared" si="25"/>
        <v>#NUM!</v>
      </c>
      <c r="K277" s="191" t="e">
        <f t="shared" si="23"/>
        <v>#NUM!</v>
      </c>
      <c r="L277" s="191"/>
      <c r="M277" s="193">
        <f t="shared" si="24"/>
        <v>0</v>
      </c>
    </row>
    <row r="278" spans="1:13" x14ac:dyDescent="0.25">
      <c r="A278" s="208"/>
      <c r="G278" s="179"/>
      <c r="H278" s="191">
        <v>273</v>
      </c>
      <c r="I278" s="192" t="str">
        <f t="shared" si="22"/>
        <v/>
      </c>
      <c r="J278" s="191" t="e">
        <f t="shared" si="25"/>
        <v>#NUM!</v>
      </c>
      <c r="K278" s="191" t="e">
        <f t="shared" si="23"/>
        <v>#NUM!</v>
      </c>
      <c r="L278" s="191"/>
      <c r="M278" s="193">
        <f t="shared" si="24"/>
        <v>0</v>
      </c>
    </row>
    <row r="279" spans="1:13" x14ac:dyDescent="0.25">
      <c r="A279" s="208"/>
      <c r="G279" s="179"/>
      <c r="H279" s="194">
        <v>274</v>
      </c>
      <c r="I279" s="192" t="str">
        <f t="shared" si="22"/>
        <v/>
      </c>
      <c r="J279" s="191" t="e">
        <f t="shared" si="25"/>
        <v>#NUM!</v>
      </c>
      <c r="K279" s="191" t="e">
        <f t="shared" si="23"/>
        <v>#NUM!</v>
      </c>
      <c r="L279" s="191"/>
      <c r="M279" s="193">
        <f t="shared" si="24"/>
        <v>0</v>
      </c>
    </row>
    <row r="280" spans="1:13" x14ac:dyDescent="0.25">
      <c r="A280" s="208"/>
      <c r="G280" s="179"/>
      <c r="H280" s="191">
        <v>275</v>
      </c>
      <c r="I280" s="192" t="str">
        <f t="shared" si="22"/>
        <v/>
      </c>
      <c r="J280" s="191" t="e">
        <f t="shared" si="25"/>
        <v>#NUM!</v>
      </c>
      <c r="K280" s="191" t="e">
        <f t="shared" si="23"/>
        <v>#NUM!</v>
      </c>
      <c r="L280" s="191"/>
      <c r="M280" s="193">
        <f t="shared" si="24"/>
        <v>0</v>
      </c>
    </row>
    <row r="281" spans="1:13" x14ac:dyDescent="0.25">
      <c r="A281" s="208"/>
      <c r="G281" s="179"/>
      <c r="H281" s="194">
        <v>276</v>
      </c>
      <c r="I281" s="192" t="str">
        <f t="shared" si="22"/>
        <v/>
      </c>
      <c r="J281" s="191" t="e">
        <f t="shared" si="25"/>
        <v>#NUM!</v>
      </c>
      <c r="K281" s="191" t="e">
        <f t="shared" si="23"/>
        <v>#NUM!</v>
      </c>
      <c r="L281" s="191"/>
      <c r="M281" s="193">
        <f t="shared" si="24"/>
        <v>0</v>
      </c>
    </row>
    <row r="282" spans="1:13" x14ac:dyDescent="0.25">
      <c r="A282" s="208"/>
      <c r="G282" s="179"/>
      <c r="H282" s="191">
        <v>277</v>
      </c>
      <c r="I282" s="192" t="str">
        <f t="shared" si="22"/>
        <v/>
      </c>
      <c r="J282" s="191" t="e">
        <f t="shared" si="25"/>
        <v>#NUM!</v>
      </c>
      <c r="K282" s="191" t="e">
        <f t="shared" si="23"/>
        <v>#NUM!</v>
      </c>
      <c r="L282" s="191"/>
      <c r="M282" s="193">
        <f t="shared" si="24"/>
        <v>0</v>
      </c>
    </row>
    <row r="283" spans="1:13" x14ac:dyDescent="0.25">
      <c r="A283" s="208"/>
      <c r="G283" s="179"/>
      <c r="H283" s="194">
        <v>278</v>
      </c>
      <c r="I283" s="192" t="str">
        <f t="shared" si="22"/>
        <v/>
      </c>
      <c r="J283" s="191" t="e">
        <f t="shared" si="25"/>
        <v>#NUM!</v>
      </c>
      <c r="K283" s="191" t="e">
        <f t="shared" si="23"/>
        <v>#NUM!</v>
      </c>
      <c r="L283" s="191"/>
      <c r="M283" s="193">
        <f t="shared" si="24"/>
        <v>0</v>
      </c>
    </row>
    <row r="284" spans="1:13" x14ac:dyDescent="0.25">
      <c r="A284" s="208"/>
      <c r="G284" s="179"/>
      <c r="H284" s="191">
        <v>279</v>
      </c>
      <c r="I284" s="192" t="str">
        <f t="shared" si="22"/>
        <v/>
      </c>
      <c r="J284" s="191" t="e">
        <f t="shared" si="25"/>
        <v>#NUM!</v>
      </c>
      <c r="K284" s="191" t="e">
        <f t="shared" si="23"/>
        <v>#NUM!</v>
      </c>
      <c r="L284" s="191"/>
      <c r="M284" s="193">
        <f t="shared" si="24"/>
        <v>0</v>
      </c>
    </row>
    <row r="285" spans="1:13" x14ac:dyDescent="0.25">
      <c r="A285" s="208"/>
      <c r="G285" s="179"/>
      <c r="H285" s="194">
        <v>280</v>
      </c>
      <c r="I285" s="192" t="str">
        <f t="shared" si="22"/>
        <v/>
      </c>
      <c r="J285" s="191" t="e">
        <f t="shared" si="25"/>
        <v>#NUM!</v>
      </c>
      <c r="K285" s="191" t="e">
        <f t="shared" si="23"/>
        <v>#NUM!</v>
      </c>
      <c r="L285" s="191"/>
      <c r="M285" s="193">
        <f t="shared" si="24"/>
        <v>0</v>
      </c>
    </row>
    <row r="286" spans="1:13" x14ac:dyDescent="0.25">
      <c r="A286" s="208"/>
      <c r="G286" s="179"/>
      <c r="H286" s="191">
        <v>281</v>
      </c>
      <c r="I286" s="192" t="str">
        <f t="shared" si="22"/>
        <v/>
      </c>
      <c r="J286" s="191" t="e">
        <f t="shared" si="25"/>
        <v>#NUM!</v>
      </c>
      <c r="K286" s="191" t="e">
        <f t="shared" si="23"/>
        <v>#NUM!</v>
      </c>
      <c r="L286" s="191"/>
      <c r="M286" s="193">
        <f t="shared" si="24"/>
        <v>0</v>
      </c>
    </row>
    <row r="287" spans="1:13" x14ac:dyDescent="0.25">
      <c r="A287" s="208"/>
      <c r="G287" s="179"/>
      <c r="H287" s="194">
        <v>282</v>
      </c>
      <c r="I287" s="192" t="str">
        <f t="shared" si="22"/>
        <v/>
      </c>
      <c r="J287" s="191" t="e">
        <f t="shared" si="25"/>
        <v>#NUM!</v>
      </c>
      <c r="K287" s="191" t="e">
        <f t="shared" si="23"/>
        <v>#NUM!</v>
      </c>
      <c r="L287" s="191"/>
      <c r="M287" s="193">
        <f t="shared" si="24"/>
        <v>0</v>
      </c>
    </row>
    <row r="288" spans="1:13" x14ac:dyDescent="0.25">
      <c r="A288" s="208"/>
      <c r="G288" s="179"/>
      <c r="H288" s="191">
        <v>283</v>
      </c>
      <c r="I288" s="192" t="str">
        <f t="shared" si="22"/>
        <v/>
      </c>
      <c r="J288" s="191" t="e">
        <f t="shared" si="25"/>
        <v>#NUM!</v>
      </c>
      <c r="K288" s="191" t="e">
        <f t="shared" si="23"/>
        <v>#NUM!</v>
      </c>
      <c r="L288" s="191"/>
      <c r="M288" s="193">
        <f t="shared" si="24"/>
        <v>0</v>
      </c>
    </row>
    <row r="289" spans="1:13" x14ac:dyDescent="0.25">
      <c r="A289" s="208"/>
      <c r="G289" s="179"/>
      <c r="H289" s="194">
        <v>284</v>
      </c>
      <c r="I289" s="192" t="str">
        <f t="shared" si="22"/>
        <v/>
      </c>
      <c r="J289" s="191" t="e">
        <f t="shared" si="25"/>
        <v>#NUM!</v>
      </c>
      <c r="K289" s="191" t="e">
        <f t="shared" si="23"/>
        <v>#NUM!</v>
      </c>
      <c r="L289" s="191"/>
      <c r="M289" s="193">
        <f t="shared" si="24"/>
        <v>0</v>
      </c>
    </row>
    <row r="290" spans="1:13" x14ac:dyDescent="0.25">
      <c r="A290" s="208"/>
      <c r="G290" s="179"/>
      <c r="H290" s="191">
        <v>285</v>
      </c>
      <c r="I290" s="192" t="str">
        <f t="shared" si="22"/>
        <v/>
      </c>
      <c r="J290" s="191" t="e">
        <f t="shared" si="25"/>
        <v>#NUM!</v>
      </c>
      <c r="K290" s="191" t="e">
        <f t="shared" si="23"/>
        <v>#NUM!</v>
      </c>
      <c r="L290" s="191"/>
      <c r="M290" s="193">
        <f t="shared" si="24"/>
        <v>0</v>
      </c>
    </row>
    <row r="291" spans="1:13" x14ac:dyDescent="0.25">
      <c r="A291" s="208"/>
      <c r="G291" s="179"/>
      <c r="H291" s="194">
        <v>286</v>
      </c>
      <c r="I291" s="192" t="str">
        <f t="shared" si="22"/>
        <v/>
      </c>
      <c r="J291" s="191" t="e">
        <f t="shared" si="25"/>
        <v>#NUM!</v>
      </c>
      <c r="K291" s="191" t="e">
        <f t="shared" si="23"/>
        <v>#NUM!</v>
      </c>
      <c r="L291" s="191"/>
      <c r="M291" s="193">
        <f t="shared" si="24"/>
        <v>0</v>
      </c>
    </row>
    <row r="292" spans="1:13" x14ac:dyDescent="0.25">
      <c r="A292" s="208"/>
      <c r="G292" s="179"/>
      <c r="H292" s="191">
        <v>287</v>
      </c>
      <c r="I292" s="192" t="str">
        <f t="shared" si="22"/>
        <v/>
      </c>
      <c r="J292" s="191" t="e">
        <f t="shared" si="25"/>
        <v>#NUM!</v>
      </c>
      <c r="K292" s="191" t="e">
        <f t="shared" si="23"/>
        <v>#NUM!</v>
      </c>
      <c r="L292" s="191"/>
      <c r="M292" s="193">
        <f t="shared" si="24"/>
        <v>0</v>
      </c>
    </row>
    <row r="293" spans="1:13" x14ac:dyDescent="0.25">
      <c r="A293" s="208"/>
      <c r="G293" s="179"/>
      <c r="H293" s="191">
        <v>288</v>
      </c>
      <c r="I293" s="192" t="str">
        <f t="shared" si="22"/>
        <v/>
      </c>
      <c r="J293" s="191" t="e">
        <f t="shared" si="25"/>
        <v>#NUM!</v>
      </c>
      <c r="K293" s="191" t="e">
        <f t="shared" si="23"/>
        <v>#NUM!</v>
      </c>
      <c r="L293" s="191"/>
      <c r="M293" s="193">
        <f t="shared" si="24"/>
        <v>0</v>
      </c>
    </row>
    <row r="294" spans="1:13" x14ac:dyDescent="0.25">
      <c r="A294" s="208"/>
      <c r="G294" s="179"/>
      <c r="H294" s="191">
        <v>289</v>
      </c>
      <c r="I294" s="192" t="str">
        <f t="shared" si="22"/>
        <v/>
      </c>
      <c r="J294" s="191" t="e">
        <f t="shared" si="25"/>
        <v>#NUM!</v>
      </c>
      <c r="K294" s="191" t="e">
        <f t="shared" si="23"/>
        <v>#NUM!</v>
      </c>
      <c r="L294" s="191"/>
      <c r="M294" s="193">
        <f t="shared" si="24"/>
        <v>0</v>
      </c>
    </row>
    <row r="295" spans="1:13" x14ac:dyDescent="0.25">
      <c r="A295" s="208"/>
      <c r="G295" s="179"/>
      <c r="H295" s="191">
        <v>290</v>
      </c>
      <c r="I295" s="192" t="str">
        <f t="shared" si="22"/>
        <v/>
      </c>
      <c r="J295" s="191" t="e">
        <f t="shared" si="25"/>
        <v>#NUM!</v>
      </c>
      <c r="K295" s="191" t="e">
        <f t="shared" si="23"/>
        <v>#NUM!</v>
      </c>
      <c r="L295" s="191"/>
      <c r="M295" s="193">
        <f t="shared" si="24"/>
        <v>0</v>
      </c>
    </row>
    <row r="296" spans="1:13" x14ac:dyDescent="0.25">
      <c r="A296" s="208"/>
      <c r="G296" s="179"/>
      <c r="H296" s="191">
        <v>291</v>
      </c>
      <c r="I296" s="192" t="str">
        <f t="shared" si="22"/>
        <v/>
      </c>
      <c r="J296" s="191" t="e">
        <f t="shared" si="25"/>
        <v>#NUM!</v>
      </c>
      <c r="K296" s="191" t="e">
        <f t="shared" si="23"/>
        <v>#NUM!</v>
      </c>
      <c r="L296" s="191"/>
      <c r="M296" s="193">
        <f t="shared" si="24"/>
        <v>0</v>
      </c>
    </row>
    <row r="297" spans="1:13" x14ac:dyDescent="0.25">
      <c r="A297" s="208"/>
      <c r="G297" s="179"/>
      <c r="H297" s="191">
        <v>292</v>
      </c>
      <c r="I297" s="192" t="str">
        <f t="shared" si="22"/>
        <v/>
      </c>
      <c r="J297" s="191" t="e">
        <f t="shared" si="25"/>
        <v>#NUM!</v>
      </c>
      <c r="K297" s="191" t="e">
        <f t="shared" si="23"/>
        <v>#NUM!</v>
      </c>
      <c r="L297" s="191"/>
      <c r="M297" s="193">
        <f t="shared" si="24"/>
        <v>0</v>
      </c>
    </row>
    <row r="298" spans="1:13" x14ac:dyDescent="0.25">
      <c r="A298" s="208"/>
      <c r="G298" s="179"/>
      <c r="H298" s="191">
        <v>293</v>
      </c>
      <c r="I298" s="192" t="str">
        <f t="shared" si="22"/>
        <v/>
      </c>
      <c r="J298" s="191" t="e">
        <f t="shared" si="25"/>
        <v>#NUM!</v>
      </c>
      <c r="K298" s="191" t="e">
        <f t="shared" si="23"/>
        <v>#NUM!</v>
      </c>
      <c r="L298" s="191"/>
      <c r="M298" s="193">
        <f t="shared" si="24"/>
        <v>0</v>
      </c>
    </row>
    <row r="299" spans="1:13" x14ac:dyDescent="0.25">
      <c r="A299" s="208"/>
      <c r="G299" s="179"/>
      <c r="H299" s="191">
        <v>294</v>
      </c>
      <c r="I299" s="192" t="str">
        <f t="shared" si="22"/>
        <v/>
      </c>
      <c r="J299" s="191" t="e">
        <f t="shared" si="25"/>
        <v>#NUM!</v>
      </c>
      <c r="K299" s="191" t="e">
        <f t="shared" si="23"/>
        <v>#NUM!</v>
      </c>
      <c r="L299" s="191"/>
      <c r="M299" s="193">
        <f t="shared" si="24"/>
        <v>0</v>
      </c>
    </row>
    <row r="300" spans="1:13" x14ac:dyDescent="0.25">
      <c r="A300" s="208"/>
      <c r="G300" s="179"/>
      <c r="H300" s="191">
        <v>295</v>
      </c>
      <c r="I300" s="192" t="str">
        <f t="shared" si="22"/>
        <v/>
      </c>
      <c r="J300" s="191" t="e">
        <f t="shared" si="25"/>
        <v>#NUM!</v>
      </c>
      <c r="K300" s="191" t="e">
        <f t="shared" si="23"/>
        <v>#NUM!</v>
      </c>
      <c r="L300" s="191"/>
      <c r="M300" s="193">
        <f t="shared" si="24"/>
        <v>0</v>
      </c>
    </row>
    <row r="301" spans="1:13" x14ac:dyDescent="0.25">
      <c r="A301" s="208"/>
      <c r="G301" s="179"/>
      <c r="H301" s="191">
        <v>296</v>
      </c>
      <c r="I301" s="192" t="str">
        <f t="shared" si="22"/>
        <v/>
      </c>
      <c r="J301" s="191" t="e">
        <f t="shared" si="25"/>
        <v>#NUM!</v>
      </c>
      <c r="K301" s="191" t="e">
        <f t="shared" si="23"/>
        <v>#NUM!</v>
      </c>
      <c r="L301" s="191"/>
      <c r="M301" s="193">
        <f t="shared" si="24"/>
        <v>0</v>
      </c>
    </row>
    <row r="302" spans="1:13" x14ac:dyDescent="0.25">
      <c r="A302" s="208"/>
      <c r="G302" s="179"/>
      <c r="H302" s="191">
        <v>297</v>
      </c>
      <c r="I302" s="192" t="str">
        <f t="shared" si="22"/>
        <v/>
      </c>
      <c r="J302" s="191" t="e">
        <f t="shared" si="25"/>
        <v>#NUM!</v>
      </c>
      <c r="K302" s="191" t="e">
        <f t="shared" si="23"/>
        <v>#NUM!</v>
      </c>
      <c r="L302" s="191"/>
      <c r="M302" s="193">
        <f t="shared" si="24"/>
        <v>0</v>
      </c>
    </row>
    <row r="303" spans="1:13" x14ac:dyDescent="0.25">
      <c r="A303" s="208"/>
      <c r="G303" s="179"/>
      <c r="H303" s="191">
        <v>298</v>
      </c>
      <c r="I303" s="192" t="str">
        <f t="shared" si="22"/>
        <v/>
      </c>
      <c r="J303" s="191" t="e">
        <f t="shared" si="25"/>
        <v>#NUM!</v>
      </c>
      <c r="K303" s="191" t="e">
        <f t="shared" si="23"/>
        <v>#NUM!</v>
      </c>
      <c r="L303" s="191"/>
      <c r="M303" s="193">
        <f t="shared" si="24"/>
        <v>0</v>
      </c>
    </row>
    <row r="304" spans="1:13" x14ac:dyDescent="0.25">
      <c r="A304" s="208"/>
      <c r="G304" s="179"/>
      <c r="H304" s="191">
        <v>299</v>
      </c>
      <c r="I304" s="192" t="str">
        <f t="shared" si="22"/>
        <v/>
      </c>
      <c r="J304" s="191" t="e">
        <f t="shared" si="25"/>
        <v>#NUM!</v>
      </c>
      <c r="K304" s="191" t="e">
        <f t="shared" si="23"/>
        <v>#NUM!</v>
      </c>
      <c r="L304" s="191"/>
      <c r="M304" s="193">
        <f t="shared" si="24"/>
        <v>0</v>
      </c>
    </row>
    <row r="305" spans="1:16" x14ac:dyDescent="0.25">
      <c r="A305" s="208"/>
      <c r="G305" s="179"/>
      <c r="H305" s="191">
        <v>300</v>
      </c>
      <c r="I305" s="192" t="str">
        <f t="shared" si="22"/>
        <v/>
      </c>
      <c r="J305" s="191" t="e">
        <f t="shared" si="25"/>
        <v>#NUM!</v>
      </c>
      <c r="K305" s="191" t="e">
        <f t="shared" si="23"/>
        <v>#NUM!</v>
      </c>
      <c r="L305" s="191"/>
      <c r="M305" s="193">
        <f t="shared" si="24"/>
        <v>0</v>
      </c>
    </row>
    <row r="306" spans="1:16" x14ac:dyDescent="0.25">
      <c r="A306" s="209"/>
    </row>
    <row r="314" spans="1:16" x14ac:dyDescent="0.25">
      <c r="L314" s="212"/>
      <c r="P314" s="202"/>
    </row>
    <row r="315" spans="1:16" x14ac:dyDescent="0.25">
      <c r="L315" s="212"/>
      <c r="P315" s="202"/>
    </row>
    <row r="316" spans="1:16" x14ac:dyDescent="0.25">
      <c r="L316" s="212"/>
      <c r="P316" s="202"/>
    </row>
    <row r="317" spans="1:16" x14ac:dyDescent="0.25">
      <c r="L317" s="212"/>
      <c r="P317" s="202"/>
    </row>
  </sheetData>
  <conditionalFormatting sqref="J6:K305">
    <cfRule type="cellIs" dxfId="3" priority="1" operator="lessThanOrEqual">
      <formula>0</formula>
    </cfRule>
  </conditionalFormatting>
  <hyperlinks>
    <hyperlink ref="C2" r:id="rId1" xr:uid="{0CABA2E4-3F01-4CDA-98BA-DEC02E90A288}"/>
  </hyperlinks>
  <pageMargins left="0.7" right="0.7" top="0.75" bottom="0.75" header="0.3" footer="0.3"/>
  <pageSetup paperSize="9" orientation="portrait"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E053D-F5E0-4A49-BC1E-B7D8564E0947}">
  <sheetPr>
    <tabColor rgb="FF92D050"/>
  </sheetPr>
  <dimension ref="A1:AM317"/>
  <sheetViews>
    <sheetView workbookViewId="0">
      <selection activeCell="C2" sqref="C2:D3"/>
    </sheetView>
  </sheetViews>
  <sheetFormatPr defaultColWidth="8.875" defaultRowHeight="14.3" x14ac:dyDescent="0.25"/>
  <cols>
    <col min="1" max="1" width="8" style="115" customWidth="1"/>
    <col min="2" max="2" width="8.25" style="115" customWidth="1"/>
    <col min="3" max="3" width="34.75" style="115" customWidth="1"/>
    <col min="4" max="4" width="11.25" style="115" customWidth="1"/>
    <col min="5" max="6" width="8.875" style="115"/>
    <col min="7" max="7" width="0.875" style="115" customWidth="1"/>
    <col min="8" max="8" width="8.875" style="118"/>
    <col min="9" max="9" width="11" style="118" customWidth="1"/>
    <col min="10" max="10" width="15.25" style="118" customWidth="1"/>
    <col min="11" max="11" width="8.75" style="118" customWidth="1"/>
    <col min="12" max="12" width="11" style="118" customWidth="1"/>
    <col min="13" max="13" width="11.75" style="118" customWidth="1"/>
    <col min="14" max="14" width="11.75" style="119" customWidth="1"/>
    <col min="15" max="16" width="13.875" style="80" customWidth="1"/>
    <col min="17" max="19" width="8.875" style="80"/>
    <col min="20" max="21" width="8.875" style="85"/>
    <col min="22" max="22" width="12.125" style="85" customWidth="1"/>
    <col min="23" max="23" width="27.375" style="85" customWidth="1"/>
    <col min="24" max="39" width="8.875" style="85"/>
    <col min="40" max="16384" width="8.875" style="115"/>
  </cols>
  <sheetData>
    <row r="1" spans="1:37" s="85" customFormat="1" x14ac:dyDescent="0.25">
      <c r="A1" s="80"/>
      <c r="B1" s="80"/>
      <c r="C1" s="80"/>
      <c r="D1" s="80"/>
      <c r="E1" s="80"/>
      <c r="F1" s="80"/>
      <c r="G1" s="80"/>
      <c r="H1" s="81" t="s">
        <v>20</v>
      </c>
      <c r="I1" s="82" t="s">
        <v>21</v>
      </c>
      <c r="J1" s="82" t="s">
        <v>22</v>
      </c>
      <c r="K1" s="83" t="s">
        <v>64</v>
      </c>
      <c r="L1" s="123" t="s">
        <v>65</v>
      </c>
      <c r="M1" s="124"/>
      <c r="N1" s="84"/>
      <c r="O1" s="80"/>
      <c r="P1" s="80"/>
      <c r="Q1" s="80"/>
      <c r="R1" s="80"/>
      <c r="S1" s="80"/>
    </row>
    <row r="2" spans="1:37" s="85" customFormat="1" ht="14.3" customHeight="1" x14ac:dyDescent="0.25">
      <c r="A2" s="80"/>
      <c r="B2" s="19" t="s">
        <v>24</v>
      </c>
      <c r="C2" s="300" t="s">
        <v>107</v>
      </c>
      <c r="D2" s="300"/>
      <c r="E2" s="20"/>
      <c r="F2" s="20"/>
      <c r="G2" s="20"/>
      <c r="H2" s="86">
        <v>35</v>
      </c>
      <c r="I2" s="87">
        <v>50</v>
      </c>
      <c r="J2" s="87">
        <v>10</v>
      </c>
      <c r="K2" s="121">
        <f>3*H2^(1/3)</f>
        <v>9.8131989305657665</v>
      </c>
      <c r="L2" s="125">
        <v>1.2</v>
      </c>
      <c r="M2" s="84"/>
      <c r="N2" s="84"/>
      <c r="O2" s="80"/>
      <c r="P2" s="80"/>
      <c r="Q2" s="80"/>
      <c r="R2" s="80"/>
      <c r="S2" s="80"/>
    </row>
    <row r="3" spans="1:37" s="85" customFormat="1" ht="14.3" customHeight="1" x14ac:dyDescent="0.25">
      <c r="A3" s="80"/>
      <c r="B3" s="89" t="s">
        <v>26</v>
      </c>
      <c r="C3" s="301">
        <v>2023</v>
      </c>
      <c r="D3" s="301"/>
      <c r="E3" s="25"/>
      <c r="F3" s="25"/>
      <c r="G3" s="25"/>
      <c r="H3" s="84"/>
      <c r="I3" s="84"/>
      <c r="J3" s="90"/>
      <c r="K3" s="84"/>
      <c r="L3" s="84"/>
      <c r="M3" s="84"/>
      <c r="N3" s="84"/>
      <c r="O3" s="80"/>
      <c r="P3" s="80"/>
      <c r="Q3" s="80"/>
      <c r="R3" s="80"/>
      <c r="S3" s="80"/>
    </row>
    <row r="4" spans="1:37" s="85" customFormat="1" ht="10.199999999999999" customHeight="1" x14ac:dyDescent="0.25">
      <c r="A4" s="27"/>
      <c r="B4" s="25"/>
      <c r="C4" s="27"/>
      <c r="D4" s="27"/>
      <c r="E4" s="27"/>
      <c r="F4" s="27"/>
      <c r="G4" s="27"/>
      <c r="H4" s="84"/>
      <c r="I4" s="84"/>
      <c r="J4" s="90"/>
      <c r="K4" s="84"/>
      <c r="L4" s="84"/>
      <c r="M4" s="84"/>
      <c r="N4" s="84"/>
      <c r="O4" s="80"/>
      <c r="P4" s="80"/>
      <c r="Q4" s="80"/>
      <c r="R4" s="80"/>
      <c r="S4" s="80"/>
    </row>
    <row r="5" spans="1:37" s="85" customFormat="1" ht="34.65" x14ac:dyDescent="0.25">
      <c r="A5" s="1" t="s">
        <v>28</v>
      </c>
      <c r="B5" s="28" t="s">
        <v>29</v>
      </c>
      <c r="C5" s="1" t="s">
        <v>30</v>
      </c>
      <c r="D5" s="1" t="s">
        <v>31</v>
      </c>
      <c r="E5" s="1" t="s">
        <v>32</v>
      </c>
      <c r="F5" s="1" t="s">
        <v>33</v>
      </c>
      <c r="G5" s="27"/>
      <c r="H5" s="91" t="s">
        <v>34</v>
      </c>
      <c r="I5" s="92" t="s">
        <v>35</v>
      </c>
      <c r="J5" s="93" t="s">
        <v>36</v>
      </c>
      <c r="K5" s="92" t="s">
        <v>37</v>
      </c>
      <c r="L5" s="92" t="s">
        <v>38</v>
      </c>
      <c r="M5" s="91" t="s">
        <v>39</v>
      </c>
      <c r="N5" s="91" t="s">
        <v>66</v>
      </c>
      <c r="O5" s="80"/>
      <c r="P5" s="80"/>
      <c r="Q5" s="80"/>
      <c r="R5" s="80"/>
      <c r="S5" s="80"/>
    </row>
    <row r="6" spans="1:37" s="85" customFormat="1" ht="14.45" customHeight="1" x14ac:dyDescent="0.25">
      <c r="A6" s="94">
        <f t="shared" ref="A6:A69" si="0">N6</f>
        <v>167.32751615003673</v>
      </c>
      <c r="B6" s="33">
        <f t="shared" ref="B6:B40" si="1">IF(H6&gt;$H$2,"",(ROW()-5))</f>
        <v>1</v>
      </c>
      <c r="C6" s="34" t="s">
        <v>108</v>
      </c>
      <c r="D6" s="34" t="s">
        <v>109</v>
      </c>
      <c r="E6" s="34" t="s">
        <v>110</v>
      </c>
      <c r="F6" s="34"/>
      <c r="G6" s="27"/>
      <c r="H6" s="95">
        <v>1</v>
      </c>
      <c r="I6" s="96">
        <f t="shared" ref="I6:I69" si="2">IF(H6&lt;$H$2+1,($I$2-($I$2-1)*(LOG(H6)/LOG($H$2))),"")</f>
        <v>50</v>
      </c>
      <c r="J6" s="95">
        <f t="shared" ref="J6:J69" si="3">INT(LOG($H$2,2))-ROUNDUP(LOG(H6,2),0)+IF(OR($H$2=1,$H$2=2,$H$2=4,$H$2=8,$H$2=16,$H$2=32,$H$2=64,$H$2=128,$H$2=256),0,1)</f>
        <v>6</v>
      </c>
      <c r="K6" s="95">
        <f t="shared" ref="K6:K69" si="4">J6*$J$2</f>
        <v>60</v>
      </c>
      <c r="L6" s="97">
        <f>3*K2</f>
        <v>29.439596791697298</v>
      </c>
      <c r="M6" s="97">
        <f t="shared" ref="M6:M69" si="5">IF(I6&lt;&gt;"",K6+I6+L6,0)</f>
        <v>139.43959679169728</v>
      </c>
      <c r="N6" s="97">
        <f t="shared" ref="N6:N69" si="6">IF(I6&lt;&gt;"",M6*L$2,0)</f>
        <v>167.32751615003673</v>
      </c>
      <c r="O6" s="80"/>
      <c r="P6" s="80"/>
      <c r="Q6" s="80"/>
      <c r="R6" s="80"/>
      <c r="S6" s="80"/>
    </row>
    <row r="7" spans="1:37" s="85" customFormat="1" ht="14.45" customHeight="1" x14ac:dyDescent="0.25">
      <c r="A7" s="98">
        <f t="shared" si="0"/>
        <v>132.08808694600319</v>
      </c>
      <c r="B7" s="39">
        <f t="shared" si="1"/>
        <v>2</v>
      </c>
      <c r="C7" s="40" t="s">
        <v>111</v>
      </c>
      <c r="D7" s="40" t="s">
        <v>112</v>
      </c>
      <c r="E7" s="40" t="s">
        <v>110</v>
      </c>
      <c r="F7" s="40"/>
      <c r="G7" s="27"/>
      <c r="H7" s="99">
        <v>2</v>
      </c>
      <c r="I7" s="100">
        <f t="shared" si="2"/>
        <v>40.447007927204467</v>
      </c>
      <c r="J7" s="99">
        <f t="shared" si="3"/>
        <v>5</v>
      </c>
      <c r="K7" s="99">
        <f t="shared" si="4"/>
        <v>50</v>
      </c>
      <c r="L7" s="101">
        <f>2*K2</f>
        <v>19.626397861131533</v>
      </c>
      <c r="M7" s="101">
        <f t="shared" si="5"/>
        <v>110.073405788336</v>
      </c>
      <c r="N7" s="101">
        <f t="shared" si="6"/>
        <v>132.08808694600319</v>
      </c>
      <c r="O7" s="80"/>
      <c r="P7" s="80"/>
      <c r="Q7" s="80"/>
      <c r="R7" s="80"/>
      <c r="S7" s="80"/>
    </row>
    <row r="8" spans="1:37" s="85" customFormat="1" ht="14.45" customHeight="1" x14ac:dyDescent="0.25">
      <c r="A8" s="94">
        <f t="shared" si="0"/>
        <v>101.60647767059807</v>
      </c>
      <c r="B8" s="33">
        <f t="shared" si="1"/>
        <v>3</v>
      </c>
      <c r="C8" s="34" t="s">
        <v>113</v>
      </c>
      <c r="D8" s="34" t="s">
        <v>114</v>
      </c>
      <c r="E8" s="34" t="s">
        <v>115</v>
      </c>
      <c r="F8" s="34"/>
      <c r="G8" s="27"/>
      <c r="H8" s="95">
        <v>3</v>
      </c>
      <c r="I8" s="96">
        <f t="shared" si="2"/>
        <v>34.858865794932619</v>
      </c>
      <c r="J8" s="95">
        <f t="shared" si="3"/>
        <v>4</v>
      </c>
      <c r="K8" s="95">
        <f t="shared" si="4"/>
        <v>40</v>
      </c>
      <c r="L8" s="97">
        <f>K2</f>
        <v>9.8131989305657665</v>
      </c>
      <c r="M8" s="97">
        <f t="shared" si="5"/>
        <v>84.672064725498387</v>
      </c>
      <c r="N8" s="97">
        <f t="shared" si="6"/>
        <v>101.60647767059807</v>
      </c>
      <c r="O8" s="80"/>
      <c r="P8" s="80"/>
      <c r="Q8" s="80"/>
      <c r="R8" s="80"/>
      <c r="S8" s="80"/>
    </row>
    <row r="9" spans="1:37" s="85" customFormat="1" ht="14.45" customHeight="1" x14ac:dyDescent="0.25">
      <c r="A9" s="98">
        <f t="shared" si="0"/>
        <v>101.60647767059807</v>
      </c>
      <c r="B9" s="39">
        <f t="shared" si="1"/>
        <v>4</v>
      </c>
      <c r="C9" s="40" t="s">
        <v>116</v>
      </c>
      <c r="D9" s="40" t="s">
        <v>117</v>
      </c>
      <c r="E9" s="40" t="s">
        <v>118</v>
      </c>
      <c r="F9" s="40"/>
      <c r="G9" s="27"/>
      <c r="H9" s="99">
        <v>3</v>
      </c>
      <c r="I9" s="100">
        <f t="shared" si="2"/>
        <v>34.858865794932619</v>
      </c>
      <c r="J9" s="99">
        <f t="shared" si="3"/>
        <v>4</v>
      </c>
      <c r="K9" s="99">
        <f t="shared" si="4"/>
        <v>40</v>
      </c>
      <c r="L9" s="101">
        <f>K2</f>
        <v>9.8131989305657665</v>
      </c>
      <c r="M9" s="101">
        <f t="shared" si="5"/>
        <v>84.672064725498387</v>
      </c>
      <c r="N9" s="101">
        <f t="shared" si="6"/>
        <v>101.60647767059807</v>
      </c>
      <c r="O9" s="80"/>
      <c r="P9" s="80"/>
      <c r="Q9" s="80"/>
      <c r="R9" s="80"/>
      <c r="S9" s="80"/>
      <c r="V9" s="102"/>
      <c r="Z9" s="103"/>
      <c r="AA9" s="103"/>
      <c r="AG9" s="104"/>
      <c r="AH9" s="85" t="s">
        <v>40</v>
      </c>
      <c r="AI9" s="85">
        <v>23</v>
      </c>
    </row>
    <row r="10" spans="1:37" s="85" customFormat="1" ht="14.45" customHeight="1" x14ac:dyDescent="0.25">
      <c r="A10" s="94">
        <f t="shared" si="0"/>
        <v>69.382367179127769</v>
      </c>
      <c r="B10" s="33">
        <f t="shared" si="1"/>
        <v>5</v>
      </c>
      <c r="C10" s="34" t="s">
        <v>119</v>
      </c>
      <c r="D10" s="34" t="s">
        <v>120</v>
      </c>
      <c r="E10" s="34" t="s">
        <v>121</v>
      </c>
      <c r="F10" s="34"/>
      <c r="G10" s="27"/>
      <c r="H10" s="95">
        <v>5</v>
      </c>
      <c r="I10" s="96">
        <f t="shared" si="2"/>
        <v>27.818639315939802</v>
      </c>
      <c r="J10" s="95">
        <f t="shared" si="3"/>
        <v>3</v>
      </c>
      <c r="K10" s="95">
        <f t="shared" si="4"/>
        <v>30</v>
      </c>
      <c r="L10" s="95"/>
      <c r="M10" s="97">
        <f t="shared" si="5"/>
        <v>57.818639315939805</v>
      </c>
      <c r="N10" s="97">
        <f t="shared" si="6"/>
        <v>69.382367179127769</v>
      </c>
      <c r="O10" s="80"/>
      <c r="P10" s="80"/>
      <c r="Q10" s="80"/>
      <c r="R10" s="80"/>
      <c r="S10" s="80"/>
      <c r="W10" s="102"/>
      <c r="AA10" s="103"/>
      <c r="AB10" s="103"/>
      <c r="AH10" s="104"/>
      <c r="AI10" s="85" t="s">
        <v>41</v>
      </c>
      <c r="AJ10" s="85">
        <v>45</v>
      </c>
    </row>
    <row r="11" spans="1:37" s="85" customFormat="1" ht="14.45" customHeight="1" x14ac:dyDescent="0.25">
      <c r="A11" s="98">
        <f t="shared" si="0"/>
        <v>66.367048466564512</v>
      </c>
      <c r="B11" s="39">
        <f t="shared" si="1"/>
        <v>6</v>
      </c>
      <c r="C11" s="40" t="s">
        <v>122</v>
      </c>
      <c r="D11" s="40" t="s">
        <v>123</v>
      </c>
      <c r="E11" s="40" t="s">
        <v>124</v>
      </c>
      <c r="F11" s="40"/>
      <c r="G11" s="27"/>
      <c r="H11" s="99">
        <v>6</v>
      </c>
      <c r="I11" s="100">
        <f t="shared" si="2"/>
        <v>25.30587372213709</v>
      </c>
      <c r="J11" s="99">
        <f t="shared" si="3"/>
        <v>3</v>
      </c>
      <c r="K11" s="99">
        <f t="shared" si="4"/>
        <v>30</v>
      </c>
      <c r="L11" s="99"/>
      <c r="M11" s="101">
        <f t="shared" si="5"/>
        <v>55.305873722137093</v>
      </c>
      <c r="N11" s="101">
        <f t="shared" si="6"/>
        <v>66.367048466564512</v>
      </c>
      <c r="O11" s="80"/>
      <c r="P11" s="80"/>
      <c r="Q11" s="80"/>
      <c r="R11" s="80"/>
      <c r="S11" s="80"/>
      <c r="W11" s="105"/>
      <c r="AA11" s="103"/>
      <c r="AB11" s="103"/>
      <c r="AH11" s="104"/>
      <c r="AI11" s="85" t="s">
        <v>42</v>
      </c>
      <c r="AJ11" s="85">
        <v>50</v>
      </c>
    </row>
    <row r="12" spans="1:37" s="85" customFormat="1" ht="14.45" customHeight="1" x14ac:dyDescent="0.25">
      <c r="A12" s="94">
        <f t="shared" si="0"/>
        <v>63.817632820872234</v>
      </c>
      <c r="B12" s="33">
        <f t="shared" si="1"/>
        <v>7</v>
      </c>
      <c r="C12" s="34" t="s">
        <v>125</v>
      </c>
      <c r="D12" s="34" t="s">
        <v>126</v>
      </c>
      <c r="E12" s="34" t="s">
        <v>110</v>
      </c>
      <c r="F12" s="34"/>
      <c r="G12" s="27"/>
      <c r="H12" s="95">
        <v>7</v>
      </c>
      <c r="I12" s="96">
        <f t="shared" si="2"/>
        <v>23.181360684060198</v>
      </c>
      <c r="J12" s="95">
        <f t="shared" si="3"/>
        <v>3</v>
      </c>
      <c r="K12" s="95">
        <f t="shared" si="4"/>
        <v>30</v>
      </c>
      <c r="L12" s="95"/>
      <c r="M12" s="97">
        <f t="shared" si="5"/>
        <v>53.181360684060195</v>
      </c>
      <c r="N12" s="97">
        <f t="shared" si="6"/>
        <v>63.817632820872234</v>
      </c>
      <c r="O12" s="80"/>
      <c r="P12" s="80"/>
      <c r="Q12" s="80"/>
      <c r="R12" s="80"/>
      <c r="S12" s="80"/>
      <c r="AA12" s="103"/>
      <c r="AB12" s="103"/>
      <c r="AH12" s="104"/>
      <c r="AI12" s="85" t="s">
        <v>43</v>
      </c>
      <c r="AJ12" s="85">
        <f>AJ11-1</f>
        <v>49</v>
      </c>
    </row>
    <row r="13" spans="1:37" s="85" customFormat="1" ht="14.45" customHeight="1" x14ac:dyDescent="0.25">
      <c r="A13" s="98">
        <f t="shared" si="0"/>
        <v>61.609228537936097</v>
      </c>
      <c r="B13" s="39">
        <f t="shared" si="1"/>
        <v>8</v>
      </c>
      <c r="C13" s="40" t="s">
        <v>127</v>
      </c>
      <c r="D13" s="40" t="s">
        <v>128</v>
      </c>
      <c r="E13" s="40" t="s">
        <v>124</v>
      </c>
      <c r="F13" s="40"/>
      <c r="G13" s="27"/>
      <c r="H13" s="99">
        <v>8</v>
      </c>
      <c r="I13" s="100">
        <f t="shared" si="2"/>
        <v>21.341023781613416</v>
      </c>
      <c r="J13" s="99">
        <f t="shared" si="3"/>
        <v>3</v>
      </c>
      <c r="K13" s="99">
        <f t="shared" si="4"/>
        <v>30</v>
      </c>
      <c r="L13" s="99"/>
      <c r="M13" s="101">
        <f t="shared" si="5"/>
        <v>51.341023781613416</v>
      </c>
      <c r="N13" s="101">
        <f t="shared" si="6"/>
        <v>61.609228537936097</v>
      </c>
      <c r="O13" s="80"/>
      <c r="P13" s="80"/>
      <c r="Q13" s="80"/>
      <c r="R13" s="80"/>
      <c r="S13" s="80"/>
      <c r="Y13" s="102"/>
      <c r="AH13" s="104"/>
      <c r="AI13" s="85" t="s">
        <v>44</v>
      </c>
      <c r="AJ13" s="85" t="e">
        <f>LOG(AJ9)</f>
        <v>#NUM!</v>
      </c>
    </row>
    <row r="14" spans="1:37" s="85" customFormat="1" x14ac:dyDescent="0.25">
      <c r="A14" s="94">
        <f t="shared" si="0"/>
        <v>47.661277907838283</v>
      </c>
      <c r="B14" s="33">
        <f t="shared" si="1"/>
        <v>9</v>
      </c>
      <c r="C14" s="34" t="s">
        <v>129</v>
      </c>
      <c r="D14" s="34" t="s">
        <v>130</v>
      </c>
      <c r="E14" s="34" t="s">
        <v>121</v>
      </c>
      <c r="F14" s="34"/>
      <c r="G14" s="27"/>
      <c r="H14" s="95">
        <v>9</v>
      </c>
      <c r="I14" s="96">
        <f t="shared" si="2"/>
        <v>19.717731589865238</v>
      </c>
      <c r="J14" s="95">
        <f t="shared" si="3"/>
        <v>2</v>
      </c>
      <c r="K14" s="95">
        <f t="shared" si="4"/>
        <v>20</v>
      </c>
      <c r="L14" s="95"/>
      <c r="M14" s="97">
        <f t="shared" si="5"/>
        <v>39.717731589865238</v>
      </c>
      <c r="N14" s="97">
        <f t="shared" si="6"/>
        <v>47.661277907838283</v>
      </c>
      <c r="O14" s="80"/>
      <c r="P14" s="80"/>
      <c r="Q14" s="80"/>
      <c r="R14" s="80"/>
      <c r="S14" s="80"/>
      <c r="Y14" s="106"/>
      <c r="AA14" s="103"/>
      <c r="AB14" s="103"/>
      <c r="AH14" s="104"/>
      <c r="AI14" s="85" t="s">
        <v>45</v>
      </c>
      <c r="AJ14" s="85">
        <f>LOG(AJ10)</f>
        <v>1.6532125137753437</v>
      </c>
    </row>
    <row r="15" spans="1:37" s="85" customFormat="1" x14ac:dyDescent="0.25">
      <c r="A15" s="98">
        <f t="shared" si="0"/>
        <v>45.918776691773125</v>
      </c>
      <c r="B15" s="39">
        <f t="shared" si="1"/>
        <v>10</v>
      </c>
      <c r="C15" s="40" t="s">
        <v>131</v>
      </c>
      <c r="D15" s="40" t="s">
        <v>132</v>
      </c>
      <c r="E15" s="40" t="s">
        <v>133</v>
      </c>
      <c r="F15" s="40"/>
      <c r="G15" s="27"/>
      <c r="H15" s="99">
        <v>10</v>
      </c>
      <c r="I15" s="100">
        <f t="shared" si="2"/>
        <v>18.265647243144276</v>
      </c>
      <c r="J15" s="99">
        <f t="shared" si="3"/>
        <v>2</v>
      </c>
      <c r="K15" s="99">
        <f t="shared" si="4"/>
        <v>20</v>
      </c>
      <c r="L15" s="99"/>
      <c r="M15" s="101">
        <f t="shared" si="5"/>
        <v>38.265647243144272</v>
      </c>
      <c r="N15" s="101">
        <f t="shared" si="6"/>
        <v>45.918776691773125</v>
      </c>
      <c r="O15" s="80"/>
      <c r="P15" s="80"/>
      <c r="Q15" s="80"/>
      <c r="R15" s="80"/>
      <c r="S15" s="80"/>
      <c r="Y15" s="102"/>
      <c r="AA15" s="103"/>
      <c r="AB15" s="103"/>
    </row>
    <row r="16" spans="1:37" s="85" customFormat="1" x14ac:dyDescent="0.25">
      <c r="A16" s="94">
        <f t="shared" si="0"/>
        <v>44.342492604935622</v>
      </c>
      <c r="B16" s="33">
        <f t="shared" si="1"/>
        <v>11</v>
      </c>
      <c r="C16" s="34" t="s">
        <v>134</v>
      </c>
      <c r="D16" s="34" t="s">
        <v>135</v>
      </c>
      <c r="E16" s="34" t="s">
        <v>115</v>
      </c>
      <c r="F16" s="34"/>
      <c r="G16" s="27"/>
      <c r="H16" s="95">
        <v>11</v>
      </c>
      <c r="I16" s="96">
        <f t="shared" si="2"/>
        <v>16.952077170779688</v>
      </c>
      <c r="J16" s="95">
        <f t="shared" si="3"/>
        <v>2</v>
      </c>
      <c r="K16" s="95">
        <f t="shared" si="4"/>
        <v>20</v>
      </c>
      <c r="L16" s="95"/>
      <c r="M16" s="97">
        <f t="shared" si="5"/>
        <v>36.952077170779688</v>
      </c>
      <c r="N16" s="97">
        <f t="shared" si="6"/>
        <v>44.342492604935622</v>
      </c>
      <c r="O16" s="80"/>
      <c r="P16" s="80"/>
      <c r="Q16" s="80"/>
      <c r="R16" s="80"/>
      <c r="S16" s="107"/>
      <c r="AA16" s="103"/>
      <c r="AB16" s="103"/>
      <c r="AI16" s="108" t="s">
        <v>46</v>
      </c>
      <c r="AJ16" s="85" t="e">
        <f>AJ11-AJ12*AJ13/AJ14</f>
        <v>#NUM!</v>
      </c>
      <c r="AK16" s="85" t="s">
        <v>47</v>
      </c>
    </row>
    <row r="17" spans="1:20" s="85" customFormat="1" ht="38.75" x14ac:dyDescent="0.25">
      <c r="A17" s="98">
        <f t="shared" si="0"/>
        <v>42.903457979209868</v>
      </c>
      <c r="B17" s="39">
        <f t="shared" si="1"/>
        <v>12</v>
      </c>
      <c r="C17" s="40" t="s">
        <v>136</v>
      </c>
      <c r="D17" s="40" t="s">
        <v>137</v>
      </c>
      <c r="E17" s="40" t="s">
        <v>115</v>
      </c>
      <c r="F17" s="40"/>
      <c r="G17" s="27"/>
      <c r="H17" s="99">
        <v>12</v>
      </c>
      <c r="I17" s="100">
        <f t="shared" si="2"/>
        <v>15.75288164934156</v>
      </c>
      <c r="J17" s="99">
        <f t="shared" si="3"/>
        <v>2</v>
      </c>
      <c r="K17" s="99">
        <f t="shared" si="4"/>
        <v>20</v>
      </c>
      <c r="L17" s="99"/>
      <c r="M17" s="101">
        <f t="shared" si="5"/>
        <v>35.75288164934156</v>
      </c>
      <c r="N17" s="101">
        <f t="shared" si="6"/>
        <v>42.903457979209868</v>
      </c>
      <c r="O17" s="80"/>
      <c r="P17" s="80"/>
      <c r="Q17" s="80"/>
      <c r="R17" s="80"/>
      <c r="S17" s="80"/>
    </row>
    <row r="18" spans="1:20" s="85" customFormat="1" x14ac:dyDescent="0.25">
      <c r="A18" s="94">
        <f t="shared" si="0"/>
        <v>41.579674448088511</v>
      </c>
      <c r="B18" s="33">
        <f t="shared" si="1"/>
        <v>13</v>
      </c>
      <c r="C18" s="34" t="s">
        <v>138</v>
      </c>
      <c r="D18" s="34" t="s">
        <v>139</v>
      </c>
      <c r="E18" s="34" t="s">
        <v>110</v>
      </c>
      <c r="F18" s="34"/>
      <c r="G18" s="27"/>
      <c r="H18" s="95">
        <v>13</v>
      </c>
      <c r="I18" s="96">
        <f t="shared" si="2"/>
        <v>14.649728706740426</v>
      </c>
      <c r="J18" s="95">
        <f t="shared" si="3"/>
        <v>2</v>
      </c>
      <c r="K18" s="95">
        <f t="shared" si="4"/>
        <v>20</v>
      </c>
      <c r="L18" s="95"/>
      <c r="M18" s="97">
        <f t="shared" si="5"/>
        <v>34.649728706740426</v>
      </c>
      <c r="N18" s="97">
        <f t="shared" si="6"/>
        <v>41.579674448088511</v>
      </c>
      <c r="O18" s="80"/>
      <c r="P18" s="80"/>
      <c r="Q18" s="80"/>
      <c r="R18" s="80"/>
      <c r="S18" s="80"/>
    </row>
    <row r="19" spans="1:20" s="85" customFormat="1" x14ac:dyDescent="0.25">
      <c r="A19" s="98">
        <f t="shared" si="0"/>
        <v>40.354042333517611</v>
      </c>
      <c r="B19" s="39">
        <f t="shared" si="1"/>
        <v>14</v>
      </c>
      <c r="C19" s="40" t="s">
        <v>140</v>
      </c>
      <c r="D19" s="40" t="s">
        <v>141</v>
      </c>
      <c r="E19" s="40" t="s">
        <v>133</v>
      </c>
      <c r="F19" s="40"/>
      <c r="G19" s="27"/>
      <c r="H19" s="99">
        <v>14</v>
      </c>
      <c r="I19" s="100">
        <f t="shared" si="2"/>
        <v>13.628368611264676</v>
      </c>
      <c r="J19" s="99">
        <f t="shared" si="3"/>
        <v>2</v>
      </c>
      <c r="K19" s="99">
        <f t="shared" si="4"/>
        <v>20</v>
      </c>
      <c r="L19" s="99"/>
      <c r="M19" s="101">
        <f t="shared" si="5"/>
        <v>33.628368611264676</v>
      </c>
      <c r="N19" s="101">
        <f t="shared" si="6"/>
        <v>40.354042333517611</v>
      </c>
      <c r="O19" s="80"/>
      <c r="P19" s="80"/>
      <c r="Q19" s="80"/>
      <c r="R19" s="80"/>
      <c r="S19" s="80"/>
    </row>
    <row r="20" spans="1:20" s="85" customFormat="1" x14ac:dyDescent="0.25">
      <c r="A20" s="94">
        <f t="shared" si="0"/>
        <v>39.213006133046896</v>
      </c>
      <c r="B20" s="33">
        <f t="shared" si="1"/>
        <v>15</v>
      </c>
      <c r="C20" s="34" t="s">
        <v>142</v>
      </c>
      <c r="D20" s="34" t="s">
        <v>143</v>
      </c>
      <c r="E20" s="34" t="s">
        <v>115</v>
      </c>
      <c r="F20" s="34"/>
      <c r="G20" s="27"/>
      <c r="H20" s="95">
        <v>15</v>
      </c>
      <c r="I20" s="96">
        <f t="shared" si="2"/>
        <v>12.677505110872417</v>
      </c>
      <c r="J20" s="95">
        <f t="shared" si="3"/>
        <v>2</v>
      </c>
      <c r="K20" s="95">
        <f t="shared" si="4"/>
        <v>20</v>
      </c>
      <c r="L20" s="95"/>
      <c r="M20" s="97">
        <f t="shared" si="5"/>
        <v>32.677505110872417</v>
      </c>
      <c r="N20" s="97">
        <f t="shared" si="6"/>
        <v>39.213006133046896</v>
      </c>
      <c r="O20" s="80"/>
      <c r="P20" s="80"/>
      <c r="Q20" s="80"/>
      <c r="R20" s="80"/>
      <c r="S20" s="109"/>
      <c r="T20" s="110"/>
    </row>
    <row r="21" spans="1:20" s="85" customFormat="1" ht="25.85" x14ac:dyDescent="0.25">
      <c r="A21" s="98">
        <f t="shared" si="0"/>
        <v>38.145638050581461</v>
      </c>
      <c r="B21" s="39">
        <f t="shared" si="1"/>
        <v>16</v>
      </c>
      <c r="C21" s="40" t="s">
        <v>144</v>
      </c>
      <c r="D21" s="40" t="s">
        <v>145</v>
      </c>
      <c r="E21" s="40" t="s">
        <v>133</v>
      </c>
      <c r="F21" s="40"/>
      <c r="G21" s="27"/>
      <c r="H21" s="99">
        <v>16</v>
      </c>
      <c r="I21" s="100">
        <f t="shared" si="2"/>
        <v>11.788031708817883</v>
      </c>
      <c r="J21" s="99">
        <f t="shared" si="3"/>
        <v>2</v>
      </c>
      <c r="K21" s="99">
        <f t="shared" si="4"/>
        <v>20</v>
      </c>
      <c r="L21" s="99"/>
      <c r="M21" s="101">
        <f t="shared" si="5"/>
        <v>31.788031708817883</v>
      </c>
      <c r="N21" s="101">
        <f t="shared" si="6"/>
        <v>38.145638050581461</v>
      </c>
      <c r="O21" s="80"/>
      <c r="P21" s="80"/>
      <c r="Q21" s="80"/>
      <c r="R21" s="80"/>
      <c r="S21" s="80"/>
    </row>
    <row r="22" spans="1:20" s="85" customFormat="1" ht="25.85" x14ac:dyDescent="0.25">
      <c r="A22" s="94">
        <f t="shared" si="0"/>
        <v>25.142999855627064</v>
      </c>
      <c r="B22" s="33">
        <f t="shared" si="1"/>
        <v>17</v>
      </c>
      <c r="C22" s="34" t="s">
        <v>146</v>
      </c>
      <c r="D22" s="34" t="s">
        <v>147</v>
      </c>
      <c r="E22" s="34" t="s">
        <v>133</v>
      </c>
      <c r="F22" s="34"/>
      <c r="G22" s="27"/>
      <c r="H22" s="95">
        <v>17</v>
      </c>
      <c r="I22" s="96">
        <f t="shared" si="2"/>
        <v>10.952499879689221</v>
      </c>
      <c r="J22" s="95">
        <f t="shared" si="3"/>
        <v>1</v>
      </c>
      <c r="K22" s="95">
        <f t="shared" si="4"/>
        <v>10</v>
      </c>
      <c r="L22" s="95"/>
      <c r="M22" s="97">
        <f t="shared" si="5"/>
        <v>20.952499879689221</v>
      </c>
      <c r="N22" s="97">
        <f t="shared" si="6"/>
        <v>25.142999855627064</v>
      </c>
      <c r="O22" s="80"/>
      <c r="P22" s="80"/>
      <c r="Q22" s="80"/>
      <c r="R22" s="80"/>
      <c r="S22" s="80"/>
    </row>
    <row r="23" spans="1:20" s="85" customFormat="1" x14ac:dyDescent="0.25">
      <c r="A23" s="98">
        <f t="shared" si="0"/>
        <v>24.197687420483646</v>
      </c>
      <c r="B23" s="39">
        <f t="shared" si="1"/>
        <v>18</v>
      </c>
      <c r="C23" s="40" t="s">
        <v>148</v>
      </c>
      <c r="D23" s="40" t="s">
        <v>149</v>
      </c>
      <c r="E23" s="40" t="s">
        <v>150</v>
      </c>
      <c r="F23" s="40"/>
      <c r="G23" s="27"/>
      <c r="H23" s="99">
        <v>18</v>
      </c>
      <c r="I23" s="100">
        <f t="shared" si="2"/>
        <v>10.164739517069705</v>
      </c>
      <c r="J23" s="99">
        <f t="shared" si="3"/>
        <v>1</v>
      </c>
      <c r="K23" s="99">
        <f t="shared" si="4"/>
        <v>10</v>
      </c>
      <c r="L23" s="99"/>
      <c r="M23" s="101">
        <f t="shared" si="5"/>
        <v>20.164739517069705</v>
      </c>
      <c r="N23" s="101">
        <f t="shared" si="6"/>
        <v>24.197687420483646</v>
      </c>
      <c r="O23" s="80"/>
      <c r="P23" s="80"/>
      <c r="Q23" s="80"/>
      <c r="R23" s="80"/>
      <c r="S23" s="80"/>
    </row>
    <row r="24" spans="1:20" s="85" customFormat="1" x14ac:dyDescent="0.25">
      <c r="A24" s="94">
        <f t="shared" si="0"/>
        <v>23.30349856591609</v>
      </c>
      <c r="B24" s="33">
        <f t="shared" si="1"/>
        <v>19</v>
      </c>
      <c r="C24" s="34" t="s">
        <v>151</v>
      </c>
      <c r="D24" s="34" t="s">
        <v>152</v>
      </c>
      <c r="E24" s="34" t="s">
        <v>110</v>
      </c>
      <c r="F24" s="34"/>
      <c r="G24" s="27"/>
      <c r="H24" s="95">
        <v>19</v>
      </c>
      <c r="I24" s="96">
        <f t="shared" si="2"/>
        <v>9.419582138263408</v>
      </c>
      <c r="J24" s="95">
        <f t="shared" si="3"/>
        <v>1</v>
      </c>
      <c r="K24" s="95">
        <f t="shared" si="4"/>
        <v>10</v>
      </c>
      <c r="L24" s="95"/>
      <c r="M24" s="97">
        <f t="shared" si="5"/>
        <v>19.419582138263408</v>
      </c>
      <c r="N24" s="97">
        <f t="shared" si="6"/>
        <v>23.30349856591609</v>
      </c>
      <c r="O24" s="80"/>
      <c r="P24" s="80"/>
      <c r="Q24" s="80"/>
      <c r="R24" s="80"/>
      <c r="S24" s="109"/>
      <c r="T24" s="110"/>
    </row>
    <row r="25" spans="1:20" s="85" customFormat="1" x14ac:dyDescent="0.25">
      <c r="A25" s="98">
        <f t="shared" si="0"/>
        <v>22.455186204418496</v>
      </c>
      <c r="B25" s="39">
        <f t="shared" si="1"/>
        <v>20</v>
      </c>
      <c r="C25" s="40" t="s">
        <v>153</v>
      </c>
      <c r="D25" s="40" t="s">
        <v>154</v>
      </c>
      <c r="E25" s="40" t="s">
        <v>155</v>
      </c>
      <c r="F25" s="40"/>
      <c r="G25" s="27"/>
      <c r="H25" s="99">
        <v>20</v>
      </c>
      <c r="I25" s="100">
        <f t="shared" si="2"/>
        <v>8.7126551703487465</v>
      </c>
      <c r="J25" s="99">
        <f t="shared" si="3"/>
        <v>1</v>
      </c>
      <c r="K25" s="99">
        <f t="shared" si="4"/>
        <v>10</v>
      </c>
      <c r="L25" s="99"/>
      <c r="M25" s="101">
        <f t="shared" si="5"/>
        <v>18.712655170348746</v>
      </c>
      <c r="N25" s="101">
        <f t="shared" si="6"/>
        <v>22.455186204418496</v>
      </c>
      <c r="O25" s="80"/>
      <c r="P25" s="80"/>
      <c r="Q25" s="80"/>
      <c r="R25" s="80"/>
      <c r="S25" s="80"/>
    </row>
    <row r="26" spans="1:20" s="85" customFormat="1" ht="25.85" x14ac:dyDescent="0.25">
      <c r="A26" s="94">
        <f t="shared" si="0"/>
        <v>21.648271774791375</v>
      </c>
      <c r="B26" s="33">
        <f t="shared" si="1"/>
        <v>21</v>
      </c>
      <c r="C26" s="34" t="s">
        <v>156</v>
      </c>
      <c r="D26" s="34" t="s">
        <v>145</v>
      </c>
      <c r="E26" s="34" t="s">
        <v>133</v>
      </c>
      <c r="F26" s="34"/>
      <c r="G26" s="27"/>
      <c r="H26" s="95">
        <v>21</v>
      </c>
      <c r="I26" s="96">
        <f t="shared" si="2"/>
        <v>8.040226478992814</v>
      </c>
      <c r="J26" s="95">
        <f t="shared" si="3"/>
        <v>1</v>
      </c>
      <c r="K26" s="95">
        <f t="shared" si="4"/>
        <v>10</v>
      </c>
      <c r="L26" s="95"/>
      <c r="M26" s="97">
        <f t="shared" si="5"/>
        <v>18.040226478992814</v>
      </c>
      <c r="N26" s="97">
        <f t="shared" si="6"/>
        <v>21.648271774791375</v>
      </c>
      <c r="O26" s="80"/>
      <c r="P26" s="80"/>
      <c r="Q26" s="80"/>
      <c r="R26" s="80"/>
      <c r="S26" s="80"/>
    </row>
    <row r="27" spans="1:20" s="85" customFormat="1" x14ac:dyDescent="0.25">
      <c r="A27" s="98">
        <f t="shared" si="0"/>
        <v>20.878902117581003</v>
      </c>
      <c r="B27" s="39">
        <f t="shared" si="1"/>
        <v>22</v>
      </c>
      <c r="C27" s="40" t="s">
        <v>157</v>
      </c>
      <c r="D27" s="40" t="s">
        <v>158</v>
      </c>
      <c r="E27" s="40" t="s">
        <v>110</v>
      </c>
      <c r="F27" s="40"/>
      <c r="G27" s="27"/>
      <c r="H27" s="99">
        <v>22</v>
      </c>
      <c r="I27" s="100">
        <f t="shared" si="2"/>
        <v>7.3990850979841696</v>
      </c>
      <c r="J27" s="99">
        <f t="shared" si="3"/>
        <v>1</v>
      </c>
      <c r="K27" s="99">
        <f t="shared" si="4"/>
        <v>10</v>
      </c>
      <c r="L27" s="99"/>
      <c r="M27" s="101">
        <f t="shared" si="5"/>
        <v>17.39908509798417</v>
      </c>
      <c r="N27" s="101">
        <f t="shared" si="6"/>
        <v>20.878902117581003</v>
      </c>
      <c r="O27" s="80"/>
      <c r="P27" s="80"/>
      <c r="Q27" s="80"/>
      <c r="R27" s="80"/>
      <c r="S27" s="80"/>
    </row>
    <row r="28" spans="1:20" s="85" customFormat="1" x14ac:dyDescent="0.25">
      <c r="A28" s="94">
        <f t="shared" si="0"/>
        <v>20.143738191585506</v>
      </c>
      <c r="B28" s="33">
        <f t="shared" si="1"/>
        <v>23</v>
      </c>
      <c r="C28" s="34" t="s">
        <v>159</v>
      </c>
      <c r="D28" s="34" t="s">
        <v>160</v>
      </c>
      <c r="E28" s="34" t="s">
        <v>118</v>
      </c>
      <c r="F28" s="34"/>
      <c r="G28" s="27"/>
      <c r="H28" s="95">
        <v>23</v>
      </c>
      <c r="I28" s="96">
        <f t="shared" si="2"/>
        <v>6.7864484929879225</v>
      </c>
      <c r="J28" s="95">
        <f t="shared" si="3"/>
        <v>1</v>
      </c>
      <c r="K28" s="95">
        <f t="shared" si="4"/>
        <v>10</v>
      </c>
      <c r="L28" s="95"/>
      <c r="M28" s="97">
        <f t="shared" si="5"/>
        <v>16.786448492987923</v>
      </c>
      <c r="N28" s="97">
        <f t="shared" si="6"/>
        <v>20.143738191585506</v>
      </c>
      <c r="O28" s="80"/>
      <c r="P28" s="80"/>
      <c r="Q28" s="80"/>
      <c r="R28" s="80"/>
      <c r="S28" s="109"/>
      <c r="T28" s="110"/>
    </row>
    <row r="29" spans="1:20" s="85" customFormat="1" x14ac:dyDescent="0.25">
      <c r="A29" s="98">
        <f t="shared" si="0"/>
        <v>19.439867491855242</v>
      </c>
      <c r="B29" s="39">
        <f t="shared" si="1"/>
        <v>24</v>
      </c>
      <c r="C29" s="40" t="s">
        <v>161</v>
      </c>
      <c r="D29" s="40" t="s">
        <v>162</v>
      </c>
      <c r="E29" s="40" t="s">
        <v>115</v>
      </c>
      <c r="F29" s="40"/>
      <c r="G29" s="80"/>
      <c r="H29" s="99">
        <v>24</v>
      </c>
      <c r="I29" s="100">
        <f t="shared" si="2"/>
        <v>6.1998895765460347</v>
      </c>
      <c r="J29" s="99">
        <f t="shared" si="3"/>
        <v>1</v>
      </c>
      <c r="K29" s="99">
        <f t="shared" si="4"/>
        <v>10</v>
      </c>
      <c r="L29" s="99"/>
      <c r="M29" s="101">
        <f t="shared" si="5"/>
        <v>16.199889576546035</v>
      </c>
      <c r="N29" s="101">
        <f t="shared" si="6"/>
        <v>19.439867491855242</v>
      </c>
      <c r="O29" s="80"/>
      <c r="P29" s="80"/>
      <c r="Q29" s="80"/>
      <c r="R29" s="80"/>
      <c r="S29" s="80"/>
    </row>
    <row r="30" spans="1:20" s="85" customFormat="1" x14ac:dyDescent="0.25">
      <c r="A30" s="94">
        <f t="shared" si="0"/>
        <v>18.764734358255524</v>
      </c>
      <c r="B30" s="33">
        <f t="shared" si="1"/>
        <v>25</v>
      </c>
      <c r="C30" s="34" t="s">
        <v>163</v>
      </c>
      <c r="D30" s="34" t="s">
        <v>164</v>
      </c>
      <c r="E30" s="34" t="s">
        <v>133</v>
      </c>
      <c r="F30" s="34"/>
      <c r="G30" s="80"/>
      <c r="H30" s="95">
        <v>25</v>
      </c>
      <c r="I30" s="96">
        <f t="shared" si="2"/>
        <v>5.6372786318796031</v>
      </c>
      <c r="J30" s="95">
        <f t="shared" si="3"/>
        <v>1</v>
      </c>
      <c r="K30" s="95">
        <f t="shared" si="4"/>
        <v>10</v>
      </c>
      <c r="L30" s="95"/>
      <c r="M30" s="97">
        <f t="shared" si="5"/>
        <v>15.637278631879603</v>
      </c>
      <c r="N30" s="97">
        <f t="shared" si="6"/>
        <v>18.764734358255524</v>
      </c>
      <c r="O30" s="80"/>
      <c r="P30" s="80"/>
      <c r="Q30" s="80"/>
      <c r="R30" s="80"/>
      <c r="S30" s="80"/>
    </row>
    <row r="31" spans="1:20" s="85" customFormat="1" x14ac:dyDescent="0.25">
      <c r="A31" s="98">
        <f t="shared" si="0"/>
        <v>18.116083960733871</v>
      </c>
      <c r="B31" s="39">
        <f t="shared" si="1"/>
        <v>26</v>
      </c>
      <c r="C31" s="40" t="s">
        <v>165</v>
      </c>
      <c r="D31" s="40" t="s">
        <v>166</v>
      </c>
      <c r="E31" s="40" t="s">
        <v>133</v>
      </c>
      <c r="F31" s="40"/>
      <c r="G31" s="80"/>
      <c r="H31" s="99">
        <v>26</v>
      </c>
      <c r="I31" s="100">
        <f t="shared" si="2"/>
        <v>5.096736633944893</v>
      </c>
      <c r="J31" s="99">
        <f t="shared" si="3"/>
        <v>1</v>
      </c>
      <c r="K31" s="99">
        <f t="shared" si="4"/>
        <v>10</v>
      </c>
      <c r="L31" s="99"/>
      <c r="M31" s="101">
        <f t="shared" si="5"/>
        <v>15.096736633944893</v>
      </c>
      <c r="N31" s="101">
        <f t="shared" si="6"/>
        <v>18.116083960733871</v>
      </c>
      <c r="O31" s="80"/>
      <c r="P31" s="80"/>
      <c r="Q31" s="80"/>
      <c r="R31" s="80"/>
      <c r="S31" s="80"/>
    </row>
    <row r="32" spans="1:20" s="85" customFormat="1" x14ac:dyDescent="0.25">
      <c r="A32" s="94">
        <f t="shared" si="0"/>
        <v>17.491916861757421</v>
      </c>
      <c r="B32" s="33">
        <f t="shared" si="1"/>
        <v>27</v>
      </c>
      <c r="C32" s="34" t="s">
        <v>167</v>
      </c>
      <c r="D32" s="34" t="s">
        <v>168</v>
      </c>
      <c r="E32" s="34" t="s">
        <v>115</v>
      </c>
      <c r="F32" s="34"/>
      <c r="G32" s="80"/>
      <c r="H32" s="95">
        <v>27</v>
      </c>
      <c r="I32" s="96">
        <f t="shared" si="2"/>
        <v>4.5765973847978501</v>
      </c>
      <c r="J32" s="95">
        <f t="shared" si="3"/>
        <v>1</v>
      </c>
      <c r="K32" s="95">
        <f t="shared" si="4"/>
        <v>10</v>
      </c>
      <c r="L32" s="95"/>
      <c r="M32" s="97">
        <f t="shared" si="5"/>
        <v>14.57659738479785</v>
      </c>
      <c r="N32" s="97">
        <f t="shared" si="6"/>
        <v>17.491916861757421</v>
      </c>
      <c r="O32" s="80"/>
      <c r="P32" s="80"/>
      <c r="Q32" s="80"/>
      <c r="R32" s="80"/>
      <c r="S32" s="109"/>
      <c r="T32" s="110"/>
    </row>
    <row r="33" spans="1:20" s="85" customFormat="1" ht="25.85" x14ac:dyDescent="0.25">
      <c r="A33" s="98">
        <f t="shared" si="0"/>
        <v>16.890451846162964</v>
      </c>
      <c r="B33" s="39">
        <f t="shared" si="1"/>
        <v>28</v>
      </c>
      <c r="C33" s="40" t="s">
        <v>169</v>
      </c>
      <c r="D33" s="40" t="s">
        <v>170</v>
      </c>
      <c r="E33" s="40" t="s">
        <v>155</v>
      </c>
      <c r="F33" s="40"/>
      <c r="G33" s="80"/>
      <c r="H33" s="99">
        <v>28</v>
      </c>
      <c r="I33" s="100">
        <f t="shared" si="2"/>
        <v>4.0753765384691363</v>
      </c>
      <c r="J33" s="99">
        <f t="shared" si="3"/>
        <v>1</v>
      </c>
      <c r="K33" s="99">
        <f t="shared" si="4"/>
        <v>10</v>
      </c>
      <c r="L33" s="99"/>
      <c r="M33" s="101">
        <f t="shared" si="5"/>
        <v>14.075376538469136</v>
      </c>
      <c r="N33" s="101">
        <f t="shared" si="6"/>
        <v>16.890451846162964</v>
      </c>
      <c r="O33" s="80"/>
      <c r="P33" s="80"/>
      <c r="Q33" s="80"/>
      <c r="R33" s="80"/>
      <c r="S33" s="80"/>
    </row>
    <row r="34" spans="1:20" s="85" customFormat="1" x14ac:dyDescent="0.25">
      <c r="A34" s="94">
        <f t="shared" si="0"/>
        <v>16.310095276505962</v>
      </c>
      <c r="B34" s="33">
        <f t="shared" si="1"/>
        <v>29</v>
      </c>
      <c r="C34" s="34" t="s">
        <v>171</v>
      </c>
      <c r="D34" s="34" t="s">
        <v>172</v>
      </c>
      <c r="E34" s="34" t="s">
        <v>173</v>
      </c>
      <c r="F34" s="34"/>
      <c r="G34" s="80"/>
      <c r="H34" s="95">
        <v>29</v>
      </c>
      <c r="I34" s="96">
        <f t="shared" si="2"/>
        <v>3.5917460637549681</v>
      </c>
      <c r="J34" s="95">
        <f t="shared" si="3"/>
        <v>1</v>
      </c>
      <c r="K34" s="95">
        <f t="shared" si="4"/>
        <v>10</v>
      </c>
      <c r="L34" s="95"/>
      <c r="M34" s="97">
        <f t="shared" si="5"/>
        <v>13.591746063754968</v>
      </c>
      <c r="N34" s="97">
        <f t="shared" si="6"/>
        <v>16.310095276505962</v>
      </c>
      <c r="O34" s="80"/>
      <c r="P34" s="80"/>
      <c r="Q34" s="80"/>
      <c r="R34" s="80"/>
      <c r="S34" s="80"/>
    </row>
    <row r="35" spans="1:20" s="85" customFormat="1" x14ac:dyDescent="0.25">
      <c r="A35" s="98">
        <f t="shared" si="0"/>
        <v>15.749415645692268</v>
      </c>
      <c r="B35" s="39">
        <f t="shared" si="1"/>
        <v>30</v>
      </c>
      <c r="C35" s="40" t="s">
        <v>174</v>
      </c>
      <c r="D35" s="40" t="s">
        <v>175</v>
      </c>
      <c r="E35" s="40" t="s">
        <v>133</v>
      </c>
      <c r="F35" s="40"/>
      <c r="G35" s="80"/>
      <c r="H35" s="99">
        <v>30</v>
      </c>
      <c r="I35" s="100">
        <f t="shared" si="2"/>
        <v>3.1245130380768913</v>
      </c>
      <c r="J35" s="99">
        <f t="shared" si="3"/>
        <v>1</v>
      </c>
      <c r="K35" s="99">
        <f t="shared" si="4"/>
        <v>10</v>
      </c>
      <c r="L35" s="99"/>
      <c r="M35" s="101">
        <f t="shared" si="5"/>
        <v>13.124513038076891</v>
      </c>
      <c r="N35" s="101">
        <f t="shared" si="6"/>
        <v>15.749415645692268</v>
      </c>
      <c r="O35" s="80"/>
      <c r="P35" s="80"/>
      <c r="Q35" s="80"/>
      <c r="R35" s="80"/>
      <c r="S35" s="80"/>
    </row>
    <row r="36" spans="1:20" s="85" customFormat="1" x14ac:dyDescent="0.25">
      <c r="A36" s="94">
        <f t="shared" si="0"/>
        <v>15.207122303761587</v>
      </c>
      <c r="B36" s="33">
        <f t="shared" si="1"/>
        <v>31</v>
      </c>
      <c r="C36" s="34" t="s">
        <v>176</v>
      </c>
      <c r="D36" s="34" t="s">
        <v>177</v>
      </c>
      <c r="E36" s="34" t="s">
        <v>133</v>
      </c>
      <c r="F36" s="34"/>
      <c r="G36" s="80"/>
      <c r="H36" s="95">
        <v>31</v>
      </c>
      <c r="I36" s="96">
        <f t="shared" si="2"/>
        <v>2.6726019198013233</v>
      </c>
      <c r="J36" s="95">
        <f t="shared" si="3"/>
        <v>1</v>
      </c>
      <c r="K36" s="95">
        <f t="shared" si="4"/>
        <v>10</v>
      </c>
      <c r="L36" s="95"/>
      <c r="M36" s="97">
        <f t="shared" si="5"/>
        <v>12.672601919801323</v>
      </c>
      <c r="N36" s="97">
        <f t="shared" si="6"/>
        <v>15.207122303761587</v>
      </c>
      <c r="O36" s="80"/>
      <c r="P36" s="80"/>
      <c r="Q36" s="80"/>
      <c r="R36" s="80"/>
      <c r="S36" s="109"/>
      <c r="T36" s="110"/>
    </row>
    <row r="37" spans="1:20" s="85" customFormat="1" ht="38.75" x14ac:dyDescent="0.25">
      <c r="A37" s="98">
        <f t="shared" si="0"/>
        <v>14.682047563226828</v>
      </c>
      <c r="B37" s="39">
        <f t="shared" si="1"/>
        <v>32</v>
      </c>
      <c r="C37" s="40" t="s">
        <v>178</v>
      </c>
      <c r="D37" s="40" t="s">
        <v>179</v>
      </c>
      <c r="E37" s="40" t="s">
        <v>173</v>
      </c>
      <c r="F37" s="40"/>
      <c r="G37" s="80"/>
      <c r="H37" s="99">
        <v>32</v>
      </c>
      <c r="I37" s="100">
        <f t="shared" si="2"/>
        <v>2.235039636022357</v>
      </c>
      <c r="J37" s="99">
        <f t="shared" si="3"/>
        <v>1</v>
      </c>
      <c r="K37" s="99">
        <f t="shared" si="4"/>
        <v>10</v>
      </c>
      <c r="L37" s="99"/>
      <c r="M37" s="101">
        <f t="shared" si="5"/>
        <v>12.235039636022357</v>
      </c>
      <c r="N37" s="101">
        <f t="shared" si="6"/>
        <v>14.682047563226828</v>
      </c>
      <c r="O37" s="80"/>
      <c r="P37" s="80"/>
      <c r="Q37" s="80"/>
      <c r="R37" s="80"/>
      <c r="S37" s="80"/>
    </row>
    <row r="38" spans="1:20" s="85" customFormat="1" ht="38.75" x14ac:dyDescent="0.25">
      <c r="A38" s="94">
        <f t="shared" si="0"/>
        <v>2.1731315588547688</v>
      </c>
      <c r="B38" s="33">
        <f t="shared" si="1"/>
        <v>33</v>
      </c>
      <c r="C38" s="34" t="s">
        <v>180</v>
      </c>
      <c r="D38" s="34" t="s">
        <v>181</v>
      </c>
      <c r="E38" s="34" t="s">
        <v>121</v>
      </c>
      <c r="F38" s="34"/>
      <c r="G38" s="80"/>
      <c r="H38" s="95">
        <v>33</v>
      </c>
      <c r="I38" s="96">
        <f t="shared" si="2"/>
        <v>1.8109429657123073</v>
      </c>
      <c r="J38" s="95">
        <f t="shared" si="3"/>
        <v>0</v>
      </c>
      <c r="K38" s="95">
        <f t="shared" si="4"/>
        <v>0</v>
      </c>
      <c r="L38" s="95"/>
      <c r="M38" s="97">
        <f t="shared" si="5"/>
        <v>1.8109429657123073</v>
      </c>
      <c r="N38" s="97">
        <f t="shared" si="6"/>
        <v>2.1731315588547688</v>
      </c>
      <c r="O38" s="80"/>
      <c r="P38" s="80"/>
      <c r="Q38" s="80"/>
      <c r="R38" s="80"/>
      <c r="S38" s="109"/>
      <c r="T38" s="110"/>
    </row>
    <row r="39" spans="1:20" s="85" customFormat="1" x14ac:dyDescent="0.25">
      <c r="A39" s="98">
        <f t="shared" si="0"/>
        <v>1.6794093682724252</v>
      </c>
      <c r="B39" s="39">
        <f t="shared" si="1"/>
        <v>34</v>
      </c>
      <c r="C39" s="40" t="s">
        <v>182</v>
      </c>
      <c r="D39" s="40" t="s">
        <v>183</v>
      </c>
      <c r="E39" s="40" t="s">
        <v>124</v>
      </c>
      <c r="F39" s="40"/>
      <c r="G39" s="80"/>
      <c r="H39" s="99">
        <v>34</v>
      </c>
      <c r="I39" s="100">
        <f t="shared" si="2"/>
        <v>1.3995078068936877</v>
      </c>
      <c r="J39" s="99">
        <f t="shared" si="3"/>
        <v>0</v>
      </c>
      <c r="K39" s="99">
        <f t="shared" si="4"/>
        <v>0</v>
      </c>
      <c r="L39" s="99"/>
      <c r="M39" s="101">
        <f t="shared" si="5"/>
        <v>1.3995078068936877</v>
      </c>
      <c r="N39" s="101">
        <f t="shared" si="6"/>
        <v>1.6794093682724252</v>
      </c>
      <c r="O39" s="80"/>
      <c r="P39" s="80"/>
      <c r="Q39" s="80"/>
      <c r="R39" s="80"/>
      <c r="S39" s="80"/>
    </row>
    <row r="40" spans="1:20" s="85" customFormat="1" x14ac:dyDescent="0.25">
      <c r="A40" s="94">
        <f t="shared" si="0"/>
        <v>1.2</v>
      </c>
      <c r="B40" s="33">
        <f t="shared" si="1"/>
        <v>35</v>
      </c>
      <c r="C40" s="34" t="s">
        <v>184</v>
      </c>
      <c r="D40" s="34" t="s">
        <v>185</v>
      </c>
      <c r="E40" s="34" t="s">
        <v>124</v>
      </c>
      <c r="F40" s="34"/>
      <c r="G40" s="80"/>
      <c r="H40" s="95">
        <v>35</v>
      </c>
      <c r="I40" s="96">
        <f t="shared" si="2"/>
        <v>1</v>
      </c>
      <c r="J40" s="95">
        <f t="shared" si="3"/>
        <v>0</v>
      </c>
      <c r="K40" s="95">
        <f t="shared" si="4"/>
        <v>0</v>
      </c>
      <c r="L40" s="95"/>
      <c r="M40" s="97">
        <f t="shared" si="5"/>
        <v>1</v>
      </c>
      <c r="N40" s="97">
        <f t="shared" si="6"/>
        <v>1.2</v>
      </c>
      <c r="O40" s="80"/>
      <c r="P40" s="80"/>
      <c r="Q40" s="80"/>
      <c r="R40" s="80"/>
      <c r="S40" s="109"/>
      <c r="T40" s="110"/>
    </row>
    <row r="41" spans="1:20" s="85" customFormat="1" x14ac:dyDescent="0.25">
      <c r="A41" s="98">
        <f t="shared" si="0"/>
        <v>0</v>
      </c>
      <c r="B41" s="39" t="str">
        <f t="shared" ref="B41:B73" si="7">IF(H41&gt;$H$2,"",(ROW()-5))</f>
        <v/>
      </c>
      <c r="C41" s="40" t="s">
        <v>40</v>
      </c>
      <c r="D41" s="40"/>
      <c r="E41" s="40"/>
      <c r="F41" s="40"/>
      <c r="G41" s="80"/>
      <c r="H41" s="99">
        <v>36</v>
      </c>
      <c r="I41" s="100" t="str">
        <f t="shared" si="2"/>
        <v/>
      </c>
      <c r="J41" s="99">
        <f t="shared" si="3"/>
        <v>0</v>
      </c>
      <c r="K41" s="99">
        <f t="shared" si="4"/>
        <v>0</v>
      </c>
      <c r="L41" s="99"/>
      <c r="M41" s="101">
        <f t="shared" si="5"/>
        <v>0</v>
      </c>
      <c r="N41" s="101">
        <f t="shared" si="6"/>
        <v>0</v>
      </c>
      <c r="O41" s="80"/>
      <c r="P41" s="80"/>
      <c r="Q41" s="80"/>
      <c r="R41" s="80"/>
      <c r="S41" s="80"/>
    </row>
    <row r="42" spans="1:20" s="85" customFormat="1" x14ac:dyDescent="0.25">
      <c r="A42" s="94">
        <f t="shared" si="0"/>
        <v>0</v>
      </c>
      <c r="B42" s="33" t="str">
        <f t="shared" si="7"/>
        <v/>
      </c>
      <c r="C42" s="34" t="s">
        <v>40</v>
      </c>
      <c r="D42" s="34"/>
      <c r="E42" s="34"/>
      <c r="F42" s="34"/>
      <c r="G42" s="80"/>
      <c r="H42" s="95">
        <v>37</v>
      </c>
      <c r="I42" s="96" t="str">
        <f t="shared" si="2"/>
        <v/>
      </c>
      <c r="J42" s="95">
        <f t="shared" si="3"/>
        <v>0</v>
      </c>
      <c r="K42" s="95">
        <f t="shared" si="4"/>
        <v>0</v>
      </c>
      <c r="L42" s="95"/>
      <c r="M42" s="97">
        <f t="shared" si="5"/>
        <v>0</v>
      </c>
      <c r="N42" s="97">
        <f t="shared" si="6"/>
        <v>0</v>
      </c>
      <c r="O42" s="80"/>
      <c r="P42" s="80"/>
      <c r="Q42" s="80"/>
      <c r="R42" s="80"/>
      <c r="S42" s="109"/>
      <c r="T42" s="110"/>
    </row>
    <row r="43" spans="1:20" s="85" customFormat="1" x14ac:dyDescent="0.25">
      <c r="A43" s="98">
        <f t="shared" si="0"/>
        <v>0</v>
      </c>
      <c r="B43" s="39" t="str">
        <f t="shared" si="7"/>
        <v/>
      </c>
      <c r="C43" s="40" t="s">
        <v>40</v>
      </c>
      <c r="D43" s="40"/>
      <c r="E43" s="40"/>
      <c r="F43" s="40"/>
      <c r="G43" s="80"/>
      <c r="H43" s="99">
        <v>38</v>
      </c>
      <c r="I43" s="100" t="str">
        <f t="shared" si="2"/>
        <v/>
      </c>
      <c r="J43" s="99">
        <f t="shared" si="3"/>
        <v>0</v>
      </c>
      <c r="K43" s="99">
        <f t="shared" si="4"/>
        <v>0</v>
      </c>
      <c r="L43" s="99"/>
      <c r="M43" s="101">
        <f t="shared" si="5"/>
        <v>0</v>
      </c>
      <c r="N43" s="101">
        <f t="shared" si="6"/>
        <v>0</v>
      </c>
      <c r="O43" s="80"/>
      <c r="P43" s="80"/>
      <c r="Q43" s="80"/>
      <c r="R43" s="80"/>
      <c r="S43" s="80"/>
    </row>
    <row r="44" spans="1:20" s="85" customFormat="1" x14ac:dyDescent="0.25">
      <c r="A44" s="94">
        <f t="shared" si="0"/>
        <v>0</v>
      </c>
      <c r="B44" s="33" t="str">
        <f t="shared" si="7"/>
        <v/>
      </c>
      <c r="C44" s="34" t="s">
        <v>40</v>
      </c>
      <c r="D44" s="34"/>
      <c r="E44" s="34"/>
      <c r="F44" s="34"/>
      <c r="G44" s="80"/>
      <c r="H44" s="95">
        <v>39</v>
      </c>
      <c r="I44" s="96" t="str">
        <f t="shared" si="2"/>
        <v/>
      </c>
      <c r="J44" s="95">
        <f t="shared" si="3"/>
        <v>0</v>
      </c>
      <c r="K44" s="95">
        <f t="shared" si="4"/>
        <v>0</v>
      </c>
      <c r="L44" s="95"/>
      <c r="M44" s="97">
        <f t="shared" si="5"/>
        <v>0</v>
      </c>
      <c r="N44" s="97">
        <f t="shared" si="6"/>
        <v>0</v>
      </c>
      <c r="O44" s="80"/>
      <c r="P44" s="80"/>
      <c r="Q44" s="80"/>
      <c r="R44" s="80"/>
      <c r="S44" s="109"/>
      <c r="T44" s="110"/>
    </row>
    <row r="45" spans="1:20" s="85" customFormat="1" x14ac:dyDescent="0.25">
      <c r="A45" s="98">
        <f t="shared" si="0"/>
        <v>0</v>
      </c>
      <c r="B45" s="39" t="str">
        <f t="shared" si="7"/>
        <v/>
      </c>
      <c r="C45" s="40" t="s">
        <v>40</v>
      </c>
      <c r="D45" s="40"/>
      <c r="E45" s="40"/>
      <c r="F45" s="40"/>
      <c r="G45" s="80"/>
      <c r="H45" s="99">
        <v>40</v>
      </c>
      <c r="I45" s="100" t="str">
        <f t="shared" si="2"/>
        <v/>
      </c>
      <c r="J45" s="99">
        <f t="shared" si="3"/>
        <v>0</v>
      </c>
      <c r="K45" s="99">
        <f t="shared" si="4"/>
        <v>0</v>
      </c>
      <c r="L45" s="99"/>
      <c r="M45" s="101">
        <f t="shared" si="5"/>
        <v>0</v>
      </c>
      <c r="N45" s="101">
        <f t="shared" si="6"/>
        <v>0</v>
      </c>
      <c r="O45" s="80"/>
      <c r="P45" s="80"/>
      <c r="Q45" s="80"/>
      <c r="R45" s="80"/>
      <c r="S45" s="80"/>
    </row>
    <row r="46" spans="1:20" s="85" customFormat="1" x14ac:dyDescent="0.25">
      <c r="A46" s="94">
        <f t="shared" si="0"/>
        <v>0</v>
      </c>
      <c r="B46" s="33" t="str">
        <f t="shared" si="7"/>
        <v/>
      </c>
      <c r="C46" s="34" t="s">
        <v>40</v>
      </c>
      <c r="D46" s="34"/>
      <c r="E46" s="34"/>
      <c r="F46" s="34"/>
      <c r="G46" s="80"/>
      <c r="H46" s="95">
        <v>41</v>
      </c>
      <c r="I46" s="96" t="str">
        <f t="shared" si="2"/>
        <v/>
      </c>
      <c r="J46" s="95">
        <f t="shared" si="3"/>
        <v>0</v>
      </c>
      <c r="K46" s="95">
        <f t="shared" si="4"/>
        <v>0</v>
      </c>
      <c r="L46" s="95"/>
      <c r="M46" s="97">
        <f t="shared" si="5"/>
        <v>0</v>
      </c>
      <c r="N46" s="97">
        <f t="shared" si="6"/>
        <v>0</v>
      </c>
      <c r="O46" s="80"/>
      <c r="P46" s="80"/>
      <c r="Q46" s="80"/>
      <c r="R46" s="80"/>
      <c r="S46" s="109"/>
      <c r="T46" s="110"/>
    </row>
    <row r="47" spans="1:20" s="85" customFormat="1" x14ac:dyDescent="0.25">
      <c r="A47" s="98">
        <f t="shared" si="0"/>
        <v>0</v>
      </c>
      <c r="B47" s="39" t="str">
        <f t="shared" si="7"/>
        <v/>
      </c>
      <c r="C47" s="40" t="s">
        <v>40</v>
      </c>
      <c r="D47" s="40"/>
      <c r="E47" s="40"/>
      <c r="F47" s="40"/>
      <c r="G47" s="80"/>
      <c r="H47" s="99">
        <v>42</v>
      </c>
      <c r="I47" s="100" t="str">
        <f t="shared" si="2"/>
        <v/>
      </c>
      <c r="J47" s="99">
        <f t="shared" si="3"/>
        <v>0</v>
      </c>
      <c r="K47" s="99">
        <f t="shared" si="4"/>
        <v>0</v>
      </c>
      <c r="L47" s="99"/>
      <c r="M47" s="101">
        <f t="shared" si="5"/>
        <v>0</v>
      </c>
      <c r="N47" s="101">
        <f t="shared" si="6"/>
        <v>0</v>
      </c>
      <c r="O47" s="80"/>
      <c r="P47" s="80"/>
      <c r="Q47" s="80"/>
      <c r="R47" s="80"/>
      <c r="S47" s="80"/>
    </row>
    <row r="48" spans="1:20" s="85" customFormat="1" x14ac:dyDescent="0.25">
      <c r="A48" s="94">
        <f t="shared" si="0"/>
        <v>0</v>
      </c>
      <c r="B48" s="33" t="str">
        <f t="shared" si="7"/>
        <v/>
      </c>
      <c r="C48" s="34" t="s">
        <v>40</v>
      </c>
      <c r="D48" s="34"/>
      <c r="E48" s="34"/>
      <c r="F48" s="34"/>
      <c r="G48" s="80"/>
      <c r="H48" s="95">
        <v>43</v>
      </c>
      <c r="I48" s="96" t="str">
        <f t="shared" si="2"/>
        <v/>
      </c>
      <c r="J48" s="95">
        <f t="shared" si="3"/>
        <v>0</v>
      </c>
      <c r="K48" s="95">
        <f t="shared" si="4"/>
        <v>0</v>
      </c>
      <c r="L48" s="95"/>
      <c r="M48" s="97">
        <f t="shared" si="5"/>
        <v>0</v>
      </c>
      <c r="N48" s="97">
        <f t="shared" si="6"/>
        <v>0</v>
      </c>
      <c r="O48" s="80"/>
      <c r="P48" s="80"/>
      <c r="Q48" s="80"/>
      <c r="R48" s="80"/>
      <c r="S48" s="109"/>
      <c r="T48" s="110"/>
    </row>
    <row r="49" spans="1:20" s="85" customFormat="1" x14ac:dyDescent="0.25">
      <c r="A49" s="98">
        <f t="shared" si="0"/>
        <v>0</v>
      </c>
      <c r="B49" s="39" t="str">
        <f t="shared" si="7"/>
        <v/>
      </c>
      <c r="C49" s="40" t="s">
        <v>40</v>
      </c>
      <c r="D49" s="40"/>
      <c r="E49" s="40"/>
      <c r="F49" s="40"/>
      <c r="G49" s="80"/>
      <c r="H49" s="99">
        <v>44</v>
      </c>
      <c r="I49" s="100" t="str">
        <f t="shared" si="2"/>
        <v/>
      </c>
      <c r="J49" s="99">
        <f t="shared" si="3"/>
        <v>0</v>
      </c>
      <c r="K49" s="99">
        <f t="shared" si="4"/>
        <v>0</v>
      </c>
      <c r="L49" s="99"/>
      <c r="M49" s="101">
        <f t="shared" si="5"/>
        <v>0</v>
      </c>
      <c r="N49" s="101">
        <f t="shared" si="6"/>
        <v>0</v>
      </c>
      <c r="O49" s="80"/>
      <c r="P49" s="80"/>
      <c r="Q49" s="80"/>
      <c r="R49" s="80"/>
      <c r="S49" s="80"/>
    </row>
    <row r="50" spans="1:20" s="85" customFormat="1" x14ac:dyDescent="0.25">
      <c r="A50" s="94">
        <f t="shared" si="0"/>
        <v>0</v>
      </c>
      <c r="B50" s="33" t="str">
        <f t="shared" si="7"/>
        <v/>
      </c>
      <c r="C50" s="34" t="s">
        <v>40</v>
      </c>
      <c r="D50" s="34"/>
      <c r="E50" s="34"/>
      <c r="F50" s="34"/>
      <c r="G50" s="80"/>
      <c r="H50" s="95">
        <v>45</v>
      </c>
      <c r="I50" s="96" t="str">
        <f t="shared" si="2"/>
        <v/>
      </c>
      <c r="J50" s="95">
        <f t="shared" si="3"/>
        <v>0</v>
      </c>
      <c r="K50" s="95">
        <f t="shared" si="4"/>
        <v>0</v>
      </c>
      <c r="L50" s="95"/>
      <c r="M50" s="97">
        <f t="shared" si="5"/>
        <v>0</v>
      </c>
      <c r="N50" s="97">
        <f t="shared" si="6"/>
        <v>0</v>
      </c>
      <c r="O50" s="80"/>
      <c r="P50" s="80"/>
      <c r="Q50" s="80"/>
      <c r="R50" s="80"/>
      <c r="S50" s="109"/>
      <c r="T50" s="110"/>
    </row>
    <row r="51" spans="1:20" s="85" customFormat="1" x14ac:dyDescent="0.25">
      <c r="A51" s="98">
        <f t="shared" si="0"/>
        <v>0</v>
      </c>
      <c r="B51" s="39" t="str">
        <f t="shared" si="7"/>
        <v/>
      </c>
      <c r="C51" s="40" t="s">
        <v>40</v>
      </c>
      <c r="D51" s="40"/>
      <c r="E51" s="40"/>
      <c r="F51" s="40"/>
      <c r="G51" s="80"/>
      <c r="H51" s="99">
        <v>46</v>
      </c>
      <c r="I51" s="100" t="str">
        <f t="shared" si="2"/>
        <v/>
      </c>
      <c r="J51" s="99">
        <f t="shared" si="3"/>
        <v>0</v>
      </c>
      <c r="K51" s="99">
        <f t="shared" si="4"/>
        <v>0</v>
      </c>
      <c r="L51" s="99"/>
      <c r="M51" s="101">
        <f t="shared" si="5"/>
        <v>0</v>
      </c>
      <c r="N51" s="101">
        <f t="shared" si="6"/>
        <v>0</v>
      </c>
      <c r="O51" s="80"/>
      <c r="P51" s="80"/>
      <c r="Q51" s="80"/>
      <c r="R51" s="80"/>
      <c r="S51" s="80"/>
    </row>
    <row r="52" spans="1:20" s="85" customFormat="1" x14ac:dyDescent="0.25">
      <c r="A52" s="94">
        <f t="shared" si="0"/>
        <v>0</v>
      </c>
      <c r="B52" s="33" t="str">
        <f t="shared" si="7"/>
        <v/>
      </c>
      <c r="C52" s="34" t="s">
        <v>40</v>
      </c>
      <c r="D52" s="34"/>
      <c r="E52" s="34"/>
      <c r="F52" s="34"/>
      <c r="G52" s="80"/>
      <c r="H52" s="95">
        <v>47</v>
      </c>
      <c r="I52" s="96" t="str">
        <f t="shared" si="2"/>
        <v/>
      </c>
      <c r="J52" s="95">
        <f t="shared" si="3"/>
        <v>0</v>
      </c>
      <c r="K52" s="95">
        <f t="shared" si="4"/>
        <v>0</v>
      </c>
      <c r="L52" s="95"/>
      <c r="M52" s="97">
        <f t="shared" si="5"/>
        <v>0</v>
      </c>
      <c r="N52" s="97">
        <f t="shared" si="6"/>
        <v>0</v>
      </c>
      <c r="O52" s="80"/>
      <c r="P52" s="80"/>
      <c r="Q52" s="80"/>
      <c r="R52" s="80"/>
      <c r="S52" s="109"/>
      <c r="T52" s="110"/>
    </row>
    <row r="53" spans="1:20" s="85" customFormat="1" x14ac:dyDescent="0.25">
      <c r="A53" s="98">
        <f t="shared" si="0"/>
        <v>0</v>
      </c>
      <c r="B53" s="39" t="str">
        <f t="shared" si="7"/>
        <v/>
      </c>
      <c r="C53" s="40" t="s">
        <v>40</v>
      </c>
      <c r="D53" s="40"/>
      <c r="E53" s="40"/>
      <c r="F53" s="40"/>
      <c r="G53" s="80"/>
      <c r="H53" s="99">
        <v>48</v>
      </c>
      <c r="I53" s="100" t="str">
        <f t="shared" si="2"/>
        <v/>
      </c>
      <c r="J53" s="99">
        <f t="shared" si="3"/>
        <v>0</v>
      </c>
      <c r="K53" s="99">
        <f t="shared" si="4"/>
        <v>0</v>
      </c>
      <c r="L53" s="99"/>
      <c r="M53" s="101">
        <f t="shared" si="5"/>
        <v>0</v>
      </c>
      <c r="N53" s="101">
        <f t="shared" si="6"/>
        <v>0</v>
      </c>
      <c r="O53" s="80"/>
      <c r="P53" s="80"/>
      <c r="Q53" s="80"/>
      <c r="R53" s="80"/>
      <c r="S53" s="80"/>
    </row>
    <row r="54" spans="1:20" s="85" customFormat="1" x14ac:dyDescent="0.25">
      <c r="A54" s="94">
        <f t="shared" si="0"/>
        <v>0</v>
      </c>
      <c r="B54" s="33" t="str">
        <f t="shared" si="7"/>
        <v/>
      </c>
      <c r="C54" s="34" t="s">
        <v>40</v>
      </c>
      <c r="D54" s="34"/>
      <c r="E54" s="34"/>
      <c r="F54" s="34"/>
      <c r="G54" s="80"/>
      <c r="H54" s="95">
        <v>49</v>
      </c>
      <c r="I54" s="96" t="str">
        <f t="shared" si="2"/>
        <v/>
      </c>
      <c r="J54" s="95">
        <f t="shared" si="3"/>
        <v>0</v>
      </c>
      <c r="K54" s="95">
        <f t="shared" si="4"/>
        <v>0</v>
      </c>
      <c r="L54" s="95"/>
      <c r="M54" s="97">
        <f t="shared" si="5"/>
        <v>0</v>
      </c>
      <c r="N54" s="97">
        <f t="shared" si="6"/>
        <v>0</v>
      </c>
      <c r="O54" s="80"/>
      <c r="P54" s="80"/>
      <c r="Q54" s="80"/>
      <c r="R54" s="80"/>
      <c r="S54" s="109"/>
      <c r="T54" s="110"/>
    </row>
    <row r="55" spans="1:20" s="85" customFormat="1" x14ac:dyDescent="0.25">
      <c r="A55" s="98">
        <f t="shared" si="0"/>
        <v>0</v>
      </c>
      <c r="B55" s="39" t="str">
        <f t="shared" si="7"/>
        <v/>
      </c>
      <c r="C55" s="40" t="s">
        <v>40</v>
      </c>
      <c r="D55" s="40"/>
      <c r="E55" s="40"/>
      <c r="F55" s="40"/>
      <c r="G55" s="80"/>
      <c r="H55" s="99">
        <v>50</v>
      </c>
      <c r="I55" s="100" t="str">
        <f t="shared" si="2"/>
        <v/>
      </c>
      <c r="J55" s="99">
        <f t="shared" si="3"/>
        <v>0</v>
      </c>
      <c r="K55" s="99">
        <f t="shared" si="4"/>
        <v>0</v>
      </c>
      <c r="L55" s="99"/>
      <c r="M55" s="101">
        <f t="shared" si="5"/>
        <v>0</v>
      </c>
      <c r="N55" s="101">
        <f t="shared" si="6"/>
        <v>0</v>
      </c>
      <c r="O55" s="80"/>
      <c r="P55" s="80"/>
      <c r="Q55" s="80"/>
      <c r="R55" s="80"/>
      <c r="S55" s="80"/>
    </row>
    <row r="56" spans="1:20" s="85" customFormat="1" x14ac:dyDescent="0.25">
      <c r="A56" s="94">
        <f t="shared" si="0"/>
        <v>0</v>
      </c>
      <c r="B56" s="33" t="str">
        <f t="shared" si="7"/>
        <v/>
      </c>
      <c r="C56" s="34" t="s">
        <v>40</v>
      </c>
      <c r="D56" s="34"/>
      <c r="E56" s="34"/>
      <c r="F56" s="34"/>
      <c r="G56" s="80"/>
      <c r="H56" s="95">
        <v>51</v>
      </c>
      <c r="I56" s="96" t="str">
        <f t="shared" si="2"/>
        <v/>
      </c>
      <c r="J56" s="95">
        <f t="shared" si="3"/>
        <v>0</v>
      </c>
      <c r="K56" s="95">
        <f t="shared" si="4"/>
        <v>0</v>
      </c>
      <c r="L56" s="95"/>
      <c r="M56" s="97">
        <f t="shared" si="5"/>
        <v>0</v>
      </c>
      <c r="N56" s="97">
        <f t="shared" si="6"/>
        <v>0</v>
      </c>
      <c r="O56" s="80"/>
      <c r="P56" s="80"/>
      <c r="Q56" s="80"/>
      <c r="R56" s="80"/>
      <c r="S56" s="109"/>
      <c r="T56" s="110"/>
    </row>
    <row r="57" spans="1:20" s="85" customFormat="1" x14ac:dyDescent="0.25">
      <c r="A57" s="98">
        <f t="shared" si="0"/>
        <v>0</v>
      </c>
      <c r="B57" s="39" t="str">
        <f t="shared" si="7"/>
        <v/>
      </c>
      <c r="C57" s="40" t="s">
        <v>40</v>
      </c>
      <c r="D57" s="40"/>
      <c r="E57" s="40"/>
      <c r="F57" s="40"/>
      <c r="G57" s="80"/>
      <c r="H57" s="99">
        <v>52</v>
      </c>
      <c r="I57" s="100" t="str">
        <f t="shared" si="2"/>
        <v/>
      </c>
      <c r="J57" s="99">
        <f t="shared" si="3"/>
        <v>0</v>
      </c>
      <c r="K57" s="99">
        <f t="shared" si="4"/>
        <v>0</v>
      </c>
      <c r="L57" s="99"/>
      <c r="M57" s="101">
        <f t="shared" si="5"/>
        <v>0</v>
      </c>
      <c r="N57" s="101">
        <f t="shared" si="6"/>
        <v>0</v>
      </c>
      <c r="O57" s="80"/>
      <c r="P57" s="80"/>
      <c r="Q57" s="80"/>
      <c r="R57" s="80"/>
      <c r="S57" s="80"/>
    </row>
    <row r="58" spans="1:20" s="85" customFormat="1" x14ac:dyDescent="0.25">
      <c r="A58" s="94">
        <f t="shared" si="0"/>
        <v>0</v>
      </c>
      <c r="B58" s="33" t="str">
        <f t="shared" si="7"/>
        <v/>
      </c>
      <c r="C58" s="34" t="s">
        <v>40</v>
      </c>
      <c r="D58" s="34"/>
      <c r="E58" s="34"/>
      <c r="F58" s="34"/>
      <c r="G58" s="80"/>
      <c r="H58" s="95">
        <v>53</v>
      </c>
      <c r="I58" s="96" t="str">
        <f t="shared" si="2"/>
        <v/>
      </c>
      <c r="J58" s="95">
        <f t="shared" si="3"/>
        <v>0</v>
      </c>
      <c r="K58" s="95">
        <f t="shared" si="4"/>
        <v>0</v>
      </c>
      <c r="L58" s="95"/>
      <c r="M58" s="97">
        <f t="shared" si="5"/>
        <v>0</v>
      </c>
      <c r="N58" s="97">
        <f t="shared" si="6"/>
        <v>0</v>
      </c>
      <c r="O58" s="80"/>
      <c r="P58" s="80"/>
      <c r="Q58" s="80"/>
      <c r="R58" s="80"/>
      <c r="S58" s="109"/>
      <c r="T58" s="110"/>
    </row>
    <row r="59" spans="1:20" s="85" customFormat="1" x14ac:dyDescent="0.25">
      <c r="A59" s="98">
        <f t="shared" si="0"/>
        <v>0</v>
      </c>
      <c r="B59" s="39" t="str">
        <f t="shared" si="7"/>
        <v/>
      </c>
      <c r="C59" s="40" t="s">
        <v>40</v>
      </c>
      <c r="D59" s="40"/>
      <c r="E59" s="40"/>
      <c r="F59" s="40"/>
      <c r="G59" s="80"/>
      <c r="H59" s="99">
        <v>54</v>
      </c>
      <c r="I59" s="100" t="str">
        <f t="shared" si="2"/>
        <v/>
      </c>
      <c r="J59" s="99">
        <f t="shared" si="3"/>
        <v>0</v>
      </c>
      <c r="K59" s="99">
        <f t="shared" si="4"/>
        <v>0</v>
      </c>
      <c r="L59" s="99"/>
      <c r="M59" s="101">
        <f t="shared" si="5"/>
        <v>0</v>
      </c>
      <c r="N59" s="101">
        <f t="shared" si="6"/>
        <v>0</v>
      </c>
      <c r="O59" s="80"/>
      <c r="P59" s="80"/>
      <c r="Q59" s="80"/>
      <c r="R59" s="80"/>
      <c r="S59" s="80"/>
    </row>
    <row r="60" spans="1:20" s="85" customFormat="1" x14ac:dyDescent="0.25">
      <c r="A60" s="94">
        <f t="shared" si="0"/>
        <v>0</v>
      </c>
      <c r="B60" s="33" t="str">
        <f t="shared" si="7"/>
        <v/>
      </c>
      <c r="C60" s="34" t="s">
        <v>40</v>
      </c>
      <c r="D60" s="34"/>
      <c r="E60" s="34"/>
      <c r="F60" s="34"/>
      <c r="G60" s="80"/>
      <c r="H60" s="95">
        <v>55</v>
      </c>
      <c r="I60" s="96" t="str">
        <f t="shared" si="2"/>
        <v/>
      </c>
      <c r="J60" s="95">
        <f t="shared" si="3"/>
        <v>0</v>
      </c>
      <c r="K60" s="95">
        <f t="shared" si="4"/>
        <v>0</v>
      </c>
      <c r="L60" s="95"/>
      <c r="M60" s="97">
        <f t="shared" si="5"/>
        <v>0</v>
      </c>
      <c r="N60" s="97">
        <f t="shared" si="6"/>
        <v>0</v>
      </c>
      <c r="O60" s="80"/>
      <c r="P60" s="80"/>
      <c r="Q60" s="80"/>
      <c r="R60" s="80"/>
      <c r="S60" s="109"/>
      <c r="T60" s="110"/>
    </row>
    <row r="61" spans="1:20" s="85" customFormat="1" x14ac:dyDescent="0.25">
      <c r="A61" s="98">
        <f t="shared" si="0"/>
        <v>0</v>
      </c>
      <c r="B61" s="39" t="str">
        <f t="shared" si="7"/>
        <v/>
      </c>
      <c r="C61" s="40" t="s">
        <v>40</v>
      </c>
      <c r="D61" s="40"/>
      <c r="E61" s="40"/>
      <c r="F61" s="40"/>
      <c r="G61" s="80"/>
      <c r="H61" s="99">
        <v>56</v>
      </c>
      <c r="I61" s="100" t="str">
        <f t="shared" si="2"/>
        <v/>
      </c>
      <c r="J61" s="99">
        <f t="shared" si="3"/>
        <v>0</v>
      </c>
      <c r="K61" s="99">
        <f t="shared" si="4"/>
        <v>0</v>
      </c>
      <c r="L61" s="99"/>
      <c r="M61" s="101">
        <f t="shared" si="5"/>
        <v>0</v>
      </c>
      <c r="N61" s="101">
        <f t="shared" si="6"/>
        <v>0</v>
      </c>
      <c r="O61" s="80"/>
      <c r="P61" s="80"/>
      <c r="Q61" s="80"/>
      <c r="R61" s="80"/>
      <c r="S61" s="80"/>
    </row>
    <row r="62" spans="1:20" s="85" customFormat="1" x14ac:dyDescent="0.25">
      <c r="A62" s="94">
        <f t="shared" si="0"/>
        <v>0</v>
      </c>
      <c r="B62" s="33" t="str">
        <f t="shared" si="7"/>
        <v/>
      </c>
      <c r="C62" s="34" t="s">
        <v>40</v>
      </c>
      <c r="D62" s="34"/>
      <c r="E62" s="34"/>
      <c r="F62" s="34"/>
      <c r="G62" s="80"/>
      <c r="H62" s="95">
        <v>57</v>
      </c>
      <c r="I62" s="96" t="str">
        <f t="shared" si="2"/>
        <v/>
      </c>
      <c r="J62" s="95">
        <f t="shared" si="3"/>
        <v>0</v>
      </c>
      <c r="K62" s="95">
        <f t="shared" si="4"/>
        <v>0</v>
      </c>
      <c r="L62" s="95"/>
      <c r="M62" s="97">
        <f t="shared" si="5"/>
        <v>0</v>
      </c>
      <c r="N62" s="97">
        <f t="shared" si="6"/>
        <v>0</v>
      </c>
      <c r="O62" s="80"/>
      <c r="P62" s="80"/>
      <c r="Q62" s="80"/>
      <c r="R62" s="80"/>
      <c r="S62" s="109"/>
      <c r="T62" s="110"/>
    </row>
    <row r="63" spans="1:20" s="85" customFormat="1" x14ac:dyDescent="0.25">
      <c r="A63" s="98">
        <f t="shared" si="0"/>
        <v>0</v>
      </c>
      <c r="B63" s="39" t="str">
        <f t="shared" si="7"/>
        <v/>
      </c>
      <c r="C63" s="40" t="s">
        <v>40</v>
      </c>
      <c r="D63" s="40"/>
      <c r="E63" s="40"/>
      <c r="F63" s="40"/>
      <c r="G63" s="80"/>
      <c r="H63" s="99">
        <v>58</v>
      </c>
      <c r="I63" s="100" t="str">
        <f t="shared" si="2"/>
        <v/>
      </c>
      <c r="J63" s="99">
        <f t="shared" si="3"/>
        <v>0</v>
      </c>
      <c r="K63" s="99">
        <f t="shared" si="4"/>
        <v>0</v>
      </c>
      <c r="L63" s="99"/>
      <c r="M63" s="101">
        <f t="shared" si="5"/>
        <v>0</v>
      </c>
      <c r="N63" s="101">
        <f t="shared" si="6"/>
        <v>0</v>
      </c>
      <c r="O63" s="80"/>
      <c r="P63" s="80"/>
      <c r="Q63" s="80"/>
      <c r="R63" s="80"/>
      <c r="S63" s="80"/>
    </row>
    <row r="64" spans="1:20" s="85" customFormat="1" x14ac:dyDescent="0.25">
      <c r="A64" s="94">
        <f t="shared" si="0"/>
        <v>0</v>
      </c>
      <c r="B64" s="33" t="str">
        <f t="shared" si="7"/>
        <v/>
      </c>
      <c r="C64" s="34" t="s">
        <v>40</v>
      </c>
      <c r="D64" s="34"/>
      <c r="E64" s="34"/>
      <c r="F64" s="34"/>
      <c r="G64" s="80"/>
      <c r="H64" s="95">
        <v>59</v>
      </c>
      <c r="I64" s="96" t="str">
        <f t="shared" si="2"/>
        <v/>
      </c>
      <c r="J64" s="95">
        <f t="shared" si="3"/>
        <v>0</v>
      </c>
      <c r="K64" s="95">
        <f t="shared" si="4"/>
        <v>0</v>
      </c>
      <c r="L64" s="95"/>
      <c r="M64" s="97">
        <f t="shared" si="5"/>
        <v>0</v>
      </c>
      <c r="N64" s="97">
        <f t="shared" si="6"/>
        <v>0</v>
      </c>
      <c r="O64" s="80"/>
      <c r="P64" s="80"/>
      <c r="Q64" s="80"/>
      <c r="R64" s="80"/>
      <c r="S64" s="109"/>
      <c r="T64" s="110"/>
    </row>
    <row r="65" spans="1:20" s="85" customFormat="1" x14ac:dyDescent="0.25">
      <c r="A65" s="98">
        <f t="shared" si="0"/>
        <v>0</v>
      </c>
      <c r="B65" s="39" t="str">
        <f t="shared" si="7"/>
        <v/>
      </c>
      <c r="C65" s="40" t="s">
        <v>40</v>
      </c>
      <c r="D65" s="40"/>
      <c r="E65" s="40"/>
      <c r="F65" s="40"/>
      <c r="G65" s="80"/>
      <c r="H65" s="99">
        <v>60</v>
      </c>
      <c r="I65" s="100" t="str">
        <f t="shared" si="2"/>
        <v/>
      </c>
      <c r="J65" s="99">
        <f t="shared" si="3"/>
        <v>0</v>
      </c>
      <c r="K65" s="99">
        <f t="shared" si="4"/>
        <v>0</v>
      </c>
      <c r="L65" s="99"/>
      <c r="M65" s="101">
        <f t="shared" si="5"/>
        <v>0</v>
      </c>
      <c r="N65" s="101">
        <f t="shared" si="6"/>
        <v>0</v>
      </c>
      <c r="O65" s="80"/>
      <c r="P65" s="80"/>
      <c r="Q65" s="80"/>
      <c r="R65" s="80"/>
      <c r="S65" s="80"/>
    </row>
    <row r="66" spans="1:20" s="85" customFormat="1" x14ac:dyDescent="0.25">
      <c r="A66" s="94">
        <f t="shared" si="0"/>
        <v>0</v>
      </c>
      <c r="B66" s="33" t="str">
        <f t="shared" si="7"/>
        <v/>
      </c>
      <c r="C66" s="34" t="s">
        <v>40</v>
      </c>
      <c r="D66" s="34"/>
      <c r="E66" s="34"/>
      <c r="F66" s="34"/>
      <c r="G66" s="80"/>
      <c r="H66" s="95">
        <v>61</v>
      </c>
      <c r="I66" s="96" t="str">
        <f t="shared" si="2"/>
        <v/>
      </c>
      <c r="J66" s="95">
        <f t="shared" si="3"/>
        <v>0</v>
      </c>
      <c r="K66" s="95">
        <f t="shared" si="4"/>
        <v>0</v>
      </c>
      <c r="L66" s="95"/>
      <c r="M66" s="97">
        <f t="shared" si="5"/>
        <v>0</v>
      </c>
      <c r="N66" s="97">
        <f t="shared" si="6"/>
        <v>0</v>
      </c>
      <c r="O66" s="80"/>
      <c r="P66" s="80"/>
      <c r="Q66" s="80"/>
      <c r="R66" s="80"/>
      <c r="S66" s="109"/>
      <c r="T66" s="110"/>
    </row>
    <row r="67" spans="1:20" s="85" customFormat="1" x14ac:dyDescent="0.25">
      <c r="A67" s="98">
        <f t="shared" si="0"/>
        <v>0</v>
      </c>
      <c r="B67" s="39" t="str">
        <f t="shared" si="7"/>
        <v/>
      </c>
      <c r="C67" s="40" t="s">
        <v>40</v>
      </c>
      <c r="D67" s="40"/>
      <c r="E67" s="40"/>
      <c r="F67" s="40"/>
      <c r="G67" s="80"/>
      <c r="H67" s="99">
        <v>62</v>
      </c>
      <c r="I67" s="100" t="str">
        <f t="shared" si="2"/>
        <v/>
      </c>
      <c r="J67" s="99">
        <f t="shared" si="3"/>
        <v>0</v>
      </c>
      <c r="K67" s="99">
        <f t="shared" si="4"/>
        <v>0</v>
      </c>
      <c r="L67" s="99"/>
      <c r="M67" s="101">
        <f t="shared" si="5"/>
        <v>0</v>
      </c>
      <c r="N67" s="101">
        <f t="shared" si="6"/>
        <v>0</v>
      </c>
      <c r="O67" s="80"/>
      <c r="P67" s="80"/>
      <c r="Q67" s="80"/>
      <c r="R67" s="80"/>
      <c r="S67" s="80"/>
    </row>
    <row r="68" spans="1:20" s="85" customFormat="1" x14ac:dyDescent="0.25">
      <c r="A68" s="94">
        <f t="shared" si="0"/>
        <v>0</v>
      </c>
      <c r="B68" s="33" t="str">
        <f t="shared" si="7"/>
        <v/>
      </c>
      <c r="C68" s="34" t="s">
        <v>40</v>
      </c>
      <c r="D68" s="34"/>
      <c r="E68" s="34"/>
      <c r="F68" s="34"/>
      <c r="G68" s="80"/>
      <c r="H68" s="95">
        <v>63</v>
      </c>
      <c r="I68" s="96" t="str">
        <f t="shared" si="2"/>
        <v/>
      </c>
      <c r="J68" s="95">
        <f t="shared" si="3"/>
        <v>0</v>
      </c>
      <c r="K68" s="95">
        <f t="shared" si="4"/>
        <v>0</v>
      </c>
      <c r="L68" s="95"/>
      <c r="M68" s="97">
        <f t="shared" si="5"/>
        <v>0</v>
      </c>
      <c r="N68" s="97">
        <f t="shared" si="6"/>
        <v>0</v>
      </c>
      <c r="O68" s="80"/>
      <c r="P68" s="80"/>
      <c r="Q68" s="80"/>
      <c r="R68" s="80"/>
      <c r="S68" s="109"/>
      <c r="T68" s="110"/>
    </row>
    <row r="69" spans="1:20" s="85" customFormat="1" x14ac:dyDescent="0.25">
      <c r="A69" s="98">
        <f t="shared" si="0"/>
        <v>0</v>
      </c>
      <c r="B69" s="39" t="str">
        <f t="shared" si="7"/>
        <v/>
      </c>
      <c r="C69" s="40" t="s">
        <v>40</v>
      </c>
      <c r="D69" s="40"/>
      <c r="E69" s="40"/>
      <c r="F69" s="40"/>
      <c r="G69" s="80"/>
      <c r="H69" s="99">
        <v>64</v>
      </c>
      <c r="I69" s="100" t="str">
        <f t="shared" si="2"/>
        <v/>
      </c>
      <c r="J69" s="99">
        <f t="shared" si="3"/>
        <v>0</v>
      </c>
      <c r="K69" s="99">
        <f t="shared" si="4"/>
        <v>0</v>
      </c>
      <c r="L69" s="99"/>
      <c r="M69" s="101">
        <f t="shared" si="5"/>
        <v>0</v>
      </c>
      <c r="N69" s="101">
        <f t="shared" si="6"/>
        <v>0</v>
      </c>
      <c r="O69" s="80"/>
      <c r="P69" s="80"/>
      <c r="Q69" s="80"/>
      <c r="R69" s="80"/>
      <c r="S69" s="80"/>
    </row>
    <row r="70" spans="1:20" s="85" customFormat="1" x14ac:dyDescent="0.25">
      <c r="A70" s="94">
        <f t="shared" ref="A70:A133" si="8">N70</f>
        <v>0</v>
      </c>
      <c r="B70" s="33" t="str">
        <f t="shared" si="7"/>
        <v/>
      </c>
      <c r="C70" s="34" t="s">
        <v>40</v>
      </c>
      <c r="D70" s="34"/>
      <c r="E70" s="34"/>
      <c r="F70" s="34"/>
      <c r="G70" s="80"/>
      <c r="H70" s="95">
        <v>65</v>
      </c>
      <c r="I70" s="96" t="str">
        <f t="shared" ref="I70:I133" si="9">IF(H70&lt;$H$2+1,($I$2-($I$2-1)*(LOG(H70)/LOG($H$2))),"")</f>
        <v/>
      </c>
      <c r="J70" s="95">
        <f t="shared" ref="J70:J133" si="10">INT(LOG($H$2,2))-ROUNDUP(LOG(H70,2),0)+IF(OR($H$2=1,$H$2=2,$H$2=4,$H$2=8,$H$2=16,$H$2=32,$H$2=64,$H$2=128,$H$2=256),0,1)</f>
        <v>-1</v>
      </c>
      <c r="K70" s="95">
        <f t="shared" ref="K70:K133" si="11">J70*$J$2</f>
        <v>-10</v>
      </c>
      <c r="L70" s="95"/>
      <c r="M70" s="97">
        <f t="shared" ref="M70:M133" si="12">IF(I70&lt;&gt;"",K70+I70+L70,0)</f>
        <v>0</v>
      </c>
      <c r="N70" s="97">
        <f t="shared" ref="N70:N133" si="13">IF(I70&lt;&gt;"",M70*L$2,0)</f>
        <v>0</v>
      </c>
      <c r="O70" s="80"/>
      <c r="P70" s="80"/>
      <c r="Q70" s="80"/>
      <c r="R70" s="80"/>
      <c r="S70" s="109"/>
      <c r="T70" s="110"/>
    </row>
    <row r="71" spans="1:20" s="85" customFormat="1" x14ac:dyDescent="0.25">
      <c r="A71" s="98">
        <f t="shared" si="8"/>
        <v>0</v>
      </c>
      <c r="B71" s="39" t="str">
        <f t="shared" si="7"/>
        <v/>
      </c>
      <c r="C71" s="40" t="s">
        <v>40</v>
      </c>
      <c r="D71" s="40"/>
      <c r="E71" s="40"/>
      <c r="F71" s="40"/>
      <c r="G71" s="80"/>
      <c r="H71" s="99">
        <v>66</v>
      </c>
      <c r="I71" s="100" t="str">
        <f t="shared" si="9"/>
        <v/>
      </c>
      <c r="J71" s="99">
        <f t="shared" si="10"/>
        <v>-1</v>
      </c>
      <c r="K71" s="99">
        <f t="shared" si="11"/>
        <v>-10</v>
      </c>
      <c r="L71" s="99"/>
      <c r="M71" s="101">
        <f t="shared" si="12"/>
        <v>0</v>
      </c>
      <c r="N71" s="101">
        <f t="shared" si="13"/>
        <v>0</v>
      </c>
      <c r="O71" s="80"/>
      <c r="P71" s="80"/>
      <c r="Q71" s="80"/>
      <c r="R71" s="80"/>
      <c r="S71" s="80"/>
    </row>
    <row r="72" spans="1:20" s="85" customFormat="1" x14ac:dyDescent="0.25">
      <c r="A72" s="94">
        <f t="shared" si="8"/>
        <v>0</v>
      </c>
      <c r="B72" s="33" t="str">
        <f t="shared" si="7"/>
        <v/>
      </c>
      <c r="C72" s="34" t="s">
        <v>40</v>
      </c>
      <c r="D72" s="34"/>
      <c r="E72" s="34"/>
      <c r="F72" s="34"/>
      <c r="G72" s="80"/>
      <c r="H72" s="95">
        <v>67</v>
      </c>
      <c r="I72" s="96" t="str">
        <f t="shared" si="9"/>
        <v/>
      </c>
      <c r="J72" s="95">
        <f t="shared" si="10"/>
        <v>-1</v>
      </c>
      <c r="K72" s="95">
        <f t="shared" si="11"/>
        <v>-10</v>
      </c>
      <c r="L72" s="95"/>
      <c r="M72" s="97">
        <f t="shared" si="12"/>
        <v>0</v>
      </c>
      <c r="N72" s="97">
        <f t="shared" si="13"/>
        <v>0</v>
      </c>
      <c r="O72" s="80"/>
      <c r="P72" s="80"/>
      <c r="Q72" s="80"/>
      <c r="R72" s="80"/>
      <c r="S72" s="109"/>
      <c r="T72" s="110"/>
    </row>
    <row r="73" spans="1:20" s="85" customFormat="1" x14ac:dyDescent="0.25">
      <c r="A73" s="98">
        <f t="shared" si="8"/>
        <v>0</v>
      </c>
      <c r="B73" s="39" t="str">
        <f t="shared" si="7"/>
        <v/>
      </c>
      <c r="C73" s="40" t="s">
        <v>40</v>
      </c>
      <c r="D73" s="40"/>
      <c r="E73" s="40"/>
      <c r="F73" s="40"/>
      <c r="G73" s="80"/>
      <c r="H73" s="99">
        <v>68</v>
      </c>
      <c r="I73" s="100" t="str">
        <f t="shared" si="9"/>
        <v/>
      </c>
      <c r="J73" s="99">
        <f t="shared" si="10"/>
        <v>-1</v>
      </c>
      <c r="K73" s="99">
        <f t="shared" si="11"/>
        <v>-10</v>
      </c>
      <c r="L73" s="99"/>
      <c r="M73" s="101">
        <f t="shared" si="12"/>
        <v>0</v>
      </c>
      <c r="N73" s="101">
        <f t="shared" si="13"/>
        <v>0</v>
      </c>
      <c r="O73" s="80"/>
      <c r="P73" s="80"/>
      <c r="Q73" s="80"/>
      <c r="R73" s="80"/>
      <c r="S73" s="80"/>
    </row>
    <row r="74" spans="1:20" s="85" customFormat="1" x14ac:dyDescent="0.25">
      <c r="A74" s="94">
        <f t="shared" si="8"/>
        <v>0</v>
      </c>
      <c r="B74" s="33" t="str">
        <f t="shared" ref="B74:B137" si="14">IF(H74&gt;$H$2,"",(ROW()-5))</f>
        <v/>
      </c>
      <c r="C74" s="34" t="s">
        <v>40</v>
      </c>
      <c r="D74" s="34"/>
      <c r="E74" s="34"/>
      <c r="F74" s="34"/>
      <c r="G74" s="80"/>
      <c r="H74" s="95">
        <v>69</v>
      </c>
      <c r="I74" s="96" t="str">
        <f t="shared" si="9"/>
        <v/>
      </c>
      <c r="J74" s="95">
        <f t="shared" si="10"/>
        <v>-1</v>
      </c>
      <c r="K74" s="95">
        <f t="shared" si="11"/>
        <v>-10</v>
      </c>
      <c r="L74" s="95"/>
      <c r="M74" s="97">
        <f t="shared" si="12"/>
        <v>0</v>
      </c>
      <c r="N74" s="97">
        <f t="shared" si="13"/>
        <v>0</v>
      </c>
      <c r="O74" s="80"/>
      <c r="P74" s="80"/>
      <c r="Q74" s="80"/>
      <c r="R74" s="80"/>
      <c r="S74" s="109"/>
      <c r="T74" s="110"/>
    </row>
    <row r="75" spans="1:20" s="85" customFormat="1" x14ac:dyDescent="0.25">
      <c r="A75" s="98">
        <f t="shared" si="8"/>
        <v>0</v>
      </c>
      <c r="B75" s="39" t="str">
        <f t="shared" si="14"/>
        <v/>
      </c>
      <c r="C75" s="40" t="s">
        <v>40</v>
      </c>
      <c r="D75" s="40"/>
      <c r="E75" s="40"/>
      <c r="F75" s="40"/>
      <c r="G75" s="80"/>
      <c r="H75" s="99">
        <v>70</v>
      </c>
      <c r="I75" s="100" t="str">
        <f t="shared" si="9"/>
        <v/>
      </c>
      <c r="J75" s="99">
        <f t="shared" si="10"/>
        <v>-1</v>
      </c>
      <c r="K75" s="99">
        <f t="shared" si="11"/>
        <v>-10</v>
      </c>
      <c r="L75" s="99"/>
      <c r="M75" s="101">
        <f t="shared" si="12"/>
        <v>0</v>
      </c>
      <c r="N75" s="101">
        <f t="shared" si="13"/>
        <v>0</v>
      </c>
      <c r="O75" s="80"/>
      <c r="P75" s="80"/>
      <c r="Q75" s="80"/>
      <c r="R75" s="80"/>
      <c r="S75" s="80"/>
    </row>
    <row r="76" spans="1:20" s="85" customFormat="1" x14ac:dyDescent="0.25">
      <c r="A76" s="94">
        <f t="shared" si="8"/>
        <v>0</v>
      </c>
      <c r="B76" s="33" t="str">
        <f t="shared" si="14"/>
        <v/>
      </c>
      <c r="C76" s="34" t="s">
        <v>40</v>
      </c>
      <c r="D76" s="34"/>
      <c r="E76" s="34"/>
      <c r="F76" s="34"/>
      <c r="G76" s="80"/>
      <c r="H76" s="95">
        <v>71</v>
      </c>
      <c r="I76" s="96" t="str">
        <f t="shared" si="9"/>
        <v/>
      </c>
      <c r="J76" s="95">
        <f t="shared" si="10"/>
        <v>-1</v>
      </c>
      <c r="K76" s="95">
        <f t="shared" si="11"/>
        <v>-10</v>
      </c>
      <c r="L76" s="95"/>
      <c r="M76" s="97">
        <f t="shared" si="12"/>
        <v>0</v>
      </c>
      <c r="N76" s="97">
        <f t="shared" si="13"/>
        <v>0</v>
      </c>
      <c r="O76" s="80"/>
      <c r="P76" s="80"/>
      <c r="Q76" s="80"/>
      <c r="R76" s="80"/>
      <c r="S76" s="109"/>
      <c r="T76" s="110"/>
    </row>
    <row r="77" spans="1:20" s="85" customFormat="1" x14ac:dyDescent="0.25">
      <c r="A77" s="98">
        <f t="shared" si="8"/>
        <v>0</v>
      </c>
      <c r="B77" s="39" t="str">
        <f t="shared" si="14"/>
        <v/>
      </c>
      <c r="C77" s="40" t="s">
        <v>40</v>
      </c>
      <c r="D77" s="40"/>
      <c r="E77" s="40"/>
      <c r="F77" s="40"/>
      <c r="G77" s="80"/>
      <c r="H77" s="99">
        <v>72</v>
      </c>
      <c r="I77" s="100" t="str">
        <f t="shared" si="9"/>
        <v/>
      </c>
      <c r="J77" s="99">
        <f t="shared" si="10"/>
        <v>-1</v>
      </c>
      <c r="K77" s="99">
        <f t="shared" si="11"/>
        <v>-10</v>
      </c>
      <c r="L77" s="99"/>
      <c r="M77" s="101">
        <f t="shared" si="12"/>
        <v>0</v>
      </c>
      <c r="N77" s="101">
        <f t="shared" si="13"/>
        <v>0</v>
      </c>
      <c r="O77" s="80"/>
      <c r="P77" s="80"/>
      <c r="Q77" s="80"/>
      <c r="R77" s="80"/>
      <c r="S77" s="80"/>
    </row>
    <row r="78" spans="1:20" s="85" customFormat="1" x14ac:dyDescent="0.25">
      <c r="A78" s="94">
        <f t="shared" si="8"/>
        <v>0</v>
      </c>
      <c r="B78" s="33" t="str">
        <f t="shared" si="14"/>
        <v/>
      </c>
      <c r="C78" s="34" t="s">
        <v>40</v>
      </c>
      <c r="D78" s="34"/>
      <c r="E78" s="34"/>
      <c r="F78" s="34"/>
      <c r="G78" s="80"/>
      <c r="H78" s="95">
        <v>73</v>
      </c>
      <c r="I78" s="96" t="str">
        <f t="shared" si="9"/>
        <v/>
      </c>
      <c r="J78" s="95">
        <f t="shared" si="10"/>
        <v>-1</v>
      </c>
      <c r="K78" s="95">
        <f t="shared" si="11"/>
        <v>-10</v>
      </c>
      <c r="L78" s="95"/>
      <c r="M78" s="97">
        <f t="shared" si="12"/>
        <v>0</v>
      </c>
      <c r="N78" s="97">
        <f t="shared" si="13"/>
        <v>0</v>
      </c>
      <c r="O78" s="80"/>
      <c r="P78" s="80"/>
      <c r="Q78" s="80"/>
      <c r="R78" s="80"/>
      <c r="S78" s="109"/>
      <c r="T78" s="110"/>
    </row>
    <row r="79" spans="1:20" s="85" customFormat="1" x14ac:dyDescent="0.25">
      <c r="A79" s="98">
        <f t="shared" si="8"/>
        <v>0</v>
      </c>
      <c r="B79" s="39" t="str">
        <f t="shared" si="14"/>
        <v/>
      </c>
      <c r="C79" s="40" t="s">
        <v>40</v>
      </c>
      <c r="D79" s="40"/>
      <c r="E79" s="40"/>
      <c r="F79" s="40"/>
      <c r="G79" s="80"/>
      <c r="H79" s="99">
        <v>74</v>
      </c>
      <c r="I79" s="100" t="str">
        <f t="shared" si="9"/>
        <v/>
      </c>
      <c r="J79" s="99">
        <f t="shared" si="10"/>
        <v>-1</v>
      </c>
      <c r="K79" s="99">
        <f t="shared" si="11"/>
        <v>-10</v>
      </c>
      <c r="L79" s="99"/>
      <c r="M79" s="101">
        <f t="shared" si="12"/>
        <v>0</v>
      </c>
      <c r="N79" s="101">
        <f t="shared" si="13"/>
        <v>0</v>
      </c>
      <c r="O79" s="80"/>
      <c r="P79" s="80"/>
      <c r="Q79" s="80"/>
      <c r="R79" s="80"/>
      <c r="S79" s="80"/>
    </row>
    <row r="80" spans="1:20" s="85" customFormat="1" x14ac:dyDescent="0.25">
      <c r="A80" s="94">
        <f t="shared" si="8"/>
        <v>0</v>
      </c>
      <c r="B80" s="33" t="str">
        <f t="shared" si="14"/>
        <v/>
      </c>
      <c r="C80" s="34" t="s">
        <v>40</v>
      </c>
      <c r="D80" s="34"/>
      <c r="E80" s="34"/>
      <c r="F80" s="34"/>
      <c r="G80" s="80"/>
      <c r="H80" s="95">
        <v>75</v>
      </c>
      <c r="I80" s="96" t="str">
        <f t="shared" si="9"/>
        <v/>
      </c>
      <c r="J80" s="95">
        <f t="shared" si="10"/>
        <v>-1</v>
      </c>
      <c r="K80" s="95">
        <f t="shared" si="11"/>
        <v>-10</v>
      </c>
      <c r="L80" s="95"/>
      <c r="M80" s="97">
        <f t="shared" si="12"/>
        <v>0</v>
      </c>
      <c r="N80" s="97">
        <f t="shared" si="13"/>
        <v>0</v>
      </c>
      <c r="O80" s="80"/>
      <c r="P80" s="80"/>
      <c r="Q80" s="80"/>
      <c r="R80" s="80"/>
      <c r="S80" s="109"/>
      <c r="T80" s="110"/>
    </row>
    <row r="81" spans="1:20" s="85" customFormat="1" x14ac:dyDescent="0.25">
      <c r="A81" s="98">
        <f t="shared" si="8"/>
        <v>0</v>
      </c>
      <c r="B81" s="39" t="str">
        <f t="shared" si="14"/>
        <v/>
      </c>
      <c r="C81" s="40" t="s">
        <v>40</v>
      </c>
      <c r="D81" s="40"/>
      <c r="E81" s="40"/>
      <c r="F81" s="40"/>
      <c r="G81" s="80"/>
      <c r="H81" s="99">
        <v>76</v>
      </c>
      <c r="I81" s="100" t="str">
        <f t="shared" si="9"/>
        <v/>
      </c>
      <c r="J81" s="99">
        <f t="shared" si="10"/>
        <v>-1</v>
      </c>
      <c r="K81" s="99">
        <f t="shared" si="11"/>
        <v>-10</v>
      </c>
      <c r="L81" s="99"/>
      <c r="M81" s="101">
        <f t="shared" si="12"/>
        <v>0</v>
      </c>
      <c r="N81" s="101">
        <f t="shared" si="13"/>
        <v>0</v>
      </c>
      <c r="O81" s="80"/>
      <c r="P81" s="80"/>
      <c r="Q81" s="80"/>
      <c r="R81" s="80"/>
      <c r="S81" s="80"/>
    </row>
    <row r="82" spans="1:20" s="85" customFormat="1" x14ac:dyDescent="0.25">
      <c r="A82" s="94">
        <f t="shared" si="8"/>
        <v>0</v>
      </c>
      <c r="B82" s="33" t="str">
        <f t="shared" si="14"/>
        <v/>
      </c>
      <c r="C82" s="34" t="s">
        <v>40</v>
      </c>
      <c r="D82" s="34"/>
      <c r="E82" s="34"/>
      <c r="F82" s="34"/>
      <c r="G82" s="80"/>
      <c r="H82" s="95">
        <v>77</v>
      </c>
      <c r="I82" s="96" t="str">
        <f t="shared" si="9"/>
        <v/>
      </c>
      <c r="J82" s="95">
        <f t="shared" si="10"/>
        <v>-1</v>
      </c>
      <c r="K82" s="95">
        <f t="shared" si="11"/>
        <v>-10</v>
      </c>
      <c r="L82" s="95"/>
      <c r="M82" s="97">
        <f t="shared" si="12"/>
        <v>0</v>
      </c>
      <c r="N82" s="97">
        <f t="shared" si="13"/>
        <v>0</v>
      </c>
      <c r="O82" s="80"/>
      <c r="P82" s="80"/>
      <c r="Q82" s="80"/>
      <c r="R82" s="80"/>
      <c r="S82" s="109"/>
      <c r="T82" s="110"/>
    </row>
    <row r="83" spans="1:20" s="85" customFormat="1" x14ac:dyDescent="0.25">
      <c r="A83" s="98">
        <f t="shared" si="8"/>
        <v>0</v>
      </c>
      <c r="B83" s="39" t="str">
        <f t="shared" si="14"/>
        <v/>
      </c>
      <c r="C83" s="40" t="s">
        <v>40</v>
      </c>
      <c r="D83" s="40"/>
      <c r="E83" s="40"/>
      <c r="F83" s="40"/>
      <c r="G83" s="80"/>
      <c r="H83" s="99">
        <v>78</v>
      </c>
      <c r="I83" s="100" t="str">
        <f t="shared" si="9"/>
        <v/>
      </c>
      <c r="J83" s="99">
        <f t="shared" si="10"/>
        <v>-1</v>
      </c>
      <c r="K83" s="99">
        <f t="shared" si="11"/>
        <v>-10</v>
      </c>
      <c r="L83" s="99"/>
      <c r="M83" s="101">
        <f t="shared" si="12"/>
        <v>0</v>
      </c>
      <c r="N83" s="101">
        <f t="shared" si="13"/>
        <v>0</v>
      </c>
      <c r="O83" s="80"/>
      <c r="P83" s="80"/>
      <c r="Q83" s="80"/>
      <c r="R83" s="80"/>
      <c r="S83" s="80"/>
    </row>
    <row r="84" spans="1:20" s="85" customFormat="1" x14ac:dyDescent="0.25">
      <c r="A84" s="94">
        <f t="shared" si="8"/>
        <v>0</v>
      </c>
      <c r="B84" s="33" t="str">
        <f t="shared" si="14"/>
        <v/>
      </c>
      <c r="C84" s="34" t="s">
        <v>40</v>
      </c>
      <c r="D84" s="34"/>
      <c r="E84" s="34"/>
      <c r="F84" s="34"/>
      <c r="G84" s="80"/>
      <c r="H84" s="95">
        <v>79</v>
      </c>
      <c r="I84" s="96" t="str">
        <f t="shared" si="9"/>
        <v/>
      </c>
      <c r="J84" s="95">
        <f t="shared" si="10"/>
        <v>-1</v>
      </c>
      <c r="K84" s="95">
        <f t="shared" si="11"/>
        <v>-10</v>
      </c>
      <c r="L84" s="95"/>
      <c r="M84" s="97">
        <f t="shared" si="12"/>
        <v>0</v>
      </c>
      <c r="N84" s="97">
        <f t="shared" si="13"/>
        <v>0</v>
      </c>
      <c r="O84" s="80"/>
      <c r="P84" s="80"/>
      <c r="Q84" s="80"/>
      <c r="R84" s="80"/>
      <c r="S84" s="109"/>
      <c r="T84" s="110"/>
    </row>
    <row r="85" spans="1:20" s="85" customFormat="1" x14ac:dyDescent="0.25">
      <c r="A85" s="98">
        <f t="shared" si="8"/>
        <v>0</v>
      </c>
      <c r="B85" s="39" t="str">
        <f t="shared" si="14"/>
        <v/>
      </c>
      <c r="C85" s="40" t="s">
        <v>40</v>
      </c>
      <c r="D85" s="40"/>
      <c r="E85" s="40"/>
      <c r="F85" s="40"/>
      <c r="G85" s="80"/>
      <c r="H85" s="99">
        <v>80</v>
      </c>
      <c r="I85" s="100" t="str">
        <f t="shared" si="9"/>
        <v/>
      </c>
      <c r="J85" s="99">
        <f t="shared" si="10"/>
        <v>-1</v>
      </c>
      <c r="K85" s="99">
        <f t="shared" si="11"/>
        <v>-10</v>
      </c>
      <c r="L85" s="99"/>
      <c r="M85" s="101">
        <f t="shared" si="12"/>
        <v>0</v>
      </c>
      <c r="N85" s="101">
        <f t="shared" si="13"/>
        <v>0</v>
      </c>
      <c r="O85" s="80"/>
      <c r="P85" s="80"/>
      <c r="Q85" s="80"/>
      <c r="R85" s="80"/>
      <c r="S85" s="80"/>
    </row>
    <row r="86" spans="1:20" s="85" customFormat="1" x14ac:dyDescent="0.25">
      <c r="A86" s="94">
        <f t="shared" si="8"/>
        <v>0</v>
      </c>
      <c r="B86" s="33" t="str">
        <f t="shared" si="14"/>
        <v/>
      </c>
      <c r="C86" s="34" t="s">
        <v>40</v>
      </c>
      <c r="D86" s="34"/>
      <c r="E86" s="34"/>
      <c r="F86" s="34"/>
      <c r="G86" s="80"/>
      <c r="H86" s="95">
        <v>81</v>
      </c>
      <c r="I86" s="96" t="str">
        <f t="shared" si="9"/>
        <v/>
      </c>
      <c r="J86" s="95">
        <f t="shared" si="10"/>
        <v>-1</v>
      </c>
      <c r="K86" s="95">
        <f t="shared" si="11"/>
        <v>-10</v>
      </c>
      <c r="L86" s="95"/>
      <c r="M86" s="97">
        <f t="shared" si="12"/>
        <v>0</v>
      </c>
      <c r="N86" s="97">
        <f t="shared" si="13"/>
        <v>0</v>
      </c>
      <c r="O86" s="80"/>
      <c r="P86" s="80"/>
      <c r="Q86" s="80"/>
      <c r="R86" s="80"/>
      <c r="S86" s="109"/>
      <c r="T86" s="110"/>
    </row>
    <row r="87" spans="1:20" s="85" customFormat="1" x14ac:dyDescent="0.25">
      <c r="A87" s="98">
        <f t="shared" si="8"/>
        <v>0</v>
      </c>
      <c r="B87" s="39" t="str">
        <f t="shared" si="14"/>
        <v/>
      </c>
      <c r="C87" s="40" t="s">
        <v>40</v>
      </c>
      <c r="D87" s="40"/>
      <c r="E87" s="40"/>
      <c r="F87" s="40"/>
      <c r="G87" s="80"/>
      <c r="H87" s="99">
        <v>82</v>
      </c>
      <c r="I87" s="100" t="str">
        <f t="shared" si="9"/>
        <v/>
      </c>
      <c r="J87" s="99">
        <f t="shared" si="10"/>
        <v>-1</v>
      </c>
      <c r="K87" s="99">
        <f t="shared" si="11"/>
        <v>-10</v>
      </c>
      <c r="L87" s="99"/>
      <c r="M87" s="101">
        <f t="shared" si="12"/>
        <v>0</v>
      </c>
      <c r="N87" s="101">
        <f t="shared" si="13"/>
        <v>0</v>
      </c>
      <c r="O87" s="80"/>
      <c r="P87" s="80"/>
      <c r="Q87" s="80"/>
      <c r="R87" s="80"/>
      <c r="S87" s="80"/>
    </row>
    <row r="88" spans="1:20" s="85" customFormat="1" x14ac:dyDescent="0.25">
      <c r="A88" s="94">
        <f t="shared" si="8"/>
        <v>0</v>
      </c>
      <c r="B88" s="33" t="str">
        <f t="shared" si="14"/>
        <v/>
      </c>
      <c r="C88" s="34" t="s">
        <v>40</v>
      </c>
      <c r="D88" s="34"/>
      <c r="E88" s="34"/>
      <c r="F88" s="34"/>
      <c r="G88" s="80"/>
      <c r="H88" s="95">
        <v>83</v>
      </c>
      <c r="I88" s="96" t="str">
        <f t="shared" si="9"/>
        <v/>
      </c>
      <c r="J88" s="95">
        <f t="shared" si="10"/>
        <v>-1</v>
      </c>
      <c r="K88" s="95">
        <f t="shared" si="11"/>
        <v>-10</v>
      </c>
      <c r="L88" s="95"/>
      <c r="M88" s="97">
        <f t="shared" si="12"/>
        <v>0</v>
      </c>
      <c r="N88" s="97">
        <f t="shared" si="13"/>
        <v>0</v>
      </c>
      <c r="O88" s="80"/>
      <c r="P88" s="80"/>
      <c r="Q88" s="80"/>
      <c r="R88" s="80"/>
      <c r="S88" s="109"/>
      <c r="T88" s="110"/>
    </row>
    <row r="89" spans="1:20" s="85" customFormat="1" x14ac:dyDescent="0.25">
      <c r="A89" s="98">
        <f t="shared" si="8"/>
        <v>0</v>
      </c>
      <c r="B89" s="39" t="str">
        <f t="shared" si="14"/>
        <v/>
      </c>
      <c r="C89" s="40" t="s">
        <v>40</v>
      </c>
      <c r="D89" s="40"/>
      <c r="E89" s="40"/>
      <c r="F89" s="40"/>
      <c r="G89" s="80"/>
      <c r="H89" s="99">
        <v>84</v>
      </c>
      <c r="I89" s="100" t="str">
        <f t="shared" si="9"/>
        <v/>
      </c>
      <c r="J89" s="99">
        <f t="shared" si="10"/>
        <v>-1</v>
      </c>
      <c r="K89" s="99">
        <f t="shared" si="11"/>
        <v>-10</v>
      </c>
      <c r="L89" s="99"/>
      <c r="M89" s="101">
        <f t="shared" si="12"/>
        <v>0</v>
      </c>
      <c r="N89" s="101">
        <f t="shared" si="13"/>
        <v>0</v>
      </c>
      <c r="O89" s="80"/>
      <c r="P89" s="80"/>
      <c r="Q89" s="80"/>
      <c r="R89" s="80"/>
      <c r="S89" s="80"/>
    </row>
    <row r="90" spans="1:20" s="85" customFormat="1" x14ac:dyDescent="0.25">
      <c r="A90" s="94">
        <f t="shared" si="8"/>
        <v>0</v>
      </c>
      <c r="B90" s="33" t="str">
        <f t="shared" si="14"/>
        <v/>
      </c>
      <c r="C90" s="34" t="s">
        <v>40</v>
      </c>
      <c r="D90" s="34"/>
      <c r="E90" s="34"/>
      <c r="F90" s="34"/>
      <c r="G90" s="80"/>
      <c r="H90" s="95">
        <v>85</v>
      </c>
      <c r="I90" s="96" t="str">
        <f t="shared" si="9"/>
        <v/>
      </c>
      <c r="J90" s="95">
        <f t="shared" si="10"/>
        <v>-1</v>
      </c>
      <c r="K90" s="95">
        <f t="shared" si="11"/>
        <v>-10</v>
      </c>
      <c r="L90" s="95"/>
      <c r="M90" s="97">
        <f t="shared" si="12"/>
        <v>0</v>
      </c>
      <c r="N90" s="97">
        <f t="shared" si="13"/>
        <v>0</v>
      </c>
      <c r="O90" s="80"/>
      <c r="P90" s="80"/>
      <c r="Q90" s="80"/>
      <c r="R90" s="80"/>
      <c r="S90" s="109"/>
      <c r="T90" s="110"/>
    </row>
    <row r="91" spans="1:20" s="85" customFormat="1" x14ac:dyDescent="0.25">
      <c r="A91" s="98">
        <f t="shared" si="8"/>
        <v>0</v>
      </c>
      <c r="B91" s="39" t="str">
        <f t="shared" si="14"/>
        <v/>
      </c>
      <c r="C91" s="40" t="s">
        <v>40</v>
      </c>
      <c r="D91" s="40"/>
      <c r="E91" s="40"/>
      <c r="F91" s="40"/>
      <c r="G91" s="80"/>
      <c r="H91" s="99">
        <v>86</v>
      </c>
      <c r="I91" s="100" t="str">
        <f t="shared" si="9"/>
        <v/>
      </c>
      <c r="J91" s="99">
        <f t="shared" si="10"/>
        <v>-1</v>
      </c>
      <c r="K91" s="99">
        <f t="shared" si="11"/>
        <v>-10</v>
      </c>
      <c r="L91" s="99"/>
      <c r="M91" s="101">
        <f t="shared" si="12"/>
        <v>0</v>
      </c>
      <c r="N91" s="101">
        <f t="shared" si="13"/>
        <v>0</v>
      </c>
      <c r="O91" s="80"/>
      <c r="P91" s="80"/>
      <c r="Q91" s="80"/>
      <c r="R91" s="80"/>
      <c r="S91" s="80"/>
    </row>
    <row r="92" spans="1:20" s="85" customFormat="1" x14ac:dyDescent="0.25">
      <c r="A92" s="94">
        <f t="shared" si="8"/>
        <v>0</v>
      </c>
      <c r="B92" s="33" t="str">
        <f t="shared" si="14"/>
        <v/>
      </c>
      <c r="C92" s="34" t="s">
        <v>40</v>
      </c>
      <c r="D92" s="34"/>
      <c r="E92" s="34"/>
      <c r="F92" s="34"/>
      <c r="G92" s="80"/>
      <c r="H92" s="95">
        <v>87</v>
      </c>
      <c r="I92" s="96" t="str">
        <f t="shared" si="9"/>
        <v/>
      </c>
      <c r="J92" s="95">
        <f t="shared" si="10"/>
        <v>-1</v>
      </c>
      <c r="K92" s="95">
        <f t="shared" si="11"/>
        <v>-10</v>
      </c>
      <c r="L92" s="95"/>
      <c r="M92" s="97">
        <f t="shared" si="12"/>
        <v>0</v>
      </c>
      <c r="N92" s="97">
        <f t="shared" si="13"/>
        <v>0</v>
      </c>
      <c r="O92" s="80"/>
      <c r="P92" s="80"/>
      <c r="Q92" s="80"/>
      <c r="R92" s="80"/>
      <c r="S92" s="109"/>
      <c r="T92" s="110"/>
    </row>
    <row r="93" spans="1:20" s="85" customFormat="1" x14ac:dyDescent="0.25">
      <c r="A93" s="98">
        <f t="shared" si="8"/>
        <v>0</v>
      </c>
      <c r="B93" s="39" t="str">
        <f t="shared" si="14"/>
        <v/>
      </c>
      <c r="C93" s="40" t="s">
        <v>40</v>
      </c>
      <c r="D93" s="40"/>
      <c r="E93" s="40"/>
      <c r="F93" s="40"/>
      <c r="G93" s="80"/>
      <c r="H93" s="99">
        <v>88</v>
      </c>
      <c r="I93" s="100" t="str">
        <f t="shared" si="9"/>
        <v/>
      </c>
      <c r="J93" s="99">
        <f t="shared" si="10"/>
        <v>-1</v>
      </c>
      <c r="K93" s="99">
        <f t="shared" si="11"/>
        <v>-10</v>
      </c>
      <c r="L93" s="99"/>
      <c r="M93" s="101">
        <f t="shared" si="12"/>
        <v>0</v>
      </c>
      <c r="N93" s="101">
        <f t="shared" si="13"/>
        <v>0</v>
      </c>
      <c r="O93" s="80"/>
      <c r="P93" s="80"/>
      <c r="Q93" s="80"/>
      <c r="R93" s="80"/>
      <c r="S93" s="80"/>
    </row>
    <row r="94" spans="1:20" s="85" customFormat="1" x14ac:dyDescent="0.25">
      <c r="A94" s="94">
        <f t="shared" si="8"/>
        <v>0</v>
      </c>
      <c r="B94" s="33" t="str">
        <f t="shared" si="14"/>
        <v/>
      </c>
      <c r="C94" s="34" t="s">
        <v>40</v>
      </c>
      <c r="D94" s="34"/>
      <c r="E94" s="34"/>
      <c r="F94" s="34"/>
      <c r="G94" s="80"/>
      <c r="H94" s="95">
        <v>89</v>
      </c>
      <c r="I94" s="96" t="str">
        <f t="shared" si="9"/>
        <v/>
      </c>
      <c r="J94" s="95">
        <f t="shared" si="10"/>
        <v>-1</v>
      </c>
      <c r="K94" s="95">
        <f t="shared" si="11"/>
        <v>-10</v>
      </c>
      <c r="L94" s="95"/>
      <c r="M94" s="97">
        <f t="shared" si="12"/>
        <v>0</v>
      </c>
      <c r="N94" s="97">
        <f t="shared" si="13"/>
        <v>0</v>
      </c>
      <c r="O94" s="80"/>
      <c r="P94" s="80"/>
      <c r="Q94" s="80"/>
      <c r="R94" s="80"/>
      <c r="S94" s="109"/>
      <c r="T94" s="110"/>
    </row>
    <row r="95" spans="1:20" s="85" customFormat="1" x14ac:dyDescent="0.25">
      <c r="A95" s="98">
        <f t="shared" si="8"/>
        <v>0</v>
      </c>
      <c r="B95" s="39" t="str">
        <f t="shared" si="14"/>
        <v/>
      </c>
      <c r="C95" s="40" t="s">
        <v>40</v>
      </c>
      <c r="D95" s="40"/>
      <c r="E95" s="40"/>
      <c r="F95" s="40"/>
      <c r="G95" s="80"/>
      <c r="H95" s="99">
        <v>90</v>
      </c>
      <c r="I95" s="100" t="str">
        <f t="shared" si="9"/>
        <v/>
      </c>
      <c r="J95" s="99">
        <f t="shared" si="10"/>
        <v>-1</v>
      </c>
      <c r="K95" s="99">
        <f t="shared" si="11"/>
        <v>-10</v>
      </c>
      <c r="L95" s="99"/>
      <c r="M95" s="101">
        <f t="shared" si="12"/>
        <v>0</v>
      </c>
      <c r="N95" s="101">
        <f t="shared" si="13"/>
        <v>0</v>
      </c>
      <c r="O95" s="80"/>
      <c r="P95" s="80"/>
      <c r="Q95" s="80"/>
      <c r="R95" s="80"/>
      <c r="S95" s="80"/>
    </row>
    <row r="96" spans="1:20" s="85" customFormat="1" x14ac:dyDescent="0.25">
      <c r="A96" s="94">
        <f t="shared" si="8"/>
        <v>0</v>
      </c>
      <c r="B96" s="33" t="str">
        <f t="shared" si="14"/>
        <v/>
      </c>
      <c r="C96" s="34" t="s">
        <v>40</v>
      </c>
      <c r="D96" s="34"/>
      <c r="E96" s="34"/>
      <c r="F96" s="34"/>
      <c r="G96" s="80"/>
      <c r="H96" s="95">
        <v>91</v>
      </c>
      <c r="I96" s="96" t="str">
        <f t="shared" si="9"/>
        <v/>
      </c>
      <c r="J96" s="95">
        <f t="shared" si="10"/>
        <v>-1</v>
      </c>
      <c r="K96" s="95">
        <f t="shared" si="11"/>
        <v>-10</v>
      </c>
      <c r="L96" s="95"/>
      <c r="M96" s="97">
        <f t="shared" si="12"/>
        <v>0</v>
      </c>
      <c r="N96" s="97">
        <f t="shared" si="13"/>
        <v>0</v>
      </c>
      <c r="O96" s="80"/>
      <c r="P96" s="80"/>
      <c r="Q96" s="80"/>
      <c r="R96" s="80"/>
      <c r="S96" s="109"/>
      <c r="T96" s="110"/>
    </row>
    <row r="97" spans="1:20" s="85" customFormat="1" x14ac:dyDescent="0.25">
      <c r="A97" s="98">
        <f t="shared" si="8"/>
        <v>0</v>
      </c>
      <c r="B97" s="39" t="str">
        <f t="shared" si="14"/>
        <v/>
      </c>
      <c r="C97" s="40" t="s">
        <v>40</v>
      </c>
      <c r="D97" s="40"/>
      <c r="E97" s="40"/>
      <c r="F97" s="40"/>
      <c r="G97" s="80"/>
      <c r="H97" s="99">
        <v>92</v>
      </c>
      <c r="I97" s="100" t="str">
        <f t="shared" si="9"/>
        <v/>
      </c>
      <c r="J97" s="99">
        <f t="shared" si="10"/>
        <v>-1</v>
      </c>
      <c r="K97" s="99">
        <f t="shared" si="11"/>
        <v>-10</v>
      </c>
      <c r="L97" s="99"/>
      <c r="M97" s="101">
        <f t="shared" si="12"/>
        <v>0</v>
      </c>
      <c r="N97" s="101">
        <f t="shared" si="13"/>
        <v>0</v>
      </c>
      <c r="O97" s="80"/>
      <c r="P97" s="80"/>
      <c r="Q97" s="80"/>
      <c r="R97" s="80"/>
      <c r="S97" s="80"/>
    </row>
    <row r="98" spans="1:20" s="85" customFormat="1" x14ac:dyDescent="0.25">
      <c r="A98" s="94">
        <f t="shared" si="8"/>
        <v>0</v>
      </c>
      <c r="B98" s="33" t="str">
        <f t="shared" si="14"/>
        <v/>
      </c>
      <c r="C98" s="34" t="s">
        <v>40</v>
      </c>
      <c r="D98" s="34"/>
      <c r="E98" s="34"/>
      <c r="F98" s="34"/>
      <c r="G98" s="80"/>
      <c r="H98" s="95">
        <v>93</v>
      </c>
      <c r="I98" s="96" t="str">
        <f t="shared" si="9"/>
        <v/>
      </c>
      <c r="J98" s="95">
        <f t="shared" si="10"/>
        <v>-1</v>
      </c>
      <c r="K98" s="95">
        <f t="shared" si="11"/>
        <v>-10</v>
      </c>
      <c r="L98" s="95"/>
      <c r="M98" s="97">
        <f t="shared" si="12"/>
        <v>0</v>
      </c>
      <c r="N98" s="97">
        <f t="shared" si="13"/>
        <v>0</v>
      </c>
      <c r="O98" s="80"/>
      <c r="P98" s="80"/>
      <c r="Q98" s="80"/>
      <c r="R98" s="80"/>
      <c r="S98" s="109"/>
      <c r="T98" s="110"/>
    </row>
    <row r="99" spans="1:20" s="85" customFormat="1" x14ac:dyDescent="0.25">
      <c r="A99" s="98">
        <f t="shared" si="8"/>
        <v>0</v>
      </c>
      <c r="B99" s="39" t="str">
        <f t="shared" si="14"/>
        <v/>
      </c>
      <c r="C99" s="40" t="s">
        <v>40</v>
      </c>
      <c r="D99" s="40"/>
      <c r="E99" s="40"/>
      <c r="F99" s="40"/>
      <c r="G99" s="80"/>
      <c r="H99" s="99">
        <v>94</v>
      </c>
      <c r="I99" s="100" t="str">
        <f t="shared" si="9"/>
        <v/>
      </c>
      <c r="J99" s="99">
        <f t="shared" si="10"/>
        <v>-1</v>
      </c>
      <c r="K99" s="99">
        <f t="shared" si="11"/>
        <v>-10</v>
      </c>
      <c r="L99" s="99"/>
      <c r="M99" s="101">
        <f t="shared" si="12"/>
        <v>0</v>
      </c>
      <c r="N99" s="101">
        <f t="shared" si="13"/>
        <v>0</v>
      </c>
      <c r="O99" s="80"/>
      <c r="P99" s="80"/>
      <c r="Q99" s="80"/>
      <c r="R99" s="80"/>
      <c r="S99" s="80"/>
    </row>
    <row r="100" spans="1:20" s="85" customFormat="1" x14ac:dyDescent="0.25">
      <c r="A100" s="94">
        <f t="shared" si="8"/>
        <v>0</v>
      </c>
      <c r="B100" s="33" t="str">
        <f t="shared" si="14"/>
        <v/>
      </c>
      <c r="C100" s="34" t="s">
        <v>40</v>
      </c>
      <c r="D100" s="34"/>
      <c r="E100" s="34"/>
      <c r="F100" s="34"/>
      <c r="G100" s="80"/>
      <c r="H100" s="95">
        <v>95</v>
      </c>
      <c r="I100" s="96" t="str">
        <f t="shared" si="9"/>
        <v/>
      </c>
      <c r="J100" s="95">
        <f t="shared" si="10"/>
        <v>-1</v>
      </c>
      <c r="K100" s="95">
        <f t="shared" si="11"/>
        <v>-10</v>
      </c>
      <c r="L100" s="95"/>
      <c r="M100" s="97">
        <f t="shared" si="12"/>
        <v>0</v>
      </c>
      <c r="N100" s="97">
        <f t="shared" si="13"/>
        <v>0</v>
      </c>
      <c r="O100" s="80"/>
      <c r="P100" s="80"/>
      <c r="Q100" s="80"/>
      <c r="R100" s="80"/>
      <c r="S100" s="109"/>
      <c r="T100" s="110"/>
    </row>
    <row r="101" spans="1:20" s="85" customFormat="1" x14ac:dyDescent="0.25">
      <c r="A101" s="98">
        <f t="shared" si="8"/>
        <v>0</v>
      </c>
      <c r="B101" s="39" t="str">
        <f t="shared" si="14"/>
        <v/>
      </c>
      <c r="C101" s="40" t="s">
        <v>40</v>
      </c>
      <c r="D101" s="40"/>
      <c r="E101" s="40"/>
      <c r="F101" s="40"/>
      <c r="G101" s="80"/>
      <c r="H101" s="99">
        <v>96</v>
      </c>
      <c r="I101" s="100" t="str">
        <f t="shared" si="9"/>
        <v/>
      </c>
      <c r="J101" s="99">
        <f t="shared" si="10"/>
        <v>-1</v>
      </c>
      <c r="K101" s="99">
        <f t="shared" si="11"/>
        <v>-10</v>
      </c>
      <c r="L101" s="99"/>
      <c r="M101" s="101">
        <f t="shared" si="12"/>
        <v>0</v>
      </c>
      <c r="N101" s="101">
        <f t="shared" si="13"/>
        <v>0</v>
      </c>
      <c r="O101" s="80"/>
      <c r="P101" s="80"/>
      <c r="Q101" s="80"/>
      <c r="R101" s="80"/>
      <c r="S101" s="80"/>
    </row>
    <row r="102" spans="1:20" s="85" customFormat="1" x14ac:dyDescent="0.25">
      <c r="A102" s="94">
        <f t="shared" si="8"/>
        <v>0</v>
      </c>
      <c r="B102" s="33" t="str">
        <f t="shared" si="14"/>
        <v/>
      </c>
      <c r="C102" s="34" t="s">
        <v>40</v>
      </c>
      <c r="D102" s="34"/>
      <c r="E102" s="34"/>
      <c r="F102" s="34"/>
      <c r="G102" s="80"/>
      <c r="H102" s="95">
        <v>97</v>
      </c>
      <c r="I102" s="96" t="str">
        <f t="shared" si="9"/>
        <v/>
      </c>
      <c r="J102" s="95">
        <f t="shared" si="10"/>
        <v>-1</v>
      </c>
      <c r="K102" s="95">
        <f t="shared" si="11"/>
        <v>-10</v>
      </c>
      <c r="L102" s="95"/>
      <c r="M102" s="97">
        <f t="shared" si="12"/>
        <v>0</v>
      </c>
      <c r="N102" s="97">
        <f t="shared" si="13"/>
        <v>0</v>
      </c>
      <c r="O102" s="80"/>
      <c r="P102" s="80"/>
      <c r="Q102" s="80"/>
      <c r="R102" s="80"/>
      <c r="S102" s="109"/>
      <c r="T102" s="110"/>
    </row>
    <row r="103" spans="1:20" s="85" customFormat="1" x14ac:dyDescent="0.25">
      <c r="A103" s="98">
        <f t="shared" si="8"/>
        <v>0</v>
      </c>
      <c r="B103" s="39" t="str">
        <f t="shared" si="14"/>
        <v/>
      </c>
      <c r="C103" s="40" t="s">
        <v>40</v>
      </c>
      <c r="D103" s="40"/>
      <c r="E103" s="40"/>
      <c r="F103" s="40"/>
      <c r="G103" s="80"/>
      <c r="H103" s="99">
        <v>98</v>
      </c>
      <c r="I103" s="100" t="str">
        <f t="shared" si="9"/>
        <v/>
      </c>
      <c r="J103" s="99">
        <f t="shared" si="10"/>
        <v>-1</v>
      </c>
      <c r="K103" s="99">
        <f t="shared" si="11"/>
        <v>-10</v>
      </c>
      <c r="L103" s="99"/>
      <c r="M103" s="101">
        <f t="shared" si="12"/>
        <v>0</v>
      </c>
      <c r="N103" s="101">
        <f t="shared" si="13"/>
        <v>0</v>
      </c>
      <c r="O103" s="80"/>
      <c r="P103" s="80"/>
      <c r="Q103" s="80"/>
      <c r="R103" s="80"/>
      <c r="S103" s="80"/>
    </row>
    <row r="104" spans="1:20" s="85" customFormat="1" x14ac:dyDescent="0.25">
      <c r="A104" s="94">
        <f t="shared" si="8"/>
        <v>0</v>
      </c>
      <c r="B104" s="33" t="str">
        <f t="shared" si="14"/>
        <v/>
      </c>
      <c r="C104" s="34" t="s">
        <v>40</v>
      </c>
      <c r="D104" s="34"/>
      <c r="E104" s="34"/>
      <c r="F104" s="34"/>
      <c r="G104" s="80"/>
      <c r="H104" s="95">
        <v>99</v>
      </c>
      <c r="I104" s="96" t="str">
        <f t="shared" si="9"/>
        <v/>
      </c>
      <c r="J104" s="95">
        <f t="shared" si="10"/>
        <v>-1</v>
      </c>
      <c r="K104" s="95">
        <f t="shared" si="11"/>
        <v>-10</v>
      </c>
      <c r="L104" s="95"/>
      <c r="M104" s="97">
        <f t="shared" si="12"/>
        <v>0</v>
      </c>
      <c r="N104" s="97">
        <f t="shared" si="13"/>
        <v>0</v>
      </c>
      <c r="O104" s="80"/>
      <c r="P104" s="80"/>
      <c r="Q104" s="80"/>
      <c r="R104" s="80"/>
      <c r="S104" s="109"/>
      <c r="T104" s="110"/>
    </row>
    <row r="105" spans="1:20" s="85" customFormat="1" x14ac:dyDescent="0.25">
      <c r="A105" s="98">
        <f t="shared" si="8"/>
        <v>0</v>
      </c>
      <c r="B105" s="39" t="str">
        <f t="shared" si="14"/>
        <v/>
      </c>
      <c r="C105" s="40" t="s">
        <v>40</v>
      </c>
      <c r="D105" s="40"/>
      <c r="E105" s="40"/>
      <c r="F105" s="40"/>
      <c r="G105" s="80"/>
      <c r="H105" s="99">
        <v>100</v>
      </c>
      <c r="I105" s="100" t="str">
        <f t="shared" si="9"/>
        <v/>
      </c>
      <c r="J105" s="99">
        <f t="shared" si="10"/>
        <v>-1</v>
      </c>
      <c r="K105" s="99">
        <f t="shared" si="11"/>
        <v>-10</v>
      </c>
      <c r="L105" s="99"/>
      <c r="M105" s="101">
        <f t="shared" si="12"/>
        <v>0</v>
      </c>
      <c r="N105" s="101">
        <f t="shared" si="13"/>
        <v>0</v>
      </c>
      <c r="O105" s="80"/>
      <c r="P105" s="80"/>
      <c r="Q105" s="80"/>
      <c r="R105" s="80"/>
      <c r="S105" s="80"/>
    </row>
    <row r="106" spans="1:20" s="85" customFormat="1" x14ac:dyDescent="0.25">
      <c r="A106" s="94">
        <f t="shared" si="8"/>
        <v>0</v>
      </c>
      <c r="B106" s="33" t="str">
        <f t="shared" si="14"/>
        <v/>
      </c>
      <c r="C106" s="34" t="s">
        <v>40</v>
      </c>
      <c r="D106" s="34"/>
      <c r="E106" s="34"/>
      <c r="F106" s="34"/>
      <c r="G106" s="80"/>
      <c r="H106" s="95">
        <v>101</v>
      </c>
      <c r="I106" s="96" t="str">
        <f t="shared" si="9"/>
        <v/>
      </c>
      <c r="J106" s="95">
        <f t="shared" si="10"/>
        <v>-1</v>
      </c>
      <c r="K106" s="95">
        <f t="shared" si="11"/>
        <v>-10</v>
      </c>
      <c r="L106" s="95"/>
      <c r="M106" s="97">
        <f t="shared" si="12"/>
        <v>0</v>
      </c>
      <c r="N106" s="97">
        <f t="shared" si="13"/>
        <v>0</v>
      </c>
      <c r="O106" s="80"/>
      <c r="P106" s="80"/>
      <c r="Q106" s="80"/>
      <c r="R106" s="80"/>
      <c r="S106" s="109"/>
      <c r="T106" s="110"/>
    </row>
    <row r="107" spans="1:20" s="85" customFormat="1" x14ac:dyDescent="0.25">
      <c r="A107" s="98">
        <f t="shared" si="8"/>
        <v>0</v>
      </c>
      <c r="B107" s="39" t="str">
        <f t="shared" si="14"/>
        <v/>
      </c>
      <c r="C107" s="40" t="s">
        <v>40</v>
      </c>
      <c r="D107" s="40"/>
      <c r="E107" s="40"/>
      <c r="F107" s="40"/>
      <c r="G107" s="80"/>
      <c r="H107" s="99">
        <v>102</v>
      </c>
      <c r="I107" s="100" t="str">
        <f t="shared" si="9"/>
        <v/>
      </c>
      <c r="J107" s="99">
        <f t="shared" si="10"/>
        <v>-1</v>
      </c>
      <c r="K107" s="99">
        <f t="shared" si="11"/>
        <v>-10</v>
      </c>
      <c r="L107" s="99"/>
      <c r="M107" s="101">
        <f t="shared" si="12"/>
        <v>0</v>
      </c>
      <c r="N107" s="101">
        <f t="shared" si="13"/>
        <v>0</v>
      </c>
      <c r="O107" s="80"/>
      <c r="P107" s="80"/>
      <c r="Q107" s="80"/>
      <c r="R107" s="80"/>
      <c r="S107" s="80"/>
    </row>
    <row r="108" spans="1:20" s="85" customFormat="1" x14ac:dyDescent="0.25">
      <c r="A108" s="94">
        <f t="shared" si="8"/>
        <v>0</v>
      </c>
      <c r="B108" s="33" t="str">
        <f t="shared" si="14"/>
        <v/>
      </c>
      <c r="C108" s="34" t="s">
        <v>40</v>
      </c>
      <c r="D108" s="34"/>
      <c r="E108" s="34"/>
      <c r="F108" s="34"/>
      <c r="G108" s="80"/>
      <c r="H108" s="95">
        <v>103</v>
      </c>
      <c r="I108" s="96" t="str">
        <f t="shared" si="9"/>
        <v/>
      </c>
      <c r="J108" s="95">
        <f t="shared" si="10"/>
        <v>-1</v>
      </c>
      <c r="K108" s="95">
        <f t="shared" si="11"/>
        <v>-10</v>
      </c>
      <c r="L108" s="95"/>
      <c r="M108" s="97">
        <f t="shared" si="12"/>
        <v>0</v>
      </c>
      <c r="N108" s="97">
        <f t="shared" si="13"/>
        <v>0</v>
      </c>
      <c r="O108" s="80"/>
      <c r="P108" s="80"/>
      <c r="Q108" s="80"/>
      <c r="R108" s="80"/>
      <c r="S108" s="109"/>
      <c r="T108" s="110"/>
    </row>
    <row r="109" spans="1:20" s="85" customFormat="1" x14ac:dyDescent="0.25">
      <c r="A109" s="98">
        <f t="shared" si="8"/>
        <v>0</v>
      </c>
      <c r="B109" s="39" t="str">
        <f t="shared" si="14"/>
        <v/>
      </c>
      <c r="C109" s="40" t="s">
        <v>40</v>
      </c>
      <c r="D109" s="40"/>
      <c r="E109" s="40"/>
      <c r="F109" s="40"/>
      <c r="G109" s="80"/>
      <c r="H109" s="99">
        <v>104</v>
      </c>
      <c r="I109" s="100" t="str">
        <f t="shared" si="9"/>
        <v/>
      </c>
      <c r="J109" s="99">
        <f t="shared" si="10"/>
        <v>-1</v>
      </c>
      <c r="K109" s="99">
        <f t="shared" si="11"/>
        <v>-10</v>
      </c>
      <c r="L109" s="99"/>
      <c r="M109" s="101">
        <f t="shared" si="12"/>
        <v>0</v>
      </c>
      <c r="N109" s="101">
        <f t="shared" si="13"/>
        <v>0</v>
      </c>
      <c r="O109" s="80"/>
      <c r="P109" s="80"/>
      <c r="Q109" s="80"/>
      <c r="R109" s="80"/>
      <c r="S109" s="80"/>
    </row>
    <row r="110" spans="1:20" s="85" customFormat="1" x14ac:dyDescent="0.25">
      <c r="A110" s="94">
        <f t="shared" si="8"/>
        <v>0</v>
      </c>
      <c r="B110" s="33" t="str">
        <f t="shared" si="14"/>
        <v/>
      </c>
      <c r="C110" s="34" t="s">
        <v>40</v>
      </c>
      <c r="D110" s="34"/>
      <c r="E110" s="34"/>
      <c r="F110" s="34"/>
      <c r="G110" s="80"/>
      <c r="H110" s="95">
        <v>105</v>
      </c>
      <c r="I110" s="96" t="str">
        <f t="shared" si="9"/>
        <v/>
      </c>
      <c r="J110" s="95">
        <f t="shared" si="10"/>
        <v>-1</v>
      </c>
      <c r="K110" s="95">
        <f t="shared" si="11"/>
        <v>-10</v>
      </c>
      <c r="L110" s="95"/>
      <c r="M110" s="97">
        <f t="shared" si="12"/>
        <v>0</v>
      </c>
      <c r="N110" s="97">
        <f t="shared" si="13"/>
        <v>0</v>
      </c>
      <c r="O110" s="80"/>
      <c r="P110" s="80"/>
      <c r="Q110" s="80"/>
      <c r="R110" s="80"/>
      <c r="S110" s="109"/>
      <c r="T110" s="110"/>
    </row>
    <row r="111" spans="1:20" s="85" customFormat="1" x14ac:dyDescent="0.25">
      <c r="A111" s="98">
        <f t="shared" si="8"/>
        <v>0</v>
      </c>
      <c r="B111" s="39" t="str">
        <f t="shared" si="14"/>
        <v/>
      </c>
      <c r="C111" s="40" t="s">
        <v>40</v>
      </c>
      <c r="D111" s="40"/>
      <c r="E111" s="40"/>
      <c r="F111" s="40"/>
      <c r="G111" s="80"/>
      <c r="H111" s="99">
        <v>106</v>
      </c>
      <c r="I111" s="100" t="str">
        <f t="shared" si="9"/>
        <v/>
      </c>
      <c r="J111" s="99">
        <f t="shared" si="10"/>
        <v>-1</v>
      </c>
      <c r="K111" s="99">
        <f t="shared" si="11"/>
        <v>-10</v>
      </c>
      <c r="L111" s="99"/>
      <c r="M111" s="101">
        <f t="shared" si="12"/>
        <v>0</v>
      </c>
      <c r="N111" s="101">
        <f t="shared" si="13"/>
        <v>0</v>
      </c>
      <c r="O111" s="80"/>
      <c r="P111" s="80"/>
      <c r="Q111" s="80"/>
      <c r="R111" s="80"/>
      <c r="S111" s="80"/>
    </row>
    <row r="112" spans="1:20" s="85" customFormat="1" x14ac:dyDescent="0.25">
      <c r="A112" s="94">
        <f t="shared" si="8"/>
        <v>0</v>
      </c>
      <c r="B112" s="33" t="str">
        <f t="shared" si="14"/>
        <v/>
      </c>
      <c r="C112" s="34" t="s">
        <v>40</v>
      </c>
      <c r="D112" s="34"/>
      <c r="E112" s="34"/>
      <c r="F112" s="34"/>
      <c r="G112" s="80"/>
      <c r="H112" s="95">
        <v>107</v>
      </c>
      <c r="I112" s="96" t="str">
        <f t="shared" si="9"/>
        <v/>
      </c>
      <c r="J112" s="95">
        <f t="shared" si="10"/>
        <v>-1</v>
      </c>
      <c r="K112" s="95">
        <f t="shared" si="11"/>
        <v>-10</v>
      </c>
      <c r="L112" s="95"/>
      <c r="M112" s="97">
        <f t="shared" si="12"/>
        <v>0</v>
      </c>
      <c r="N112" s="97">
        <f t="shared" si="13"/>
        <v>0</v>
      </c>
      <c r="O112" s="80"/>
      <c r="P112" s="80"/>
      <c r="Q112" s="80"/>
      <c r="R112" s="80"/>
      <c r="S112" s="109"/>
      <c r="T112" s="110"/>
    </row>
    <row r="113" spans="1:20" s="85" customFormat="1" x14ac:dyDescent="0.25">
      <c r="A113" s="98">
        <f t="shared" si="8"/>
        <v>0</v>
      </c>
      <c r="B113" s="39" t="str">
        <f t="shared" si="14"/>
        <v/>
      </c>
      <c r="C113" s="40" t="s">
        <v>40</v>
      </c>
      <c r="D113" s="40"/>
      <c r="E113" s="40"/>
      <c r="F113" s="40"/>
      <c r="G113" s="80"/>
      <c r="H113" s="99">
        <v>108</v>
      </c>
      <c r="I113" s="100" t="str">
        <f t="shared" si="9"/>
        <v/>
      </c>
      <c r="J113" s="99">
        <f t="shared" si="10"/>
        <v>-1</v>
      </c>
      <c r="K113" s="99">
        <f t="shared" si="11"/>
        <v>-10</v>
      </c>
      <c r="L113" s="99"/>
      <c r="M113" s="101">
        <f t="shared" si="12"/>
        <v>0</v>
      </c>
      <c r="N113" s="101">
        <f t="shared" si="13"/>
        <v>0</v>
      </c>
      <c r="O113" s="80"/>
      <c r="P113" s="80"/>
      <c r="Q113" s="80"/>
      <c r="R113" s="80"/>
      <c r="S113" s="80"/>
    </row>
    <row r="114" spans="1:20" s="85" customFormat="1" x14ac:dyDescent="0.25">
      <c r="A114" s="94">
        <f t="shared" si="8"/>
        <v>0</v>
      </c>
      <c r="B114" s="33" t="str">
        <f t="shared" si="14"/>
        <v/>
      </c>
      <c r="C114" s="34" t="s">
        <v>40</v>
      </c>
      <c r="D114" s="34"/>
      <c r="E114" s="34"/>
      <c r="F114" s="34"/>
      <c r="G114" s="80"/>
      <c r="H114" s="95">
        <v>109</v>
      </c>
      <c r="I114" s="96" t="str">
        <f t="shared" si="9"/>
        <v/>
      </c>
      <c r="J114" s="95">
        <f t="shared" si="10"/>
        <v>-1</v>
      </c>
      <c r="K114" s="95">
        <f t="shared" si="11"/>
        <v>-10</v>
      </c>
      <c r="L114" s="95"/>
      <c r="M114" s="97">
        <f t="shared" si="12"/>
        <v>0</v>
      </c>
      <c r="N114" s="97">
        <f t="shared" si="13"/>
        <v>0</v>
      </c>
      <c r="O114" s="80"/>
      <c r="P114" s="80"/>
      <c r="Q114" s="80"/>
      <c r="R114" s="80"/>
      <c r="S114" s="109"/>
      <c r="T114" s="110"/>
    </row>
    <row r="115" spans="1:20" s="85" customFormat="1" x14ac:dyDescent="0.25">
      <c r="A115" s="98">
        <f t="shared" si="8"/>
        <v>0</v>
      </c>
      <c r="B115" s="39" t="str">
        <f t="shared" si="14"/>
        <v/>
      </c>
      <c r="C115" s="40" t="s">
        <v>40</v>
      </c>
      <c r="D115" s="40"/>
      <c r="E115" s="40"/>
      <c r="F115" s="40"/>
      <c r="G115" s="80"/>
      <c r="H115" s="99">
        <v>110</v>
      </c>
      <c r="I115" s="100" t="str">
        <f t="shared" si="9"/>
        <v/>
      </c>
      <c r="J115" s="99">
        <f t="shared" si="10"/>
        <v>-1</v>
      </c>
      <c r="K115" s="99">
        <f t="shared" si="11"/>
        <v>-10</v>
      </c>
      <c r="L115" s="99"/>
      <c r="M115" s="101">
        <f t="shared" si="12"/>
        <v>0</v>
      </c>
      <c r="N115" s="101">
        <f t="shared" si="13"/>
        <v>0</v>
      </c>
      <c r="O115" s="80"/>
      <c r="P115" s="80"/>
      <c r="Q115" s="80"/>
      <c r="R115" s="80"/>
      <c r="S115" s="80"/>
    </row>
    <row r="116" spans="1:20" s="85" customFormat="1" x14ac:dyDescent="0.25">
      <c r="A116" s="94">
        <f t="shared" si="8"/>
        <v>0</v>
      </c>
      <c r="B116" s="33" t="str">
        <f t="shared" si="14"/>
        <v/>
      </c>
      <c r="C116" s="34" t="s">
        <v>40</v>
      </c>
      <c r="D116" s="34"/>
      <c r="E116" s="34"/>
      <c r="F116" s="34"/>
      <c r="G116" s="80"/>
      <c r="H116" s="95">
        <v>111</v>
      </c>
      <c r="I116" s="96" t="str">
        <f t="shared" si="9"/>
        <v/>
      </c>
      <c r="J116" s="95">
        <f t="shared" si="10"/>
        <v>-1</v>
      </c>
      <c r="K116" s="95">
        <f t="shared" si="11"/>
        <v>-10</v>
      </c>
      <c r="L116" s="95"/>
      <c r="M116" s="97">
        <f t="shared" si="12"/>
        <v>0</v>
      </c>
      <c r="N116" s="97">
        <f t="shared" si="13"/>
        <v>0</v>
      </c>
      <c r="O116" s="80"/>
      <c r="P116" s="80"/>
      <c r="Q116" s="80"/>
      <c r="R116" s="80"/>
      <c r="S116" s="109"/>
      <c r="T116" s="110"/>
    </row>
    <row r="117" spans="1:20" s="85" customFormat="1" x14ac:dyDescent="0.25">
      <c r="A117" s="98">
        <f t="shared" si="8"/>
        <v>0</v>
      </c>
      <c r="B117" s="39" t="str">
        <f t="shared" si="14"/>
        <v/>
      </c>
      <c r="C117" s="40" t="s">
        <v>40</v>
      </c>
      <c r="D117" s="40"/>
      <c r="E117" s="40"/>
      <c r="F117" s="40"/>
      <c r="G117" s="80"/>
      <c r="H117" s="99">
        <v>112</v>
      </c>
      <c r="I117" s="100" t="str">
        <f t="shared" si="9"/>
        <v/>
      </c>
      <c r="J117" s="99">
        <f t="shared" si="10"/>
        <v>-1</v>
      </c>
      <c r="K117" s="99">
        <f t="shared" si="11"/>
        <v>-10</v>
      </c>
      <c r="L117" s="99"/>
      <c r="M117" s="101">
        <f t="shared" si="12"/>
        <v>0</v>
      </c>
      <c r="N117" s="101">
        <f t="shared" si="13"/>
        <v>0</v>
      </c>
      <c r="O117" s="80"/>
      <c r="P117" s="80"/>
      <c r="Q117" s="80"/>
      <c r="R117" s="80"/>
      <c r="S117" s="80"/>
    </row>
    <row r="118" spans="1:20" s="85" customFormat="1" x14ac:dyDescent="0.25">
      <c r="A118" s="94">
        <f t="shared" si="8"/>
        <v>0</v>
      </c>
      <c r="B118" s="33" t="str">
        <f t="shared" si="14"/>
        <v/>
      </c>
      <c r="C118" s="34" t="s">
        <v>40</v>
      </c>
      <c r="D118" s="34"/>
      <c r="E118" s="34"/>
      <c r="F118" s="34"/>
      <c r="G118" s="80"/>
      <c r="H118" s="95">
        <v>113</v>
      </c>
      <c r="I118" s="96" t="str">
        <f t="shared" si="9"/>
        <v/>
      </c>
      <c r="J118" s="95">
        <f t="shared" si="10"/>
        <v>-1</v>
      </c>
      <c r="K118" s="95">
        <f t="shared" si="11"/>
        <v>-10</v>
      </c>
      <c r="L118" s="95"/>
      <c r="M118" s="97">
        <f t="shared" si="12"/>
        <v>0</v>
      </c>
      <c r="N118" s="97">
        <f t="shared" si="13"/>
        <v>0</v>
      </c>
      <c r="O118" s="80"/>
      <c r="P118" s="80"/>
      <c r="Q118" s="80"/>
      <c r="R118" s="80"/>
      <c r="S118" s="109"/>
      <c r="T118" s="110"/>
    </row>
    <row r="119" spans="1:20" s="85" customFormat="1" x14ac:dyDescent="0.25">
      <c r="A119" s="98">
        <f t="shared" si="8"/>
        <v>0</v>
      </c>
      <c r="B119" s="39" t="str">
        <f t="shared" si="14"/>
        <v/>
      </c>
      <c r="C119" s="40" t="s">
        <v>40</v>
      </c>
      <c r="D119" s="40"/>
      <c r="E119" s="40"/>
      <c r="F119" s="40"/>
      <c r="G119" s="80"/>
      <c r="H119" s="99">
        <v>114</v>
      </c>
      <c r="I119" s="100" t="str">
        <f t="shared" si="9"/>
        <v/>
      </c>
      <c r="J119" s="99">
        <f t="shared" si="10"/>
        <v>-1</v>
      </c>
      <c r="K119" s="99">
        <f t="shared" si="11"/>
        <v>-10</v>
      </c>
      <c r="L119" s="99"/>
      <c r="M119" s="101">
        <f t="shared" si="12"/>
        <v>0</v>
      </c>
      <c r="N119" s="101">
        <f t="shared" si="13"/>
        <v>0</v>
      </c>
      <c r="O119" s="80"/>
      <c r="P119" s="80"/>
      <c r="Q119" s="80"/>
      <c r="R119" s="80"/>
      <c r="S119" s="80"/>
    </row>
    <row r="120" spans="1:20" s="85" customFormat="1" x14ac:dyDescent="0.25">
      <c r="A120" s="94">
        <f t="shared" si="8"/>
        <v>0</v>
      </c>
      <c r="B120" s="33" t="str">
        <f t="shared" si="14"/>
        <v/>
      </c>
      <c r="C120" s="34" t="s">
        <v>40</v>
      </c>
      <c r="D120" s="34"/>
      <c r="E120" s="34"/>
      <c r="F120" s="34"/>
      <c r="G120" s="80"/>
      <c r="H120" s="95">
        <v>115</v>
      </c>
      <c r="I120" s="96" t="str">
        <f t="shared" si="9"/>
        <v/>
      </c>
      <c r="J120" s="95">
        <f t="shared" si="10"/>
        <v>-1</v>
      </c>
      <c r="K120" s="95">
        <f t="shared" si="11"/>
        <v>-10</v>
      </c>
      <c r="L120" s="95"/>
      <c r="M120" s="97">
        <f t="shared" si="12"/>
        <v>0</v>
      </c>
      <c r="N120" s="97">
        <f t="shared" si="13"/>
        <v>0</v>
      </c>
      <c r="O120" s="80"/>
      <c r="P120" s="80"/>
      <c r="Q120" s="80"/>
      <c r="R120" s="80"/>
      <c r="S120" s="109"/>
      <c r="T120" s="110"/>
    </row>
    <row r="121" spans="1:20" s="85" customFormat="1" x14ac:dyDescent="0.25">
      <c r="A121" s="98">
        <f t="shared" si="8"/>
        <v>0</v>
      </c>
      <c r="B121" s="39" t="str">
        <f t="shared" si="14"/>
        <v/>
      </c>
      <c r="C121" s="40" t="s">
        <v>40</v>
      </c>
      <c r="D121" s="40"/>
      <c r="E121" s="40"/>
      <c r="F121" s="40"/>
      <c r="G121" s="80"/>
      <c r="H121" s="99">
        <v>116</v>
      </c>
      <c r="I121" s="100" t="str">
        <f t="shared" si="9"/>
        <v/>
      </c>
      <c r="J121" s="99">
        <f t="shared" si="10"/>
        <v>-1</v>
      </c>
      <c r="K121" s="99">
        <f t="shared" si="11"/>
        <v>-10</v>
      </c>
      <c r="L121" s="99"/>
      <c r="M121" s="101">
        <f t="shared" si="12"/>
        <v>0</v>
      </c>
      <c r="N121" s="101">
        <f t="shared" si="13"/>
        <v>0</v>
      </c>
      <c r="O121" s="80"/>
      <c r="P121" s="80"/>
      <c r="Q121" s="80"/>
      <c r="R121" s="80"/>
      <c r="S121" s="80"/>
    </row>
    <row r="122" spans="1:20" s="85" customFormat="1" x14ac:dyDescent="0.25">
      <c r="A122" s="94">
        <f t="shared" si="8"/>
        <v>0</v>
      </c>
      <c r="B122" s="33" t="str">
        <f t="shared" si="14"/>
        <v/>
      </c>
      <c r="C122" s="34" t="s">
        <v>40</v>
      </c>
      <c r="D122" s="34"/>
      <c r="E122" s="34"/>
      <c r="F122" s="34"/>
      <c r="G122" s="80"/>
      <c r="H122" s="95">
        <v>117</v>
      </c>
      <c r="I122" s="96" t="str">
        <f t="shared" si="9"/>
        <v/>
      </c>
      <c r="J122" s="95">
        <f t="shared" si="10"/>
        <v>-1</v>
      </c>
      <c r="K122" s="95">
        <f t="shared" si="11"/>
        <v>-10</v>
      </c>
      <c r="L122" s="95"/>
      <c r="M122" s="97">
        <f t="shared" si="12"/>
        <v>0</v>
      </c>
      <c r="N122" s="97">
        <f t="shared" si="13"/>
        <v>0</v>
      </c>
      <c r="O122" s="80"/>
      <c r="P122" s="80"/>
      <c r="Q122" s="80"/>
      <c r="R122" s="80"/>
      <c r="S122" s="109"/>
      <c r="T122" s="110"/>
    </row>
    <row r="123" spans="1:20" s="85" customFormat="1" x14ac:dyDescent="0.25">
      <c r="A123" s="98">
        <f t="shared" si="8"/>
        <v>0</v>
      </c>
      <c r="B123" s="39" t="str">
        <f t="shared" si="14"/>
        <v/>
      </c>
      <c r="C123" s="40" t="s">
        <v>40</v>
      </c>
      <c r="D123" s="40"/>
      <c r="E123" s="40"/>
      <c r="F123" s="40"/>
      <c r="G123" s="80"/>
      <c r="H123" s="99">
        <v>118</v>
      </c>
      <c r="I123" s="100" t="str">
        <f t="shared" si="9"/>
        <v/>
      </c>
      <c r="J123" s="99">
        <f t="shared" si="10"/>
        <v>-1</v>
      </c>
      <c r="K123" s="99">
        <f t="shared" si="11"/>
        <v>-10</v>
      </c>
      <c r="L123" s="99"/>
      <c r="M123" s="101">
        <f t="shared" si="12"/>
        <v>0</v>
      </c>
      <c r="N123" s="101">
        <f t="shared" si="13"/>
        <v>0</v>
      </c>
      <c r="O123" s="80"/>
      <c r="P123" s="80"/>
      <c r="Q123" s="80"/>
      <c r="R123" s="80"/>
      <c r="S123" s="80"/>
    </row>
    <row r="124" spans="1:20" s="85" customFormat="1" x14ac:dyDescent="0.25">
      <c r="A124" s="94">
        <f t="shared" si="8"/>
        <v>0</v>
      </c>
      <c r="B124" s="33" t="str">
        <f t="shared" si="14"/>
        <v/>
      </c>
      <c r="C124" s="34" t="s">
        <v>40</v>
      </c>
      <c r="D124" s="34"/>
      <c r="E124" s="34"/>
      <c r="F124" s="34"/>
      <c r="G124" s="80"/>
      <c r="H124" s="95">
        <v>119</v>
      </c>
      <c r="I124" s="96" t="str">
        <f t="shared" si="9"/>
        <v/>
      </c>
      <c r="J124" s="95">
        <f t="shared" si="10"/>
        <v>-1</v>
      </c>
      <c r="K124" s="95">
        <f t="shared" si="11"/>
        <v>-10</v>
      </c>
      <c r="L124" s="95"/>
      <c r="M124" s="97">
        <f t="shared" si="12"/>
        <v>0</v>
      </c>
      <c r="N124" s="97">
        <f t="shared" si="13"/>
        <v>0</v>
      </c>
      <c r="O124" s="80"/>
      <c r="P124" s="80"/>
      <c r="Q124" s="80"/>
      <c r="R124" s="80"/>
      <c r="S124" s="109"/>
      <c r="T124" s="110"/>
    </row>
    <row r="125" spans="1:20" s="85" customFormat="1" x14ac:dyDescent="0.25">
      <c r="A125" s="98">
        <f t="shared" si="8"/>
        <v>0</v>
      </c>
      <c r="B125" s="39" t="str">
        <f t="shared" si="14"/>
        <v/>
      </c>
      <c r="C125" s="40" t="s">
        <v>40</v>
      </c>
      <c r="D125" s="40"/>
      <c r="E125" s="40"/>
      <c r="F125" s="40"/>
      <c r="G125" s="80"/>
      <c r="H125" s="99">
        <v>120</v>
      </c>
      <c r="I125" s="100" t="str">
        <f t="shared" si="9"/>
        <v/>
      </c>
      <c r="J125" s="99">
        <f t="shared" si="10"/>
        <v>-1</v>
      </c>
      <c r="K125" s="99">
        <f t="shared" si="11"/>
        <v>-10</v>
      </c>
      <c r="L125" s="99"/>
      <c r="M125" s="101">
        <f t="shared" si="12"/>
        <v>0</v>
      </c>
      <c r="N125" s="101">
        <f t="shared" si="13"/>
        <v>0</v>
      </c>
      <c r="O125" s="80"/>
      <c r="P125" s="80"/>
      <c r="Q125" s="80"/>
      <c r="R125" s="80"/>
      <c r="S125" s="80"/>
    </row>
    <row r="126" spans="1:20" s="85" customFormat="1" x14ac:dyDescent="0.25">
      <c r="A126" s="94">
        <f t="shared" si="8"/>
        <v>0</v>
      </c>
      <c r="B126" s="33" t="str">
        <f t="shared" si="14"/>
        <v/>
      </c>
      <c r="C126" s="34" t="s">
        <v>40</v>
      </c>
      <c r="D126" s="34"/>
      <c r="E126" s="34"/>
      <c r="F126" s="34"/>
      <c r="G126" s="80"/>
      <c r="H126" s="95">
        <v>121</v>
      </c>
      <c r="I126" s="96" t="str">
        <f t="shared" si="9"/>
        <v/>
      </c>
      <c r="J126" s="95">
        <f t="shared" si="10"/>
        <v>-1</v>
      </c>
      <c r="K126" s="95">
        <f t="shared" si="11"/>
        <v>-10</v>
      </c>
      <c r="L126" s="95"/>
      <c r="M126" s="97">
        <f t="shared" si="12"/>
        <v>0</v>
      </c>
      <c r="N126" s="97">
        <f t="shared" si="13"/>
        <v>0</v>
      </c>
      <c r="O126" s="80"/>
      <c r="P126" s="80"/>
      <c r="Q126" s="80"/>
      <c r="R126" s="80"/>
      <c r="S126" s="109"/>
      <c r="T126" s="110"/>
    </row>
    <row r="127" spans="1:20" s="85" customFormat="1" x14ac:dyDescent="0.25">
      <c r="A127" s="98">
        <f t="shared" si="8"/>
        <v>0</v>
      </c>
      <c r="B127" s="39" t="str">
        <f t="shared" si="14"/>
        <v/>
      </c>
      <c r="C127" s="40" t="s">
        <v>40</v>
      </c>
      <c r="D127" s="40"/>
      <c r="E127" s="40"/>
      <c r="F127" s="40"/>
      <c r="G127" s="80"/>
      <c r="H127" s="99">
        <v>122</v>
      </c>
      <c r="I127" s="100" t="str">
        <f t="shared" si="9"/>
        <v/>
      </c>
      <c r="J127" s="99">
        <f t="shared" si="10"/>
        <v>-1</v>
      </c>
      <c r="K127" s="99">
        <f t="shared" si="11"/>
        <v>-10</v>
      </c>
      <c r="L127" s="99"/>
      <c r="M127" s="101">
        <f t="shared" si="12"/>
        <v>0</v>
      </c>
      <c r="N127" s="101">
        <f t="shared" si="13"/>
        <v>0</v>
      </c>
      <c r="O127" s="80"/>
      <c r="P127" s="80"/>
      <c r="Q127" s="80"/>
      <c r="R127" s="80"/>
      <c r="S127" s="80"/>
    </row>
    <row r="128" spans="1:20" s="85" customFormat="1" x14ac:dyDescent="0.25">
      <c r="A128" s="94">
        <f t="shared" si="8"/>
        <v>0</v>
      </c>
      <c r="B128" s="33" t="str">
        <f t="shared" si="14"/>
        <v/>
      </c>
      <c r="C128" s="34" t="s">
        <v>40</v>
      </c>
      <c r="D128" s="34"/>
      <c r="E128" s="34"/>
      <c r="F128" s="34"/>
      <c r="G128" s="80"/>
      <c r="H128" s="95">
        <v>123</v>
      </c>
      <c r="I128" s="96" t="str">
        <f t="shared" si="9"/>
        <v/>
      </c>
      <c r="J128" s="95">
        <f t="shared" si="10"/>
        <v>-1</v>
      </c>
      <c r="K128" s="95">
        <f t="shared" si="11"/>
        <v>-10</v>
      </c>
      <c r="L128" s="95"/>
      <c r="M128" s="97">
        <f t="shared" si="12"/>
        <v>0</v>
      </c>
      <c r="N128" s="97">
        <f t="shared" si="13"/>
        <v>0</v>
      </c>
      <c r="O128" s="80"/>
      <c r="P128" s="80"/>
      <c r="Q128" s="80"/>
      <c r="R128" s="80"/>
      <c r="S128" s="109"/>
      <c r="T128" s="110"/>
    </row>
    <row r="129" spans="1:20" s="85" customFormat="1" x14ac:dyDescent="0.25">
      <c r="A129" s="98">
        <f t="shared" si="8"/>
        <v>0</v>
      </c>
      <c r="B129" s="39" t="str">
        <f t="shared" si="14"/>
        <v/>
      </c>
      <c r="C129" s="40" t="s">
        <v>40</v>
      </c>
      <c r="D129" s="40"/>
      <c r="E129" s="40"/>
      <c r="F129" s="40"/>
      <c r="G129" s="80"/>
      <c r="H129" s="99">
        <v>124</v>
      </c>
      <c r="I129" s="100" t="str">
        <f t="shared" si="9"/>
        <v/>
      </c>
      <c r="J129" s="99">
        <f t="shared" si="10"/>
        <v>-1</v>
      </c>
      <c r="K129" s="99">
        <f t="shared" si="11"/>
        <v>-10</v>
      </c>
      <c r="L129" s="99"/>
      <c r="M129" s="101">
        <f t="shared" si="12"/>
        <v>0</v>
      </c>
      <c r="N129" s="101">
        <f t="shared" si="13"/>
        <v>0</v>
      </c>
      <c r="O129" s="80"/>
      <c r="P129" s="80"/>
      <c r="Q129" s="80"/>
      <c r="R129" s="80"/>
      <c r="S129" s="80"/>
    </row>
    <row r="130" spans="1:20" s="85" customFormat="1" x14ac:dyDescent="0.25">
      <c r="A130" s="94">
        <f t="shared" si="8"/>
        <v>0</v>
      </c>
      <c r="B130" s="33" t="str">
        <f t="shared" si="14"/>
        <v/>
      </c>
      <c r="C130" s="34" t="s">
        <v>40</v>
      </c>
      <c r="D130" s="34"/>
      <c r="E130" s="34"/>
      <c r="F130" s="34"/>
      <c r="G130" s="80"/>
      <c r="H130" s="95">
        <v>125</v>
      </c>
      <c r="I130" s="96" t="str">
        <f t="shared" si="9"/>
        <v/>
      </c>
      <c r="J130" s="95">
        <f t="shared" si="10"/>
        <v>-1</v>
      </c>
      <c r="K130" s="95">
        <f t="shared" si="11"/>
        <v>-10</v>
      </c>
      <c r="L130" s="95"/>
      <c r="M130" s="97">
        <f t="shared" si="12"/>
        <v>0</v>
      </c>
      <c r="N130" s="97">
        <f t="shared" si="13"/>
        <v>0</v>
      </c>
      <c r="O130" s="80"/>
      <c r="P130" s="80"/>
      <c r="Q130" s="80"/>
      <c r="R130" s="80"/>
      <c r="S130" s="109"/>
      <c r="T130" s="110"/>
    </row>
    <row r="131" spans="1:20" s="85" customFormat="1" x14ac:dyDescent="0.25">
      <c r="A131" s="98">
        <f t="shared" si="8"/>
        <v>0</v>
      </c>
      <c r="B131" s="39" t="str">
        <f t="shared" si="14"/>
        <v/>
      </c>
      <c r="C131" s="40" t="s">
        <v>40</v>
      </c>
      <c r="D131" s="40"/>
      <c r="E131" s="40"/>
      <c r="F131" s="40"/>
      <c r="G131" s="80"/>
      <c r="H131" s="99">
        <v>126</v>
      </c>
      <c r="I131" s="100" t="str">
        <f t="shared" si="9"/>
        <v/>
      </c>
      <c r="J131" s="99">
        <f t="shared" si="10"/>
        <v>-1</v>
      </c>
      <c r="K131" s="99">
        <f t="shared" si="11"/>
        <v>-10</v>
      </c>
      <c r="L131" s="99"/>
      <c r="M131" s="101">
        <f t="shared" si="12"/>
        <v>0</v>
      </c>
      <c r="N131" s="101">
        <f t="shared" si="13"/>
        <v>0</v>
      </c>
      <c r="O131" s="80"/>
      <c r="P131" s="80"/>
      <c r="Q131" s="80"/>
      <c r="R131" s="80"/>
      <c r="S131" s="80"/>
    </row>
    <row r="132" spans="1:20" s="85" customFormat="1" x14ac:dyDescent="0.25">
      <c r="A132" s="94">
        <f t="shared" si="8"/>
        <v>0</v>
      </c>
      <c r="B132" s="33" t="str">
        <f t="shared" si="14"/>
        <v/>
      </c>
      <c r="C132" s="34" t="s">
        <v>40</v>
      </c>
      <c r="D132" s="34"/>
      <c r="E132" s="34"/>
      <c r="F132" s="34"/>
      <c r="G132" s="80"/>
      <c r="H132" s="95">
        <v>127</v>
      </c>
      <c r="I132" s="96" t="str">
        <f t="shared" si="9"/>
        <v/>
      </c>
      <c r="J132" s="95">
        <f t="shared" si="10"/>
        <v>-1</v>
      </c>
      <c r="K132" s="95">
        <f t="shared" si="11"/>
        <v>-10</v>
      </c>
      <c r="L132" s="95"/>
      <c r="M132" s="97">
        <f t="shared" si="12"/>
        <v>0</v>
      </c>
      <c r="N132" s="97">
        <f t="shared" si="13"/>
        <v>0</v>
      </c>
      <c r="O132" s="80"/>
      <c r="P132" s="80"/>
      <c r="Q132" s="80"/>
      <c r="R132" s="80"/>
      <c r="S132" s="109"/>
      <c r="T132" s="110"/>
    </row>
    <row r="133" spans="1:20" s="85" customFormat="1" x14ac:dyDescent="0.25">
      <c r="A133" s="98">
        <f t="shared" si="8"/>
        <v>0</v>
      </c>
      <c r="B133" s="39" t="str">
        <f t="shared" si="14"/>
        <v/>
      </c>
      <c r="C133" s="40" t="s">
        <v>40</v>
      </c>
      <c r="D133" s="40"/>
      <c r="E133" s="40"/>
      <c r="F133" s="40"/>
      <c r="G133" s="80"/>
      <c r="H133" s="99">
        <v>128</v>
      </c>
      <c r="I133" s="100" t="str">
        <f t="shared" si="9"/>
        <v/>
      </c>
      <c r="J133" s="99">
        <f t="shared" si="10"/>
        <v>-1</v>
      </c>
      <c r="K133" s="99">
        <f t="shared" si="11"/>
        <v>-10</v>
      </c>
      <c r="L133" s="99"/>
      <c r="M133" s="101">
        <f t="shared" si="12"/>
        <v>0</v>
      </c>
      <c r="N133" s="101">
        <f t="shared" si="13"/>
        <v>0</v>
      </c>
      <c r="O133" s="80"/>
      <c r="P133" s="80"/>
      <c r="Q133" s="80"/>
      <c r="R133" s="80"/>
      <c r="S133" s="80"/>
    </row>
    <row r="134" spans="1:20" s="85" customFormat="1" x14ac:dyDescent="0.25">
      <c r="A134" s="94">
        <f t="shared" ref="A134:A197" si="15">N134</f>
        <v>0</v>
      </c>
      <c r="B134" s="33" t="str">
        <f t="shared" si="14"/>
        <v/>
      </c>
      <c r="C134" s="34" t="s">
        <v>40</v>
      </c>
      <c r="D134" s="34"/>
      <c r="E134" s="34"/>
      <c r="F134" s="34"/>
      <c r="G134" s="80"/>
      <c r="H134" s="95">
        <v>129</v>
      </c>
      <c r="I134" s="96" t="str">
        <f t="shared" ref="I134:I197" si="16">IF(H134&lt;$H$2+1,($I$2-($I$2-1)*(LOG(H134)/LOG($H$2))),"")</f>
        <v/>
      </c>
      <c r="J134" s="95">
        <f t="shared" ref="J134:J197" si="17">INT(LOG($H$2,2))-ROUNDUP(LOG(H134,2),0)+IF(OR($H$2=1,$H$2=2,$H$2=4,$H$2=8,$H$2=16,$H$2=32,$H$2=64,$H$2=128,$H$2=256),0,1)</f>
        <v>-2</v>
      </c>
      <c r="K134" s="95">
        <f t="shared" ref="K134:K197" si="18">J134*$J$2</f>
        <v>-20</v>
      </c>
      <c r="L134" s="95"/>
      <c r="M134" s="97">
        <f t="shared" ref="M134:M197" si="19">IF(I134&lt;&gt;"",K134+I134+L134,0)</f>
        <v>0</v>
      </c>
      <c r="N134" s="97">
        <f t="shared" ref="N134:N197" si="20">IF(I134&lt;&gt;"",M134*L$2,0)</f>
        <v>0</v>
      </c>
      <c r="O134" s="80"/>
      <c r="P134" s="80"/>
      <c r="Q134" s="80"/>
      <c r="R134" s="80"/>
      <c r="S134" s="109"/>
      <c r="T134" s="110"/>
    </row>
    <row r="135" spans="1:20" s="85" customFormat="1" x14ac:dyDescent="0.25">
      <c r="A135" s="98">
        <f t="shared" si="15"/>
        <v>0</v>
      </c>
      <c r="B135" s="39" t="str">
        <f t="shared" si="14"/>
        <v/>
      </c>
      <c r="C135" s="40" t="s">
        <v>40</v>
      </c>
      <c r="D135" s="40"/>
      <c r="E135" s="40"/>
      <c r="F135" s="40"/>
      <c r="G135" s="80"/>
      <c r="H135" s="99">
        <v>130</v>
      </c>
      <c r="I135" s="100" t="str">
        <f t="shared" si="16"/>
        <v/>
      </c>
      <c r="J135" s="99">
        <f t="shared" si="17"/>
        <v>-2</v>
      </c>
      <c r="K135" s="99">
        <f t="shared" si="18"/>
        <v>-20</v>
      </c>
      <c r="L135" s="99"/>
      <c r="M135" s="101">
        <f t="shared" si="19"/>
        <v>0</v>
      </c>
      <c r="N135" s="101">
        <f t="shared" si="20"/>
        <v>0</v>
      </c>
      <c r="O135" s="80"/>
      <c r="P135" s="80"/>
      <c r="Q135" s="80"/>
      <c r="R135" s="80"/>
      <c r="S135" s="80"/>
    </row>
    <row r="136" spans="1:20" s="85" customFormat="1" x14ac:dyDescent="0.25">
      <c r="A136" s="94">
        <f t="shared" si="15"/>
        <v>0</v>
      </c>
      <c r="B136" s="33" t="str">
        <f t="shared" si="14"/>
        <v/>
      </c>
      <c r="C136" s="34" t="s">
        <v>40</v>
      </c>
      <c r="D136" s="34"/>
      <c r="E136" s="34"/>
      <c r="F136" s="34"/>
      <c r="G136" s="80"/>
      <c r="H136" s="95">
        <v>131</v>
      </c>
      <c r="I136" s="96" t="str">
        <f t="shared" si="16"/>
        <v/>
      </c>
      <c r="J136" s="95">
        <f t="shared" si="17"/>
        <v>-2</v>
      </c>
      <c r="K136" s="95">
        <f t="shared" si="18"/>
        <v>-20</v>
      </c>
      <c r="L136" s="95"/>
      <c r="M136" s="97">
        <f t="shared" si="19"/>
        <v>0</v>
      </c>
      <c r="N136" s="97">
        <f t="shared" si="20"/>
        <v>0</v>
      </c>
      <c r="O136" s="80"/>
      <c r="P136" s="80"/>
      <c r="Q136" s="80"/>
      <c r="R136" s="80"/>
      <c r="S136" s="109"/>
      <c r="T136" s="110"/>
    </row>
    <row r="137" spans="1:20" s="85" customFormat="1" x14ac:dyDescent="0.25">
      <c r="A137" s="98">
        <f t="shared" si="15"/>
        <v>0</v>
      </c>
      <c r="B137" s="39" t="str">
        <f t="shared" si="14"/>
        <v/>
      </c>
      <c r="C137" s="40" t="s">
        <v>40</v>
      </c>
      <c r="D137" s="40"/>
      <c r="E137" s="40"/>
      <c r="F137" s="40"/>
      <c r="G137" s="80"/>
      <c r="H137" s="99">
        <v>132</v>
      </c>
      <c r="I137" s="100" t="str">
        <f t="shared" si="16"/>
        <v/>
      </c>
      <c r="J137" s="99">
        <f t="shared" si="17"/>
        <v>-2</v>
      </c>
      <c r="K137" s="99">
        <f t="shared" si="18"/>
        <v>-20</v>
      </c>
      <c r="L137" s="99"/>
      <c r="M137" s="101">
        <f t="shared" si="19"/>
        <v>0</v>
      </c>
      <c r="N137" s="101">
        <f t="shared" si="20"/>
        <v>0</v>
      </c>
      <c r="O137" s="80"/>
      <c r="P137" s="80"/>
      <c r="Q137" s="80"/>
      <c r="R137" s="80"/>
      <c r="S137" s="80"/>
    </row>
    <row r="138" spans="1:20" s="85" customFormat="1" x14ac:dyDescent="0.25">
      <c r="A138" s="94">
        <f t="shared" si="15"/>
        <v>0</v>
      </c>
      <c r="B138" s="33" t="str">
        <f t="shared" ref="B138:B201" si="21">IF(H138&gt;$H$2,"",(ROW()-5))</f>
        <v/>
      </c>
      <c r="C138" s="34" t="s">
        <v>40</v>
      </c>
      <c r="D138" s="34"/>
      <c r="E138" s="34"/>
      <c r="F138" s="34"/>
      <c r="G138" s="80"/>
      <c r="H138" s="95">
        <v>133</v>
      </c>
      <c r="I138" s="96" t="str">
        <f t="shared" si="16"/>
        <v/>
      </c>
      <c r="J138" s="95">
        <f t="shared" si="17"/>
        <v>-2</v>
      </c>
      <c r="K138" s="95">
        <f t="shared" si="18"/>
        <v>-20</v>
      </c>
      <c r="L138" s="95"/>
      <c r="M138" s="97">
        <f t="shared" si="19"/>
        <v>0</v>
      </c>
      <c r="N138" s="97">
        <f t="shared" si="20"/>
        <v>0</v>
      </c>
      <c r="O138" s="80"/>
      <c r="P138" s="80"/>
      <c r="Q138" s="80"/>
      <c r="R138" s="80"/>
      <c r="S138" s="109"/>
      <c r="T138" s="110"/>
    </row>
    <row r="139" spans="1:20" s="85" customFormat="1" x14ac:dyDescent="0.25">
      <c r="A139" s="98">
        <f t="shared" si="15"/>
        <v>0</v>
      </c>
      <c r="B139" s="39" t="str">
        <f t="shared" si="21"/>
        <v/>
      </c>
      <c r="C139" s="40" t="s">
        <v>40</v>
      </c>
      <c r="D139" s="40"/>
      <c r="E139" s="40"/>
      <c r="F139" s="40"/>
      <c r="G139" s="80"/>
      <c r="H139" s="99">
        <v>134</v>
      </c>
      <c r="I139" s="100" t="str">
        <f t="shared" si="16"/>
        <v/>
      </c>
      <c r="J139" s="99">
        <f t="shared" si="17"/>
        <v>-2</v>
      </c>
      <c r="K139" s="99">
        <f t="shared" si="18"/>
        <v>-20</v>
      </c>
      <c r="L139" s="99"/>
      <c r="M139" s="101">
        <f t="shared" si="19"/>
        <v>0</v>
      </c>
      <c r="N139" s="101">
        <f t="shared" si="20"/>
        <v>0</v>
      </c>
      <c r="O139" s="80"/>
      <c r="P139" s="80"/>
      <c r="Q139" s="80"/>
      <c r="R139" s="80"/>
      <c r="S139" s="80"/>
    </row>
    <row r="140" spans="1:20" s="85" customFormat="1" x14ac:dyDescent="0.25">
      <c r="A140" s="94">
        <f t="shared" si="15"/>
        <v>0</v>
      </c>
      <c r="B140" s="33" t="str">
        <f t="shared" si="21"/>
        <v/>
      </c>
      <c r="C140" s="34" t="s">
        <v>40</v>
      </c>
      <c r="D140" s="34"/>
      <c r="E140" s="34"/>
      <c r="F140" s="34"/>
      <c r="G140" s="80"/>
      <c r="H140" s="95">
        <v>135</v>
      </c>
      <c r="I140" s="96" t="str">
        <f t="shared" si="16"/>
        <v/>
      </c>
      <c r="J140" s="95">
        <f t="shared" si="17"/>
        <v>-2</v>
      </c>
      <c r="K140" s="95">
        <f t="shared" si="18"/>
        <v>-20</v>
      </c>
      <c r="L140" s="95"/>
      <c r="M140" s="97">
        <f t="shared" si="19"/>
        <v>0</v>
      </c>
      <c r="N140" s="97">
        <f t="shared" si="20"/>
        <v>0</v>
      </c>
      <c r="O140" s="80"/>
      <c r="P140" s="80"/>
      <c r="Q140" s="80"/>
      <c r="R140" s="80"/>
      <c r="S140" s="109"/>
      <c r="T140" s="110"/>
    </row>
    <row r="141" spans="1:20" s="85" customFormat="1" x14ac:dyDescent="0.25">
      <c r="A141" s="98">
        <f t="shared" si="15"/>
        <v>0</v>
      </c>
      <c r="B141" s="39" t="str">
        <f t="shared" si="21"/>
        <v/>
      </c>
      <c r="C141" s="40" t="s">
        <v>40</v>
      </c>
      <c r="D141" s="40"/>
      <c r="E141" s="40"/>
      <c r="F141" s="40"/>
      <c r="G141" s="80"/>
      <c r="H141" s="99">
        <v>136</v>
      </c>
      <c r="I141" s="100" t="str">
        <f t="shared" si="16"/>
        <v/>
      </c>
      <c r="J141" s="99">
        <f t="shared" si="17"/>
        <v>-2</v>
      </c>
      <c r="K141" s="99">
        <f t="shared" si="18"/>
        <v>-20</v>
      </c>
      <c r="L141" s="99"/>
      <c r="M141" s="101">
        <f t="shared" si="19"/>
        <v>0</v>
      </c>
      <c r="N141" s="101">
        <f t="shared" si="20"/>
        <v>0</v>
      </c>
      <c r="O141" s="80"/>
      <c r="P141" s="80"/>
      <c r="Q141" s="80"/>
      <c r="R141" s="80"/>
      <c r="S141" s="80"/>
    </row>
    <row r="142" spans="1:20" s="85" customFormat="1" x14ac:dyDescent="0.25">
      <c r="A142" s="94">
        <f t="shared" si="15"/>
        <v>0</v>
      </c>
      <c r="B142" s="33" t="str">
        <f t="shared" si="21"/>
        <v/>
      </c>
      <c r="C142" s="34" t="s">
        <v>40</v>
      </c>
      <c r="D142" s="34"/>
      <c r="E142" s="34"/>
      <c r="F142" s="34"/>
      <c r="G142" s="80"/>
      <c r="H142" s="95">
        <v>137</v>
      </c>
      <c r="I142" s="96" t="str">
        <f t="shared" si="16"/>
        <v/>
      </c>
      <c r="J142" s="95">
        <f t="shared" si="17"/>
        <v>-2</v>
      </c>
      <c r="K142" s="95">
        <f t="shared" si="18"/>
        <v>-20</v>
      </c>
      <c r="L142" s="95"/>
      <c r="M142" s="97">
        <f t="shared" si="19"/>
        <v>0</v>
      </c>
      <c r="N142" s="97">
        <f t="shared" si="20"/>
        <v>0</v>
      </c>
      <c r="O142" s="80"/>
      <c r="P142" s="80"/>
      <c r="Q142" s="80"/>
      <c r="R142" s="80"/>
      <c r="S142" s="109"/>
      <c r="T142" s="110"/>
    </row>
    <row r="143" spans="1:20" s="85" customFormat="1" x14ac:dyDescent="0.25">
      <c r="A143" s="98">
        <f t="shared" si="15"/>
        <v>0</v>
      </c>
      <c r="B143" s="39" t="str">
        <f t="shared" si="21"/>
        <v/>
      </c>
      <c r="C143" s="40" t="s">
        <v>40</v>
      </c>
      <c r="D143" s="40"/>
      <c r="E143" s="40"/>
      <c r="F143" s="40"/>
      <c r="G143" s="80"/>
      <c r="H143" s="99">
        <v>138</v>
      </c>
      <c r="I143" s="100" t="str">
        <f t="shared" si="16"/>
        <v/>
      </c>
      <c r="J143" s="99">
        <f t="shared" si="17"/>
        <v>-2</v>
      </c>
      <c r="K143" s="99">
        <f t="shared" si="18"/>
        <v>-20</v>
      </c>
      <c r="L143" s="99"/>
      <c r="M143" s="101">
        <f t="shared" si="19"/>
        <v>0</v>
      </c>
      <c r="N143" s="101">
        <f t="shared" si="20"/>
        <v>0</v>
      </c>
      <c r="O143" s="80"/>
      <c r="P143" s="80"/>
      <c r="Q143" s="80"/>
      <c r="R143" s="80"/>
      <c r="S143" s="80"/>
    </row>
    <row r="144" spans="1:20" s="85" customFormat="1" x14ac:dyDescent="0.25">
      <c r="A144" s="94">
        <f t="shared" si="15"/>
        <v>0</v>
      </c>
      <c r="B144" s="33" t="str">
        <f t="shared" si="21"/>
        <v/>
      </c>
      <c r="C144" s="34" t="s">
        <v>40</v>
      </c>
      <c r="D144" s="34"/>
      <c r="E144" s="34"/>
      <c r="F144" s="34"/>
      <c r="G144" s="80"/>
      <c r="H144" s="95">
        <v>139</v>
      </c>
      <c r="I144" s="96" t="str">
        <f t="shared" si="16"/>
        <v/>
      </c>
      <c r="J144" s="95">
        <f t="shared" si="17"/>
        <v>-2</v>
      </c>
      <c r="K144" s="95">
        <f t="shared" si="18"/>
        <v>-20</v>
      </c>
      <c r="L144" s="95"/>
      <c r="M144" s="97">
        <f t="shared" si="19"/>
        <v>0</v>
      </c>
      <c r="N144" s="97">
        <f t="shared" si="20"/>
        <v>0</v>
      </c>
      <c r="O144" s="80"/>
      <c r="P144" s="80"/>
      <c r="Q144" s="80"/>
      <c r="R144" s="80"/>
      <c r="S144" s="109"/>
      <c r="T144" s="110"/>
    </row>
    <row r="145" spans="1:20" s="85" customFormat="1" x14ac:dyDescent="0.25">
      <c r="A145" s="98">
        <f t="shared" si="15"/>
        <v>0</v>
      </c>
      <c r="B145" s="39" t="str">
        <f t="shared" si="21"/>
        <v/>
      </c>
      <c r="C145" s="40" t="s">
        <v>40</v>
      </c>
      <c r="D145" s="40"/>
      <c r="E145" s="40"/>
      <c r="F145" s="40"/>
      <c r="G145" s="80"/>
      <c r="H145" s="99">
        <v>140</v>
      </c>
      <c r="I145" s="100" t="str">
        <f t="shared" si="16"/>
        <v/>
      </c>
      <c r="J145" s="99">
        <f t="shared" si="17"/>
        <v>-2</v>
      </c>
      <c r="K145" s="99">
        <f t="shared" si="18"/>
        <v>-20</v>
      </c>
      <c r="L145" s="99"/>
      <c r="M145" s="101">
        <f t="shared" si="19"/>
        <v>0</v>
      </c>
      <c r="N145" s="101">
        <f t="shared" si="20"/>
        <v>0</v>
      </c>
      <c r="O145" s="80"/>
      <c r="P145" s="80"/>
      <c r="Q145" s="80"/>
      <c r="R145" s="80"/>
      <c r="S145" s="80"/>
    </row>
    <row r="146" spans="1:20" s="85" customFormat="1" x14ac:dyDescent="0.25">
      <c r="A146" s="94">
        <f t="shared" si="15"/>
        <v>0</v>
      </c>
      <c r="B146" s="33" t="str">
        <f t="shared" si="21"/>
        <v/>
      </c>
      <c r="C146" s="34" t="s">
        <v>40</v>
      </c>
      <c r="D146" s="34"/>
      <c r="E146" s="34"/>
      <c r="F146" s="34"/>
      <c r="G146" s="80"/>
      <c r="H146" s="95">
        <v>141</v>
      </c>
      <c r="I146" s="96" t="str">
        <f t="shared" si="16"/>
        <v/>
      </c>
      <c r="J146" s="95">
        <f t="shared" si="17"/>
        <v>-2</v>
      </c>
      <c r="K146" s="95">
        <f t="shared" si="18"/>
        <v>-20</v>
      </c>
      <c r="L146" s="95"/>
      <c r="M146" s="97">
        <f t="shared" si="19"/>
        <v>0</v>
      </c>
      <c r="N146" s="97">
        <f t="shared" si="20"/>
        <v>0</v>
      </c>
      <c r="O146" s="80"/>
      <c r="P146" s="80"/>
      <c r="Q146" s="80"/>
      <c r="R146" s="80"/>
      <c r="S146" s="109"/>
      <c r="T146" s="110"/>
    </row>
    <row r="147" spans="1:20" s="85" customFormat="1" x14ac:dyDescent="0.25">
      <c r="A147" s="98">
        <f t="shared" si="15"/>
        <v>0</v>
      </c>
      <c r="B147" s="39" t="str">
        <f t="shared" si="21"/>
        <v/>
      </c>
      <c r="C147" s="40" t="s">
        <v>40</v>
      </c>
      <c r="D147" s="40"/>
      <c r="E147" s="40"/>
      <c r="F147" s="40"/>
      <c r="G147" s="80"/>
      <c r="H147" s="99">
        <v>142</v>
      </c>
      <c r="I147" s="100" t="str">
        <f t="shared" si="16"/>
        <v/>
      </c>
      <c r="J147" s="99">
        <f t="shared" si="17"/>
        <v>-2</v>
      </c>
      <c r="K147" s="99">
        <f t="shared" si="18"/>
        <v>-20</v>
      </c>
      <c r="L147" s="99"/>
      <c r="M147" s="101">
        <f t="shared" si="19"/>
        <v>0</v>
      </c>
      <c r="N147" s="101">
        <f t="shared" si="20"/>
        <v>0</v>
      </c>
      <c r="O147" s="80"/>
      <c r="P147" s="80"/>
      <c r="Q147" s="80"/>
      <c r="R147" s="80"/>
      <c r="S147" s="80"/>
    </row>
    <row r="148" spans="1:20" s="85" customFormat="1" x14ac:dyDescent="0.25">
      <c r="A148" s="94">
        <f t="shared" si="15"/>
        <v>0</v>
      </c>
      <c r="B148" s="33" t="str">
        <f t="shared" si="21"/>
        <v/>
      </c>
      <c r="C148" s="34" t="s">
        <v>40</v>
      </c>
      <c r="D148" s="34"/>
      <c r="E148" s="34"/>
      <c r="F148" s="34"/>
      <c r="G148" s="80"/>
      <c r="H148" s="95">
        <v>143</v>
      </c>
      <c r="I148" s="96" t="str">
        <f t="shared" si="16"/>
        <v/>
      </c>
      <c r="J148" s="95">
        <f t="shared" si="17"/>
        <v>-2</v>
      </c>
      <c r="K148" s="95">
        <f t="shared" si="18"/>
        <v>-20</v>
      </c>
      <c r="L148" s="95"/>
      <c r="M148" s="97">
        <f t="shared" si="19"/>
        <v>0</v>
      </c>
      <c r="N148" s="97">
        <f t="shared" si="20"/>
        <v>0</v>
      </c>
      <c r="O148" s="80"/>
      <c r="P148" s="80"/>
      <c r="Q148" s="80"/>
      <c r="R148" s="80"/>
      <c r="S148" s="109"/>
      <c r="T148" s="110"/>
    </row>
    <row r="149" spans="1:20" s="85" customFormat="1" x14ac:dyDescent="0.25">
      <c r="A149" s="98">
        <f t="shared" si="15"/>
        <v>0</v>
      </c>
      <c r="B149" s="39" t="str">
        <f t="shared" si="21"/>
        <v/>
      </c>
      <c r="C149" s="40" t="s">
        <v>40</v>
      </c>
      <c r="D149" s="40"/>
      <c r="E149" s="40"/>
      <c r="F149" s="40"/>
      <c r="G149" s="80"/>
      <c r="H149" s="99">
        <v>144</v>
      </c>
      <c r="I149" s="100" t="str">
        <f t="shared" si="16"/>
        <v/>
      </c>
      <c r="J149" s="99">
        <f t="shared" si="17"/>
        <v>-2</v>
      </c>
      <c r="K149" s="99">
        <f t="shared" si="18"/>
        <v>-20</v>
      </c>
      <c r="L149" s="99"/>
      <c r="M149" s="101">
        <f t="shared" si="19"/>
        <v>0</v>
      </c>
      <c r="N149" s="101">
        <f t="shared" si="20"/>
        <v>0</v>
      </c>
      <c r="O149" s="80"/>
      <c r="P149" s="80"/>
      <c r="Q149" s="80"/>
      <c r="R149" s="80"/>
      <c r="S149" s="80"/>
    </row>
    <row r="150" spans="1:20" s="85" customFormat="1" x14ac:dyDescent="0.25">
      <c r="A150" s="94">
        <f t="shared" si="15"/>
        <v>0</v>
      </c>
      <c r="B150" s="33" t="str">
        <f t="shared" si="21"/>
        <v/>
      </c>
      <c r="C150" s="34" t="s">
        <v>40</v>
      </c>
      <c r="D150" s="34"/>
      <c r="E150" s="34"/>
      <c r="F150" s="34"/>
      <c r="G150" s="80"/>
      <c r="H150" s="95">
        <v>145</v>
      </c>
      <c r="I150" s="96" t="str">
        <f t="shared" si="16"/>
        <v/>
      </c>
      <c r="J150" s="95">
        <f t="shared" si="17"/>
        <v>-2</v>
      </c>
      <c r="K150" s="95">
        <f t="shared" si="18"/>
        <v>-20</v>
      </c>
      <c r="L150" s="95"/>
      <c r="M150" s="97">
        <f t="shared" si="19"/>
        <v>0</v>
      </c>
      <c r="N150" s="97">
        <f t="shared" si="20"/>
        <v>0</v>
      </c>
      <c r="O150" s="80"/>
      <c r="P150" s="80"/>
      <c r="Q150" s="80"/>
      <c r="R150" s="80"/>
      <c r="S150" s="109"/>
      <c r="T150" s="110"/>
    </row>
    <row r="151" spans="1:20" s="85" customFormat="1" x14ac:dyDescent="0.25">
      <c r="A151" s="98">
        <f t="shared" si="15"/>
        <v>0</v>
      </c>
      <c r="B151" s="39" t="str">
        <f t="shared" si="21"/>
        <v/>
      </c>
      <c r="C151" s="40" t="s">
        <v>40</v>
      </c>
      <c r="D151" s="40"/>
      <c r="E151" s="40"/>
      <c r="F151" s="40"/>
      <c r="G151" s="80"/>
      <c r="H151" s="99">
        <v>146</v>
      </c>
      <c r="I151" s="100" t="str">
        <f t="shared" si="16"/>
        <v/>
      </c>
      <c r="J151" s="99">
        <f t="shared" si="17"/>
        <v>-2</v>
      </c>
      <c r="K151" s="99">
        <f t="shared" si="18"/>
        <v>-20</v>
      </c>
      <c r="L151" s="99"/>
      <c r="M151" s="101">
        <f t="shared" si="19"/>
        <v>0</v>
      </c>
      <c r="N151" s="101">
        <f t="shared" si="20"/>
        <v>0</v>
      </c>
      <c r="O151" s="80"/>
      <c r="P151" s="80"/>
      <c r="Q151" s="80"/>
      <c r="R151" s="80"/>
      <c r="S151" s="80"/>
    </row>
    <row r="152" spans="1:20" s="85" customFormat="1" x14ac:dyDescent="0.25">
      <c r="A152" s="94">
        <f t="shared" si="15"/>
        <v>0</v>
      </c>
      <c r="B152" s="33" t="str">
        <f t="shared" si="21"/>
        <v/>
      </c>
      <c r="C152" s="34" t="s">
        <v>40</v>
      </c>
      <c r="D152" s="34"/>
      <c r="E152" s="34"/>
      <c r="F152" s="34"/>
      <c r="G152" s="80"/>
      <c r="H152" s="95">
        <v>147</v>
      </c>
      <c r="I152" s="96" t="str">
        <f t="shared" si="16"/>
        <v/>
      </c>
      <c r="J152" s="95">
        <f t="shared" si="17"/>
        <v>-2</v>
      </c>
      <c r="K152" s="95">
        <f t="shared" si="18"/>
        <v>-20</v>
      </c>
      <c r="L152" s="95"/>
      <c r="M152" s="97">
        <f t="shared" si="19"/>
        <v>0</v>
      </c>
      <c r="N152" s="97">
        <f t="shared" si="20"/>
        <v>0</v>
      </c>
      <c r="O152" s="80"/>
      <c r="P152" s="80"/>
      <c r="Q152" s="80"/>
      <c r="R152" s="80"/>
      <c r="S152" s="109"/>
      <c r="T152" s="110"/>
    </row>
    <row r="153" spans="1:20" s="85" customFormat="1" x14ac:dyDescent="0.25">
      <c r="A153" s="98">
        <f t="shared" si="15"/>
        <v>0</v>
      </c>
      <c r="B153" s="39" t="str">
        <f t="shared" si="21"/>
        <v/>
      </c>
      <c r="C153" s="40" t="s">
        <v>40</v>
      </c>
      <c r="D153" s="40"/>
      <c r="E153" s="40"/>
      <c r="F153" s="40"/>
      <c r="G153" s="80"/>
      <c r="H153" s="99">
        <v>148</v>
      </c>
      <c r="I153" s="100" t="str">
        <f t="shared" si="16"/>
        <v/>
      </c>
      <c r="J153" s="99">
        <f t="shared" si="17"/>
        <v>-2</v>
      </c>
      <c r="K153" s="99">
        <f t="shared" si="18"/>
        <v>-20</v>
      </c>
      <c r="L153" s="99"/>
      <c r="M153" s="101">
        <f t="shared" si="19"/>
        <v>0</v>
      </c>
      <c r="N153" s="101">
        <f t="shared" si="20"/>
        <v>0</v>
      </c>
      <c r="O153" s="80"/>
      <c r="P153" s="80"/>
      <c r="Q153" s="80"/>
      <c r="R153" s="80"/>
      <c r="S153" s="80"/>
    </row>
    <row r="154" spans="1:20" s="85" customFormat="1" x14ac:dyDescent="0.25">
      <c r="A154" s="94">
        <f t="shared" si="15"/>
        <v>0</v>
      </c>
      <c r="B154" s="33" t="str">
        <f t="shared" si="21"/>
        <v/>
      </c>
      <c r="C154" s="34" t="s">
        <v>40</v>
      </c>
      <c r="D154" s="34"/>
      <c r="E154" s="34"/>
      <c r="F154" s="34"/>
      <c r="G154" s="80"/>
      <c r="H154" s="95">
        <v>149</v>
      </c>
      <c r="I154" s="96" t="str">
        <f t="shared" si="16"/>
        <v/>
      </c>
      <c r="J154" s="95">
        <f t="shared" si="17"/>
        <v>-2</v>
      </c>
      <c r="K154" s="95">
        <f t="shared" si="18"/>
        <v>-20</v>
      </c>
      <c r="L154" s="95"/>
      <c r="M154" s="97">
        <f t="shared" si="19"/>
        <v>0</v>
      </c>
      <c r="N154" s="97">
        <f t="shared" si="20"/>
        <v>0</v>
      </c>
      <c r="O154" s="80"/>
      <c r="P154" s="80"/>
      <c r="Q154" s="80"/>
      <c r="R154" s="80"/>
      <c r="S154" s="109"/>
      <c r="T154" s="110"/>
    </row>
    <row r="155" spans="1:20" s="85" customFormat="1" x14ac:dyDescent="0.25">
      <c r="A155" s="98">
        <f t="shared" si="15"/>
        <v>0</v>
      </c>
      <c r="B155" s="39" t="str">
        <f t="shared" si="21"/>
        <v/>
      </c>
      <c r="C155" s="40" t="s">
        <v>40</v>
      </c>
      <c r="D155" s="40"/>
      <c r="E155" s="40"/>
      <c r="F155" s="40"/>
      <c r="G155" s="80"/>
      <c r="H155" s="99">
        <v>150</v>
      </c>
      <c r="I155" s="100" t="str">
        <f t="shared" si="16"/>
        <v/>
      </c>
      <c r="J155" s="99">
        <f t="shared" si="17"/>
        <v>-2</v>
      </c>
      <c r="K155" s="99">
        <f t="shared" si="18"/>
        <v>-20</v>
      </c>
      <c r="L155" s="99"/>
      <c r="M155" s="101">
        <f t="shared" si="19"/>
        <v>0</v>
      </c>
      <c r="N155" s="101">
        <f t="shared" si="20"/>
        <v>0</v>
      </c>
      <c r="O155" s="80"/>
      <c r="P155" s="80"/>
      <c r="Q155" s="80"/>
      <c r="R155" s="80"/>
      <c r="S155" s="80"/>
    </row>
    <row r="156" spans="1:20" s="85" customFormat="1" x14ac:dyDescent="0.25">
      <c r="A156" s="94">
        <f t="shared" si="15"/>
        <v>0</v>
      </c>
      <c r="B156" s="33" t="str">
        <f t="shared" si="21"/>
        <v/>
      </c>
      <c r="C156" s="34" t="s">
        <v>40</v>
      </c>
      <c r="D156" s="34"/>
      <c r="E156" s="34"/>
      <c r="F156" s="34"/>
      <c r="G156" s="80"/>
      <c r="H156" s="95">
        <v>151</v>
      </c>
      <c r="I156" s="96" t="str">
        <f t="shared" si="16"/>
        <v/>
      </c>
      <c r="J156" s="95">
        <f t="shared" si="17"/>
        <v>-2</v>
      </c>
      <c r="K156" s="95">
        <f t="shared" si="18"/>
        <v>-20</v>
      </c>
      <c r="L156" s="95"/>
      <c r="M156" s="97">
        <f t="shared" si="19"/>
        <v>0</v>
      </c>
      <c r="N156" s="97">
        <f t="shared" si="20"/>
        <v>0</v>
      </c>
      <c r="O156" s="80"/>
      <c r="P156" s="80"/>
      <c r="Q156" s="80"/>
      <c r="R156" s="80"/>
      <c r="S156" s="109"/>
      <c r="T156" s="110"/>
    </row>
    <row r="157" spans="1:20" s="85" customFormat="1" x14ac:dyDescent="0.25">
      <c r="A157" s="98">
        <f t="shared" si="15"/>
        <v>0</v>
      </c>
      <c r="B157" s="39" t="str">
        <f t="shared" si="21"/>
        <v/>
      </c>
      <c r="C157" s="40" t="s">
        <v>40</v>
      </c>
      <c r="D157" s="40"/>
      <c r="E157" s="40"/>
      <c r="F157" s="40"/>
      <c r="G157" s="80"/>
      <c r="H157" s="99">
        <v>152</v>
      </c>
      <c r="I157" s="100" t="str">
        <f t="shared" si="16"/>
        <v/>
      </c>
      <c r="J157" s="99">
        <f t="shared" si="17"/>
        <v>-2</v>
      </c>
      <c r="K157" s="99">
        <f t="shared" si="18"/>
        <v>-20</v>
      </c>
      <c r="L157" s="99"/>
      <c r="M157" s="101">
        <f t="shared" si="19"/>
        <v>0</v>
      </c>
      <c r="N157" s="101">
        <f t="shared" si="20"/>
        <v>0</v>
      </c>
      <c r="O157" s="80"/>
      <c r="P157" s="80"/>
      <c r="Q157" s="80"/>
      <c r="R157" s="80"/>
      <c r="S157" s="80"/>
    </row>
    <row r="158" spans="1:20" s="85" customFormat="1" x14ac:dyDescent="0.25">
      <c r="A158" s="94">
        <f t="shared" si="15"/>
        <v>0</v>
      </c>
      <c r="B158" s="33" t="str">
        <f t="shared" si="21"/>
        <v/>
      </c>
      <c r="C158" s="34" t="s">
        <v>40</v>
      </c>
      <c r="D158" s="34"/>
      <c r="E158" s="34"/>
      <c r="F158" s="34"/>
      <c r="G158" s="80"/>
      <c r="H158" s="95">
        <v>153</v>
      </c>
      <c r="I158" s="96" t="str">
        <f t="shared" si="16"/>
        <v/>
      </c>
      <c r="J158" s="95">
        <f t="shared" si="17"/>
        <v>-2</v>
      </c>
      <c r="K158" s="95">
        <f t="shared" si="18"/>
        <v>-20</v>
      </c>
      <c r="L158" s="95"/>
      <c r="M158" s="97">
        <f t="shared" si="19"/>
        <v>0</v>
      </c>
      <c r="N158" s="97">
        <f t="shared" si="20"/>
        <v>0</v>
      </c>
      <c r="O158" s="80"/>
      <c r="P158" s="80"/>
      <c r="Q158" s="80"/>
      <c r="R158" s="80"/>
      <c r="S158" s="109"/>
      <c r="T158" s="110"/>
    </row>
    <row r="159" spans="1:20" s="85" customFormat="1" x14ac:dyDescent="0.25">
      <c r="A159" s="98">
        <f t="shared" si="15"/>
        <v>0</v>
      </c>
      <c r="B159" s="39" t="str">
        <f t="shared" si="21"/>
        <v/>
      </c>
      <c r="C159" s="40" t="s">
        <v>40</v>
      </c>
      <c r="D159" s="40"/>
      <c r="E159" s="40"/>
      <c r="F159" s="40"/>
      <c r="G159" s="80"/>
      <c r="H159" s="99">
        <v>154</v>
      </c>
      <c r="I159" s="100" t="str">
        <f t="shared" si="16"/>
        <v/>
      </c>
      <c r="J159" s="99">
        <f t="shared" si="17"/>
        <v>-2</v>
      </c>
      <c r="K159" s="99">
        <f t="shared" si="18"/>
        <v>-20</v>
      </c>
      <c r="L159" s="99"/>
      <c r="M159" s="101">
        <f t="shared" si="19"/>
        <v>0</v>
      </c>
      <c r="N159" s="101">
        <f t="shared" si="20"/>
        <v>0</v>
      </c>
      <c r="O159" s="80"/>
      <c r="P159" s="80"/>
      <c r="Q159" s="80"/>
      <c r="R159" s="80"/>
      <c r="S159" s="80"/>
    </row>
    <row r="160" spans="1:20" s="85" customFormat="1" x14ac:dyDescent="0.25">
      <c r="A160" s="94">
        <f t="shared" si="15"/>
        <v>0</v>
      </c>
      <c r="B160" s="33" t="str">
        <f t="shared" si="21"/>
        <v/>
      </c>
      <c r="C160" s="34" t="s">
        <v>40</v>
      </c>
      <c r="D160" s="34"/>
      <c r="E160" s="34"/>
      <c r="F160" s="34"/>
      <c r="G160" s="80"/>
      <c r="H160" s="95">
        <v>155</v>
      </c>
      <c r="I160" s="96" t="str">
        <f t="shared" si="16"/>
        <v/>
      </c>
      <c r="J160" s="95">
        <f t="shared" si="17"/>
        <v>-2</v>
      </c>
      <c r="K160" s="95">
        <f t="shared" si="18"/>
        <v>-20</v>
      </c>
      <c r="L160" s="95"/>
      <c r="M160" s="97">
        <f t="shared" si="19"/>
        <v>0</v>
      </c>
      <c r="N160" s="97">
        <f t="shared" si="20"/>
        <v>0</v>
      </c>
      <c r="O160" s="80"/>
      <c r="P160" s="80"/>
      <c r="Q160" s="80"/>
      <c r="R160" s="80"/>
      <c r="S160" s="109"/>
      <c r="T160" s="110"/>
    </row>
    <row r="161" spans="1:20" s="85" customFormat="1" x14ac:dyDescent="0.25">
      <c r="A161" s="98">
        <f t="shared" si="15"/>
        <v>0</v>
      </c>
      <c r="B161" s="39" t="str">
        <f t="shared" si="21"/>
        <v/>
      </c>
      <c r="C161" s="40" t="s">
        <v>40</v>
      </c>
      <c r="D161" s="40"/>
      <c r="E161" s="40"/>
      <c r="F161" s="40"/>
      <c r="G161" s="80"/>
      <c r="H161" s="99">
        <v>156</v>
      </c>
      <c r="I161" s="100" t="str">
        <f t="shared" si="16"/>
        <v/>
      </c>
      <c r="J161" s="99">
        <f t="shared" si="17"/>
        <v>-2</v>
      </c>
      <c r="K161" s="99">
        <f t="shared" si="18"/>
        <v>-20</v>
      </c>
      <c r="L161" s="99"/>
      <c r="M161" s="101">
        <f t="shared" si="19"/>
        <v>0</v>
      </c>
      <c r="N161" s="101">
        <f t="shared" si="20"/>
        <v>0</v>
      </c>
      <c r="O161" s="80"/>
      <c r="P161" s="80"/>
      <c r="Q161" s="80"/>
      <c r="R161" s="80"/>
      <c r="S161" s="80"/>
    </row>
    <row r="162" spans="1:20" s="85" customFormat="1" x14ac:dyDescent="0.25">
      <c r="A162" s="94">
        <f t="shared" si="15"/>
        <v>0</v>
      </c>
      <c r="B162" s="33" t="str">
        <f t="shared" si="21"/>
        <v/>
      </c>
      <c r="C162" s="34" t="s">
        <v>40</v>
      </c>
      <c r="D162" s="34"/>
      <c r="E162" s="34"/>
      <c r="F162" s="34"/>
      <c r="G162" s="80"/>
      <c r="H162" s="95">
        <v>157</v>
      </c>
      <c r="I162" s="96" t="str">
        <f t="shared" si="16"/>
        <v/>
      </c>
      <c r="J162" s="95">
        <f t="shared" si="17"/>
        <v>-2</v>
      </c>
      <c r="K162" s="95">
        <f t="shared" si="18"/>
        <v>-20</v>
      </c>
      <c r="L162" s="95"/>
      <c r="M162" s="97">
        <f t="shared" si="19"/>
        <v>0</v>
      </c>
      <c r="N162" s="97">
        <f t="shared" si="20"/>
        <v>0</v>
      </c>
      <c r="O162" s="80"/>
      <c r="P162" s="80"/>
      <c r="Q162" s="80"/>
      <c r="R162" s="80"/>
      <c r="S162" s="109"/>
      <c r="T162" s="110"/>
    </row>
    <row r="163" spans="1:20" s="85" customFormat="1" x14ac:dyDescent="0.25">
      <c r="A163" s="98">
        <f t="shared" si="15"/>
        <v>0</v>
      </c>
      <c r="B163" s="39" t="str">
        <f t="shared" si="21"/>
        <v/>
      </c>
      <c r="C163" s="40" t="s">
        <v>40</v>
      </c>
      <c r="D163" s="40"/>
      <c r="E163" s="40"/>
      <c r="F163" s="40"/>
      <c r="G163" s="80"/>
      <c r="H163" s="99">
        <v>158</v>
      </c>
      <c r="I163" s="100" t="str">
        <f t="shared" si="16"/>
        <v/>
      </c>
      <c r="J163" s="99">
        <f t="shared" si="17"/>
        <v>-2</v>
      </c>
      <c r="K163" s="99">
        <f t="shared" si="18"/>
        <v>-20</v>
      </c>
      <c r="L163" s="99"/>
      <c r="M163" s="101">
        <f t="shared" si="19"/>
        <v>0</v>
      </c>
      <c r="N163" s="101">
        <f t="shared" si="20"/>
        <v>0</v>
      </c>
      <c r="O163" s="80"/>
      <c r="P163" s="80"/>
      <c r="Q163" s="80"/>
      <c r="R163" s="80"/>
      <c r="S163" s="80"/>
    </row>
    <row r="164" spans="1:20" s="85" customFormat="1" x14ac:dyDescent="0.25">
      <c r="A164" s="94">
        <f t="shared" si="15"/>
        <v>0</v>
      </c>
      <c r="B164" s="33" t="str">
        <f t="shared" si="21"/>
        <v/>
      </c>
      <c r="C164" s="34" t="s">
        <v>40</v>
      </c>
      <c r="D164" s="34"/>
      <c r="E164" s="34"/>
      <c r="F164" s="34"/>
      <c r="G164" s="80"/>
      <c r="H164" s="95">
        <v>159</v>
      </c>
      <c r="I164" s="96" t="str">
        <f t="shared" si="16"/>
        <v/>
      </c>
      <c r="J164" s="95">
        <f t="shared" si="17"/>
        <v>-2</v>
      </c>
      <c r="K164" s="95">
        <f t="shared" si="18"/>
        <v>-20</v>
      </c>
      <c r="L164" s="95"/>
      <c r="M164" s="97">
        <f t="shared" si="19"/>
        <v>0</v>
      </c>
      <c r="N164" s="97">
        <f t="shared" si="20"/>
        <v>0</v>
      </c>
      <c r="O164" s="80"/>
      <c r="P164" s="80"/>
      <c r="Q164" s="80"/>
      <c r="R164" s="80"/>
      <c r="S164" s="109"/>
      <c r="T164" s="110"/>
    </row>
    <row r="165" spans="1:20" s="85" customFormat="1" x14ac:dyDescent="0.25">
      <c r="A165" s="98">
        <f t="shared" si="15"/>
        <v>0</v>
      </c>
      <c r="B165" s="39" t="str">
        <f t="shared" si="21"/>
        <v/>
      </c>
      <c r="C165" s="40" t="s">
        <v>40</v>
      </c>
      <c r="D165" s="40"/>
      <c r="E165" s="40"/>
      <c r="F165" s="40"/>
      <c r="G165" s="80"/>
      <c r="H165" s="99">
        <v>160</v>
      </c>
      <c r="I165" s="100" t="str">
        <f t="shared" si="16"/>
        <v/>
      </c>
      <c r="J165" s="99">
        <f t="shared" si="17"/>
        <v>-2</v>
      </c>
      <c r="K165" s="99">
        <f t="shared" si="18"/>
        <v>-20</v>
      </c>
      <c r="L165" s="99"/>
      <c r="M165" s="101">
        <f t="shared" si="19"/>
        <v>0</v>
      </c>
      <c r="N165" s="101">
        <f t="shared" si="20"/>
        <v>0</v>
      </c>
      <c r="O165" s="80"/>
      <c r="P165" s="80"/>
      <c r="Q165" s="80"/>
      <c r="R165" s="80"/>
      <c r="S165" s="80"/>
    </row>
    <row r="166" spans="1:20" s="85" customFormat="1" x14ac:dyDescent="0.25">
      <c r="A166" s="94">
        <f t="shared" si="15"/>
        <v>0</v>
      </c>
      <c r="B166" s="33" t="str">
        <f t="shared" si="21"/>
        <v/>
      </c>
      <c r="C166" s="34" t="s">
        <v>40</v>
      </c>
      <c r="D166" s="34"/>
      <c r="E166" s="34"/>
      <c r="F166" s="34"/>
      <c r="G166" s="80"/>
      <c r="H166" s="95">
        <v>161</v>
      </c>
      <c r="I166" s="96" t="str">
        <f t="shared" si="16"/>
        <v/>
      </c>
      <c r="J166" s="95">
        <f t="shared" si="17"/>
        <v>-2</v>
      </c>
      <c r="K166" s="95">
        <f t="shared" si="18"/>
        <v>-20</v>
      </c>
      <c r="L166" s="95"/>
      <c r="M166" s="97">
        <f t="shared" si="19"/>
        <v>0</v>
      </c>
      <c r="N166" s="97">
        <f t="shared" si="20"/>
        <v>0</v>
      </c>
      <c r="O166" s="80"/>
      <c r="P166" s="80"/>
      <c r="Q166" s="80"/>
      <c r="R166" s="80"/>
      <c r="S166" s="109"/>
      <c r="T166" s="110"/>
    </row>
    <row r="167" spans="1:20" s="85" customFormat="1" x14ac:dyDescent="0.25">
      <c r="A167" s="98">
        <f t="shared" si="15"/>
        <v>0</v>
      </c>
      <c r="B167" s="39" t="str">
        <f t="shared" si="21"/>
        <v/>
      </c>
      <c r="C167" s="40" t="s">
        <v>40</v>
      </c>
      <c r="D167" s="40"/>
      <c r="E167" s="40"/>
      <c r="F167" s="40"/>
      <c r="G167" s="80"/>
      <c r="H167" s="99">
        <v>162</v>
      </c>
      <c r="I167" s="100" t="str">
        <f t="shared" si="16"/>
        <v/>
      </c>
      <c r="J167" s="99">
        <f t="shared" si="17"/>
        <v>-2</v>
      </c>
      <c r="K167" s="99">
        <f t="shared" si="18"/>
        <v>-20</v>
      </c>
      <c r="L167" s="99"/>
      <c r="M167" s="101">
        <f t="shared" si="19"/>
        <v>0</v>
      </c>
      <c r="N167" s="101">
        <f t="shared" si="20"/>
        <v>0</v>
      </c>
      <c r="O167" s="80"/>
      <c r="P167" s="80"/>
      <c r="Q167" s="80"/>
      <c r="R167" s="80"/>
      <c r="S167" s="80"/>
    </row>
    <row r="168" spans="1:20" s="85" customFormat="1" x14ac:dyDescent="0.25">
      <c r="A168" s="94">
        <f t="shared" si="15"/>
        <v>0</v>
      </c>
      <c r="B168" s="33" t="str">
        <f t="shared" si="21"/>
        <v/>
      </c>
      <c r="C168" s="34" t="s">
        <v>40</v>
      </c>
      <c r="D168" s="34"/>
      <c r="E168" s="34"/>
      <c r="F168" s="34"/>
      <c r="G168" s="80"/>
      <c r="H168" s="95">
        <v>163</v>
      </c>
      <c r="I168" s="96" t="str">
        <f t="shared" si="16"/>
        <v/>
      </c>
      <c r="J168" s="95">
        <f t="shared" si="17"/>
        <v>-2</v>
      </c>
      <c r="K168" s="95">
        <f t="shared" si="18"/>
        <v>-20</v>
      </c>
      <c r="L168" s="95"/>
      <c r="M168" s="97">
        <f t="shared" si="19"/>
        <v>0</v>
      </c>
      <c r="N168" s="97">
        <f t="shared" si="20"/>
        <v>0</v>
      </c>
      <c r="O168" s="80"/>
      <c r="P168" s="80"/>
      <c r="Q168" s="80"/>
      <c r="R168" s="80"/>
      <c r="S168" s="109"/>
      <c r="T168" s="110"/>
    </row>
    <row r="169" spans="1:20" s="85" customFormat="1" x14ac:dyDescent="0.25">
      <c r="A169" s="98">
        <f t="shared" si="15"/>
        <v>0</v>
      </c>
      <c r="B169" s="39" t="str">
        <f t="shared" si="21"/>
        <v/>
      </c>
      <c r="C169" s="40" t="s">
        <v>40</v>
      </c>
      <c r="D169" s="40"/>
      <c r="E169" s="40"/>
      <c r="F169" s="40"/>
      <c r="G169" s="80"/>
      <c r="H169" s="99">
        <v>164</v>
      </c>
      <c r="I169" s="100" t="str">
        <f t="shared" si="16"/>
        <v/>
      </c>
      <c r="J169" s="99">
        <f t="shared" si="17"/>
        <v>-2</v>
      </c>
      <c r="K169" s="99">
        <f t="shared" si="18"/>
        <v>-20</v>
      </c>
      <c r="L169" s="99"/>
      <c r="M169" s="101">
        <f t="shared" si="19"/>
        <v>0</v>
      </c>
      <c r="N169" s="101">
        <f t="shared" si="20"/>
        <v>0</v>
      </c>
      <c r="O169" s="80"/>
      <c r="P169" s="80"/>
      <c r="Q169" s="80"/>
      <c r="R169" s="80"/>
      <c r="S169" s="80"/>
    </row>
    <row r="170" spans="1:20" s="85" customFormat="1" x14ac:dyDescent="0.25">
      <c r="A170" s="94">
        <f t="shared" si="15"/>
        <v>0</v>
      </c>
      <c r="B170" s="33" t="str">
        <f t="shared" si="21"/>
        <v/>
      </c>
      <c r="C170" s="34" t="s">
        <v>40</v>
      </c>
      <c r="D170" s="34"/>
      <c r="E170" s="34"/>
      <c r="F170" s="34"/>
      <c r="G170" s="80"/>
      <c r="H170" s="95">
        <v>165</v>
      </c>
      <c r="I170" s="96" t="str">
        <f t="shared" si="16"/>
        <v/>
      </c>
      <c r="J170" s="95">
        <f t="shared" si="17"/>
        <v>-2</v>
      </c>
      <c r="K170" s="95">
        <f t="shared" si="18"/>
        <v>-20</v>
      </c>
      <c r="L170" s="95"/>
      <c r="M170" s="97">
        <f t="shared" si="19"/>
        <v>0</v>
      </c>
      <c r="N170" s="97">
        <f t="shared" si="20"/>
        <v>0</v>
      </c>
      <c r="O170" s="80"/>
      <c r="P170" s="80"/>
      <c r="Q170" s="80"/>
      <c r="R170" s="80"/>
      <c r="S170" s="109"/>
      <c r="T170" s="110"/>
    </row>
    <row r="171" spans="1:20" s="85" customFormat="1" x14ac:dyDescent="0.25">
      <c r="A171" s="98">
        <f t="shared" si="15"/>
        <v>0</v>
      </c>
      <c r="B171" s="39" t="str">
        <f t="shared" si="21"/>
        <v/>
      </c>
      <c r="C171" s="40" t="s">
        <v>40</v>
      </c>
      <c r="D171" s="40"/>
      <c r="E171" s="40"/>
      <c r="F171" s="40"/>
      <c r="G171" s="80"/>
      <c r="H171" s="99">
        <v>166</v>
      </c>
      <c r="I171" s="100" t="str">
        <f t="shared" si="16"/>
        <v/>
      </c>
      <c r="J171" s="99">
        <f t="shared" si="17"/>
        <v>-2</v>
      </c>
      <c r="K171" s="99">
        <f t="shared" si="18"/>
        <v>-20</v>
      </c>
      <c r="L171" s="99"/>
      <c r="M171" s="101">
        <f t="shared" si="19"/>
        <v>0</v>
      </c>
      <c r="N171" s="101">
        <f t="shared" si="20"/>
        <v>0</v>
      </c>
      <c r="O171" s="80"/>
      <c r="P171" s="80"/>
      <c r="Q171" s="80"/>
      <c r="R171" s="80"/>
      <c r="S171" s="80"/>
    </row>
    <row r="172" spans="1:20" s="85" customFormat="1" x14ac:dyDescent="0.25">
      <c r="A172" s="94">
        <f t="shared" si="15"/>
        <v>0</v>
      </c>
      <c r="B172" s="33" t="str">
        <f t="shared" si="21"/>
        <v/>
      </c>
      <c r="C172" s="34" t="s">
        <v>40</v>
      </c>
      <c r="D172" s="34"/>
      <c r="E172" s="34"/>
      <c r="F172" s="34"/>
      <c r="G172" s="80"/>
      <c r="H172" s="95">
        <v>167</v>
      </c>
      <c r="I172" s="96" t="str">
        <f t="shared" si="16"/>
        <v/>
      </c>
      <c r="J172" s="95">
        <f t="shared" si="17"/>
        <v>-2</v>
      </c>
      <c r="K172" s="95">
        <f t="shared" si="18"/>
        <v>-20</v>
      </c>
      <c r="L172" s="95"/>
      <c r="M172" s="97">
        <f t="shared" si="19"/>
        <v>0</v>
      </c>
      <c r="N172" s="97">
        <f t="shared" si="20"/>
        <v>0</v>
      </c>
      <c r="O172" s="80"/>
      <c r="P172" s="80"/>
      <c r="Q172" s="80"/>
      <c r="R172" s="80"/>
      <c r="S172" s="109"/>
      <c r="T172" s="110"/>
    </row>
    <row r="173" spans="1:20" s="85" customFormat="1" x14ac:dyDescent="0.25">
      <c r="A173" s="98">
        <f t="shared" si="15"/>
        <v>0</v>
      </c>
      <c r="B173" s="39" t="str">
        <f t="shared" si="21"/>
        <v/>
      </c>
      <c r="C173" s="40" t="s">
        <v>40</v>
      </c>
      <c r="D173" s="40"/>
      <c r="E173" s="40"/>
      <c r="F173" s="40"/>
      <c r="G173" s="80"/>
      <c r="H173" s="99">
        <v>168</v>
      </c>
      <c r="I173" s="100" t="str">
        <f t="shared" si="16"/>
        <v/>
      </c>
      <c r="J173" s="99">
        <f t="shared" si="17"/>
        <v>-2</v>
      </c>
      <c r="K173" s="99">
        <f t="shared" si="18"/>
        <v>-20</v>
      </c>
      <c r="L173" s="99"/>
      <c r="M173" s="101">
        <f t="shared" si="19"/>
        <v>0</v>
      </c>
      <c r="N173" s="101">
        <f t="shared" si="20"/>
        <v>0</v>
      </c>
      <c r="O173" s="80"/>
      <c r="P173" s="80"/>
      <c r="Q173" s="80"/>
      <c r="R173" s="80"/>
      <c r="S173" s="80"/>
    </row>
    <row r="174" spans="1:20" s="85" customFormat="1" x14ac:dyDescent="0.25">
      <c r="A174" s="94">
        <f t="shared" si="15"/>
        <v>0</v>
      </c>
      <c r="B174" s="33" t="str">
        <f t="shared" si="21"/>
        <v/>
      </c>
      <c r="C174" s="34" t="s">
        <v>40</v>
      </c>
      <c r="D174" s="34"/>
      <c r="E174" s="34"/>
      <c r="F174" s="34"/>
      <c r="G174" s="80"/>
      <c r="H174" s="95">
        <v>169</v>
      </c>
      <c r="I174" s="96" t="str">
        <f t="shared" si="16"/>
        <v/>
      </c>
      <c r="J174" s="95">
        <f t="shared" si="17"/>
        <v>-2</v>
      </c>
      <c r="K174" s="95">
        <f t="shared" si="18"/>
        <v>-20</v>
      </c>
      <c r="L174" s="95"/>
      <c r="M174" s="97">
        <f t="shared" si="19"/>
        <v>0</v>
      </c>
      <c r="N174" s="97">
        <f t="shared" si="20"/>
        <v>0</v>
      </c>
      <c r="O174" s="80"/>
      <c r="P174" s="80"/>
      <c r="Q174" s="80"/>
      <c r="R174" s="80"/>
      <c r="S174" s="109"/>
      <c r="T174" s="110"/>
    </row>
    <row r="175" spans="1:20" s="85" customFormat="1" x14ac:dyDescent="0.25">
      <c r="A175" s="98">
        <f t="shared" si="15"/>
        <v>0</v>
      </c>
      <c r="B175" s="39" t="str">
        <f t="shared" si="21"/>
        <v/>
      </c>
      <c r="C175" s="40" t="s">
        <v>40</v>
      </c>
      <c r="D175" s="40"/>
      <c r="E175" s="40"/>
      <c r="F175" s="40"/>
      <c r="G175" s="80"/>
      <c r="H175" s="99">
        <v>170</v>
      </c>
      <c r="I175" s="100" t="str">
        <f t="shared" si="16"/>
        <v/>
      </c>
      <c r="J175" s="99">
        <f t="shared" si="17"/>
        <v>-2</v>
      </c>
      <c r="K175" s="99">
        <f t="shared" si="18"/>
        <v>-20</v>
      </c>
      <c r="L175" s="99"/>
      <c r="M175" s="101">
        <f t="shared" si="19"/>
        <v>0</v>
      </c>
      <c r="N175" s="101">
        <f t="shared" si="20"/>
        <v>0</v>
      </c>
      <c r="O175" s="80"/>
      <c r="P175" s="80"/>
      <c r="Q175" s="80"/>
      <c r="R175" s="80"/>
      <c r="S175" s="80"/>
    </row>
    <row r="176" spans="1:20" s="85" customFormat="1" x14ac:dyDescent="0.25">
      <c r="A176" s="94">
        <f t="shared" si="15"/>
        <v>0</v>
      </c>
      <c r="B176" s="33" t="str">
        <f t="shared" si="21"/>
        <v/>
      </c>
      <c r="C176" s="34" t="s">
        <v>40</v>
      </c>
      <c r="D176" s="34"/>
      <c r="E176" s="34"/>
      <c r="F176" s="34"/>
      <c r="G176" s="80"/>
      <c r="H176" s="95">
        <v>171</v>
      </c>
      <c r="I176" s="96" t="str">
        <f t="shared" si="16"/>
        <v/>
      </c>
      <c r="J176" s="95">
        <f t="shared" si="17"/>
        <v>-2</v>
      </c>
      <c r="K176" s="95">
        <f t="shared" si="18"/>
        <v>-20</v>
      </c>
      <c r="L176" s="95"/>
      <c r="M176" s="97">
        <f t="shared" si="19"/>
        <v>0</v>
      </c>
      <c r="N176" s="97">
        <f t="shared" si="20"/>
        <v>0</v>
      </c>
      <c r="O176" s="80"/>
      <c r="P176" s="80"/>
      <c r="Q176" s="80"/>
      <c r="R176" s="80"/>
      <c r="S176" s="109"/>
      <c r="T176" s="110"/>
    </row>
    <row r="177" spans="1:20" s="85" customFormat="1" x14ac:dyDescent="0.25">
      <c r="A177" s="98">
        <f t="shared" si="15"/>
        <v>0</v>
      </c>
      <c r="B177" s="39" t="str">
        <f t="shared" si="21"/>
        <v/>
      </c>
      <c r="C177" s="40" t="s">
        <v>40</v>
      </c>
      <c r="D177" s="40"/>
      <c r="E177" s="40"/>
      <c r="F177" s="40"/>
      <c r="G177" s="80"/>
      <c r="H177" s="99">
        <v>172</v>
      </c>
      <c r="I177" s="100" t="str">
        <f t="shared" si="16"/>
        <v/>
      </c>
      <c r="J177" s="99">
        <f t="shared" si="17"/>
        <v>-2</v>
      </c>
      <c r="K177" s="99">
        <f t="shared" si="18"/>
        <v>-20</v>
      </c>
      <c r="L177" s="99"/>
      <c r="M177" s="101">
        <f t="shared" si="19"/>
        <v>0</v>
      </c>
      <c r="N177" s="101">
        <f t="shared" si="20"/>
        <v>0</v>
      </c>
      <c r="O177" s="80"/>
      <c r="P177" s="80"/>
      <c r="Q177" s="80"/>
      <c r="R177" s="80"/>
      <c r="S177" s="80"/>
    </row>
    <row r="178" spans="1:20" s="85" customFormat="1" x14ac:dyDescent="0.25">
      <c r="A178" s="94">
        <f t="shared" si="15"/>
        <v>0</v>
      </c>
      <c r="B178" s="33" t="str">
        <f t="shared" si="21"/>
        <v/>
      </c>
      <c r="C178" s="34" t="s">
        <v>40</v>
      </c>
      <c r="D178" s="34"/>
      <c r="E178" s="34"/>
      <c r="F178" s="34"/>
      <c r="G178" s="80"/>
      <c r="H178" s="95">
        <v>173</v>
      </c>
      <c r="I178" s="96" t="str">
        <f t="shared" si="16"/>
        <v/>
      </c>
      <c r="J178" s="95">
        <f t="shared" si="17"/>
        <v>-2</v>
      </c>
      <c r="K178" s="95">
        <f t="shared" si="18"/>
        <v>-20</v>
      </c>
      <c r="L178" s="95"/>
      <c r="M178" s="97">
        <f t="shared" si="19"/>
        <v>0</v>
      </c>
      <c r="N178" s="97">
        <f t="shared" si="20"/>
        <v>0</v>
      </c>
      <c r="O178" s="80"/>
      <c r="P178" s="80"/>
      <c r="Q178" s="80"/>
      <c r="R178" s="80"/>
      <c r="S178" s="109"/>
      <c r="T178" s="110"/>
    </row>
    <row r="179" spans="1:20" s="85" customFormat="1" x14ac:dyDescent="0.25">
      <c r="A179" s="98">
        <f t="shared" si="15"/>
        <v>0</v>
      </c>
      <c r="B179" s="39" t="str">
        <f t="shared" si="21"/>
        <v/>
      </c>
      <c r="C179" s="40" t="s">
        <v>40</v>
      </c>
      <c r="D179" s="40"/>
      <c r="E179" s="40"/>
      <c r="F179" s="40"/>
      <c r="G179" s="80"/>
      <c r="H179" s="99">
        <v>174</v>
      </c>
      <c r="I179" s="100" t="str">
        <f t="shared" si="16"/>
        <v/>
      </c>
      <c r="J179" s="99">
        <f t="shared" si="17"/>
        <v>-2</v>
      </c>
      <c r="K179" s="99">
        <f t="shared" si="18"/>
        <v>-20</v>
      </c>
      <c r="L179" s="99"/>
      <c r="M179" s="101">
        <f t="shared" si="19"/>
        <v>0</v>
      </c>
      <c r="N179" s="101">
        <f t="shared" si="20"/>
        <v>0</v>
      </c>
      <c r="O179" s="80"/>
      <c r="P179" s="80"/>
      <c r="Q179" s="80"/>
      <c r="R179" s="80"/>
      <c r="S179" s="80"/>
    </row>
    <row r="180" spans="1:20" s="85" customFormat="1" x14ac:dyDescent="0.25">
      <c r="A180" s="94">
        <f t="shared" si="15"/>
        <v>0</v>
      </c>
      <c r="B180" s="33" t="str">
        <f t="shared" si="21"/>
        <v/>
      </c>
      <c r="C180" s="34" t="s">
        <v>40</v>
      </c>
      <c r="D180" s="34"/>
      <c r="E180" s="34"/>
      <c r="F180" s="34"/>
      <c r="G180" s="80"/>
      <c r="H180" s="95">
        <v>175</v>
      </c>
      <c r="I180" s="96" t="str">
        <f t="shared" si="16"/>
        <v/>
      </c>
      <c r="J180" s="95">
        <f t="shared" si="17"/>
        <v>-2</v>
      </c>
      <c r="K180" s="95">
        <f t="shared" si="18"/>
        <v>-20</v>
      </c>
      <c r="L180" s="95"/>
      <c r="M180" s="97">
        <f t="shared" si="19"/>
        <v>0</v>
      </c>
      <c r="N180" s="97">
        <f t="shared" si="20"/>
        <v>0</v>
      </c>
      <c r="O180" s="80"/>
      <c r="P180" s="80"/>
      <c r="Q180" s="80"/>
      <c r="R180" s="80"/>
      <c r="S180" s="109"/>
      <c r="T180" s="110"/>
    </row>
    <row r="181" spans="1:20" s="85" customFormat="1" x14ac:dyDescent="0.25">
      <c r="A181" s="98">
        <f t="shared" si="15"/>
        <v>0</v>
      </c>
      <c r="B181" s="39" t="str">
        <f t="shared" si="21"/>
        <v/>
      </c>
      <c r="C181" s="40" t="s">
        <v>40</v>
      </c>
      <c r="D181" s="40"/>
      <c r="E181" s="40"/>
      <c r="F181" s="40"/>
      <c r="G181" s="80"/>
      <c r="H181" s="99">
        <v>176</v>
      </c>
      <c r="I181" s="100" t="str">
        <f t="shared" si="16"/>
        <v/>
      </c>
      <c r="J181" s="99">
        <f t="shared" si="17"/>
        <v>-2</v>
      </c>
      <c r="K181" s="99">
        <f t="shared" si="18"/>
        <v>-20</v>
      </c>
      <c r="L181" s="99"/>
      <c r="M181" s="101">
        <f t="shared" si="19"/>
        <v>0</v>
      </c>
      <c r="N181" s="101">
        <f t="shared" si="20"/>
        <v>0</v>
      </c>
      <c r="O181" s="80"/>
      <c r="P181" s="80"/>
      <c r="Q181" s="80"/>
      <c r="R181" s="80"/>
      <c r="S181" s="80"/>
    </row>
    <row r="182" spans="1:20" s="85" customFormat="1" x14ac:dyDescent="0.25">
      <c r="A182" s="94">
        <f t="shared" si="15"/>
        <v>0</v>
      </c>
      <c r="B182" s="33" t="str">
        <f t="shared" si="21"/>
        <v/>
      </c>
      <c r="C182" s="34" t="s">
        <v>40</v>
      </c>
      <c r="D182" s="34"/>
      <c r="E182" s="34"/>
      <c r="F182" s="34"/>
      <c r="G182" s="80"/>
      <c r="H182" s="95">
        <v>177</v>
      </c>
      <c r="I182" s="96" t="str">
        <f t="shared" si="16"/>
        <v/>
      </c>
      <c r="J182" s="95">
        <f t="shared" si="17"/>
        <v>-2</v>
      </c>
      <c r="K182" s="95">
        <f t="shared" si="18"/>
        <v>-20</v>
      </c>
      <c r="L182" s="95"/>
      <c r="M182" s="97">
        <f t="shared" si="19"/>
        <v>0</v>
      </c>
      <c r="N182" s="97">
        <f t="shared" si="20"/>
        <v>0</v>
      </c>
      <c r="O182" s="80"/>
      <c r="P182" s="80"/>
      <c r="Q182" s="80"/>
      <c r="R182" s="80"/>
      <c r="S182" s="109"/>
      <c r="T182" s="110"/>
    </row>
    <row r="183" spans="1:20" s="85" customFormat="1" x14ac:dyDescent="0.25">
      <c r="A183" s="98">
        <f t="shared" si="15"/>
        <v>0</v>
      </c>
      <c r="B183" s="39" t="str">
        <f t="shared" si="21"/>
        <v/>
      </c>
      <c r="C183" s="40" t="s">
        <v>40</v>
      </c>
      <c r="D183" s="40"/>
      <c r="E183" s="40"/>
      <c r="F183" s="40"/>
      <c r="G183" s="80"/>
      <c r="H183" s="99">
        <v>178</v>
      </c>
      <c r="I183" s="100" t="str">
        <f t="shared" si="16"/>
        <v/>
      </c>
      <c r="J183" s="99">
        <f t="shared" si="17"/>
        <v>-2</v>
      </c>
      <c r="K183" s="99">
        <f t="shared" si="18"/>
        <v>-20</v>
      </c>
      <c r="L183" s="99"/>
      <c r="M183" s="101">
        <f t="shared" si="19"/>
        <v>0</v>
      </c>
      <c r="N183" s="101">
        <f t="shared" si="20"/>
        <v>0</v>
      </c>
      <c r="O183" s="80"/>
      <c r="P183" s="80"/>
      <c r="Q183" s="80"/>
      <c r="R183" s="80"/>
      <c r="S183" s="80"/>
    </row>
    <row r="184" spans="1:20" s="85" customFormat="1" x14ac:dyDescent="0.25">
      <c r="A184" s="94">
        <f t="shared" si="15"/>
        <v>0</v>
      </c>
      <c r="B184" s="33" t="str">
        <f t="shared" si="21"/>
        <v/>
      </c>
      <c r="C184" s="34" t="s">
        <v>40</v>
      </c>
      <c r="D184" s="34"/>
      <c r="E184" s="34"/>
      <c r="F184" s="34"/>
      <c r="G184" s="80"/>
      <c r="H184" s="95">
        <v>179</v>
      </c>
      <c r="I184" s="96" t="str">
        <f t="shared" si="16"/>
        <v/>
      </c>
      <c r="J184" s="95">
        <f t="shared" si="17"/>
        <v>-2</v>
      </c>
      <c r="K184" s="95">
        <f t="shared" si="18"/>
        <v>-20</v>
      </c>
      <c r="L184" s="95"/>
      <c r="M184" s="97">
        <f t="shared" si="19"/>
        <v>0</v>
      </c>
      <c r="N184" s="97">
        <f t="shared" si="20"/>
        <v>0</v>
      </c>
      <c r="O184" s="80"/>
      <c r="P184" s="80"/>
      <c r="Q184" s="80"/>
      <c r="R184" s="80"/>
      <c r="S184" s="109"/>
      <c r="T184" s="110"/>
    </row>
    <row r="185" spans="1:20" s="85" customFormat="1" x14ac:dyDescent="0.25">
      <c r="A185" s="98">
        <f t="shared" si="15"/>
        <v>0</v>
      </c>
      <c r="B185" s="39" t="str">
        <f t="shared" si="21"/>
        <v/>
      </c>
      <c r="C185" s="40" t="s">
        <v>40</v>
      </c>
      <c r="D185" s="40"/>
      <c r="E185" s="40"/>
      <c r="F185" s="40"/>
      <c r="G185" s="80"/>
      <c r="H185" s="99">
        <v>180</v>
      </c>
      <c r="I185" s="100" t="str">
        <f t="shared" si="16"/>
        <v/>
      </c>
      <c r="J185" s="99">
        <f t="shared" si="17"/>
        <v>-2</v>
      </c>
      <c r="K185" s="99">
        <f t="shared" si="18"/>
        <v>-20</v>
      </c>
      <c r="L185" s="99"/>
      <c r="M185" s="101">
        <f t="shared" si="19"/>
        <v>0</v>
      </c>
      <c r="N185" s="101">
        <f t="shared" si="20"/>
        <v>0</v>
      </c>
      <c r="O185" s="80"/>
      <c r="P185" s="80"/>
      <c r="Q185" s="80"/>
      <c r="R185" s="80"/>
      <c r="S185" s="80"/>
    </row>
    <row r="186" spans="1:20" s="85" customFormat="1" x14ac:dyDescent="0.25">
      <c r="A186" s="94">
        <f t="shared" si="15"/>
        <v>0</v>
      </c>
      <c r="B186" s="33" t="str">
        <f t="shared" si="21"/>
        <v/>
      </c>
      <c r="C186" s="34" t="s">
        <v>40</v>
      </c>
      <c r="D186" s="34"/>
      <c r="E186" s="34"/>
      <c r="F186" s="34"/>
      <c r="G186" s="80"/>
      <c r="H186" s="95">
        <v>181</v>
      </c>
      <c r="I186" s="96" t="str">
        <f t="shared" si="16"/>
        <v/>
      </c>
      <c r="J186" s="95">
        <f t="shared" si="17"/>
        <v>-2</v>
      </c>
      <c r="K186" s="95">
        <f t="shared" si="18"/>
        <v>-20</v>
      </c>
      <c r="L186" s="95"/>
      <c r="M186" s="97">
        <f t="shared" si="19"/>
        <v>0</v>
      </c>
      <c r="N186" s="97">
        <f t="shared" si="20"/>
        <v>0</v>
      </c>
      <c r="O186" s="80"/>
      <c r="P186" s="80"/>
      <c r="Q186" s="80"/>
      <c r="R186" s="80"/>
      <c r="S186" s="109"/>
      <c r="T186" s="110"/>
    </row>
    <row r="187" spans="1:20" s="85" customFormat="1" x14ac:dyDescent="0.25">
      <c r="A187" s="98">
        <f t="shared" si="15"/>
        <v>0</v>
      </c>
      <c r="B187" s="39" t="str">
        <f t="shared" si="21"/>
        <v/>
      </c>
      <c r="C187" s="40" t="s">
        <v>40</v>
      </c>
      <c r="D187" s="40"/>
      <c r="E187" s="40"/>
      <c r="F187" s="40"/>
      <c r="G187" s="80"/>
      <c r="H187" s="99">
        <v>182</v>
      </c>
      <c r="I187" s="100" t="str">
        <f t="shared" si="16"/>
        <v/>
      </c>
      <c r="J187" s="99">
        <f t="shared" si="17"/>
        <v>-2</v>
      </c>
      <c r="K187" s="99">
        <f t="shared" si="18"/>
        <v>-20</v>
      </c>
      <c r="L187" s="99"/>
      <c r="M187" s="101">
        <f t="shared" si="19"/>
        <v>0</v>
      </c>
      <c r="N187" s="101">
        <f t="shared" si="20"/>
        <v>0</v>
      </c>
      <c r="O187" s="80"/>
      <c r="P187" s="80"/>
      <c r="Q187" s="80"/>
      <c r="R187" s="80"/>
      <c r="S187" s="80"/>
    </row>
    <row r="188" spans="1:20" s="85" customFormat="1" x14ac:dyDescent="0.25">
      <c r="A188" s="94">
        <f t="shared" si="15"/>
        <v>0</v>
      </c>
      <c r="B188" s="33" t="str">
        <f t="shared" si="21"/>
        <v/>
      </c>
      <c r="C188" s="34" t="s">
        <v>40</v>
      </c>
      <c r="D188" s="34"/>
      <c r="E188" s="34"/>
      <c r="F188" s="34"/>
      <c r="G188" s="80"/>
      <c r="H188" s="95">
        <v>183</v>
      </c>
      <c r="I188" s="96" t="str">
        <f t="shared" si="16"/>
        <v/>
      </c>
      <c r="J188" s="95">
        <f t="shared" si="17"/>
        <v>-2</v>
      </c>
      <c r="K188" s="95">
        <f t="shared" si="18"/>
        <v>-20</v>
      </c>
      <c r="L188" s="95"/>
      <c r="M188" s="97">
        <f t="shared" si="19"/>
        <v>0</v>
      </c>
      <c r="N188" s="97">
        <f t="shared" si="20"/>
        <v>0</v>
      </c>
      <c r="O188" s="80"/>
      <c r="P188" s="80"/>
      <c r="Q188" s="80"/>
      <c r="R188" s="80"/>
      <c r="S188" s="109"/>
      <c r="T188" s="110"/>
    </row>
    <row r="189" spans="1:20" s="85" customFormat="1" x14ac:dyDescent="0.25">
      <c r="A189" s="98">
        <f t="shared" si="15"/>
        <v>0</v>
      </c>
      <c r="B189" s="39" t="str">
        <f t="shared" si="21"/>
        <v/>
      </c>
      <c r="C189" s="40" t="s">
        <v>40</v>
      </c>
      <c r="D189" s="40"/>
      <c r="E189" s="40"/>
      <c r="F189" s="40"/>
      <c r="G189" s="80"/>
      <c r="H189" s="99">
        <v>184</v>
      </c>
      <c r="I189" s="100" t="str">
        <f t="shared" si="16"/>
        <v/>
      </c>
      <c r="J189" s="99">
        <f t="shared" si="17"/>
        <v>-2</v>
      </c>
      <c r="K189" s="99">
        <f t="shared" si="18"/>
        <v>-20</v>
      </c>
      <c r="L189" s="99"/>
      <c r="M189" s="101">
        <f t="shared" si="19"/>
        <v>0</v>
      </c>
      <c r="N189" s="101">
        <f t="shared" si="20"/>
        <v>0</v>
      </c>
      <c r="O189" s="80"/>
      <c r="P189" s="80"/>
      <c r="Q189" s="80"/>
      <c r="R189" s="80"/>
      <c r="S189" s="80"/>
    </row>
    <row r="190" spans="1:20" s="85" customFormat="1" x14ac:dyDescent="0.25">
      <c r="A190" s="94">
        <f t="shared" si="15"/>
        <v>0</v>
      </c>
      <c r="B190" s="33" t="str">
        <f t="shared" si="21"/>
        <v/>
      </c>
      <c r="C190" s="34" t="s">
        <v>40</v>
      </c>
      <c r="D190" s="34"/>
      <c r="E190" s="34"/>
      <c r="F190" s="34"/>
      <c r="G190" s="80"/>
      <c r="H190" s="95">
        <v>185</v>
      </c>
      <c r="I190" s="96" t="str">
        <f t="shared" si="16"/>
        <v/>
      </c>
      <c r="J190" s="95">
        <f t="shared" si="17"/>
        <v>-2</v>
      </c>
      <c r="K190" s="95">
        <f t="shared" si="18"/>
        <v>-20</v>
      </c>
      <c r="L190" s="95"/>
      <c r="M190" s="97">
        <f t="shared" si="19"/>
        <v>0</v>
      </c>
      <c r="N190" s="97">
        <f t="shared" si="20"/>
        <v>0</v>
      </c>
      <c r="O190" s="80"/>
      <c r="P190" s="80"/>
      <c r="Q190" s="80"/>
      <c r="R190" s="80"/>
      <c r="S190" s="109"/>
      <c r="T190" s="110"/>
    </row>
    <row r="191" spans="1:20" s="85" customFormat="1" x14ac:dyDescent="0.25">
      <c r="A191" s="98">
        <f t="shared" si="15"/>
        <v>0</v>
      </c>
      <c r="B191" s="39" t="str">
        <f t="shared" si="21"/>
        <v/>
      </c>
      <c r="C191" s="40" t="s">
        <v>40</v>
      </c>
      <c r="D191" s="40"/>
      <c r="E191" s="40"/>
      <c r="F191" s="40"/>
      <c r="G191" s="80"/>
      <c r="H191" s="99">
        <v>186</v>
      </c>
      <c r="I191" s="100" t="str">
        <f t="shared" si="16"/>
        <v/>
      </c>
      <c r="J191" s="99">
        <f t="shared" si="17"/>
        <v>-2</v>
      </c>
      <c r="K191" s="99">
        <f t="shared" si="18"/>
        <v>-20</v>
      </c>
      <c r="L191" s="99"/>
      <c r="M191" s="101">
        <f t="shared" si="19"/>
        <v>0</v>
      </c>
      <c r="N191" s="101">
        <f t="shared" si="20"/>
        <v>0</v>
      </c>
      <c r="O191" s="80"/>
      <c r="P191" s="80"/>
      <c r="Q191" s="80"/>
      <c r="R191" s="80"/>
      <c r="S191" s="80"/>
    </row>
    <row r="192" spans="1:20" s="85" customFormat="1" x14ac:dyDescent="0.25">
      <c r="A192" s="94">
        <f t="shared" si="15"/>
        <v>0</v>
      </c>
      <c r="B192" s="33" t="str">
        <f t="shared" si="21"/>
        <v/>
      </c>
      <c r="C192" s="34" t="s">
        <v>40</v>
      </c>
      <c r="D192" s="34"/>
      <c r="E192" s="34"/>
      <c r="F192" s="34"/>
      <c r="G192" s="80"/>
      <c r="H192" s="95">
        <v>187</v>
      </c>
      <c r="I192" s="96" t="str">
        <f t="shared" si="16"/>
        <v/>
      </c>
      <c r="J192" s="95">
        <f t="shared" si="17"/>
        <v>-2</v>
      </c>
      <c r="K192" s="95">
        <f t="shared" si="18"/>
        <v>-20</v>
      </c>
      <c r="L192" s="95"/>
      <c r="M192" s="97">
        <f t="shared" si="19"/>
        <v>0</v>
      </c>
      <c r="N192" s="97">
        <f t="shared" si="20"/>
        <v>0</v>
      </c>
      <c r="O192" s="80"/>
      <c r="P192" s="80"/>
      <c r="Q192" s="80"/>
      <c r="R192" s="80"/>
      <c r="S192" s="109"/>
      <c r="T192" s="110"/>
    </row>
    <row r="193" spans="1:20" s="85" customFormat="1" x14ac:dyDescent="0.25">
      <c r="A193" s="98">
        <f t="shared" si="15"/>
        <v>0</v>
      </c>
      <c r="B193" s="39" t="str">
        <f t="shared" si="21"/>
        <v/>
      </c>
      <c r="C193" s="40" t="s">
        <v>40</v>
      </c>
      <c r="D193" s="40"/>
      <c r="E193" s="40"/>
      <c r="F193" s="40"/>
      <c r="G193" s="80"/>
      <c r="H193" s="99">
        <v>188</v>
      </c>
      <c r="I193" s="100" t="str">
        <f t="shared" si="16"/>
        <v/>
      </c>
      <c r="J193" s="99">
        <f t="shared" si="17"/>
        <v>-2</v>
      </c>
      <c r="K193" s="99">
        <f t="shared" si="18"/>
        <v>-20</v>
      </c>
      <c r="L193" s="99"/>
      <c r="M193" s="101">
        <f t="shared" si="19"/>
        <v>0</v>
      </c>
      <c r="N193" s="101">
        <f t="shared" si="20"/>
        <v>0</v>
      </c>
      <c r="O193" s="80"/>
      <c r="P193" s="80"/>
      <c r="Q193" s="80"/>
      <c r="R193" s="80"/>
      <c r="S193" s="80"/>
    </row>
    <row r="194" spans="1:20" s="85" customFormat="1" x14ac:dyDescent="0.25">
      <c r="A194" s="94">
        <f t="shared" si="15"/>
        <v>0</v>
      </c>
      <c r="B194" s="33" t="str">
        <f t="shared" si="21"/>
        <v/>
      </c>
      <c r="C194" s="34" t="s">
        <v>40</v>
      </c>
      <c r="D194" s="34"/>
      <c r="E194" s="34"/>
      <c r="F194" s="34"/>
      <c r="G194" s="80"/>
      <c r="H194" s="95">
        <v>189</v>
      </c>
      <c r="I194" s="96" t="str">
        <f t="shared" si="16"/>
        <v/>
      </c>
      <c r="J194" s="95">
        <f t="shared" si="17"/>
        <v>-2</v>
      </c>
      <c r="K194" s="95">
        <f t="shared" si="18"/>
        <v>-20</v>
      </c>
      <c r="L194" s="95"/>
      <c r="M194" s="97">
        <f t="shared" si="19"/>
        <v>0</v>
      </c>
      <c r="N194" s="97">
        <f t="shared" si="20"/>
        <v>0</v>
      </c>
      <c r="O194" s="80"/>
      <c r="P194" s="80"/>
      <c r="Q194" s="80"/>
      <c r="R194" s="80"/>
      <c r="S194" s="109"/>
      <c r="T194" s="110"/>
    </row>
    <row r="195" spans="1:20" s="85" customFormat="1" x14ac:dyDescent="0.25">
      <c r="A195" s="98">
        <f t="shared" si="15"/>
        <v>0</v>
      </c>
      <c r="B195" s="39" t="str">
        <f t="shared" si="21"/>
        <v/>
      </c>
      <c r="C195" s="40" t="s">
        <v>40</v>
      </c>
      <c r="D195" s="40"/>
      <c r="E195" s="40"/>
      <c r="F195" s="40"/>
      <c r="G195" s="80"/>
      <c r="H195" s="99">
        <v>190</v>
      </c>
      <c r="I195" s="100" t="str">
        <f t="shared" si="16"/>
        <v/>
      </c>
      <c r="J195" s="99">
        <f t="shared" si="17"/>
        <v>-2</v>
      </c>
      <c r="K195" s="99">
        <f t="shared" si="18"/>
        <v>-20</v>
      </c>
      <c r="L195" s="99"/>
      <c r="M195" s="101">
        <f t="shared" si="19"/>
        <v>0</v>
      </c>
      <c r="N195" s="101">
        <f t="shared" si="20"/>
        <v>0</v>
      </c>
      <c r="O195" s="80"/>
      <c r="P195" s="80"/>
      <c r="Q195" s="80"/>
      <c r="R195" s="80"/>
      <c r="S195" s="80"/>
    </row>
    <row r="196" spans="1:20" s="85" customFormat="1" x14ac:dyDescent="0.25">
      <c r="A196" s="94">
        <f t="shared" si="15"/>
        <v>0</v>
      </c>
      <c r="B196" s="33" t="str">
        <f t="shared" si="21"/>
        <v/>
      </c>
      <c r="C196" s="34" t="s">
        <v>40</v>
      </c>
      <c r="D196" s="34"/>
      <c r="E196" s="34"/>
      <c r="F196" s="34"/>
      <c r="G196" s="80"/>
      <c r="H196" s="95">
        <v>191</v>
      </c>
      <c r="I196" s="96" t="str">
        <f t="shared" si="16"/>
        <v/>
      </c>
      <c r="J196" s="95">
        <f t="shared" si="17"/>
        <v>-2</v>
      </c>
      <c r="K196" s="95">
        <f t="shared" si="18"/>
        <v>-20</v>
      </c>
      <c r="L196" s="95"/>
      <c r="M196" s="97">
        <f t="shared" si="19"/>
        <v>0</v>
      </c>
      <c r="N196" s="97">
        <f t="shared" si="20"/>
        <v>0</v>
      </c>
      <c r="O196" s="80"/>
      <c r="P196" s="80"/>
      <c r="Q196" s="80"/>
      <c r="R196" s="80"/>
      <c r="S196" s="109"/>
      <c r="T196" s="110"/>
    </row>
    <row r="197" spans="1:20" s="85" customFormat="1" x14ac:dyDescent="0.25">
      <c r="A197" s="98">
        <f t="shared" si="15"/>
        <v>0</v>
      </c>
      <c r="B197" s="39" t="str">
        <f t="shared" si="21"/>
        <v/>
      </c>
      <c r="C197" s="40" t="s">
        <v>40</v>
      </c>
      <c r="D197" s="40"/>
      <c r="E197" s="40"/>
      <c r="F197" s="40"/>
      <c r="G197" s="80"/>
      <c r="H197" s="99">
        <v>192</v>
      </c>
      <c r="I197" s="100" t="str">
        <f t="shared" si="16"/>
        <v/>
      </c>
      <c r="J197" s="99">
        <f t="shared" si="17"/>
        <v>-2</v>
      </c>
      <c r="K197" s="99">
        <f t="shared" si="18"/>
        <v>-20</v>
      </c>
      <c r="L197" s="99"/>
      <c r="M197" s="101">
        <f t="shared" si="19"/>
        <v>0</v>
      </c>
      <c r="N197" s="101">
        <f t="shared" si="20"/>
        <v>0</v>
      </c>
      <c r="O197" s="80"/>
      <c r="P197" s="80"/>
      <c r="Q197" s="80"/>
      <c r="R197" s="80"/>
      <c r="S197" s="80"/>
    </row>
    <row r="198" spans="1:20" s="85" customFormat="1" x14ac:dyDescent="0.25">
      <c r="A198" s="94">
        <f t="shared" ref="A198:A261" si="22">N198</f>
        <v>0</v>
      </c>
      <c r="B198" s="33" t="str">
        <f t="shared" si="21"/>
        <v/>
      </c>
      <c r="C198" s="34" t="s">
        <v>40</v>
      </c>
      <c r="D198" s="34"/>
      <c r="E198" s="34"/>
      <c r="F198" s="34"/>
      <c r="G198" s="80"/>
      <c r="H198" s="95">
        <v>193</v>
      </c>
      <c r="I198" s="96" t="str">
        <f t="shared" ref="I198:I261" si="23">IF(H198&lt;$H$2+1,($I$2-($I$2-1)*(LOG(H198)/LOG($H$2))),"")</f>
        <v/>
      </c>
      <c r="J198" s="95">
        <f t="shared" ref="J198:J261" si="24">INT(LOG($H$2,2))-ROUNDUP(LOG(H198,2),0)+IF(OR($H$2=1,$H$2=2,$H$2=4,$H$2=8,$H$2=16,$H$2=32,$H$2=64,$H$2=128,$H$2=256),0,1)</f>
        <v>-2</v>
      </c>
      <c r="K198" s="95">
        <f t="shared" ref="K198:K261" si="25">J198*$J$2</f>
        <v>-20</v>
      </c>
      <c r="L198" s="95"/>
      <c r="M198" s="97">
        <f t="shared" ref="M198:M261" si="26">IF(I198&lt;&gt;"",K198+I198+L198,0)</f>
        <v>0</v>
      </c>
      <c r="N198" s="97">
        <f t="shared" ref="N198:N261" si="27">IF(I198&lt;&gt;"",M198*L$2,0)</f>
        <v>0</v>
      </c>
      <c r="O198" s="80"/>
      <c r="P198" s="80"/>
      <c r="Q198" s="80"/>
      <c r="R198" s="80"/>
      <c r="S198" s="109"/>
      <c r="T198" s="110"/>
    </row>
    <row r="199" spans="1:20" s="85" customFormat="1" x14ac:dyDescent="0.25">
      <c r="A199" s="98">
        <f t="shared" si="22"/>
        <v>0</v>
      </c>
      <c r="B199" s="39" t="str">
        <f t="shared" si="21"/>
        <v/>
      </c>
      <c r="C199" s="40" t="s">
        <v>40</v>
      </c>
      <c r="D199" s="40"/>
      <c r="E199" s="40"/>
      <c r="F199" s="40"/>
      <c r="G199" s="80"/>
      <c r="H199" s="99">
        <v>194</v>
      </c>
      <c r="I199" s="100" t="str">
        <f t="shared" si="23"/>
        <v/>
      </c>
      <c r="J199" s="99">
        <f t="shared" si="24"/>
        <v>-2</v>
      </c>
      <c r="K199" s="99">
        <f t="shared" si="25"/>
        <v>-20</v>
      </c>
      <c r="L199" s="99"/>
      <c r="M199" s="101">
        <f t="shared" si="26"/>
        <v>0</v>
      </c>
      <c r="N199" s="101">
        <f t="shared" si="27"/>
        <v>0</v>
      </c>
      <c r="O199" s="80"/>
      <c r="P199" s="80"/>
      <c r="Q199" s="80"/>
      <c r="R199" s="80"/>
      <c r="S199" s="80"/>
    </row>
    <row r="200" spans="1:20" s="85" customFormat="1" x14ac:dyDescent="0.25">
      <c r="A200" s="94">
        <f t="shared" si="22"/>
        <v>0</v>
      </c>
      <c r="B200" s="33" t="str">
        <f t="shared" si="21"/>
        <v/>
      </c>
      <c r="C200" s="34" t="s">
        <v>40</v>
      </c>
      <c r="D200" s="34"/>
      <c r="E200" s="34"/>
      <c r="F200" s="34"/>
      <c r="G200" s="80"/>
      <c r="H200" s="95">
        <v>195</v>
      </c>
      <c r="I200" s="96" t="str">
        <f t="shared" si="23"/>
        <v/>
      </c>
      <c r="J200" s="95">
        <f t="shared" si="24"/>
        <v>-2</v>
      </c>
      <c r="K200" s="95">
        <f t="shared" si="25"/>
        <v>-20</v>
      </c>
      <c r="L200" s="95"/>
      <c r="M200" s="97">
        <f t="shared" si="26"/>
        <v>0</v>
      </c>
      <c r="N200" s="97">
        <f t="shared" si="27"/>
        <v>0</v>
      </c>
      <c r="O200" s="80"/>
      <c r="P200" s="80"/>
      <c r="Q200" s="80"/>
      <c r="R200" s="80"/>
      <c r="S200" s="109"/>
      <c r="T200" s="110"/>
    </row>
    <row r="201" spans="1:20" s="85" customFormat="1" x14ac:dyDescent="0.25">
      <c r="A201" s="98">
        <f t="shared" si="22"/>
        <v>0</v>
      </c>
      <c r="B201" s="39" t="str">
        <f t="shared" si="21"/>
        <v/>
      </c>
      <c r="C201" s="40" t="s">
        <v>40</v>
      </c>
      <c r="D201" s="40"/>
      <c r="E201" s="40"/>
      <c r="F201" s="40"/>
      <c r="G201" s="80"/>
      <c r="H201" s="99">
        <v>196</v>
      </c>
      <c r="I201" s="100" t="str">
        <f t="shared" si="23"/>
        <v/>
      </c>
      <c r="J201" s="99">
        <f t="shared" si="24"/>
        <v>-2</v>
      </c>
      <c r="K201" s="99">
        <f t="shared" si="25"/>
        <v>-20</v>
      </c>
      <c r="L201" s="99"/>
      <c r="M201" s="101">
        <f t="shared" si="26"/>
        <v>0</v>
      </c>
      <c r="N201" s="101">
        <f t="shared" si="27"/>
        <v>0</v>
      </c>
      <c r="O201" s="80"/>
      <c r="P201" s="80"/>
      <c r="Q201" s="80"/>
      <c r="R201" s="80"/>
      <c r="S201" s="80"/>
    </row>
    <row r="202" spans="1:20" s="85" customFormat="1" x14ac:dyDescent="0.25">
      <c r="A202" s="94">
        <f t="shared" si="22"/>
        <v>0</v>
      </c>
      <c r="B202" s="33" t="str">
        <f t="shared" ref="B202:B250" si="28">IF(H202&gt;$H$2,"",(ROW()-5))</f>
        <v/>
      </c>
      <c r="C202" s="34" t="s">
        <v>40</v>
      </c>
      <c r="D202" s="34"/>
      <c r="E202" s="34"/>
      <c r="F202" s="34"/>
      <c r="G202" s="80"/>
      <c r="H202" s="95">
        <v>197</v>
      </c>
      <c r="I202" s="96" t="str">
        <f t="shared" si="23"/>
        <v/>
      </c>
      <c r="J202" s="95">
        <f t="shared" si="24"/>
        <v>-2</v>
      </c>
      <c r="K202" s="95">
        <f t="shared" si="25"/>
        <v>-20</v>
      </c>
      <c r="L202" s="95"/>
      <c r="M202" s="97">
        <f t="shared" si="26"/>
        <v>0</v>
      </c>
      <c r="N202" s="97">
        <f t="shared" si="27"/>
        <v>0</v>
      </c>
      <c r="O202" s="80"/>
      <c r="P202" s="80"/>
      <c r="Q202" s="80"/>
      <c r="R202" s="80"/>
      <c r="S202" s="109"/>
      <c r="T202" s="110"/>
    </row>
    <row r="203" spans="1:20" s="85" customFormat="1" x14ac:dyDescent="0.25">
      <c r="A203" s="98">
        <f t="shared" si="22"/>
        <v>0</v>
      </c>
      <c r="B203" s="39" t="str">
        <f t="shared" si="28"/>
        <v/>
      </c>
      <c r="C203" s="40" t="s">
        <v>40</v>
      </c>
      <c r="D203" s="40"/>
      <c r="E203" s="40"/>
      <c r="F203" s="40"/>
      <c r="G203" s="80"/>
      <c r="H203" s="99">
        <v>198</v>
      </c>
      <c r="I203" s="100" t="str">
        <f t="shared" si="23"/>
        <v/>
      </c>
      <c r="J203" s="99">
        <f t="shared" si="24"/>
        <v>-2</v>
      </c>
      <c r="K203" s="99">
        <f t="shared" si="25"/>
        <v>-20</v>
      </c>
      <c r="L203" s="99"/>
      <c r="M203" s="101">
        <f t="shared" si="26"/>
        <v>0</v>
      </c>
      <c r="N203" s="101">
        <f t="shared" si="27"/>
        <v>0</v>
      </c>
      <c r="O203" s="80"/>
      <c r="P203" s="80"/>
      <c r="Q203" s="80"/>
      <c r="R203" s="80"/>
      <c r="S203" s="80"/>
    </row>
    <row r="204" spans="1:20" s="85" customFormat="1" x14ac:dyDescent="0.25">
      <c r="A204" s="94">
        <f t="shared" si="22"/>
        <v>0</v>
      </c>
      <c r="B204" s="33" t="str">
        <f t="shared" si="28"/>
        <v/>
      </c>
      <c r="C204" s="34" t="s">
        <v>40</v>
      </c>
      <c r="D204" s="34"/>
      <c r="E204" s="34"/>
      <c r="F204" s="34"/>
      <c r="G204" s="80"/>
      <c r="H204" s="95">
        <v>199</v>
      </c>
      <c r="I204" s="96" t="str">
        <f t="shared" si="23"/>
        <v/>
      </c>
      <c r="J204" s="95">
        <f t="shared" si="24"/>
        <v>-2</v>
      </c>
      <c r="K204" s="95">
        <f t="shared" si="25"/>
        <v>-20</v>
      </c>
      <c r="L204" s="95"/>
      <c r="M204" s="97">
        <f t="shared" si="26"/>
        <v>0</v>
      </c>
      <c r="N204" s="97">
        <f t="shared" si="27"/>
        <v>0</v>
      </c>
      <c r="O204" s="80"/>
      <c r="P204" s="80"/>
      <c r="Q204" s="80"/>
      <c r="R204" s="80"/>
      <c r="S204" s="109"/>
      <c r="T204" s="110"/>
    </row>
    <row r="205" spans="1:20" s="85" customFormat="1" x14ac:dyDescent="0.25">
      <c r="A205" s="98">
        <f t="shared" si="22"/>
        <v>0</v>
      </c>
      <c r="B205" s="39" t="str">
        <f t="shared" si="28"/>
        <v/>
      </c>
      <c r="C205" s="40" t="s">
        <v>40</v>
      </c>
      <c r="D205" s="40"/>
      <c r="E205" s="40"/>
      <c r="F205" s="40"/>
      <c r="G205" s="80"/>
      <c r="H205" s="99">
        <v>200</v>
      </c>
      <c r="I205" s="100" t="str">
        <f t="shared" si="23"/>
        <v/>
      </c>
      <c r="J205" s="99">
        <f t="shared" si="24"/>
        <v>-2</v>
      </c>
      <c r="K205" s="99">
        <f t="shared" si="25"/>
        <v>-20</v>
      </c>
      <c r="L205" s="99"/>
      <c r="M205" s="101">
        <f t="shared" si="26"/>
        <v>0</v>
      </c>
      <c r="N205" s="101">
        <f t="shared" si="27"/>
        <v>0</v>
      </c>
      <c r="O205" s="80"/>
      <c r="P205" s="80"/>
      <c r="Q205" s="80"/>
      <c r="R205" s="80"/>
      <c r="S205" s="80"/>
    </row>
    <row r="206" spans="1:20" s="85" customFormat="1" x14ac:dyDescent="0.25">
      <c r="A206" s="94">
        <f t="shared" si="22"/>
        <v>0</v>
      </c>
      <c r="B206" s="33" t="str">
        <f t="shared" si="28"/>
        <v/>
      </c>
      <c r="C206" s="34" t="s">
        <v>40</v>
      </c>
      <c r="D206" s="34"/>
      <c r="E206" s="34"/>
      <c r="F206" s="34"/>
      <c r="G206" s="80"/>
      <c r="H206" s="95">
        <v>201</v>
      </c>
      <c r="I206" s="96" t="str">
        <f t="shared" si="23"/>
        <v/>
      </c>
      <c r="J206" s="95">
        <f t="shared" si="24"/>
        <v>-2</v>
      </c>
      <c r="K206" s="95">
        <f t="shared" si="25"/>
        <v>-20</v>
      </c>
      <c r="L206" s="95"/>
      <c r="M206" s="97">
        <f t="shared" si="26"/>
        <v>0</v>
      </c>
      <c r="N206" s="97">
        <f t="shared" si="27"/>
        <v>0</v>
      </c>
      <c r="O206" s="80"/>
      <c r="P206" s="80"/>
      <c r="Q206" s="80"/>
      <c r="R206" s="80"/>
      <c r="S206" s="109"/>
      <c r="T206" s="110"/>
    </row>
    <row r="207" spans="1:20" s="85" customFormat="1" x14ac:dyDescent="0.25">
      <c r="A207" s="98">
        <f t="shared" si="22"/>
        <v>0</v>
      </c>
      <c r="B207" s="39" t="str">
        <f t="shared" si="28"/>
        <v/>
      </c>
      <c r="C207" s="40" t="s">
        <v>40</v>
      </c>
      <c r="D207" s="40"/>
      <c r="E207" s="40"/>
      <c r="F207" s="40"/>
      <c r="G207" s="80"/>
      <c r="H207" s="99">
        <v>202</v>
      </c>
      <c r="I207" s="100" t="str">
        <f t="shared" si="23"/>
        <v/>
      </c>
      <c r="J207" s="99">
        <f t="shared" si="24"/>
        <v>-2</v>
      </c>
      <c r="K207" s="99">
        <f t="shared" si="25"/>
        <v>-20</v>
      </c>
      <c r="L207" s="99"/>
      <c r="M207" s="101">
        <f t="shared" si="26"/>
        <v>0</v>
      </c>
      <c r="N207" s="101">
        <f t="shared" si="27"/>
        <v>0</v>
      </c>
      <c r="O207" s="80"/>
      <c r="P207" s="80"/>
      <c r="Q207" s="80"/>
      <c r="R207" s="80"/>
      <c r="S207" s="80"/>
    </row>
    <row r="208" spans="1:20" s="85" customFormat="1" x14ac:dyDescent="0.25">
      <c r="A208" s="94">
        <f t="shared" si="22"/>
        <v>0</v>
      </c>
      <c r="B208" s="33" t="str">
        <f t="shared" si="28"/>
        <v/>
      </c>
      <c r="C208" s="34" t="s">
        <v>40</v>
      </c>
      <c r="D208" s="34"/>
      <c r="E208" s="34"/>
      <c r="F208" s="34"/>
      <c r="G208" s="80"/>
      <c r="H208" s="95">
        <v>203</v>
      </c>
      <c r="I208" s="96" t="str">
        <f t="shared" si="23"/>
        <v/>
      </c>
      <c r="J208" s="95">
        <f t="shared" si="24"/>
        <v>-2</v>
      </c>
      <c r="K208" s="95">
        <f t="shared" si="25"/>
        <v>-20</v>
      </c>
      <c r="L208" s="95"/>
      <c r="M208" s="97">
        <f t="shared" si="26"/>
        <v>0</v>
      </c>
      <c r="N208" s="97">
        <f t="shared" si="27"/>
        <v>0</v>
      </c>
      <c r="O208" s="80"/>
      <c r="P208" s="80"/>
      <c r="Q208" s="80"/>
      <c r="R208" s="80"/>
      <c r="S208" s="109"/>
      <c r="T208" s="110"/>
    </row>
    <row r="209" spans="1:20" s="85" customFormat="1" x14ac:dyDescent="0.25">
      <c r="A209" s="98">
        <f t="shared" si="22"/>
        <v>0</v>
      </c>
      <c r="B209" s="39" t="str">
        <f t="shared" si="28"/>
        <v/>
      </c>
      <c r="C209" s="40" t="s">
        <v>40</v>
      </c>
      <c r="D209" s="40"/>
      <c r="E209" s="40"/>
      <c r="F209" s="40"/>
      <c r="G209" s="80"/>
      <c r="H209" s="99">
        <v>204</v>
      </c>
      <c r="I209" s="100" t="str">
        <f t="shared" si="23"/>
        <v/>
      </c>
      <c r="J209" s="99">
        <f t="shared" si="24"/>
        <v>-2</v>
      </c>
      <c r="K209" s="99">
        <f t="shared" si="25"/>
        <v>-20</v>
      </c>
      <c r="L209" s="99"/>
      <c r="M209" s="101">
        <f t="shared" si="26"/>
        <v>0</v>
      </c>
      <c r="N209" s="101">
        <f t="shared" si="27"/>
        <v>0</v>
      </c>
      <c r="O209" s="80"/>
      <c r="P209" s="80"/>
      <c r="Q209" s="80"/>
      <c r="R209" s="80"/>
      <c r="S209" s="80"/>
    </row>
    <row r="210" spans="1:20" s="85" customFormat="1" x14ac:dyDescent="0.25">
      <c r="A210" s="94">
        <f t="shared" si="22"/>
        <v>0</v>
      </c>
      <c r="B210" s="33" t="str">
        <f t="shared" si="28"/>
        <v/>
      </c>
      <c r="C210" s="34" t="s">
        <v>40</v>
      </c>
      <c r="D210" s="34"/>
      <c r="E210" s="34"/>
      <c r="F210" s="34"/>
      <c r="G210" s="80"/>
      <c r="H210" s="95">
        <v>205</v>
      </c>
      <c r="I210" s="96" t="str">
        <f t="shared" si="23"/>
        <v/>
      </c>
      <c r="J210" s="95">
        <f t="shared" si="24"/>
        <v>-2</v>
      </c>
      <c r="K210" s="95">
        <f t="shared" si="25"/>
        <v>-20</v>
      </c>
      <c r="L210" s="95"/>
      <c r="M210" s="97">
        <f t="shared" si="26"/>
        <v>0</v>
      </c>
      <c r="N210" s="97">
        <f t="shared" si="27"/>
        <v>0</v>
      </c>
      <c r="O210" s="80"/>
      <c r="P210" s="80"/>
      <c r="Q210" s="80"/>
      <c r="R210" s="80"/>
      <c r="S210" s="109"/>
      <c r="T210" s="110"/>
    </row>
    <row r="211" spans="1:20" s="85" customFormat="1" x14ac:dyDescent="0.25">
      <c r="A211" s="98">
        <f t="shared" si="22"/>
        <v>0</v>
      </c>
      <c r="B211" s="39" t="str">
        <f t="shared" si="28"/>
        <v/>
      </c>
      <c r="C211" s="40" t="s">
        <v>40</v>
      </c>
      <c r="D211" s="40"/>
      <c r="E211" s="40"/>
      <c r="F211" s="40"/>
      <c r="G211" s="80"/>
      <c r="H211" s="99">
        <v>206</v>
      </c>
      <c r="I211" s="100" t="str">
        <f t="shared" si="23"/>
        <v/>
      </c>
      <c r="J211" s="99">
        <f t="shared" si="24"/>
        <v>-2</v>
      </c>
      <c r="K211" s="99">
        <f t="shared" si="25"/>
        <v>-20</v>
      </c>
      <c r="L211" s="99"/>
      <c r="M211" s="101">
        <f t="shared" si="26"/>
        <v>0</v>
      </c>
      <c r="N211" s="101">
        <f t="shared" si="27"/>
        <v>0</v>
      </c>
      <c r="O211" s="80"/>
      <c r="P211" s="80"/>
      <c r="Q211" s="80"/>
      <c r="R211" s="80"/>
      <c r="S211" s="80"/>
    </row>
    <row r="212" spans="1:20" s="85" customFormat="1" x14ac:dyDescent="0.25">
      <c r="A212" s="94">
        <f t="shared" si="22"/>
        <v>0</v>
      </c>
      <c r="B212" s="33" t="str">
        <f t="shared" si="28"/>
        <v/>
      </c>
      <c r="C212" s="34" t="s">
        <v>40</v>
      </c>
      <c r="D212" s="34"/>
      <c r="E212" s="34"/>
      <c r="F212" s="34"/>
      <c r="G212" s="80"/>
      <c r="H212" s="95">
        <v>207</v>
      </c>
      <c r="I212" s="96" t="str">
        <f t="shared" si="23"/>
        <v/>
      </c>
      <c r="J212" s="95">
        <f t="shared" si="24"/>
        <v>-2</v>
      </c>
      <c r="K212" s="95">
        <f t="shared" si="25"/>
        <v>-20</v>
      </c>
      <c r="L212" s="95"/>
      <c r="M212" s="97">
        <f t="shared" si="26"/>
        <v>0</v>
      </c>
      <c r="N212" s="97">
        <f t="shared" si="27"/>
        <v>0</v>
      </c>
      <c r="O212" s="80"/>
      <c r="P212" s="80"/>
      <c r="Q212" s="80"/>
      <c r="R212" s="80"/>
      <c r="S212" s="109"/>
      <c r="T212" s="110"/>
    </row>
    <row r="213" spans="1:20" s="85" customFormat="1" x14ac:dyDescent="0.25">
      <c r="A213" s="98">
        <f t="shared" si="22"/>
        <v>0</v>
      </c>
      <c r="B213" s="39" t="str">
        <f t="shared" si="28"/>
        <v/>
      </c>
      <c r="C213" s="40" t="s">
        <v>40</v>
      </c>
      <c r="D213" s="40"/>
      <c r="E213" s="40"/>
      <c r="F213" s="40"/>
      <c r="G213" s="80"/>
      <c r="H213" s="99">
        <v>208</v>
      </c>
      <c r="I213" s="100" t="str">
        <f t="shared" si="23"/>
        <v/>
      </c>
      <c r="J213" s="99">
        <f t="shared" si="24"/>
        <v>-2</v>
      </c>
      <c r="K213" s="99">
        <f t="shared" si="25"/>
        <v>-20</v>
      </c>
      <c r="L213" s="99"/>
      <c r="M213" s="101">
        <f t="shared" si="26"/>
        <v>0</v>
      </c>
      <c r="N213" s="101">
        <f t="shared" si="27"/>
        <v>0</v>
      </c>
      <c r="O213" s="80"/>
      <c r="P213" s="80"/>
      <c r="Q213" s="80"/>
      <c r="R213" s="80"/>
      <c r="S213" s="80"/>
    </row>
    <row r="214" spans="1:20" s="85" customFormat="1" x14ac:dyDescent="0.25">
      <c r="A214" s="94">
        <f t="shared" si="22"/>
        <v>0</v>
      </c>
      <c r="B214" s="33" t="str">
        <f t="shared" si="28"/>
        <v/>
      </c>
      <c r="C214" s="34" t="s">
        <v>40</v>
      </c>
      <c r="D214" s="34"/>
      <c r="E214" s="34"/>
      <c r="F214" s="34"/>
      <c r="G214" s="80"/>
      <c r="H214" s="95">
        <v>209</v>
      </c>
      <c r="I214" s="96" t="str">
        <f t="shared" si="23"/>
        <v/>
      </c>
      <c r="J214" s="95">
        <f t="shared" si="24"/>
        <v>-2</v>
      </c>
      <c r="K214" s="95">
        <f t="shared" si="25"/>
        <v>-20</v>
      </c>
      <c r="L214" s="95"/>
      <c r="M214" s="97">
        <f t="shared" si="26"/>
        <v>0</v>
      </c>
      <c r="N214" s="97">
        <f t="shared" si="27"/>
        <v>0</v>
      </c>
      <c r="O214" s="80"/>
      <c r="P214" s="80"/>
      <c r="Q214" s="80"/>
      <c r="R214" s="80"/>
      <c r="S214" s="109"/>
      <c r="T214" s="110"/>
    </row>
    <row r="215" spans="1:20" s="85" customFormat="1" x14ac:dyDescent="0.25">
      <c r="A215" s="98">
        <f t="shared" si="22"/>
        <v>0</v>
      </c>
      <c r="B215" s="39" t="str">
        <f t="shared" si="28"/>
        <v/>
      </c>
      <c r="C215" s="40" t="s">
        <v>40</v>
      </c>
      <c r="D215" s="40"/>
      <c r="E215" s="40"/>
      <c r="F215" s="40"/>
      <c r="G215" s="80"/>
      <c r="H215" s="99">
        <v>210</v>
      </c>
      <c r="I215" s="100" t="str">
        <f t="shared" si="23"/>
        <v/>
      </c>
      <c r="J215" s="99">
        <f t="shared" si="24"/>
        <v>-2</v>
      </c>
      <c r="K215" s="99">
        <f t="shared" si="25"/>
        <v>-20</v>
      </c>
      <c r="L215" s="99"/>
      <c r="M215" s="101">
        <f t="shared" si="26"/>
        <v>0</v>
      </c>
      <c r="N215" s="101">
        <f t="shared" si="27"/>
        <v>0</v>
      </c>
      <c r="O215" s="80"/>
      <c r="P215" s="80"/>
      <c r="Q215" s="80"/>
      <c r="R215" s="80"/>
      <c r="S215" s="80"/>
    </row>
    <row r="216" spans="1:20" s="85" customFormat="1" x14ac:dyDescent="0.25">
      <c r="A216" s="94">
        <f t="shared" si="22"/>
        <v>0</v>
      </c>
      <c r="B216" s="33" t="str">
        <f t="shared" si="28"/>
        <v/>
      </c>
      <c r="C216" s="34" t="s">
        <v>40</v>
      </c>
      <c r="D216" s="34"/>
      <c r="E216" s="34"/>
      <c r="F216" s="34"/>
      <c r="G216" s="80"/>
      <c r="H216" s="95">
        <v>211</v>
      </c>
      <c r="I216" s="96" t="str">
        <f t="shared" si="23"/>
        <v/>
      </c>
      <c r="J216" s="95">
        <f t="shared" si="24"/>
        <v>-2</v>
      </c>
      <c r="K216" s="95">
        <f t="shared" si="25"/>
        <v>-20</v>
      </c>
      <c r="L216" s="95"/>
      <c r="M216" s="97">
        <f t="shared" si="26"/>
        <v>0</v>
      </c>
      <c r="N216" s="97">
        <f t="shared" si="27"/>
        <v>0</v>
      </c>
      <c r="O216" s="80"/>
      <c r="P216" s="80"/>
      <c r="Q216" s="80"/>
      <c r="R216" s="80"/>
      <c r="S216" s="109"/>
      <c r="T216" s="110"/>
    </row>
    <row r="217" spans="1:20" s="85" customFormat="1" x14ac:dyDescent="0.25">
      <c r="A217" s="98">
        <f t="shared" si="22"/>
        <v>0</v>
      </c>
      <c r="B217" s="39" t="str">
        <f t="shared" si="28"/>
        <v/>
      </c>
      <c r="C217" s="40" t="s">
        <v>40</v>
      </c>
      <c r="D217" s="40"/>
      <c r="E217" s="40"/>
      <c r="F217" s="40"/>
      <c r="G217" s="80"/>
      <c r="H217" s="99">
        <v>212</v>
      </c>
      <c r="I217" s="100" t="str">
        <f t="shared" si="23"/>
        <v/>
      </c>
      <c r="J217" s="99">
        <f t="shared" si="24"/>
        <v>-2</v>
      </c>
      <c r="K217" s="99">
        <f t="shared" si="25"/>
        <v>-20</v>
      </c>
      <c r="L217" s="99"/>
      <c r="M217" s="101">
        <f t="shared" si="26"/>
        <v>0</v>
      </c>
      <c r="N217" s="101">
        <f t="shared" si="27"/>
        <v>0</v>
      </c>
      <c r="O217" s="80"/>
      <c r="P217" s="80"/>
      <c r="Q217" s="80"/>
      <c r="R217" s="80"/>
      <c r="S217" s="80"/>
    </row>
    <row r="218" spans="1:20" s="85" customFormat="1" x14ac:dyDescent="0.25">
      <c r="A218" s="94">
        <f t="shared" si="22"/>
        <v>0</v>
      </c>
      <c r="B218" s="33" t="str">
        <f t="shared" si="28"/>
        <v/>
      </c>
      <c r="C218" s="34" t="s">
        <v>40</v>
      </c>
      <c r="D218" s="34"/>
      <c r="E218" s="34"/>
      <c r="F218" s="34"/>
      <c r="G218" s="80"/>
      <c r="H218" s="95">
        <v>213</v>
      </c>
      <c r="I218" s="96" t="str">
        <f t="shared" si="23"/>
        <v/>
      </c>
      <c r="J218" s="95">
        <f t="shared" si="24"/>
        <v>-2</v>
      </c>
      <c r="K218" s="95">
        <f t="shared" si="25"/>
        <v>-20</v>
      </c>
      <c r="L218" s="95"/>
      <c r="M218" s="97">
        <f t="shared" si="26"/>
        <v>0</v>
      </c>
      <c r="N218" s="97">
        <f t="shared" si="27"/>
        <v>0</v>
      </c>
      <c r="O218" s="80"/>
      <c r="P218" s="80"/>
      <c r="Q218" s="80"/>
      <c r="R218" s="80"/>
      <c r="S218" s="109"/>
      <c r="T218" s="110"/>
    </row>
    <row r="219" spans="1:20" s="85" customFormat="1" x14ac:dyDescent="0.25">
      <c r="A219" s="98">
        <f t="shared" si="22"/>
        <v>0</v>
      </c>
      <c r="B219" s="39" t="str">
        <f t="shared" si="28"/>
        <v/>
      </c>
      <c r="C219" s="40" t="s">
        <v>40</v>
      </c>
      <c r="D219" s="40"/>
      <c r="E219" s="40"/>
      <c r="F219" s="40"/>
      <c r="G219" s="80"/>
      <c r="H219" s="99">
        <v>214</v>
      </c>
      <c r="I219" s="100" t="str">
        <f t="shared" si="23"/>
        <v/>
      </c>
      <c r="J219" s="99">
        <f t="shared" si="24"/>
        <v>-2</v>
      </c>
      <c r="K219" s="99">
        <f t="shared" si="25"/>
        <v>-20</v>
      </c>
      <c r="L219" s="99"/>
      <c r="M219" s="101">
        <f t="shared" si="26"/>
        <v>0</v>
      </c>
      <c r="N219" s="101">
        <f t="shared" si="27"/>
        <v>0</v>
      </c>
      <c r="O219" s="80"/>
      <c r="P219" s="80"/>
      <c r="Q219" s="80"/>
      <c r="R219" s="80"/>
      <c r="S219" s="80"/>
    </row>
    <row r="220" spans="1:20" s="85" customFormat="1" x14ac:dyDescent="0.25">
      <c r="A220" s="94">
        <f t="shared" si="22"/>
        <v>0</v>
      </c>
      <c r="B220" s="33" t="str">
        <f t="shared" si="28"/>
        <v/>
      </c>
      <c r="C220" s="34" t="s">
        <v>40</v>
      </c>
      <c r="D220" s="34"/>
      <c r="E220" s="34"/>
      <c r="F220" s="34"/>
      <c r="G220" s="80"/>
      <c r="H220" s="95">
        <v>215</v>
      </c>
      <c r="I220" s="96" t="str">
        <f t="shared" si="23"/>
        <v/>
      </c>
      <c r="J220" s="95">
        <f t="shared" si="24"/>
        <v>-2</v>
      </c>
      <c r="K220" s="95">
        <f t="shared" si="25"/>
        <v>-20</v>
      </c>
      <c r="L220" s="95"/>
      <c r="M220" s="97">
        <f t="shared" si="26"/>
        <v>0</v>
      </c>
      <c r="N220" s="97">
        <f t="shared" si="27"/>
        <v>0</v>
      </c>
      <c r="O220" s="80"/>
      <c r="P220" s="80"/>
      <c r="Q220" s="80"/>
      <c r="R220" s="80"/>
      <c r="S220" s="109"/>
      <c r="T220" s="110"/>
    </row>
    <row r="221" spans="1:20" s="85" customFormat="1" x14ac:dyDescent="0.25">
      <c r="A221" s="98">
        <f t="shared" si="22"/>
        <v>0</v>
      </c>
      <c r="B221" s="39" t="str">
        <f t="shared" si="28"/>
        <v/>
      </c>
      <c r="C221" s="40" t="s">
        <v>40</v>
      </c>
      <c r="D221" s="40"/>
      <c r="E221" s="40"/>
      <c r="F221" s="40"/>
      <c r="G221" s="80"/>
      <c r="H221" s="99">
        <v>216</v>
      </c>
      <c r="I221" s="100" t="str">
        <f t="shared" si="23"/>
        <v/>
      </c>
      <c r="J221" s="99">
        <f t="shared" si="24"/>
        <v>-2</v>
      </c>
      <c r="K221" s="99">
        <f t="shared" si="25"/>
        <v>-20</v>
      </c>
      <c r="L221" s="99"/>
      <c r="M221" s="101">
        <f t="shared" si="26"/>
        <v>0</v>
      </c>
      <c r="N221" s="101">
        <f t="shared" si="27"/>
        <v>0</v>
      </c>
      <c r="O221" s="80"/>
      <c r="P221" s="80"/>
      <c r="Q221" s="80"/>
      <c r="R221" s="80"/>
      <c r="S221" s="80"/>
    </row>
    <row r="222" spans="1:20" s="85" customFormat="1" x14ac:dyDescent="0.25">
      <c r="A222" s="94">
        <f t="shared" si="22"/>
        <v>0</v>
      </c>
      <c r="B222" s="33" t="str">
        <f t="shared" si="28"/>
        <v/>
      </c>
      <c r="C222" s="34" t="s">
        <v>40</v>
      </c>
      <c r="D222" s="34"/>
      <c r="E222" s="34"/>
      <c r="F222" s="34"/>
      <c r="G222" s="80"/>
      <c r="H222" s="95">
        <v>217</v>
      </c>
      <c r="I222" s="96" t="str">
        <f t="shared" si="23"/>
        <v/>
      </c>
      <c r="J222" s="95">
        <f t="shared" si="24"/>
        <v>-2</v>
      </c>
      <c r="K222" s="95">
        <f t="shared" si="25"/>
        <v>-20</v>
      </c>
      <c r="L222" s="95"/>
      <c r="M222" s="97">
        <f t="shared" si="26"/>
        <v>0</v>
      </c>
      <c r="N222" s="97">
        <f t="shared" si="27"/>
        <v>0</v>
      </c>
      <c r="O222" s="80"/>
      <c r="P222" s="80"/>
      <c r="Q222" s="80"/>
      <c r="R222" s="80"/>
      <c r="S222" s="109"/>
      <c r="T222" s="110"/>
    </row>
    <row r="223" spans="1:20" s="85" customFormat="1" x14ac:dyDescent="0.25">
      <c r="A223" s="98">
        <f t="shared" si="22"/>
        <v>0</v>
      </c>
      <c r="B223" s="39" t="str">
        <f t="shared" si="28"/>
        <v/>
      </c>
      <c r="C223" s="40" t="s">
        <v>40</v>
      </c>
      <c r="D223" s="40"/>
      <c r="E223" s="40"/>
      <c r="F223" s="40"/>
      <c r="G223" s="80"/>
      <c r="H223" s="99">
        <v>218</v>
      </c>
      <c r="I223" s="100" t="str">
        <f t="shared" si="23"/>
        <v/>
      </c>
      <c r="J223" s="99">
        <f t="shared" si="24"/>
        <v>-2</v>
      </c>
      <c r="K223" s="99">
        <f t="shared" si="25"/>
        <v>-20</v>
      </c>
      <c r="L223" s="99"/>
      <c r="M223" s="101">
        <f t="shared" si="26"/>
        <v>0</v>
      </c>
      <c r="N223" s="101">
        <f t="shared" si="27"/>
        <v>0</v>
      </c>
      <c r="O223" s="80"/>
      <c r="P223" s="80"/>
      <c r="Q223" s="80"/>
      <c r="R223" s="80"/>
      <c r="S223" s="80"/>
    </row>
    <row r="224" spans="1:20" s="85" customFormat="1" x14ac:dyDescent="0.25">
      <c r="A224" s="94">
        <f t="shared" si="22"/>
        <v>0</v>
      </c>
      <c r="B224" s="33" t="str">
        <f t="shared" si="28"/>
        <v/>
      </c>
      <c r="C224" s="34" t="s">
        <v>40</v>
      </c>
      <c r="D224" s="34"/>
      <c r="E224" s="34"/>
      <c r="F224" s="34"/>
      <c r="G224" s="80"/>
      <c r="H224" s="95">
        <v>219</v>
      </c>
      <c r="I224" s="96" t="str">
        <f t="shared" si="23"/>
        <v/>
      </c>
      <c r="J224" s="95">
        <f t="shared" si="24"/>
        <v>-2</v>
      </c>
      <c r="K224" s="95">
        <f t="shared" si="25"/>
        <v>-20</v>
      </c>
      <c r="L224" s="95"/>
      <c r="M224" s="97">
        <f t="shared" si="26"/>
        <v>0</v>
      </c>
      <c r="N224" s="97">
        <f t="shared" si="27"/>
        <v>0</v>
      </c>
      <c r="O224" s="80"/>
      <c r="P224" s="80"/>
      <c r="Q224" s="80"/>
      <c r="R224" s="80"/>
      <c r="S224" s="109"/>
      <c r="T224" s="110"/>
    </row>
    <row r="225" spans="1:20" s="85" customFormat="1" x14ac:dyDescent="0.25">
      <c r="A225" s="98">
        <f t="shared" si="22"/>
        <v>0</v>
      </c>
      <c r="B225" s="39" t="str">
        <f t="shared" si="28"/>
        <v/>
      </c>
      <c r="C225" s="40" t="s">
        <v>40</v>
      </c>
      <c r="D225" s="40"/>
      <c r="E225" s="40"/>
      <c r="F225" s="40"/>
      <c r="G225" s="80"/>
      <c r="H225" s="99">
        <v>220</v>
      </c>
      <c r="I225" s="100" t="str">
        <f t="shared" si="23"/>
        <v/>
      </c>
      <c r="J225" s="99">
        <f t="shared" si="24"/>
        <v>-2</v>
      </c>
      <c r="K225" s="99">
        <f t="shared" si="25"/>
        <v>-20</v>
      </c>
      <c r="L225" s="99"/>
      <c r="M225" s="101">
        <f t="shared" si="26"/>
        <v>0</v>
      </c>
      <c r="N225" s="101">
        <f t="shared" si="27"/>
        <v>0</v>
      </c>
      <c r="O225" s="80"/>
      <c r="P225" s="80"/>
      <c r="Q225" s="80"/>
      <c r="R225" s="80"/>
      <c r="S225" s="80"/>
    </row>
    <row r="226" spans="1:20" s="85" customFormat="1" x14ac:dyDescent="0.25">
      <c r="A226" s="94">
        <f t="shared" si="22"/>
        <v>0</v>
      </c>
      <c r="B226" s="33" t="str">
        <f t="shared" si="28"/>
        <v/>
      </c>
      <c r="C226" s="34" t="s">
        <v>40</v>
      </c>
      <c r="D226" s="34"/>
      <c r="E226" s="34"/>
      <c r="F226" s="34"/>
      <c r="G226" s="80"/>
      <c r="H226" s="95">
        <v>221</v>
      </c>
      <c r="I226" s="96" t="str">
        <f t="shared" si="23"/>
        <v/>
      </c>
      <c r="J226" s="95">
        <f t="shared" si="24"/>
        <v>-2</v>
      </c>
      <c r="K226" s="95">
        <f t="shared" si="25"/>
        <v>-20</v>
      </c>
      <c r="L226" s="95"/>
      <c r="M226" s="97">
        <f t="shared" si="26"/>
        <v>0</v>
      </c>
      <c r="N226" s="97">
        <f t="shared" si="27"/>
        <v>0</v>
      </c>
      <c r="O226" s="80"/>
      <c r="P226" s="80"/>
      <c r="Q226" s="80"/>
      <c r="R226" s="80"/>
      <c r="S226" s="109"/>
      <c r="T226" s="110"/>
    </row>
    <row r="227" spans="1:20" s="85" customFormat="1" x14ac:dyDescent="0.25">
      <c r="A227" s="98">
        <f t="shared" si="22"/>
        <v>0</v>
      </c>
      <c r="B227" s="39" t="str">
        <f t="shared" si="28"/>
        <v/>
      </c>
      <c r="C227" s="40" t="s">
        <v>40</v>
      </c>
      <c r="D227" s="40"/>
      <c r="E227" s="40"/>
      <c r="F227" s="40"/>
      <c r="G227" s="80"/>
      <c r="H227" s="99">
        <v>222</v>
      </c>
      <c r="I227" s="100" t="str">
        <f t="shared" si="23"/>
        <v/>
      </c>
      <c r="J227" s="99">
        <f t="shared" si="24"/>
        <v>-2</v>
      </c>
      <c r="K227" s="99">
        <f t="shared" si="25"/>
        <v>-20</v>
      </c>
      <c r="L227" s="99"/>
      <c r="M227" s="101">
        <f t="shared" si="26"/>
        <v>0</v>
      </c>
      <c r="N227" s="101">
        <f t="shared" si="27"/>
        <v>0</v>
      </c>
      <c r="O227" s="80"/>
      <c r="P227" s="80"/>
      <c r="Q227" s="80"/>
      <c r="R227" s="80"/>
      <c r="S227" s="80"/>
    </row>
    <row r="228" spans="1:20" s="85" customFormat="1" x14ac:dyDescent="0.25">
      <c r="A228" s="94">
        <f t="shared" si="22"/>
        <v>0</v>
      </c>
      <c r="B228" s="33" t="str">
        <f t="shared" si="28"/>
        <v/>
      </c>
      <c r="C228" s="34" t="s">
        <v>40</v>
      </c>
      <c r="D228" s="34"/>
      <c r="E228" s="34"/>
      <c r="F228" s="34"/>
      <c r="G228" s="80"/>
      <c r="H228" s="95">
        <v>223</v>
      </c>
      <c r="I228" s="96" t="str">
        <f t="shared" si="23"/>
        <v/>
      </c>
      <c r="J228" s="95">
        <f t="shared" si="24"/>
        <v>-2</v>
      </c>
      <c r="K228" s="95">
        <f t="shared" si="25"/>
        <v>-20</v>
      </c>
      <c r="L228" s="95"/>
      <c r="M228" s="97">
        <f t="shared" si="26"/>
        <v>0</v>
      </c>
      <c r="N228" s="97">
        <f t="shared" si="27"/>
        <v>0</v>
      </c>
      <c r="O228" s="80"/>
      <c r="P228" s="80"/>
      <c r="Q228" s="80"/>
      <c r="R228" s="80"/>
      <c r="S228" s="109"/>
      <c r="T228" s="110"/>
    </row>
    <row r="229" spans="1:20" s="85" customFormat="1" x14ac:dyDescent="0.25">
      <c r="A229" s="98">
        <f t="shared" si="22"/>
        <v>0</v>
      </c>
      <c r="B229" s="39" t="str">
        <f t="shared" si="28"/>
        <v/>
      </c>
      <c r="C229" s="40" t="s">
        <v>40</v>
      </c>
      <c r="D229" s="40"/>
      <c r="E229" s="40"/>
      <c r="F229" s="40"/>
      <c r="G229" s="80"/>
      <c r="H229" s="99">
        <v>224</v>
      </c>
      <c r="I229" s="100" t="str">
        <f t="shared" si="23"/>
        <v/>
      </c>
      <c r="J229" s="99">
        <f t="shared" si="24"/>
        <v>-2</v>
      </c>
      <c r="K229" s="99">
        <f t="shared" si="25"/>
        <v>-20</v>
      </c>
      <c r="L229" s="99"/>
      <c r="M229" s="101">
        <f t="shared" si="26"/>
        <v>0</v>
      </c>
      <c r="N229" s="101">
        <f t="shared" si="27"/>
        <v>0</v>
      </c>
      <c r="O229" s="80"/>
      <c r="P229" s="80"/>
      <c r="Q229" s="80"/>
      <c r="R229" s="80"/>
      <c r="S229" s="80"/>
    </row>
    <row r="230" spans="1:20" s="85" customFormat="1" x14ac:dyDescent="0.25">
      <c r="A230" s="94">
        <f t="shared" si="22"/>
        <v>0</v>
      </c>
      <c r="B230" s="33" t="str">
        <f t="shared" si="28"/>
        <v/>
      </c>
      <c r="C230" s="34" t="s">
        <v>40</v>
      </c>
      <c r="D230" s="34"/>
      <c r="E230" s="34"/>
      <c r="F230" s="34"/>
      <c r="G230" s="80"/>
      <c r="H230" s="95">
        <v>225</v>
      </c>
      <c r="I230" s="96" t="str">
        <f t="shared" si="23"/>
        <v/>
      </c>
      <c r="J230" s="95">
        <f t="shared" si="24"/>
        <v>-2</v>
      </c>
      <c r="K230" s="95">
        <f t="shared" si="25"/>
        <v>-20</v>
      </c>
      <c r="L230" s="95"/>
      <c r="M230" s="97">
        <f t="shared" si="26"/>
        <v>0</v>
      </c>
      <c r="N230" s="97">
        <f t="shared" si="27"/>
        <v>0</v>
      </c>
      <c r="O230" s="80"/>
      <c r="P230" s="80"/>
      <c r="Q230" s="80"/>
      <c r="R230" s="80"/>
      <c r="S230" s="109"/>
      <c r="T230" s="110"/>
    </row>
    <row r="231" spans="1:20" s="85" customFormat="1" x14ac:dyDescent="0.25">
      <c r="A231" s="98">
        <f t="shared" si="22"/>
        <v>0</v>
      </c>
      <c r="B231" s="39" t="str">
        <f t="shared" si="28"/>
        <v/>
      </c>
      <c r="C231" s="40" t="s">
        <v>40</v>
      </c>
      <c r="D231" s="40"/>
      <c r="E231" s="40"/>
      <c r="F231" s="40"/>
      <c r="G231" s="80"/>
      <c r="H231" s="99">
        <v>226</v>
      </c>
      <c r="I231" s="100" t="str">
        <f t="shared" si="23"/>
        <v/>
      </c>
      <c r="J231" s="99">
        <f t="shared" si="24"/>
        <v>-2</v>
      </c>
      <c r="K231" s="99">
        <f t="shared" si="25"/>
        <v>-20</v>
      </c>
      <c r="L231" s="99"/>
      <c r="M231" s="101">
        <f t="shared" si="26"/>
        <v>0</v>
      </c>
      <c r="N231" s="101">
        <f t="shared" si="27"/>
        <v>0</v>
      </c>
      <c r="O231" s="80"/>
      <c r="P231" s="80"/>
      <c r="Q231" s="80"/>
      <c r="R231" s="80"/>
      <c r="S231" s="80"/>
    </row>
    <row r="232" spans="1:20" s="85" customFormat="1" x14ac:dyDescent="0.25">
      <c r="A232" s="94">
        <f t="shared" si="22"/>
        <v>0</v>
      </c>
      <c r="B232" s="33" t="str">
        <f t="shared" si="28"/>
        <v/>
      </c>
      <c r="C232" s="34" t="s">
        <v>40</v>
      </c>
      <c r="D232" s="34"/>
      <c r="E232" s="34"/>
      <c r="F232" s="34"/>
      <c r="G232" s="80"/>
      <c r="H232" s="95">
        <v>227</v>
      </c>
      <c r="I232" s="96" t="str">
        <f t="shared" si="23"/>
        <v/>
      </c>
      <c r="J232" s="95">
        <f t="shared" si="24"/>
        <v>-2</v>
      </c>
      <c r="K232" s="95">
        <f t="shared" si="25"/>
        <v>-20</v>
      </c>
      <c r="L232" s="95"/>
      <c r="M232" s="97">
        <f t="shared" si="26"/>
        <v>0</v>
      </c>
      <c r="N232" s="97">
        <f t="shared" si="27"/>
        <v>0</v>
      </c>
      <c r="O232" s="80"/>
      <c r="P232" s="80"/>
      <c r="Q232" s="80"/>
      <c r="R232" s="80"/>
      <c r="S232" s="109"/>
      <c r="T232" s="110"/>
    </row>
    <row r="233" spans="1:20" s="85" customFormat="1" x14ac:dyDescent="0.25">
      <c r="A233" s="98">
        <f t="shared" si="22"/>
        <v>0</v>
      </c>
      <c r="B233" s="39" t="str">
        <f t="shared" si="28"/>
        <v/>
      </c>
      <c r="C233" s="40" t="s">
        <v>40</v>
      </c>
      <c r="D233" s="40"/>
      <c r="E233" s="40"/>
      <c r="F233" s="40"/>
      <c r="G233" s="80"/>
      <c r="H233" s="99">
        <v>228</v>
      </c>
      <c r="I233" s="100" t="str">
        <f t="shared" si="23"/>
        <v/>
      </c>
      <c r="J233" s="99">
        <f t="shared" si="24"/>
        <v>-2</v>
      </c>
      <c r="K233" s="99">
        <f t="shared" si="25"/>
        <v>-20</v>
      </c>
      <c r="L233" s="99"/>
      <c r="M233" s="101">
        <f t="shared" si="26"/>
        <v>0</v>
      </c>
      <c r="N233" s="101">
        <f t="shared" si="27"/>
        <v>0</v>
      </c>
      <c r="O233" s="80"/>
      <c r="P233" s="80"/>
      <c r="Q233" s="80"/>
      <c r="R233" s="80"/>
      <c r="S233" s="80"/>
    </row>
    <row r="234" spans="1:20" s="85" customFormat="1" x14ac:dyDescent="0.25">
      <c r="A234" s="94">
        <f t="shared" si="22"/>
        <v>0</v>
      </c>
      <c r="B234" s="33" t="str">
        <f t="shared" si="28"/>
        <v/>
      </c>
      <c r="C234" s="34" t="s">
        <v>40</v>
      </c>
      <c r="D234" s="34"/>
      <c r="E234" s="34"/>
      <c r="F234" s="34"/>
      <c r="G234" s="80"/>
      <c r="H234" s="95">
        <v>229</v>
      </c>
      <c r="I234" s="96" t="str">
        <f t="shared" si="23"/>
        <v/>
      </c>
      <c r="J234" s="95">
        <f t="shared" si="24"/>
        <v>-2</v>
      </c>
      <c r="K234" s="95">
        <f t="shared" si="25"/>
        <v>-20</v>
      </c>
      <c r="L234" s="95"/>
      <c r="M234" s="97">
        <f t="shared" si="26"/>
        <v>0</v>
      </c>
      <c r="N234" s="97">
        <f t="shared" si="27"/>
        <v>0</v>
      </c>
      <c r="O234" s="80"/>
      <c r="P234" s="80"/>
      <c r="Q234" s="80"/>
      <c r="R234" s="80"/>
      <c r="S234" s="109"/>
      <c r="T234" s="110"/>
    </row>
    <row r="235" spans="1:20" s="85" customFormat="1" x14ac:dyDescent="0.25">
      <c r="A235" s="98">
        <f t="shared" si="22"/>
        <v>0</v>
      </c>
      <c r="B235" s="39" t="str">
        <f t="shared" si="28"/>
        <v/>
      </c>
      <c r="C235" s="40" t="s">
        <v>40</v>
      </c>
      <c r="D235" s="40"/>
      <c r="E235" s="40"/>
      <c r="F235" s="40"/>
      <c r="G235" s="80"/>
      <c r="H235" s="99">
        <v>230</v>
      </c>
      <c r="I235" s="100" t="str">
        <f t="shared" si="23"/>
        <v/>
      </c>
      <c r="J235" s="99">
        <f t="shared" si="24"/>
        <v>-2</v>
      </c>
      <c r="K235" s="99">
        <f t="shared" si="25"/>
        <v>-20</v>
      </c>
      <c r="L235" s="99"/>
      <c r="M235" s="101">
        <f t="shared" si="26"/>
        <v>0</v>
      </c>
      <c r="N235" s="101">
        <f t="shared" si="27"/>
        <v>0</v>
      </c>
      <c r="O235" s="80"/>
      <c r="P235" s="80"/>
      <c r="Q235" s="80"/>
      <c r="R235" s="80"/>
      <c r="S235" s="80"/>
    </row>
    <row r="236" spans="1:20" s="85" customFormat="1" x14ac:dyDescent="0.25">
      <c r="A236" s="94">
        <f t="shared" si="22"/>
        <v>0</v>
      </c>
      <c r="B236" s="33" t="str">
        <f t="shared" si="28"/>
        <v/>
      </c>
      <c r="C236" s="34" t="s">
        <v>40</v>
      </c>
      <c r="D236" s="34"/>
      <c r="E236" s="34"/>
      <c r="F236" s="34"/>
      <c r="G236" s="80"/>
      <c r="H236" s="95">
        <v>231</v>
      </c>
      <c r="I236" s="96" t="str">
        <f t="shared" si="23"/>
        <v/>
      </c>
      <c r="J236" s="95">
        <f t="shared" si="24"/>
        <v>-2</v>
      </c>
      <c r="K236" s="95">
        <f t="shared" si="25"/>
        <v>-20</v>
      </c>
      <c r="L236" s="95"/>
      <c r="M236" s="97">
        <f t="shared" si="26"/>
        <v>0</v>
      </c>
      <c r="N236" s="97">
        <f t="shared" si="27"/>
        <v>0</v>
      </c>
      <c r="O236" s="80"/>
      <c r="P236" s="80"/>
      <c r="Q236" s="80"/>
      <c r="R236" s="80"/>
      <c r="S236" s="109"/>
      <c r="T236" s="110"/>
    </row>
    <row r="237" spans="1:20" s="85" customFormat="1" x14ac:dyDescent="0.25">
      <c r="A237" s="98">
        <f t="shared" si="22"/>
        <v>0</v>
      </c>
      <c r="B237" s="39" t="str">
        <f t="shared" si="28"/>
        <v/>
      </c>
      <c r="C237" s="40" t="s">
        <v>40</v>
      </c>
      <c r="D237" s="40"/>
      <c r="E237" s="40"/>
      <c r="F237" s="40"/>
      <c r="G237" s="80"/>
      <c r="H237" s="99">
        <v>232</v>
      </c>
      <c r="I237" s="100" t="str">
        <f t="shared" si="23"/>
        <v/>
      </c>
      <c r="J237" s="99">
        <f t="shared" si="24"/>
        <v>-2</v>
      </c>
      <c r="K237" s="99">
        <f t="shared" si="25"/>
        <v>-20</v>
      </c>
      <c r="L237" s="99"/>
      <c r="M237" s="101">
        <f t="shared" si="26"/>
        <v>0</v>
      </c>
      <c r="N237" s="101">
        <f t="shared" si="27"/>
        <v>0</v>
      </c>
      <c r="O237" s="80"/>
      <c r="P237" s="80"/>
      <c r="Q237" s="80"/>
      <c r="R237" s="80"/>
      <c r="S237" s="80"/>
    </row>
    <row r="238" spans="1:20" s="85" customFormat="1" x14ac:dyDescent="0.25">
      <c r="A238" s="94">
        <f t="shared" si="22"/>
        <v>0</v>
      </c>
      <c r="B238" s="33" t="str">
        <f t="shared" si="28"/>
        <v/>
      </c>
      <c r="C238" s="34" t="s">
        <v>40</v>
      </c>
      <c r="D238" s="34"/>
      <c r="E238" s="34"/>
      <c r="F238" s="34"/>
      <c r="G238" s="80"/>
      <c r="H238" s="95">
        <v>233</v>
      </c>
      <c r="I238" s="96" t="str">
        <f t="shared" si="23"/>
        <v/>
      </c>
      <c r="J238" s="95">
        <f t="shared" si="24"/>
        <v>-2</v>
      </c>
      <c r="K238" s="95">
        <f t="shared" si="25"/>
        <v>-20</v>
      </c>
      <c r="L238" s="95"/>
      <c r="M238" s="97">
        <f t="shared" si="26"/>
        <v>0</v>
      </c>
      <c r="N238" s="97">
        <f t="shared" si="27"/>
        <v>0</v>
      </c>
      <c r="O238" s="80"/>
      <c r="P238" s="80"/>
      <c r="Q238" s="80"/>
      <c r="R238" s="80"/>
      <c r="S238" s="109"/>
      <c r="T238" s="110"/>
    </row>
    <row r="239" spans="1:20" s="85" customFormat="1" x14ac:dyDescent="0.25">
      <c r="A239" s="98">
        <f t="shared" si="22"/>
        <v>0</v>
      </c>
      <c r="B239" s="39" t="str">
        <f t="shared" si="28"/>
        <v/>
      </c>
      <c r="C239" s="40" t="s">
        <v>40</v>
      </c>
      <c r="D239" s="40"/>
      <c r="E239" s="40"/>
      <c r="F239" s="40"/>
      <c r="G239" s="80"/>
      <c r="H239" s="99">
        <v>234</v>
      </c>
      <c r="I239" s="100" t="str">
        <f t="shared" si="23"/>
        <v/>
      </c>
      <c r="J239" s="99">
        <f t="shared" si="24"/>
        <v>-2</v>
      </c>
      <c r="K239" s="99">
        <f t="shared" si="25"/>
        <v>-20</v>
      </c>
      <c r="L239" s="99"/>
      <c r="M239" s="101">
        <f t="shared" si="26"/>
        <v>0</v>
      </c>
      <c r="N239" s="101">
        <f t="shared" si="27"/>
        <v>0</v>
      </c>
      <c r="O239" s="80"/>
      <c r="P239" s="80"/>
      <c r="Q239" s="80"/>
      <c r="R239" s="80"/>
      <c r="S239" s="80"/>
    </row>
    <row r="240" spans="1:20" s="85" customFormat="1" x14ac:dyDescent="0.25">
      <c r="A240" s="94">
        <f t="shared" si="22"/>
        <v>0</v>
      </c>
      <c r="B240" s="33" t="str">
        <f t="shared" si="28"/>
        <v/>
      </c>
      <c r="C240" s="34" t="s">
        <v>40</v>
      </c>
      <c r="D240" s="34"/>
      <c r="E240" s="34"/>
      <c r="F240" s="34"/>
      <c r="G240" s="80"/>
      <c r="H240" s="95">
        <v>235</v>
      </c>
      <c r="I240" s="96" t="str">
        <f t="shared" si="23"/>
        <v/>
      </c>
      <c r="J240" s="95">
        <f t="shared" si="24"/>
        <v>-2</v>
      </c>
      <c r="K240" s="95">
        <f t="shared" si="25"/>
        <v>-20</v>
      </c>
      <c r="L240" s="95"/>
      <c r="M240" s="97">
        <f t="shared" si="26"/>
        <v>0</v>
      </c>
      <c r="N240" s="97">
        <f t="shared" si="27"/>
        <v>0</v>
      </c>
      <c r="O240" s="80"/>
      <c r="P240" s="80"/>
      <c r="Q240" s="80"/>
      <c r="R240" s="80"/>
      <c r="S240" s="109"/>
      <c r="T240" s="110"/>
    </row>
    <row r="241" spans="1:20" s="85" customFormat="1" x14ac:dyDescent="0.25">
      <c r="A241" s="98">
        <f t="shared" si="22"/>
        <v>0</v>
      </c>
      <c r="B241" s="39" t="str">
        <f t="shared" si="28"/>
        <v/>
      </c>
      <c r="C241" s="40" t="s">
        <v>40</v>
      </c>
      <c r="D241" s="40"/>
      <c r="E241" s="40"/>
      <c r="F241" s="40"/>
      <c r="G241" s="80"/>
      <c r="H241" s="99">
        <v>236</v>
      </c>
      <c r="I241" s="100" t="str">
        <f t="shared" si="23"/>
        <v/>
      </c>
      <c r="J241" s="99">
        <f t="shared" si="24"/>
        <v>-2</v>
      </c>
      <c r="K241" s="99">
        <f t="shared" si="25"/>
        <v>-20</v>
      </c>
      <c r="L241" s="99"/>
      <c r="M241" s="101">
        <f t="shared" si="26"/>
        <v>0</v>
      </c>
      <c r="N241" s="101">
        <f t="shared" si="27"/>
        <v>0</v>
      </c>
      <c r="O241" s="80"/>
      <c r="P241" s="80"/>
      <c r="Q241" s="80"/>
      <c r="R241" s="80"/>
      <c r="S241" s="80"/>
    </row>
    <row r="242" spans="1:20" s="85" customFormat="1" x14ac:dyDescent="0.25">
      <c r="A242" s="94">
        <f t="shared" si="22"/>
        <v>0</v>
      </c>
      <c r="B242" s="33" t="str">
        <f t="shared" si="28"/>
        <v/>
      </c>
      <c r="C242" s="34" t="s">
        <v>40</v>
      </c>
      <c r="D242" s="34"/>
      <c r="E242" s="34"/>
      <c r="F242" s="34"/>
      <c r="G242" s="80"/>
      <c r="H242" s="95">
        <v>237</v>
      </c>
      <c r="I242" s="96" t="str">
        <f t="shared" si="23"/>
        <v/>
      </c>
      <c r="J242" s="95">
        <f t="shared" si="24"/>
        <v>-2</v>
      </c>
      <c r="K242" s="95">
        <f t="shared" si="25"/>
        <v>-20</v>
      </c>
      <c r="L242" s="95"/>
      <c r="M242" s="97">
        <f t="shared" si="26"/>
        <v>0</v>
      </c>
      <c r="N242" s="97">
        <f t="shared" si="27"/>
        <v>0</v>
      </c>
      <c r="O242" s="80"/>
      <c r="P242" s="80"/>
      <c r="Q242" s="80"/>
      <c r="R242" s="80"/>
      <c r="S242" s="109"/>
      <c r="T242" s="110"/>
    </row>
    <row r="243" spans="1:20" s="85" customFormat="1" x14ac:dyDescent="0.25">
      <c r="A243" s="98">
        <f t="shared" si="22"/>
        <v>0</v>
      </c>
      <c r="B243" s="39" t="str">
        <f t="shared" si="28"/>
        <v/>
      </c>
      <c r="C243" s="40" t="s">
        <v>40</v>
      </c>
      <c r="D243" s="40"/>
      <c r="E243" s="40"/>
      <c r="F243" s="40"/>
      <c r="G243" s="80"/>
      <c r="H243" s="99">
        <v>238</v>
      </c>
      <c r="I243" s="100" t="str">
        <f t="shared" si="23"/>
        <v/>
      </c>
      <c r="J243" s="99">
        <f t="shared" si="24"/>
        <v>-2</v>
      </c>
      <c r="K243" s="99">
        <f t="shared" si="25"/>
        <v>-20</v>
      </c>
      <c r="L243" s="99"/>
      <c r="M243" s="101">
        <f t="shared" si="26"/>
        <v>0</v>
      </c>
      <c r="N243" s="101">
        <f t="shared" si="27"/>
        <v>0</v>
      </c>
      <c r="O243" s="80"/>
      <c r="P243" s="80"/>
      <c r="Q243" s="80"/>
      <c r="R243" s="80"/>
      <c r="S243" s="80"/>
    </row>
    <row r="244" spans="1:20" s="85" customFormat="1" x14ac:dyDescent="0.25">
      <c r="A244" s="94">
        <f t="shared" si="22"/>
        <v>0</v>
      </c>
      <c r="B244" s="33" t="str">
        <f t="shared" si="28"/>
        <v/>
      </c>
      <c r="C244" s="34" t="s">
        <v>40</v>
      </c>
      <c r="D244" s="34"/>
      <c r="E244" s="34"/>
      <c r="F244" s="34"/>
      <c r="G244" s="80"/>
      <c r="H244" s="95">
        <v>239</v>
      </c>
      <c r="I244" s="96" t="str">
        <f t="shared" si="23"/>
        <v/>
      </c>
      <c r="J244" s="95">
        <f t="shared" si="24"/>
        <v>-2</v>
      </c>
      <c r="K244" s="95">
        <f t="shared" si="25"/>
        <v>-20</v>
      </c>
      <c r="L244" s="95"/>
      <c r="M244" s="97">
        <f t="shared" si="26"/>
        <v>0</v>
      </c>
      <c r="N244" s="97">
        <f t="shared" si="27"/>
        <v>0</v>
      </c>
      <c r="O244" s="80"/>
      <c r="P244" s="80"/>
      <c r="Q244" s="80"/>
      <c r="R244" s="80"/>
      <c r="S244" s="109"/>
      <c r="T244" s="110"/>
    </row>
    <row r="245" spans="1:20" s="85" customFormat="1" x14ac:dyDescent="0.25">
      <c r="A245" s="98">
        <f t="shared" si="22"/>
        <v>0</v>
      </c>
      <c r="B245" s="39" t="str">
        <f t="shared" si="28"/>
        <v/>
      </c>
      <c r="C245" s="40" t="s">
        <v>40</v>
      </c>
      <c r="D245" s="40"/>
      <c r="E245" s="40"/>
      <c r="F245" s="40"/>
      <c r="G245" s="80"/>
      <c r="H245" s="99">
        <v>240</v>
      </c>
      <c r="I245" s="100" t="str">
        <f t="shared" si="23"/>
        <v/>
      </c>
      <c r="J245" s="99">
        <f t="shared" si="24"/>
        <v>-2</v>
      </c>
      <c r="K245" s="99">
        <f t="shared" si="25"/>
        <v>-20</v>
      </c>
      <c r="L245" s="99"/>
      <c r="M245" s="101">
        <f t="shared" si="26"/>
        <v>0</v>
      </c>
      <c r="N245" s="101">
        <f t="shared" si="27"/>
        <v>0</v>
      </c>
      <c r="O245" s="80"/>
      <c r="P245" s="80"/>
      <c r="Q245" s="80"/>
      <c r="R245" s="80"/>
      <c r="S245" s="80"/>
    </row>
    <row r="246" spans="1:20" s="85" customFormat="1" x14ac:dyDescent="0.25">
      <c r="A246" s="94">
        <f t="shared" si="22"/>
        <v>0</v>
      </c>
      <c r="B246" s="33" t="str">
        <f t="shared" si="28"/>
        <v/>
      </c>
      <c r="C246" s="34" t="s">
        <v>40</v>
      </c>
      <c r="D246" s="34"/>
      <c r="E246" s="34"/>
      <c r="F246" s="34"/>
      <c r="G246" s="80"/>
      <c r="H246" s="95">
        <v>241</v>
      </c>
      <c r="I246" s="96" t="str">
        <f t="shared" si="23"/>
        <v/>
      </c>
      <c r="J246" s="95">
        <f t="shared" si="24"/>
        <v>-2</v>
      </c>
      <c r="K246" s="95">
        <f t="shared" si="25"/>
        <v>-20</v>
      </c>
      <c r="L246" s="95"/>
      <c r="M246" s="97">
        <f t="shared" si="26"/>
        <v>0</v>
      </c>
      <c r="N246" s="97">
        <f t="shared" si="27"/>
        <v>0</v>
      </c>
      <c r="O246" s="80"/>
      <c r="P246" s="80"/>
      <c r="Q246" s="80"/>
      <c r="R246" s="80"/>
      <c r="S246" s="109"/>
      <c r="T246" s="110"/>
    </row>
    <row r="247" spans="1:20" s="85" customFormat="1" x14ac:dyDescent="0.25">
      <c r="A247" s="98">
        <f t="shared" si="22"/>
        <v>0</v>
      </c>
      <c r="B247" s="39" t="str">
        <f t="shared" si="28"/>
        <v/>
      </c>
      <c r="C247" s="40" t="s">
        <v>40</v>
      </c>
      <c r="D247" s="40"/>
      <c r="E247" s="40"/>
      <c r="F247" s="40"/>
      <c r="G247" s="80"/>
      <c r="H247" s="99">
        <v>242</v>
      </c>
      <c r="I247" s="100" t="str">
        <f t="shared" si="23"/>
        <v/>
      </c>
      <c r="J247" s="99">
        <f t="shared" si="24"/>
        <v>-2</v>
      </c>
      <c r="K247" s="99">
        <f t="shared" si="25"/>
        <v>-20</v>
      </c>
      <c r="L247" s="99"/>
      <c r="M247" s="101">
        <f t="shared" si="26"/>
        <v>0</v>
      </c>
      <c r="N247" s="101">
        <f t="shared" si="27"/>
        <v>0</v>
      </c>
      <c r="O247" s="80"/>
      <c r="P247" s="80"/>
      <c r="Q247" s="80"/>
      <c r="R247" s="80"/>
      <c r="S247" s="80"/>
    </row>
    <row r="248" spans="1:20" s="85" customFormat="1" x14ac:dyDescent="0.25">
      <c r="A248" s="94">
        <f t="shared" si="22"/>
        <v>0</v>
      </c>
      <c r="B248" s="33" t="str">
        <f t="shared" si="28"/>
        <v/>
      </c>
      <c r="C248" s="34" t="s">
        <v>40</v>
      </c>
      <c r="D248" s="34"/>
      <c r="E248" s="34"/>
      <c r="F248" s="34"/>
      <c r="G248" s="80"/>
      <c r="H248" s="95">
        <v>243</v>
      </c>
      <c r="I248" s="96" t="str">
        <f t="shared" si="23"/>
        <v/>
      </c>
      <c r="J248" s="95">
        <f t="shared" si="24"/>
        <v>-2</v>
      </c>
      <c r="K248" s="95">
        <f t="shared" si="25"/>
        <v>-20</v>
      </c>
      <c r="L248" s="95"/>
      <c r="M248" s="97">
        <f t="shared" si="26"/>
        <v>0</v>
      </c>
      <c r="N248" s="97">
        <f t="shared" si="27"/>
        <v>0</v>
      </c>
      <c r="O248" s="80"/>
      <c r="P248" s="80"/>
      <c r="Q248" s="80"/>
      <c r="R248" s="80"/>
      <c r="S248" s="109"/>
      <c r="T248" s="110"/>
    </row>
    <row r="249" spans="1:20" s="85" customFormat="1" x14ac:dyDescent="0.25">
      <c r="A249" s="98">
        <f t="shared" si="22"/>
        <v>0</v>
      </c>
      <c r="B249" s="39" t="str">
        <f t="shared" si="28"/>
        <v/>
      </c>
      <c r="C249" s="40" t="s">
        <v>40</v>
      </c>
      <c r="D249" s="40"/>
      <c r="E249" s="40"/>
      <c r="F249" s="40"/>
      <c r="G249" s="80"/>
      <c r="H249" s="99">
        <v>244</v>
      </c>
      <c r="I249" s="100" t="str">
        <f t="shared" si="23"/>
        <v/>
      </c>
      <c r="J249" s="99">
        <f t="shared" si="24"/>
        <v>-2</v>
      </c>
      <c r="K249" s="99">
        <f t="shared" si="25"/>
        <v>-20</v>
      </c>
      <c r="L249" s="99"/>
      <c r="M249" s="101">
        <f t="shared" si="26"/>
        <v>0</v>
      </c>
      <c r="N249" s="101">
        <f t="shared" si="27"/>
        <v>0</v>
      </c>
      <c r="O249" s="80"/>
      <c r="P249" s="80"/>
      <c r="Q249" s="80"/>
      <c r="R249" s="80"/>
      <c r="S249" s="80"/>
    </row>
    <row r="250" spans="1:20" s="85" customFormat="1" x14ac:dyDescent="0.25">
      <c r="A250" s="94">
        <f t="shared" si="22"/>
        <v>0</v>
      </c>
      <c r="B250" s="33" t="str">
        <f t="shared" si="28"/>
        <v/>
      </c>
      <c r="C250" s="34" t="s">
        <v>40</v>
      </c>
      <c r="D250" s="34"/>
      <c r="E250" s="34"/>
      <c r="F250" s="34"/>
      <c r="G250" s="80"/>
      <c r="H250" s="95">
        <v>245</v>
      </c>
      <c r="I250" s="96" t="str">
        <f t="shared" si="23"/>
        <v/>
      </c>
      <c r="J250" s="95">
        <f t="shared" si="24"/>
        <v>-2</v>
      </c>
      <c r="K250" s="95">
        <f t="shared" si="25"/>
        <v>-20</v>
      </c>
      <c r="L250" s="95"/>
      <c r="M250" s="97">
        <f t="shared" si="26"/>
        <v>0</v>
      </c>
      <c r="N250" s="97">
        <f t="shared" si="27"/>
        <v>0</v>
      </c>
      <c r="O250" s="80"/>
      <c r="P250" s="80"/>
      <c r="Q250" s="80"/>
      <c r="R250" s="80"/>
      <c r="S250" s="109"/>
      <c r="T250" s="110"/>
    </row>
    <row r="251" spans="1:20" s="85" customFormat="1" x14ac:dyDescent="0.25">
      <c r="A251" s="98">
        <f t="shared" si="22"/>
        <v>0</v>
      </c>
      <c r="B251" s="115"/>
      <c r="C251" s="115"/>
      <c r="D251" s="115"/>
      <c r="E251" s="115"/>
      <c r="F251" s="115"/>
      <c r="G251" s="80"/>
      <c r="H251" s="95">
        <v>246</v>
      </c>
      <c r="I251" s="96" t="str">
        <f t="shared" si="23"/>
        <v/>
      </c>
      <c r="J251" s="95">
        <f t="shared" si="24"/>
        <v>-2</v>
      </c>
      <c r="K251" s="95">
        <f t="shared" si="25"/>
        <v>-20</v>
      </c>
      <c r="L251" s="95"/>
      <c r="M251" s="97">
        <f t="shared" si="26"/>
        <v>0</v>
      </c>
      <c r="N251" s="97">
        <f t="shared" si="27"/>
        <v>0</v>
      </c>
      <c r="O251" s="80"/>
      <c r="P251" s="80"/>
      <c r="Q251" s="80"/>
      <c r="R251" s="80"/>
      <c r="S251" s="80"/>
    </row>
    <row r="252" spans="1:20" s="85" customFormat="1" x14ac:dyDescent="0.25">
      <c r="A252" s="94">
        <f t="shared" si="22"/>
        <v>0</v>
      </c>
      <c r="B252" s="115"/>
      <c r="C252" s="115"/>
      <c r="D252" s="115"/>
      <c r="E252" s="115"/>
      <c r="F252" s="115"/>
      <c r="G252" s="80"/>
      <c r="H252" s="95">
        <v>247</v>
      </c>
      <c r="I252" s="96" t="str">
        <f t="shared" si="23"/>
        <v/>
      </c>
      <c r="J252" s="95">
        <f t="shared" si="24"/>
        <v>-2</v>
      </c>
      <c r="K252" s="95">
        <f t="shared" si="25"/>
        <v>-20</v>
      </c>
      <c r="L252" s="95"/>
      <c r="M252" s="97">
        <f t="shared" si="26"/>
        <v>0</v>
      </c>
      <c r="N252" s="97">
        <f t="shared" si="27"/>
        <v>0</v>
      </c>
      <c r="O252" s="80"/>
      <c r="P252" s="80"/>
      <c r="Q252" s="80"/>
      <c r="R252" s="80"/>
      <c r="S252" s="80"/>
    </row>
    <row r="253" spans="1:20" s="85" customFormat="1" x14ac:dyDescent="0.25">
      <c r="A253" s="98">
        <f t="shared" si="22"/>
        <v>0</v>
      </c>
      <c r="B253" s="115"/>
      <c r="C253" s="115"/>
      <c r="D253" s="115"/>
      <c r="E253" s="115"/>
      <c r="F253" s="115"/>
      <c r="G253" s="80"/>
      <c r="H253" s="95">
        <v>248</v>
      </c>
      <c r="I253" s="96" t="str">
        <f t="shared" si="23"/>
        <v/>
      </c>
      <c r="J253" s="95">
        <f t="shared" si="24"/>
        <v>-2</v>
      </c>
      <c r="K253" s="95">
        <f t="shared" si="25"/>
        <v>-20</v>
      </c>
      <c r="L253" s="95"/>
      <c r="M253" s="97">
        <f t="shared" si="26"/>
        <v>0</v>
      </c>
      <c r="N253" s="97">
        <f t="shared" si="27"/>
        <v>0</v>
      </c>
      <c r="O253" s="80"/>
      <c r="P253" s="80"/>
      <c r="Q253" s="80"/>
      <c r="R253" s="80"/>
      <c r="S253" s="80"/>
    </row>
    <row r="254" spans="1:20" s="85" customFormat="1" x14ac:dyDescent="0.25">
      <c r="A254" s="94">
        <f t="shared" si="22"/>
        <v>0</v>
      </c>
      <c r="B254" s="115"/>
      <c r="C254" s="115"/>
      <c r="D254" s="115"/>
      <c r="E254" s="115"/>
      <c r="F254" s="115"/>
      <c r="G254" s="80"/>
      <c r="H254" s="95">
        <v>249</v>
      </c>
      <c r="I254" s="96" t="str">
        <f t="shared" si="23"/>
        <v/>
      </c>
      <c r="J254" s="95">
        <f t="shared" si="24"/>
        <v>-2</v>
      </c>
      <c r="K254" s="95">
        <f t="shared" si="25"/>
        <v>-20</v>
      </c>
      <c r="L254" s="95"/>
      <c r="M254" s="97">
        <f t="shared" si="26"/>
        <v>0</v>
      </c>
      <c r="N254" s="97">
        <f t="shared" si="27"/>
        <v>0</v>
      </c>
      <c r="O254" s="80"/>
      <c r="P254" s="80"/>
      <c r="Q254" s="80"/>
      <c r="R254" s="80"/>
      <c r="S254" s="80"/>
    </row>
    <row r="255" spans="1:20" s="85" customFormat="1" x14ac:dyDescent="0.25">
      <c r="A255" s="98">
        <f t="shared" si="22"/>
        <v>0</v>
      </c>
      <c r="B255" s="115"/>
      <c r="C255" s="115"/>
      <c r="D255" s="115"/>
      <c r="E255" s="115"/>
      <c r="F255" s="115"/>
      <c r="G255" s="80"/>
      <c r="H255" s="95">
        <v>250</v>
      </c>
      <c r="I255" s="96" t="str">
        <f t="shared" si="23"/>
        <v/>
      </c>
      <c r="J255" s="95">
        <f t="shared" si="24"/>
        <v>-2</v>
      </c>
      <c r="K255" s="95">
        <f t="shared" si="25"/>
        <v>-20</v>
      </c>
      <c r="L255" s="95"/>
      <c r="M255" s="97">
        <f t="shared" si="26"/>
        <v>0</v>
      </c>
      <c r="N255" s="97">
        <f t="shared" si="27"/>
        <v>0</v>
      </c>
      <c r="O255" s="80"/>
      <c r="P255" s="80"/>
      <c r="Q255" s="80"/>
      <c r="R255" s="80"/>
      <c r="S255" s="80"/>
    </row>
    <row r="256" spans="1:20" s="85" customFormat="1" x14ac:dyDescent="0.25">
      <c r="A256" s="94">
        <f t="shared" si="22"/>
        <v>0</v>
      </c>
      <c r="B256" s="115"/>
      <c r="C256" s="115"/>
      <c r="D256" s="115"/>
      <c r="E256" s="115"/>
      <c r="F256" s="115"/>
      <c r="G256" s="80"/>
      <c r="H256" s="95">
        <v>251</v>
      </c>
      <c r="I256" s="96" t="str">
        <f t="shared" si="23"/>
        <v/>
      </c>
      <c r="J256" s="95">
        <f t="shared" si="24"/>
        <v>-2</v>
      </c>
      <c r="K256" s="95">
        <f t="shared" si="25"/>
        <v>-20</v>
      </c>
      <c r="L256" s="95"/>
      <c r="M256" s="97">
        <f t="shared" si="26"/>
        <v>0</v>
      </c>
      <c r="N256" s="97">
        <f t="shared" si="27"/>
        <v>0</v>
      </c>
      <c r="O256" s="80"/>
      <c r="P256" s="80"/>
      <c r="Q256" s="80"/>
      <c r="R256" s="80"/>
      <c r="S256" s="80"/>
    </row>
    <row r="257" spans="1:39" s="80" customFormat="1" x14ac:dyDescent="0.25">
      <c r="A257" s="98">
        <f t="shared" si="22"/>
        <v>0</v>
      </c>
      <c r="B257" s="115"/>
      <c r="C257" s="115"/>
      <c r="D257" s="115"/>
      <c r="E257" s="115"/>
      <c r="F257" s="115"/>
      <c r="H257" s="95">
        <v>252</v>
      </c>
      <c r="I257" s="96" t="str">
        <f t="shared" si="23"/>
        <v/>
      </c>
      <c r="J257" s="95">
        <f t="shared" si="24"/>
        <v>-2</v>
      </c>
      <c r="K257" s="95">
        <f t="shared" si="25"/>
        <v>-20</v>
      </c>
      <c r="L257" s="95"/>
      <c r="M257" s="97">
        <f t="shared" si="26"/>
        <v>0</v>
      </c>
      <c r="N257" s="97">
        <f t="shared" si="27"/>
        <v>0</v>
      </c>
      <c r="T257" s="85"/>
      <c r="U257" s="85"/>
      <c r="V257" s="85"/>
      <c r="W257" s="85"/>
      <c r="X257" s="85"/>
      <c r="Y257" s="85"/>
      <c r="Z257" s="85"/>
      <c r="AA257" s="85"/>
      <c r="AB257" s="85"/>
      <c r="AC257" s="85"/>
      <c r="AD257" s="85"/>
      <c r="AE257" s="85"/>
      <c r="AF257" s="85"/>
      <c r="AG257" s="85"/>
      <c r="AH257" s="85"/>
      <c r="AI257" s="85"/>
      <c r="AJ257" s="85"/>
      <c r="AK257" s="85"/>
      <c r="AL257" s="85"/>
      <c r="AM257" s="85"/>
    </row>
    <row r="258" spans="1:39" s="80" customFormat="1" x14ac:dyDescent="0.25">
      <c r="A258" s="94">
        <f t="shared" si="22"/>
        <v>0</v>
      </c>
      <c r="B258" s="115"/>
      <c r="C258" s="115"/>
      <c r="D258" s="115"/>
      <c r="E258" s="115"/>
      <c r="F258" s="115"/>
      <c r="H258" s="95">
        <v>253</v>
      </c>
      <c r="I258" s="96" t="str">
        <f t="shared" si="23"/>
        <v/>
      </c>
      <c r="J258" s="95">
        <f t="shared" si="24"/>
        <v>-2</v>
      </c>
      <c r="K258" s="95">
        <f t="shared" si="25"/>
        <v>-20</v>
      </c>
      <c r="L258" s="95"/>
      <c r="M258" s="97">
        <f t="shared" si="26"/>
        <v>0</v>
      </c>
      <c r="N258" s="97">
        <f t="shared" si="27"/>
        <v>0</v>
      </c>
      <c r="T258" s="85"/>
      <c r="U258" s="85"/>
      <c r="V258" s="85"/>
      <c r="W258" s="85"/>
      <c r="X258" s="85"/>
      <c r="Y258" s="85"/>
      <c r="Z258" s="85"/>
      <c r="AA258" s="85"/>
      <c r="AB258" s="85"/>
      <c r="AC258" s="85"/>
      <c r="AD258" s="85"/>
      <c r="AE258" s="85"/>
      <c r="AF258" s="85"/>
      <c r="AG258" s="85"/>
      <c r="AH258" s="85"/>
      <c r="AI258" s="85"/>
      <c r="AJ258" s="85"/>
      <c r="AK258" s="85"/>
      <c r="AL258" s="85"/>
      <c r="AM258" s="85"/>
    </row>
    <row r="259" spans="1:39" s="80" customFormat="1" x14ac:dyDescent="0.25">
      <c r="A259" s="98">
        <f t="shared" si="22"/>
        <v>0</v>
      </c>
      <c r="B259" s="115"/>
      <c r="C259" s="115"/>
      <c r="D259" s="115"/>
      <c r="E259" s="115"/>
      <c r="F259" s="115"/>
      <c r="H259" s="95">
        <v>254</v>
      </c>
      <c r="I259" s="96" t="str">
        <f t="shared" si="23"/>
        <v/>
      </c>
      <c r="J259" s="95">
        <f t="shared" si="24"/>
        <v>-2</v>
      </c>
      <c r="K259" s="95">
        <f t="shared" si="25"/>
        <v>-20</v>
      </c>
      <c r="L259" s="95"/>
      <c r="M259" s="97">
        <f t="shared" si="26"/>
        <v>0</v>
      </c>
      <c r="N259" s="97">
        <f t="shared" si="27"/>
        <v>0</v>
      </c>
      <c r="T259" s="85"/>
      <c r="U259" s="85"/>
      <c r="V259" s="85"/>
      <c r="W259" s="85"/>
      <c r="X259" s="85"/>
      <c r="Y259" s="85"/>
      <c r="Z259" s="85"/>
      <c r="AA259" s="85"/>
      <c r="AB259" s="85"/>
      <c r="AC259" s="85"/>
      <c r="AD259" s="85"/>
      <c r="AE259" s="85"/>
      <c r="AF259" s="85"/>
      <c r="AG259" s="85"/>
      <c r="AH259" s="85"/>
      <c r="AI259" s="85"/>
      <c r="AJ259" s="85"/>
      <c r="AK259" s="85"/>
      <c r="AL259" s="85"/>
      <c r="AM259" s="85"/>
    </row>
    <row r="260" spans="1:39" s="80" customFormat="1" x14ac:dyDescent="0.25">
      <c r="A260" s="94">
        <f t="shared" si="22"/>
        <v>0</v>
      </c>
      <c r="B260" s="115"/>
      <c r="C260" s="115"/>
      <c r="D260" s="115"/>
      <c r="E260" s="115"/>
      <c r="F260" s="115"/>
      <c r="H260" s="95">
        <v>255</v>
      </c>
      <c r="I260" s="96" t="str">
        <f t="shared" si="23"/>
        <v/>
      </c>
      <c r="J260" s="95">
        <f t="shared" si="24"/>
        <v>-2</v>
      </c>
      <c r="K260" s="95">
        <f t="shared" si="25"/>
        <v>-20</v>
      </c>
      <c r="L260" s="95"/>
      <c r="M260" s="97">
        <f t="shared" si="26"/>
        <v>0</v>
      </c>
      <c r="N260" s="97">
        <f t="shared" si="27"/>
        <v>0</v>
      </c>
      <c r="T260" s="85"/>
      <c r="U260" s="85"/>
      <c r="V260" s="85"/>
      <c r="W260" s="85"/>
      <c r="X260" s="85"/>
      <c r="Y260" s="85"/>
      <c r="Z260" s="85"/>
      <c r="AA260" s="85"/>
      <c r="AB260" s="85"/>
      <c r="AC260" s="85"/>
      <c r="AD260" s="85"/>
      <c r="AE260" s="85"/>
      <c r="AF260" s="85"/>
      <c r="AG260" s="85"/>
      <c r="AH260" s="85"/>
      <c r="AI260" s="85"/>
      <c r="AJ260" s="85"/>
      <c r="AK260" s="85"/>
      <c r="AL260" s="85"/>
      <c r="AM260" s="85"/>
    </row>
    <row r="261" spans="1:39" s="80" customFormat="1" x14ac:dyDescent="0.25">
      <c r="A261" s="98">
        <f t="shared" si="22"/>
        <v>0</v>
      </c>
      <c r="B261" s="115"/>
      <c r="C261" s="115"/>
      <c r="D261" s="115"/>
      <c r="E261" s="115"/>
      <c r="F261" s="115"/>
      <c r="H261" s="95">
        <v>256</v>
      </c>
      <c r="I261" s="96" t="str">
        <f t="shared" si="23"/>
        <v/>
      </c>
      <c r="J261" s="95">
        <f t="shared" si="24"/>
        <v>-2</v>
      </c>
      <c r="K261" s="95">
        <f t="shared" si="25"/>
        <v>-20</v>
      </c>
      <c r="L261" s="95"/>
      <c r="M261" s="97">
        <f t="shared" si="26"/>
        <v>0</v>
      </c>
      <c r="N261" s="97">
        <f t="shared" si="27"/>
        <v>0</v>
      </c>
      <c r="T261" s="85"/>
      <c r="U261" s="85"/>
      <c r="V261" s="85"/>
      <c r="W261" s="85"/>
      <c r="X261" s="85"/>
      <c r="Y261" s="85"/>
      <c r="Z261" s="85"/>
      <c r="AA261" s="85"/>
      <c r="AB261" s="85"/>
      <c r="AC261" s="85"/>
      <c r="AD261" s="85"/>
      <c r="AE261" s="85"/>
      <c r="AF261" s="85"/>
      <c r="AG261" s="85"/>
      <c r="AH261" s="85"/>
      <c r="AI261" s="85"/>
      <c r="AJ261" s="85"/>
      <c r="AK261" s="85"/>
      <c r="AL261" s="85"/>
      <c r="AM261" s="85"/>
    </row>
    <row r="262" spans="1:39" s="80" customFormat="1" x14ac:dyDescent="0.25">
      <c r="A262" s="94">
        <f t="shared" ref="A262:A305" si="29">N262</f>
        <v>0</v>
      </c>
      <c r="B262" s="115"/>
      <c r="C262" s="115"/>
      <c r="D262" s="115"/>
      <c r="E262" s="115"/>
      <c r="F262" s="115"/>
      <c r="H262" s="95">
        <v>257</v>
      </c>
      <c r="I262" s="96" t="str">
        <f t="shared" ref="I262:I305" si="30">IF(H262&lt;$H$2+1,($I$2-($I$2-1)*(LOG(H262)/LOG($H$2))),"")</f>
        <v/>
      </c>
      <c r="J262" s="95">
        <f t="shared" ref="J262:J305" si="31">INT(LOG($H$2,2))-ROUNDUP(LOG(H262,2),0)+IF(OR($H$2=1,$H$2=2,$H$2=4,$H$2=8,$H$2=16,$H$2=32,$H$2=64,$H$2=128,$H$2=256),0,1)</f>
        <v>-3</v>
      </c>
      <c r="K262" s="95">
        <f t="shared" ref="K262:K305" si="32">J262*$J$2</f>
        <v>-30</v>
      </c>
      <c r="L262" s="95"/>
      <c r="M262" s="97">
        <f t="shared" ref="M262:M305" si="33">IF(I262&lt;&gt;"",K262+I262+L262,0)</f>
        <v>0</v>
      </c>
      <c r="N262" s="97">
        <f t="shared" ref="N262:N305" si="34">IF(I262&lt;&gt;"",M262*L$2,0)</f>
        <v>0</v>
      </c>
      <c r="T262" s="85"/>
      <c r="U262" s="85"/>
      <c r="V262" s="85"/>
      <c r="W262" s="85"/>
      <c r="X262" s="85"/>
      <c r="Y262" s="85"/>
      <c r="Z262" s="85"/>
      <c r="AA262" s="85"/>
      <c r="AB262" s="85"/>
      <c r="AC262" s="85"/>
      <c r="AD262" s="85"/>
      <c r="AE262" s="85"/>
      <c r="AF262" s="85"/>
      <c r="AG262" s="85"/>
      <c r="AH262" s="85"/>
      <c r="AI262" s="85"/>
      <c r="AJ262" s="85"/>
      <c r="AK262" s="85"/>
      <c r="AL262" s="85"/>
      <c r="AM262" s="85"/>
    </row>
    <row r="263" spans="1:39" s="80" customFormat="1" x14ac:dyDescent="0.25">
      <c r="A263" s="98">
        <f t="shared" si="29"/>
        <v>0</v>
      </c>
      <c r="B263" s="115"/>
      <c r="C263" s="115"/>
      <c r="D263" s="115"/>
      <c r="E263" s="115"/>
      <c r="F263" s="115"/>
      <c r="H263" s="95">
        <v>258</v>
      </c>
      <c r="I263" s="96" t="str">
        <f t="shared" si="30"/>
        <v/>
      </c>
      <c r="J263" s="95">
        <f t="shared" si="31"/>
        <v>-3</v>
      </c>
      <c r="K263" s="95">
        <f t="shared" si="32"/>
        <v>-30</v>
      </c>
      <c r="L263" s="95"/>
      <c r="M263" s="97">
        <f t="shared" si="33"/>
        <v>0</v>
      </c>
      <c r="N263" s="97">
        <f t="shared" si="34"/>
        <v>0</v>
      </c>
      <c r="T263" s="85"/>
      <c r="U263" s="85"/>
      <c r="V263" s="85"/>
      <c r="W263" s="85"/>
      <c r="X263" s="85"/>
      <c r="Y263" s="85"/>
      <c r="Z263" s="85"/>
      <c r="AA263" s="85"/>
      <c r="AB263" s="85"/>
      <c r="AC263" s="85"/>
      <c r="AD263" s="85"/>
      <c r="AE263" s="85"/>
      <c r="AF263" s="85"/>
      <c r="AG263" s="85"/>
      <c r="AH263" s="85"/>
      <c r="AI263" s="85"/>
      <c r="AJ263" s="85"/>
      <c r="AK263" s="85"/>
      <c r="AL263" s="85"/>
      <c r="AM263" s="85"/>
    </row>
    <row r="264" spans="1:39" s="80" customFormat="1" x14ac:dyDescent="0.25">
      <c r="A264" s="94">
        <f t="shared" si="29"/>
        <v>0</v>
      </c>
      <c r="B264" s="115"/>
      <c r="C264" s="115"/>
      <c r="D264" s="115"/>
      <c r="E264" s="115"/>
      <c r="F264" s="115"/>
      <c r="H264" s="95">
        <v>259</v>
      </c>
      <c r="I264" s="96" t="str">
        <f t="shared" si="30"/>
        <v/>
      </c>
      <c r="J264" s="95">
        <f t="shared" si="31"/>
        <v>-3</v>
      </c>
      <c r="K264" s="95">
        <f t="shared" si="32"/>
        <v>-30</v>
      </c>
      <c r="L264" s="95"/>
      <c r="M264" s="97">
        <f t="shared" si="33"/>
        <v>0</v>
      </c>
      <c r="N264" s="97">
        <f t="shared" si="34"/>
        <v>0</v>
      </c>
      <c r="T264" s="85"/>
      <c r="U264" s="85"/>
      <c r="V264" s="85"/>
      <c r="W264" s="85"/>
      <c r="X264" s="85"/>
      <c r="Y264" s="85"/>
      <c r="Z264" s="85"/>
      <c r="AA264" s="85"/>
      <c r="AB264" s="85"/>
      <c r="AC264" s="85"/>
      <c r="AD264" s="85"/>
      <c r="AE264" s="85"/>
      <c r="AF264" s="85"/>
      <c r="AG264" s="85"/>
      <c r="AH264" s="85"/>
      <c r="AI264" s="85"/>
      <c r="AJ264" s="85"/>
      <c r="AK264" s="85"/>
      <c r="AL264" s="85"/>
      <c r="AM264" s="85"/>
    </row>
    <row r="265" spans="1:39" s="80" customFormat="1" x14ac:dyDescent="0.25">
      <c r="A265" s="98">
        <f t="shared" si="29"/>
        <v>0</v>
      </c>
      <c r="B265" s="115"/>
      <c r="C265" s="115"/>
      <c r="D265" s="115"/>
      <c r="E265" s="115"/>
      <c r="F265" s="115"/>
      <c r="H265" s="95">
        <v>260</v>
      </c>
      <c r="I265" s="96" t="str">
        <f t="shared" si="30"/>
        <v/>
      </c>
      <c r="J265" s="95">
        <f t="shared" si="31"/>
        <v>-3</v>
      </c>
      <c r="K265" s="95">
        <f t="shared" si="32"/>
        <v>-30</v>
      </c>
      <c r="L265" s="95"/>
      <c r="M265" s="97">
        <f t="shared" si="33"/>
        <v>0</v>
      </c>
      <c r="N265" s="97">
        <f t="shared" si="34"/>
        <v>0</v>
      </c>
      <c r="T265" s="85"/>
      <c r="U265" s="85"/>
      <c r="V265" s="85"/>
      <c r="W265" s="85"/>
      <c r="X265" s="85"/>
      <c r="Y265" s="85"/>
      <c r="Z265" s="85"/>
      <c r="AA265" s="85"/>
      <c r="AB265" s="85"/>
      <c r="AC265" s="85"/>
      <c r="AD265" s="85"/>
      <c r="AE265" s="85"/>
      <c r="AF265" s="85"/>
      <c r="AG265" s="85"/>
      <c r="AH265" s="85"/>
      <c r="AI265" s="85"/>
      <c r="AJ265" s="85"/>
      <c r="AK265" s="85"/>
      <c r="AL265" s="85"/>
      <c r="AM265" s="85"/>
    </row>
    <row r="266" spans="1:39" s="80" customFormat="1" x14ac:dyDescent="0.25">
      <c r="A266" s="94">
        <f t="shared" si="29"/>
        <v>0</v>
      </c>
      <c r="B266" s="115"/>
      <c r="C266" s="115"/>
      <c r="D266" s="115"/>
      <c r="E266" s="115"/>
      <c r="F266" s="115"/>
      <c r="H266" s="95">
        <v>261</v>
      </c>
      <c r="I266" s="96" t="str">
        <f t="shared" si="30"/>
        <v/>
      </c>
      <c r="J266" s="95">
        <f t="shared" si="31"/>
        <v>-3</v>
      </c>
      <c r="K266" s="95">
        <f t="shared" si="32"/>
        <v>-30</v>
      </c>
      <c r="L266" s="95"/>
      <c r="M266" s="97">
        <f t="shared" si="33"/>
        <v>0</v>
      </c>
      <c r="N266" s="97">
        <f t="shared" si="34"/>
        <v>0</v>
      </c>
      <c r="T266" s="85"/>
      <c r="U266" s="85"/>
      <c r="V266" s="85"/>
      <c r="W266" s="85"/>
      <c r="X266" s="85"/>
      <c r="Y266" s="85"/>
      <c r="Z266" s="85"/>
      <c r="AA266" s="85"/>
      <c r="AB266" s="85"/>
      <c r="AC266" s="85"/>
      <c r="AD266" s="85"/>
      <c r="AE266" s="85"/>
      <c r="AF266" s="85"/>
      <c r="AG266" s="85"/>
      <c r="AH266" s="85"/>
      <c r="AI266" s="85"/>
      <c r="AJ266" s="85"/>
      <c r="AK266" s="85"/>
      <c r="AL266" s="85"/>
      <c r="AM266" s="85"/>
    </row>
    <row r="267" spans="1:39" s="80" customFormat="1" x14ac:dyDescent="0.25">
      <c r="A267" s="98">
        <f t="shared" si="29"/>
        <v>0</v>
      </c>
      <c r="B267" s="115"/>
      <c r="C267" s="115"/>
      <c r="D267" s="115"/>
      <c r="E267" s="115"/>
      <c r="F267" s="115"/>
      <c r="H267" s="95">
        <v>262</v>
      </c>
      <c r="I267" s="96" t="str">
        <f t="shared" si="30"/>
        <v/>
      </c>
      <c r="J267" s="95">
        <f t="shared" si="31"/>
        <v>-3</v>
      </c>
      <c r="K267" s="95">
        <f t="shared" si="32"/>
        <v>-30</v>
      </c>
      <c r="L267" s="95"/>
      <c r="M267" s="97">
        <f t="shared" si="33"/>
        <v>0</v>
      </c>
      <c r="N267" s="97">
        <f t="shared" si="34"/>
        <v>0</v>
      </c>
      <c r="T267" s="85"/>
      <c r="U267" s="85"/>
      <c r="V267" s="85"/>
      <c r="W267" s="85"/>
      <c r="X267" s="85"/>
      <c r="Y267" s="85"/>
      <c r="Z267" s="85"/>
      <c r="AA267" s="85"/>
      <c r="AB267" s="85"/>
      <c r="AC267" s="85"/>
      <c r="AD267" s="85"/>
      <c r="AE267" s="85"/>
      <c r="AF267" s="85"/>
      <c r="AG267" s="85"/>
      <c r="AH267" s="85"/>
      <c r="AI267" s="85"/>
      <c r="AJ267" s="85"/>
      <c r="AK267" s="85"/>
      <c r="AL267" s="85"/>
      <c r="AM267" s="85"/>
    </row>
    <row r="268" spans="1:39" s="80" customFormat="1" x14ac:dyDescent="0.25">
      <c r="A268" s="94">
        <f t="shared" si="29"/>
        <v>0</v>
      </c>
      <c r="B268" s="115"/>
      <c r="C268" s="115"/>
      <c r="D268" s="115"/>
      <c r="E268" s="115"/>
      <c r="F268" s="115"/>
      <c r="H268" s="95">
        <v>263</v>
      </c>
      <c r="I268" s="96" t="str">
        <f t="shared" si="30"/>
        <v/>
      </c>
      <c r="J268" s="95">
        <f t="shared" si="31"/>
        <v>-3</v>
      </c>
      <c r="K268" s="95">
        <f t="shared" si="32"/>
        <v>-30</v>
      </c>
      <c r="L268" s="95"/>
      <c r="M268" s="97">
        <f t="shared" si="33"/>
        <v>0</v>
      </c>
      <c r="N268" s="97">
        <f t="shared" si="34"/>
        <v>0</v>
      </c>
      <c r="T268" s="85"/>
      <c r="U268" s="85"/>
      <c r="V268" s="85"/>
      <c r="W268" s="85"/>
      <c r="X268" s="85"/>
      <c r="Y268" s="85"/>
      <c r="Z268" s="85"/>
      <c r="AA268" s="85"/>
      <c r="AB268" s="85"/>
      <c r="AC268" s="85"/>
      <c r="AD268" s="85"/>
      <c r="AE268" s="85"/>
      <c r="AF268" s="85"/>
      <c r="AG268" s="85"/>
      <c r="AH268" s="85"/>
      <c r="AI268" s="85"/>
      <c r="AJ268" s="85"/>
      <c r="AK268" s="85"/>
      <c r="AL268" s="85"/>
      <c r="AM268" s="85"/>
    </row>
    <row r="269" spans="1:39" s="80" customFormat="1" x14ac:dyDescent="0.25">
      <c r="A269" s="98">
        <f t="shared" si="29"/>
        <v>0</v>
      </c>
      <c r="B269" s="115"/>
      <c r="C269" s="115"/>
      <c r="D269" s="115"/>
      <c r="E269" s="115"/>
      <c r="F269" s="115"/>
      <c r="H269" s="95">
        <v>264</v>
      </c>
      <c r="I269" s="96" t="str">
        <f t="shared" si="30"/>
        <v/>
      </c>
      <c r="J269" s="95">
        <f t="shared" si="31"/>
        <v>-3</v>
      </c>
      <c r="K269" s="95">
        <f t="shared" si="32"/>
        <v>-30</v>
      </c>
      <c r="L269" s="95"/>
      <c r="M269" s="97">
        <f t="shared" si="33"/>
        <v>0</v>
      </c>
      <c r="N269" s="97">
        <f t="shared" si="34"/>
        <v>0</v>
      </c>
      <c r="T269" s="85"/>
      <c r="U269" s="85"/>
      <c r="V269" s="85"/>
      <c r="W269" s="85"/>
      <c r="X269" s="85"/>
      <c r="Y269" s="85"/>
      <c r="Z269" s="85"/>
      <c r="AA269" s="85"/>
      <c r="AB269" s="85"/>
      <c r="AC269" s="85"/>
      <c r="AD269" s="85"/>
      <c r="AE269" s="85"/>
      <c r="AF269" s="85"/>
      <c r="AG269" s="85"/>
      <c r="AH269" s="85"/>
      <c r="AI269" s="85"/>
      <c r="AJ269" s="85"/>
      <c r="AK269" s="85"/>
      <c r="AL269" s="85"/>
      <c r="AM269" s="85"/>
    </row>
    <row r="270" spans="1:39" s="80" customFormat="1" x14ac:dyDescent="0.25">
      <c r="A270" s="94">
        <f t="shared" si="29"/>
        <v>0</v>
      </c>
      <c r="B270" s="115"/>
      <c r="C270" s="115"/>
      <c r="D270" s="115"/>
      <c r="E270" s="115"/>
      <c r="F270" s="115"/>
      <c r="H270" s="95">
        <v>265</v>
      </c>
      <c r="I270" s="96" t="str">
        <f t="shared" si="30"/>
        <v/>
      </c>
      <c r="J270" s="95">
        <f t="shared" si="31"/>
        <v>-3</v>
      </c>
      <c r="K270" s="95">
        <f t="shared" si="32"/>
        <v>-30</v>
      </c>
      <c r="L270" s="95"/>
      <c r="M270" s="97">
        <f t="shared" si="33"/>
        <v>0</v>
      </c>
      <c r="N270" s="97">
        <f t="shared" si="34"/>
        <v>0</v>
      </c>
      <c r="T270" s="85"/>
      <c r="U270" s="85"/>
      <c r="V270" s="85"/>
      <c r="W270" s="85"/>
      <c r="X270" s="85"/>
      <c r="Y270" s="85"/>
      <c r="Z270" s="85"/>
      <c r="AA270" s="85"/>
      <c r="AB270" s="85"/>
      <c r="AC270" s="85"/>
      <c r="AD270" s="85"/>
      <c r="AE270" s="85"/>
      <c r="AF270" s="85"/>
      <c r="AG270" s="85"/>
      <c r="AH270" s="85"/>
      <c r="AI270" s="85"/>
      <c r="AJ270" s="85"/>
      <c r="AK270" s="85"/>
      <c r="AL270" s="85"/>
      <c r="AM270" s="85"/>
    </row>
    <row r="271" spans="1:39" s="80" customFormat="1" x14ac:dyDescent="0.25">
      <c r="A271" s="98">
        <f t="shared" si="29"/>
        <v>0</v>
      </c>
      <c r="B271" s="115"/>
      <c r="C271" s="115"/>
      <c r="D271" s="115"/>
      <c r="E271" s="115"/>
      <c r="F271" s="115"/>
      <c r="H271" s="95">
        <v>266</v>
      </c>
      <c r="I271" s="96" t="str">
        <f t="shared" si="30"/>
        <v/>
      </c>
      <c r="J271" s="95">
        <f t="shared" si="31"/>
        <v>-3</v>
      </c>
      <c r="K271" s="95">
        <f t="shared" si="32"/>
        <v>-30</v>
      </c>
      <c r="L271" s="95"/>
      <c r="M271" s="97">
        <f t="shared" si="33"/>
        <v>0</v>
      </c>
      <c r="N271" s="97">
        <f t="shared" si="34"/>
        <v>0</v>
      </c>
      <c r="T271" s="85"/>
      <c r="U271" s="85"/>
      <c r="V271" s="85"/>
      <c r="W271" s="85"/>
      <c r="X271" s="85"/>
      <c r="Y271" s="85"/>
      <c r="Z271" s="85"/>
      <c r="AA271" s="85"/>
      <c r="AB271" s="85"/>
      <c r="AC271" s="85"/>
      <c r="AD271" s="85"/>
      <c r="AE271" s="85"/>
      <c r="AF271" s="85"/>
      <c r="AG271" s="85"/>
      <c r="AH271" s="85"/>
      <c r="AI271" s="85"/>
      <c r="AJ271" s="85"/>
      <c r="AK271" s="85"/>
      <c r="AL271" s="85"/>
      <c r="AM271" s="85"/>
    </row>
    <row r="272" spans="1:39" s="80" customFormat="1" x14ac:dyDescent="0.25">
      <c r="A272" s="94">
        <f t="shared" si="29"/>
        <v>0</v>
      </c>
      <c r="B272" s="115"/>
      <c r="C272" s="115"/>
      <c r="D272" s="115"/>
      <c r="E272" s="115"/>
      <c r="F272" s="115"/>
      <c r="H272" s="95">
        <v>267</v>
      </c>
      <c r="I272" s="96" t="str">
        <f t="shared" si="30"/>
        <v/>
      </c>
      <c r="J272" s="95">
        <f t="shared" si="31"/>
        <v>-3</v>
      </c>
      <c r="K272" s="95">
        <f t="shared" si="32"/>
        <v>-30</v>
      </c>
      <c r="L272" s="95"/>
      <c r="M272" s="97">
        <f t="shared" si="33"/>
        <v>0</v>
      </c>
      <c r="N272" s="97">
        <f t="shared" si="34"/>
        <v>0</v>
      </c>
      <c r="T272" s="85"/>
      <c r="U272" s="85"/>
      <c r="V272" s="85"/>
      <c r="W272" s="85"/>
      <c r="X272" s="85"/>
      <c r="Y272" s="85"/>
      <c r="Z272" s="85"/>
      <c r="AA272" s="85"/>
      <c r="AB272" s="85"/>
      <c r="AC272" s="85"/>
      <c r="AD272" s="85"/>
      <c r="AE272" s="85"/>
      <c r="AF272" s="85"/>
      <c r="AG272" s="85"/>
      <c r="AH272" s="85"/>
      <c r="AI272" s="85"/>
      <c r="AJ272" s="85"/>
      <c r="AK272" s="85"/>
      <c r="AL272" s="85"/>
      <c r="AM272" s="85"/>
    </row>
    <row r="273" spans="1:39" s="80" customFormat="1" x14ac:dyDescent="0.25">
      <c r="A273" s="98">
        <f t="shared" si="29"/>
        <v>0</v>
      </c>
      <c r="B273" s="115"/>
      <c r="C273" s="115"/>
      <c r="D273" s="115"/>
      <c r="E273" s="115"/>
      <c r="F273" s="115"/>
      <c r="H273" s="95">
        <v>268</v>
      </c>
      <c r="I273" s="96" t="str">
        <f t="shared" si="30"/>
        <v/>
      </c>
      <c r="J273" s="95">
        <f t="shared" si="31"/>
        <v>-3</v>
      </c>
      <c r="K273" s="95">
        <f t="shared" si="32"/>
        <v>-30</v>
      </c>
      <c r="L273" s="95"/>
      <c r="M273" s="97">
        <f t="shared" si="33"/>
        <v>0</v>
      </c>
      <c r="N273" s="97">
        <f t="shared" si="34"/>
        <v>0</v>
      </c>
      <c r="T273" s="85"/>
      <c r="U273" s="85"/>
      <c r="V273" s="85"/>
      <c r="W273" s="85"/>
      <c r="X273" s="85"/>
      <c r="Y273" s="85"/>
      <c r="Z273" s="85"/>
      <c r="AA273" s="85"/>
      <c r="AB273" s="85"/>
      <c r="AC273" s="85"/>
      <c r="AD273" s="85"/>
      <c r="AE273" s="85"/>
      <c r="AF273" s="85"/>
      <c r="AG273" s="85"/>
      <c r="AH273" s="85"/>
      <c r="AI273" s="85"/>
      <c r="AJ273" s="85"/>
      <c r="AK273" s="85"/>
      <c r="AL273" s="85"/>
      <c r="AM273" s="85"/>
    </row>
    <row r="274" spans="1:39" s="80" customFormat="1" x14ac:dyDescent="0.25">
      <c r="A274" s="94">
        <f t="shared" si="29"/>
        <v>0</v>
      </c>
      <c r="B274" s="115"/>
      <c r="C274" s="115"/>
      <c r="D274" s="115"/>
      <c r="E274" s="115"/>
      <c r="F274" s="115"/>
      <c r="H274" s="95">
        <v>269</v>
      </c>
      <c r="I274" s="96" t="str">
        <f t="shared" si="30"/>
        <v/>
      </c>
      <c r="J274" s="95">
        <f t="shared" si="31"/>
        <v>-3</v>
      </c>
      <c r="K274" s="95">
        <f t="shared" si="32"/>
        <v>-30</v>
      </c>
      <c r="L274" s="95"/>
      <c r="M274" s="97">
        <f t="shared" si="33"/>
        <v>0</v>
      </c>
      <c r="N274" s="97">
        <f t="shared" si="34"/>
        <v>0</v>
      </c>
      <c r="T274" s="85"/>
      <c r="U274" s="85"/>
      <c r="V274" s="85"/>
      <c r="W274" s="85"/>
      <c r="X274" s="85"/>
      <c r="Y274" s="85"/>
      <c r="Z274" s="85"/>
      <c r="AA274" s="85"/>
      <c r="AB274" s="85"/>
      <c r="AC274" s="85"/>
      <c r="AD274" s="85"/>
      <c r="AE274" s="85"/>
      <c r="AF274" s="85"/>
      <c r="AG274" s="85"/>
      <c r="AH274" s="85"/>
      <c r="AI274" s="85"/>
      <c r="AJ274" s="85"/>
      <c r="AK274" s="85"/>
      <c r="AL274" s="85"/>
      <c r="AM274" s="85"/>
    </row>
    <row r="275" spans="1:39" s="80" customFormat="1" x14ac:dyDescent="0.25">
      <c r="A275" s="98">
        <f t="shared" si="29"/>
        <v>0</v>
      </c>
      <c r="B275" s="115"/>
      <c r="C275" s="115"/>
      <c r="D275" s="115"/>
      <c r="E275" s="115"/>
      <c r="F275" s="115"/>
      <c r="H275" s="95">
        <v>270</v>
      </c>
      <c r="I275" s="96" t="str">
        <f t="shared" si="30"/>
        <v/>
      </c>
      <c r="J275" s="95">
        <f t="shared" si="31"/>
        <v>-3</v>
      </c>
      <c r="K275" s="95">
        <f t="shared" si="32"/>
        <v>-30</v>
      </c>
      <c r="L275" s="95"/>
      <c r="M275" s="97">
        <f t="shared" si="33"/>
        <v>0</v>
      </c>
      <c r="N275" s="97">
        <f t="shared" si="34"/>
        <v>0</v>
      </c>
      <c r="T275" s="85"/>
      <c r="U275" s="85"/>
      <c r="V275" s="85"/>
      <c r="W275" s="85"/>
      <c r="X275" s="85"/>
      <c r="Y275" s="85"/>
      <c r="Z275" s="85"/>
      <c r="AA275" s="85"/>
      <c r="AB275" s="85"/>
      <c r="AC275" s="85"/>
      <c r="AD275" s="85"/>
      <c r="AE275" s="85"/>
      <c r="AF275" s="85"/>
      <c r="AG275" s="85"/>
      <c r="AH275" s="85"/>
      <c r="AI275" s="85"/>
      <c r="AJ275" s="85"/>
      <c r="AK275" s="85"/>
      <c r="AL275" s="85"/>
      <c r="AM275" s="85"/>
    </row>
    <row r="276" spans="1:39" s="80" customFormat="1" x14ac:dyDescent="0.25">
      <c r="A276" s="94">
        <f t="shared" si="29"/>
        <v>0</v>
      </c>
      <c r="B276" s="115"/>
      <c r="C276" s="115"/>
      <c r="D276" s="115"/>
      <c r="E276" s="115"/>
      <c r="F276" s="115"/>
      <c r="H276" s="95">
        <v>271</v>
      </c>
      <c r="I276" s="96" t="str">
        <f t="shared" si="30"/>
        <v/>
      </c>
      <c r="J276" s="95">
        <f t="shared" si="31"/>
        <v>-3</v>
      </c>
      <c r="K276" s="95">
        <f t="shared" si="32"/>
        <v>-30</v>
      </c>
      <c r="L276" s="95"/>
      <c r="M276" s="97">
        <f t="shared" si="33"/>
        <v>0</v>
      </c>
      <c r="N276" s="97">
        <f t="shared" si="34"/>
        <v>0</v>
      </c>
      <c r="T276" s="85"/>
      <c r="U276" s="85"/>
      <c r="V276" s="85"/>
      <c r="W276" s="85"/>
      <c r="X276" s="85"/>
      <c r="Y276" s="85"/>
      <c r="Z276" s="85"/>
      <c r="AA276" s="85"/>
      <c r="AB276" s="85"/>
      <c r="AC276" s="85"/>
      <c r="AD276" s="85"/>
      <c r="AE276" s="85"/>
      <c r="AF276" s="85"/>
      <c r="AG276" s="85"/>
      <c r="AH276" s="85"/>
      <c r="AI276" s="85"/>
      <c r="AJ276" s="85"/>
      <c r="AK276" s="85"/>
      <c r="AL276" s="85"/>
      <c r="AM276" s="85"/>
    </row>
    <row r="277" spans="1:39" s="80" customFormat="1" x14ac:dyDescent="0.25">
      <c r="A277" s="98">
        <f t="shared" si="29"/>
        <v>0</v>
      </c>
      <c r="B277" s="115"/>
      <c r="C277" s="115"/>
      <c r="D277" s="115"/>
      <c r="E277" s="115"/>
      <c r="F277" s="115"/>
      <c r="H277" s="95">
        <v>272</v>
      </c>
      <c r="I277" s="96" t="str">
        <f t="shared" si="30"/>
        <v/>
      </c>
      <c r="J277" s="95">
        <f t="shared" si="31"/>
        <v>-3</v>
      </c>
      <c r="K277" s="95">
        <f t="shared" si="32"/>
        <v>-30</v>
      </c>
      <c r="L277" s="95"/>
      <c r="M277" s="97">
        <f t="shared" si="33"/>
        <v>0</v>
      </c>
      <c r="N277" s="97">
        <f t="shared" si="34"/>
        <v>0</v>
      </c>
      <c r="T277" s="85"/>
      <c r="U277" s="85"/>
      <c r="V277" s="85"/>
      <c r="W277" s="85"/>
      <c r="X277" s="85"/>
      <c r="Y277" s="85"/>
      <c r="Z277" s="85"/>
      <c r="AA277" s="85"/>
      <c r="AB277" s="85"/>
      <c r="AC277" s="85"/>
      <c r="AD277" s="85"/>
      <c r="AE277" s="85"/>
      <c r="AF277" s="85"/>
      <c r="AG277" s="85"/>
      <c r="AH277" s="85"/>
      <c r="AI277" s="85"/>
      <c r="AJ277" s="85"/>
      <c r="AK277" s="85"/>
      <c r="AL277" s="85"/>
      <c r="AM277" s="85"/>
    </row>
    <row r="278" spans="1:39" s="80" customFormat="1" x14ac:dyDescent="0.25">
      <c r="A278" s="94">
        <f t="shared" si="29"/>
        <v>0</v>
      </c>
      <c r="B278" s="115"/>
      <c r="C278" s="115"/>
      <c r="D278" s="115"/>
      <c r="E278" s="115"/>
      <c r="F278" s="115"/>
      <c r="H278" s="95">
        <v>273</v>
      </c>
      <c r="I278" s="96" t="str">
        <f t="shared" si="30"/>
        <v/>
      </c>
      <c r="J278" s="95">
        <f t="shared" si="31"/>
        <v>-3</v>
      </c>
      <c r="K278" s="95">
        <f t="shared" si="32"/>
        <v>-30</v>
      </c>
      <c r="L278" s="95"/>
      <c r="M278" s="97">
        <f t="shared" si="33"/>
        <v>0</v>
      </c>
      <c r="N278" s="97">
        <f t="shared" si="34"/>
        <v>0</v>
      </c>
      <c r="T278" s="85"/>
      <c r="U278" s="85"/>
      <c r="V278" s="85"/>
      <c r="W278" s="85"/>
      <c r="X278" s="85"/>
      <c r="Y278" s="85"/>
      <c r="Z278" s="85"/>
      <c r="AA278" s="85"/>
      <c r="AB278" s="85"/>
      <c r="AC278" s="85"/>
      <c r="AD278" s="85"/>
      <c r="AE278" s="85"/>
      <c r="AF278" s="85"/>
      <c r="AG278" s="85"/>
      <c r="AH278" s="85"/>
      <c r="AI278" s="85"/>
      <c r="AJ278" s="85"/>
      <c r="AK278" s="85"/>
      <c r="AL278" s="85"/>
      <c r="AM278" s="85"/>
    </row>
    <row r="279" spans="1:39" s="80" customFormat="1" x14ac:dyDescent="0.25">
      <c r="A279" s="98">
        <f t="shared" si="29"/>
        <v>0</v>
      </c>
      <c r="B279" s="115"/>
      <c r="C279" s="115"/>
      <c r="D279" s="115"/>
      <c r="E279" s="115"/>
      <c r="F279" s="115"/>
      <c r="H279" s="95">
        <v>274</v>
      </c>
      <c r="I279" s="96" t="str">
        <f t="shared" si="30"/>
        <v/>
      </c>
      <c r="J279" s="95">
        <f t="shared" si="31"/>
        <v>-3</v>
      </c>
      <c r="K279" s="95">
        <f t="shared" si="32"/>
        <v>-30</v>
      </c>
      <c r="L279" s="95"/>
      <c r="M279" s="97">
        <f t="shared" si="33"/>
        <v>0</v>
      </c>
      <c r="N279" s="97">
        <f t="shared" si="34"/>
        <v>0</v>
      </c>
      <c r="T279" s="85"/>
      <c r="U279" s="85"/>
      <c r="V279" s="85"/>
      <c r="W279" s="85"/>
      <c r="X279" s="85"/>
      <c r="Y279" s="85"/>
      <c r="Z279" s="85"/>
      <c r="AA279" s="85"/>
      <c r="AB279" s="85"/>
      <c r="AC279" s="85"/>
      <c r="AD279" s="85"/>
      <c r="AE279" s="85"/>
      <c r="AF279" s="85"/>
      <c r="AG279" s="85"/>
      <c r="AH279" s="85"/>
      <c r="AI279" s="85"/>
      <c r="AJ279" s="85"/>
      <c r="AK279" s="85"/>
      <c r="AL279" s="85"/>
      <c r="AM279" s="85"/>
    </row>
    <row r="280" spans="1:39" s="80" customFormat="1" x14ac:dyDescent="0.25">
      <c r="A280" s="94">
        <f t="shared" si="29"/>
        <v>0</v>
      </c>
      <c r="B280" s="115"/>
      <c r="C280" s="115"/>
      <c r="D280" s="115"/>
      <c r="E280" s="115"/>
      <c r="F280" s="115"/>
      <c r="H280" s="95">
        <v>275</v>
      </c>
      <c r="I280" s="96" t="str">
        <f t="shared" si="30"/>
        <v/>
      </c>
      <c r="J280" s="95">
        <f t="shared" si="31"/>
        <v>-3</v>
      </c>
      <c r="K280" s="95">
        <f t="shared" si="32"/>
        <v>-30</v>
      </c>
      <c r="L280" s="95"/>
      <c r="M280" s="97">
        <f t="shared" si="33"/>
        <v>0</v>
      </c>
      <c r="N280" s="97">
        <f t="shared" si="34"/>
        <v>0</v>
      </c>
      <c r="T280" s="85"/>
      <c r="U280" s="85"/>
      <c r="V280" s="85"/>
      <c r="W280" s="85"/>
      <c r="X280" s="85"/>
      <c r="Y280" s="85"/>
      <c r="Z280" s="85"/>
      <c r="AA280" s="85"/>
      <c r="AB280" s="85"/>
      <c r="AC280" s="85"/>
      <c r="AD280" s="85"/>
      <c r="AE280" s="85"/>
      <c r="AF280" s="85"/>
      <c r="AG280" s="85"/>
      <c r="AH280" s="85"/>
      <c r="AI280" s="85"/>
      <c r="AJ280" s="85"/>
      <c r="AK280" s="85"/>
      <c r="AL280" s="85"/>
      <c r="AM280" s="85"/>
    </row>
    <row r="281" spans="1:39" s="80" customFormat="1" x14ac:dyDescent="0.25">
      <c r="A281" s="98">
        <f t="shared" si="29"/>
        <v>0</v>
      </c>
      <c r="B281" s="115"/>
      <c r="C281" s="115"/>
      <c r="D281" s="115"/>
      <c r="E281" s="115"/>
      <c r="F281" s="115"/>
      <c r="H281" s="95">
        <v>276</v>
      </c>
      <c r="I281" s="96" t="str">
        <f t="shared" si="30"/>
        <v/>
      </c>
      <c r="J281" s="95">
        <f t="shared" si="31"/>
        <v>-3</v>
      </c>
      <c r="K281" s="95">
        <f t="shared" si="32"/>
        <v>-30</v>
      </c>
      <c r="L281" s="95"/>
      <c r="M281" s="97">
        <f t="shared" si="33"/>
        <v>0</v>
      </c>
      <c r="N281" s="97">
        <f t="shared" si="34"/>
        <v>0</v>
      </c>
      <c r="T281" s="85"/>
      <c r="U281" s="85"/>
      <c r="V281" s="85"/>
      <c r="W281" s="85"/>
      <c r="X281" s="85"/>
      <c r="Y281" s="85"/>
      <c r="Z281" s="85"/>
      <c r="AA281" s="85"/>
      <c r="AB281" s="85"/>
      <c r="AC281" s="85"/>
      <c r="AD281" s="85"/>
      <c r="AE281" s="85"/>
      <c r="AF281" s="85"/>
      <c r="AG281" s="85"/>
      <c r="AH281" s="85"/>
      <c r="AI281" s="85"/>
      <c r="AJ281" s="85"/>
      <c r="AK281" s="85"/>
      <c r="AL281" s="85"/>
      <c r="AM281" s="85"/>
    </row>
    <row r="282" spans="1:39" s="80" customFormat="1" x14ac:dyDescent="0.25">
      <c r="A282" s="94">
        <f t="shared" si="29"/>
        <v>0</v>
      </c>
      <c r="B282" s="115"/>
      <c r="C282" s="115"/>
      <c r="D282" s="115"/>
      <c r="E282" s="115"/>
      <c r="F282" s="115"/>
      <c r="H282" s="95">
        <v>277</v>
      </c>
      <c r="I282" s="96" t="str">
        <f t="shared" si="30"/>
        <v/>
      </c>
      <c r="J282" s="95">
        <f t="shared" si="31"/>
        <v>-3</v>
      </c>
      <c r="K282" s="95">
        <f t="shared" si="32"/>
        <v>-30</v>
      </c>
      <c r="L282" s="95"/>
      <c r="M282" s="97">
        <f t="shared" si="33"/>
        <v>0</v>
      </c>
      <c r="N282" s="97">
        <f t="shared" si="34"/>
        <v>0</v>
      </c>
      <c r="T282" s="85"/>
      <c r="U282" s="85"/>
      <c r="V282" s="85"/>
      <c r="W282" s="85"/>
      <c r="X282" s="85"/>
      <c r="Y282" s="85"/>
      <c r="Z282" s="85"/>
      <c r="AA282" s="85"/>
      <c r="AB282" s="85"/>
      <c r="AC282" s="85"/>
      <c r="AD282" s="85"/>
      <c r="AE282" s="85"/>
      <c r="AF282" s="85"/>
      <c r="AG282" s="85"/>
      <c r="AH282" s="85"/>
      <c r="AI282" s="85"/>
      <c r="AJ282" s="85"/>
      <c r="AK282" s="85"/>
      <c r="AL282" s="85"/>
      <c r="AM282" s="85"/>
    </row>
    <row r="283" spans="1:39" s="80" customFormat="1" x14ac:dyDescent="0.25">
      <c r="A283" s="98">
        <f t="shared" si="29"/>
        <v>0</v>
      </c>
      <c r="B283" s="115"/>
      <c r="C283" s="115"/>
      <c r="D283" s="115"/>
      <c r="E283" s="115"/>
      <c r="F283" s="115"/>
      <c r="H283" s="95">
        <v>278</v>
      </c>
      <c r="I283" s="96" t="str">
        <f t="shared" si="30"/>
        <v/>
      </c>
      <c r="J283" s="95">
        <f t="shared" si="31"/>
        <v>-3</v>
      </c>
      <c r="K283" s="95">
        <f t="shared" si="32"/>
        <v>-30</v>
      </c>
      <c r="L283" s="95"/>
      <c r="M283" s="97">
        <f t="shared" si="33"/>
        <v>0</v>
      </c>
      <c r="N283" s="97">
        <f t="shared" si="34"/>
        <v>0</v>
      </c>
      <c r="T283" s="85"/>
      <c r="U283" s="85"/>
      <c r="V283" s="85"/>
      <c r="W283" s="85"/>
      <c r="X283" s="85"/>
      <c r="Y283" s="85"/>
      <c r="Z283" s="85"/>
      <c r="AA283" s="85"/>
      <c r="AB283" s="85"/>
      <c r="AC283" s="85"/>
      <c r="AD283" s="85"/>
      <c r="AE283" s="85"/>
      <c r="AF283" s="85"/>
      <c r="AG283" s="85"/>
      <c r="AH283" s="85"/>
      <c r="AI283" s="85"/>
      <c r="AJ283" s="85"/>
      <c r="AK283" s="85"/>
      <c r="AL283" s="85"/>
      <c r="AM283" s="85"/>
    </row>
    <row r="284" spans="1:39" s="80" customFormat="1" x14ac:dyDescent="0.25">
      <c r="A284" s="94">
        <f t="shared" si="29"/>
        <v>0</v>
      </c>
      <c r="B284" s="115"/>
      <c r="C284" s="115"/>
      <c r="D284" s="115"/>
      <c r="E284" s="115"/>
      <c r="F284" s="115"/>
      <c r="H284" s="95">
        <v>279</v>
      </c>
      <c r="I284" s="96" t="str">
        <f t="shared" si="30"/>
        <v/>
      </c>
      <c r="J284" s="95">
        <f t="shared" si="31"/>
        <v>-3</v>
      </c>
      <c r="K284" s="95">
        <f t="shared" si="32"/>
        <v>-30</v>
      </c>
      <c r="L284" s="95"/>
      <c r="M284" s="97">
        <f t="shared" si="33"/>
        <v>0</v>
      </c>
      <c r="N284" s="97">
        <f t="shared" si="34"/>
        <v>0</v>
      </c>
      <c r="T284" s="85"/>
      <c r="U284" s="85"/>
      <c r="V284" s="85"/>
      <c r="W284" s="85"/>
      <c r="X284" s="85"/>
      <c r="Y284" s="85"/>
      <c r="Z284" s="85"/>
      <c r="AA284" s="85"/>
      <c r="AB284" s="85"/>
      <c r="AC284" s="85"/>
      <c r="AD284" s="85"/>
      <c r="AE284" s="85"/>
      <c r="AF284" s="85"/>
      <c r="AG284" s="85"/>
      <c r="AH284" s="85"/>
      <c r="AI284" s="85"/>
      <c r="AJ284" s="85"/>
      <c r="AK284" s="85"/>
      <c r="AL284" s="85"/>
      <c r="AM284" s="85"/>
    </row>
    <row r="285" spans="1:39" s="80" customFormat="1" x14ac:dyDescent="0.25">
      <c r="A285" s="98">
        <f t="shared" si="29"/>
        <v>0</v>
      </c>
      <c r="B285" s="115"/>
      <c r="C285" s="115"/>
      <c r="D285" s="115"/>
      <c r="E285" s="115"/>
      <c r="F285" s="115"/>
      <c r="H285" s="95">
        <v>280</v>
      </c>
      <c r="I285" s="96" t="str">
        <f t="shared" si="30"/>
        <v/>
      </c>
      <c r="J285" s="95">
        <f t="shared" si="31"/>
        <v>-3</v>
      </c>
      <c r="K285" s="95">
        <f t="shared" si="32"/>
        <v>-30</v>
      </c>
      <c r="L285" s="95"/>
      <c r="M285" s="97">
        <f t="shared" si="33"/>
        <v>0</v>
      </c>
      <c r="N285" s="97">
        <f t="shared" si="34"/>
        <v>0</v>
      </c>
      <c r="T285" s="85"/>
      <c r="U285" s="85"/>
      <c r="V285" s="85"/>
      <c r="W285" s="85"/>
      <c r="X285" s="85"/>
      <c r="Y285" s="85"/>
      <c r="Z285" s="85"/>
      <c r="AA285" s="85"/>
      <c r="AB285" s="85"/>
      <c r="AC285" s="85"/>
      <c r="AD285" s="85"/>
      <c r="AE285" s="85"/>
      <c r="AF285" s="85"/>
      <c r="AG285" s="85"/>
      <c r="AH285" s="85"/>
      <c r="AI285" s="85"/>
      <c r="AJ285" s="85"/>
      <c r="AK285" s="85"/>
      <c r="AL285" s="85"/>
      <c r="AM285" s="85"/>
    </row>
    <row r="286" spans="1:39" s="80" customFormat="1" x14ac:dyDescent="0.25">
      <c r="A286" s="94">
        <f t="shared" si="29"/>
        <v>0</v>
      </c>
      <c r="B286" s="115"/>
      <c r="C286" s="115"/>
      <c r="D286" s="115"/>
      <c r="E286" s="115"/>
      <c r="F286" s="115"/>
      <c r="H286" s="95">
        <v>281</v>
      </c>
      <c r="I286" s="96" t="str">
        <f t="shared" si="30"/>
        <v/>
      </c>
      <c r="J286" s="95">
        <f t="shared" si="31"/>
        <v>-3</v>
      </c>
      <c r="K286" s="95">
        <f t="shared" si="32"/>
        <v>-30</v>
      </c>
      <c r="L286" s="95"/>
      <c r="M286" s="97">
        <f t="shared" si="33"/>
        <v>0</v>
      </c>
      <c r="N286" s="97">
        <f t="shared" si="34"/>
        <v>0</v>
      </c>
      <c r="T286" s="85"/>
      <c r="U286" s="85"/>
      <c r="V286" s="85"/>
      <c r="W286" s="85"/>
      <c r="X286" s="85"/>
      <c r="Y286" s="85"/>
      <c r="Z286" s="85"/>
      <c r="AA286" s="85"/>
      <c r="AB286" s="85"/>
      <c r="AC286" s="85"/>
      <c r="AD286" s="85"/>
      <c r="AE286" s="85"/>
      <c r="AF286" s="85"/>
      <c r="AG286" s="85"/>
      <c r="AH286" s="85"/>
      <c r="AI286" s="85"/>
      <c r="AJ286" s="85"/>
      <c r="AK286" s="85"/>
      <c r="AL286" s="85"/>
      <c r="AM286" s="85"/>
    </row>
    <row r="287" spans="1:39" s="80" customFormat="1" x14ac:dyDescent="0.25">
      <c r="A287" s="98">
        <f t="shared" si="29"/>
        <v>0</v>
      </c>
      <c r="B287" s="115"/>
      <c r="C287" s="115"/>
      <c r="D287" s="115"/>
      <c r="E287" s="115"/>
      <c r="F287" s="115"/>
      <c r="H287" s="95">
        <v>282</v>
      </c>
      <c r="I287" s="96" t="str">
        <f t="shared" si="30"/>
        <v/>
      </c>
      <c r="J287" s="95">
        <f t="shared" si="31"/>
        <v>-3</v>
      </c>
      <c r="K287" s="95">
        <f t="shared" si="32"/>
        <v>-30</v>
      </c>
      <c r="L287" s="95"/>
      <c r="M287" s="97">
        <f t="shared" si="33"/>
        <v>0</v>
      </c>
      <c r="N287" s="97">
        <f t="shared" si="34"/>
        <v>0</v>
      </c>
      <c r="T287" s="85"/>
      <c r="U287" s="85"/>
      <c r="V287" s="85"/>
      <c r="W287" s="85"/>
      <c r="X287" s="85"/>
      <c r="Y287" s="85"/>
      <c r="Z287" s="85"/>
      <c r="AA287" s="85"/>
      <c r="AB287" s="85"/>
      <c r="AC287" s="85"/>
      <c r="AD287" s="85"/>
      <c r="AE287" s="85"/>
      <c r="AF287" s="85"/>
      <c r="AG287" s="85"/>
      <c r="AH287" s="85"/>
      <c r="AI287" s="85"/>
      <c r="AJ287" s="85"/>
      <c r="AK287" s="85"/>
      <c r="AL287" s="85"/>
      <c r="AM287" s="85"/>
    </row>
    <row r="288" spans="1:39" s="80" customFormat="1" x14ac:dyDescent="0.25">
      <c r="A288" s="94">
        <f t="shared" si="29"/>
        <v>0</v>
      </c>
      <c r="B288" s="115"/>
      <c r="C288" s="115"/>
      <c r="D288" s="115"/>
      <c r="E288" s="115"/>
      <c r="F288" s="115"/>
      <c r="H288" s="95">
        <v>283</v>
      </c>
      <c r="I288" s="96" t="str">
        <f t="shared" si="30"/>
        <v/>
      </c>
      <c r="J288" s="95">
        <f t="shared" si="31"/>
        <v>-3</v>
      </c>
      <c r="K288" s="95">
        <f t="shared" si="32"/>
        <v>-30</v>
      </c>
      <c r="L288" s="95"/>
      <c r="M288" s="97">
        <f t="shared" si="33"/>
        <v>0</v>
      </c>
      <c r="N288" s="97">
        <f t="shared" si="34"/>
        <v>0</v>
      </c>
      <c r="T288" s="85"/>
      <c r="U288" s="85"/>
      <c r="V288" s="85"/>
      <c r="W288" s="85"/>
      <c r="X288" s="85"/>
      <c r="Y288" s="85"/>
      <c r="Z288" s="85"/>
      <c r="AA288" s="85"/>
      <c r="AB288" s="85"/>
      <c r="AC288" s="85"/>
      <c r="AD288" s="85"/>
      <c r="AE288" s="85"/>
      <c r="AF288" s="85"/>
      <c r="AG288" s="85"/>
      <c r="AH288" s="85"/>
      <c r="AI288" s="85"/>
      <c r="AJ288" s="85"/>
      <c r="AK288" s="85"/>
      <c r="AL288" s="85"/>
      <c r="AM288" s="85"/>
    </row>
    <row r="289" spans="1:39" s="80" customFormat="1" x14ac:dyDescent="0.25">
      <c r="A289" s="98">
        <f t="shared" si="29"/>
        <v>0</v>
      </c>
      <c r="B289" s="115"/>
      <c r="C289" s="115"/>
      <c r="D289" s="115"/>
      <c r="E289" s="115"/>
      <c r="F289" s="115"/>
      <c r="H289" s="95">
        <v>284</v>
      </c>
      <c r="I289" s="96" t="str">
        <f t="shared" si="30"/>
        <v/>
      </c>
      <c r="J289" s="95">
        <f t="shared" si="31"/>
        <v>-3</v>
      </c>
      <c r="K289" s="95">
        <f t="shared" si="32"/>
        <v>-30</v>
      </c>
      <c r="L289" s="95"/>
      <c r="M289" s="97">
        <f t="shared" si="33"/>
        <v>0</v>
      </c>
      <c r="N289" s="97">
        <f t="shared" si="34"/>
        <v>0</v>
      </c>
      <c r="T289" s="85"/>
      <c r="U289" s="85"/>
      <c r="V289" s="85"/>
      <c r="W289" s="85"/>
      <c r="X289" s="85"/>
      <c r="Y289" s="85"/>
      <c r="Z289" s="85"/>
      <c r="AA289" s="85"/>
      <c r="AB289" s="85"/>
      <c r="AC289" s="85"/>
      <c r="AD289" s="85"/>
      <c r="AE289" s="85"/>
      <c r="AF289" s="85"/>
      <c r="AG289" s="85"/>
      <c r="AH289" s="85"/>
      <c r="AI289" s="85"/>
      <c r="AJ289" s="85"/>
      <c r="AK289" s="85"/>
      <c r="AL289" s="85"/>
      <c r="AM289" s="85"/>
    </row>
    <row r="290" spans="1:39" s="80" customFormat="1" x14ac:dyDescent="0.25">
      <c r="A290" s="94">
        <f t="shared" si="29"/>
        <v>0</v>
      </c>
      <c r="B290" s="115"/>
      <c r="C290" s="115"/>
      <c r="D290" s="115"/>
      <c r="E290" s="115"/>
      <c r="F290" s="115"/>
      <c r="H290" s="95">
        <v>285</v>
      </c>
      <c r="I290" s="96" t="str">
        <f t="shared" si="30"/>
        <v/>
      </c>
      <c r="J290" s="95">
        <f t="shared" si="31"/>
        <v>-3</v>
      </c>
      <c r="K290" s="95">
        <f t="shared" si="32"/>
        <v>-30</v>
      </c>
      <c r="L290" s="95"/>
      <c r="M290" s="97">
        <f t="shared" si="33"/>
        <v>0</v>
      </c>
      <c r="N290" s="97">
        <f t="shared" si="34"/>
        <v>0</v>
      </c>
      <c r="T290" s="85"/>
      <c r="U290" s="85"/>
      <c r="V290" s="85"/>
      <c r="W290" s="85"/>
      <c r="X290" s="85"/>
      <c r="Y290" s="85"/>
      <c r="Z290" s="85"/>
      <c r="AA290" s="85"/>
      <c r="AB290" s="85"/>
      <c r="AC290" s="85"/>
      <c r="AD290" s="85"/>
      <c r="AE290" s="85"/>
      <c r="AF290" s="85"/>
      <c r="AG290" s="85"/>
      <c r="AH290" s="85"/>
      <c r="AI290" s="85"/>
      <c r="AJ290" s="85"/>
      <c r="AK290" s="85"/>
      <c r="AL290" s="85"/>
      <c r="AM290" s="85"/>
    </row>
    <row r="291" spans="1:39" s="80" customFormat="1" x14ac:dyDescent="0.25">
      <c r="A291" s="98">
        <f t="shared" si="29"/>
        <v>0</v>
      </c>
      <c r="B291" s="115"/>
      <c r="C291" s="115"/>
      <c r="D291" s="115"/>
      <c r="E291" s="115"/>
      <c r="F291" s="115"/>
      <c r="H291" s="95">
        <v>286</v>
      </c>
      <c r="I291" s="96" t="str">
        <f t="shared" si="30"/>
        <v/>
      </c>
      <c r="J291" s="95">
        <f t="shared" si="31"/>
        <v>-3</v>
      </c>
      <c r="K291" s="95">
        <f t="shared" si="32"/>
        <v>-30</v>
      </c>
      <c r="L291" s="95"/>
      <c r="M291" s="97">
        <f t="shared" si="33"/>
        <v>0</v>
      </c>
      <c r="N291" s="97">
        <f t="shared" si="34"/>
        <v>0</v>
      </c>
      <c r="T291" s="85"/>
      <c r="U291" s="85"/>
      <c r="V291" s="85"/>
      <c r="W291" s="85"/>
      <c r="X291" s="85"/>
      <c r="Y291" s="85"/>
      <c r="Z291" s="85"/>
      <c r="AA291" s="85"/>
      <c r="AB291" s="85"/>
      <c r="AC291" s="85"/>
      <c r="AD291" s="85"/>
      <c r="AE291" s="85"/>
      <c r="AF291" s="85"/>
      <c r="AG291" s="85"/>
      <c r="AH291" s="85"/>
      <c r="AI291" s="85"/>
      <c r="AJ291" s="85"/>
      <c r="AK291" s="85"/>
      <c r="AL291" s="85"/>
      <c r="AM291" s="85"/>
    </row>
    <row r="292" spans="1:39" s="80" customFormat="1" x14ac:dyDescent="0.25">
      <c r="A292" s="94">
        <f t="shared" si="29"/>
        <v>0</v>
      </c>
      <c r="B292" s="115"/>
      <c r="C292" s="115"/>
      <c r="D292" s="115"/>
      <c r="E292" s="115"/>
      <c r="F292" s="115"/>
      <c r="H292" s="95">
        <v>287</v>
      </c>
      <c r="I292" s="96" t="str">
        <f t="shared" si="30"/>
        <v/>
      </c>
      <c r="J292" s="95">
        <f t="shared" si="31"/>
        <v>-3</v>
      </c>
      <c r="K292" s="95">
        <f t="shared" si="32"/>
        <v>-30</v>
      </c>
      <c r="L292" s="95"/>
      <c r="M292" s="97">
        <f t="shared" si="33"/>
        <v>0</v>
      </c>
      <c r="N292" s="97">
        <f t="shared" si="34"/>
        <v>0</v>
      </c>
      <c r="T292" s="85"/>
      <c r="U292" s="85"/>
      <c r="V292" s="85"/>
      <c r="W292" s="85"/>
      <c r="X292" s="85"/>
      <c r="Y292" s="85"/>
      <c r="Z292" s="85"/>
      <c r="AA292" s="85"/>
      <c r="AB292" s="85"/>
      <c r="AC292" s="85"/>
      <c r="AD292" s="85"/>
      <c r="AE292" s="85"/>
      <c r="AF292" s="85"/>
      <c r="AG292" s="85"/>
      <c r="AH292" s="85"/>
      <c r="AI292" s="85"/>
      <c r="AJ292" s="85"/>
      <c r="AK292" s="85"/>
      <c r="AL292" s="85"/>
      <c r="AM292" s="85"/>
    </row>
    <row r="293" spans="1:39" s="80" customFormat="1" x14ac:dyDescent="0.25">
      <c r="A293" s="98">
        <f t="shared" si="29"/>
        <v>0</v>
      </c>
      <c r="B293" s="115"/>
      <c r="C293" s="115"/>
      <c r="D293" s="115"/>
      <c r="E293" s="115"/>
      <c r="F293" s="115"/>
      <c r="H293" s="95">
        <v>288</v>
      </c>
      <c r="I293" s="96" t="str">
        <f t="shared" si="30"/>
        <v/>
      </c>
      <c r="J293" s="95">
        <f t="shared" si="31"/>
        <v>-3</v>
      </c>
      <c r="K293" s="95">
        <f t="shared" si="32"/>
        <v>-30</v>
      </c>
      <c r="L293" s="95"/>
      <c r="M293" s="97">
        <f t="shared" si="33"/>
        <v>0</v>
      </c>
      <c r="N293" s="97">
        <f t="shared" si="34"/>
        <v>0</v>
      </c>
      <c r="T293" s="85"/>
      <c r="U293" s="85"/>
      <c r="V293" s="85"/>
      <c r="W293" s="85"/>
      <c r="X293" s="85"/>
      <c r="Y293" s="85"/>
      <c r="Z293" s="85"/>
      <c r="AA293" s="85"/>
      <c r="AB293" s="85"/>
      <c r="AC293" s="85"/>
      <c r="AD293" s="85"/>
      <c r="AE293" s="85"/>
      <c r="AF293" s="85"/>
      <c r="AG293" s="85"/>
      <c r="AH293" s="85"/>
      <c r="AI293" s="85"/>
      <c r="AJ293" s="85"/>
      <c r="AK293" s="85"/>
      <c r="AL293" s="85"/>
      <c r="AM293" s="85"/>
    </row>
    <row r="294" spans="1:39" s="80" customFormat="1" x14ac:dyDescent="0.25">
      <c r="A294" s="94">
        <f t="shared" si="29"/>
        <v>0</v>
      </c>
      <c r="B294" s="115"/>
      <c r="C294" s="115"/>
      <c r="D294" s="115"/>
      <c r="E294" s="115"/>
      <c r="F294" s="115"/>
      <c r="H294" s="95">
        <v>289</v>
      </c>
      <c r="I294" s="96" t="str">
        <f t="shared" si="30"/>
        <v/>
      </c>
      <c r="J294" s="95">
        <f t="shared" si="31"/>
        <v>-3</v>
      </c>
      <c r="K294" s="95">
        <f t="shared" si="32"/>
        <v>-30</v>
      </c>
      <c r="L294" s="95"/>
      <c r="M294" s="97">
        <f t="shared" si="33"/>
        <v>0</v>
      </c>
      <c r="N294" s="97">
        <f t="shared" si="34"/>
        <v>0</v>
      </c>
      <c r="T294" s="85"/>
      <c r="U294" s="85"/>
      <c r="V294" s="85"/>
      <c r="W294" s="85"/>
      <c r="X294" s="85"/>
      <c r="Y294" s="85"/>
      <c r="Z294" s="85"/>
      <c r="AA294" s="85"/>
      <c r="AB294" s="85"/>
      <c r="AC294" s="85"/>
      <c r="AD294" s="85"/>
      <c r="AE294" s="85"/>
      <c r="AF294" s="85"/>
      <c r="AG294" s="85"/>
      <c r="AH294" s="85"/>
      <c r="AI294" s="85"/>
      <c r="AJ294" s="85"/>
      <c r="AK294" s="85"/>
      <c r="AL294" s="85"/>
      <c r="AM294" s="85"/>
    </row>
    <row r="295" spans="1:39" s="80" customFormat="1" x14ac:dyDescent="0.25">
      <c r="A295" s="98">
        <f t="shared" si="29"/>
        <v>0</v>
      </c>
      <c r="B295" s="115"/>
      <c r="C295" s="115"/>
      <c r="D295" s="115"/>
      <c r="E295" s="115"/>
      <c r="F295" s="115"/>
      <c r="H295" s="95">
        <v>290</v>
      </c>
      <c r="I295" s="96" t="str">
        <f t="shared" si="30"/>
        <v/>
      </c>
      <c r="J295" s="95">
        <f t="shared" si="31"/>
        <v>-3</v>
      </c>
      <c r="K295" s="95">
        <f t="shared" si="32"/>
        <v>-30</v>
      </c>
      <c r="L295" s="95"/>
      <c r="M295" s="97">
        <f t="shared" si="33"/>
        <v>0</v>
      </c>
      <c r="N295" s="97">
        <f t="shared" si="34"/>
        <v>0</v>
      </c>
      <c r="T295" s="85"/>
      <c r="U295" s="85"/>
      <c r="V295" s="85"/>
      <c r="W295" s="85"/>
      <c r="X295" s="85"/>
      <c r="Y295" s="85"/>
      <c r="Z295" s="85"/>
      <c r="AA295" s="85"/>
      <c r="AB295" s="85"/>
      <c r="AC295" s="85"/>
      <c r="AD295" s="85"/>
      <c r="AE295" s="85"/>
      <c r="AF295" s="85"/>
      <c r="AG295" s="85"/>
      <c r="AH295" s="85"/>
      <c r="AI295" s="85"/>
      <c r="AJ295" s="85"/>
      <c r="AK295" s="85"/>
      <c r="AL295" s="85"/>
      <c r="AM295" s="85"/>
    </row>
    <row r="296" spans="1:39" s="80" customFormat="1" x14ac:dyDescent="0.25">
      <c r="A296" s="94">
        <f t="shared" si="29"/>
        <v>0</v>
      </c>
      <c r="B296" s="115"/>
      <c r="C296" s="115"/>
      <c r="D296" s="115"/>
      <c r="E296" s="115"/>
      <c r="F296" s="115"/>
      <c r="H296" s="95">
        <v>291</v>
      </c>
      <c r="I296" s="96" t="str">
        <f t="shared" si="30"/>
        <v/>
      </c>
      <c r="J296" s="95">
        <f t="shared" si="31"/>
        <v>-3</v>
      </c>
      <c r="K296" s="95">
        <f t="shared" si="32"/>
        <v>-30</v>
      </c>
      <c r="L296" s="95"/>
      <c r="M296" s="97">
        <f t="shared" si="33"/>
        <v>0</v>
      </c>
      <c r="N296" s="97">
        <f t="shared" si="34"/>
        <v>0</v>
      </c>
      <c r="T296" s="85"/>
      <c r="U296" s="85"/>
      <c r="V296" s="85"/>
      <c r="W296" s="85"/>
      <c r="X296" s="85"/>
      <c r="Y296" s="85"/>
      <c r="Z296" s="85"/>
      <c r="AA296" s="85"/>
      <c r="AB296" s="85"/>
      <c r="AC296" s="85"/>
      <c r="AD296" s="85"/>
      <c r="AE296" s="85"/>
      <c r="AF296" s="85"/>
      <c r="AG296" s="85"/>
      <c r="AH296" s="85"/>
      <c r="AI296" s="85"/>
      <c r="AJ296" s="85"/>
      <c r="AK296" s="85"/>
      <c r="AL296" s="85"/>
      <c r="AM296" s="85"/>
    </row>
    <row r="297" spans="1:39" s="80" customFormat="1" x14ac:dyDescent="0.25">
      <c r="A297" s="98">
        <f t="shared" si="29"/>
        <v>0</v>
      </c>
      <c r="B297" s="115"/>
      <c r="C297" s="115"/>
      <c r="D297" s="115"/>
      <c r="E297" s="115"/>
      <c r="F297" s="115"/>
      <c r="H297" s="95">
        <v>292</v>
      </c>
      <c r="I297" s="96" t="str">
        <f t="shared" si="30"/>
        <v/>
      </c>
      <c r="J297" s="95">
        <f t="shared" si="31"/>
        <v>-3</v>
      </c>
      <c r="K297" s="95">
        <f t="shared" si="32"/>
        <v>-30</v>
      </c>
      <c r="L297" s="95"/>
      <c r="M297" s="97">
        <f t="shared" si="33"/>
        <v>0</v>
      </c>
      <c r="N297" s="97">
        <f t="shared" si="34"/>
        <v>0</v>
      </c>
      <c r="T297" s="85"/>
      <c r="U297" s="85"/>
      <c r="V297" s="85"/>
      <c r="W297" s="85"/>
      <c r="X297" s="85"/>
      <c r="Y297" s="85"/>
      <c r="Z297" s="85"/>
      <c r="AA297" s="85"/>
      <c r="AB297" s="85"/>
      <c r="AC297" s="85"/>
      <c r="AD297" s="85"/>
      <c r="AE297" s="85"/>
      <c r="AF297" s="85"/>
      <c r="AG297" s="85"/>
      <c r="AH297" s="85"/>
      <c r="AI297" s="85"/>
      <c r="AJ297" s="85"/>
      <c r="AK297" s="85"/>
      <c r="AL297" s="85"/>
      <c r="AM297" s="85"/>
    </row>
    <row r="298" spans="1:39" s="80" customFormat="1" x14ac:dyDescent="0.25">
      <c r="A298" s="94">
        <f t="shared" si="29"/>
        <v>0</v>
      </c>
      <c r="B298" s="115"/>
      <c r="C298" s="115"/>
      <c r="D298" s="115"/>
      <c r="E298" s="115"/>
      <c r="F298" s="115"/>
      <c r="H298" s="95">
        <v>293</v>
      </c>
      <c r="I298" s="96" t="str">
        <f t="shared" si="30"/>
        <v/>
      </c>
      <c r="J298" s="95">
        <f t="shared" si="31"/>
        <v>-3</v>
      </c>
      <c r="K298" s="95">
        <f t="shared" si="32"/>
        <v>-30</v>
      </c>
      <c r="L298" s="95"/>
      <c r="M298" s="97">
        <f t="shared" si="33"/>
        <v>0</v>
      </c>
      <c r="N298" s="97">
        <f t="shared" si="34"/>
        <v>0</v>
      </c>
      <c r="T298" s="85"/>
      <c r="U298" s="85"/>
      <c r="V298" s="85"/>
      <c r="W298" s="85"/>
      <c r="X298" s="85"/>
      <c r="Y298" s="85"/>
      <c r="Z298" s="85"/>
      <c r="AA298" s="85"/>
      <c r="AB298" s="85"/>
      <c r="AC298" s="85"/>
      <c r="AD298" s="85"/>
      <c r="AE298" s="85"/>
      <c r="AF298" s="85"/>
      <c r="AG298" s="85"/>
      <c r="AH298" s="85"/>
      <c r="AI298" s="85"/>
      <c r="AJ298" s="85"/>
      <c r="AK298" s="85"/>
      <c r="AL298" s="85"/>
      <c r="AM298" s="85"/>
    </row>
    <row r="299" spans="1:39" s="80" customFormat="1" x14ac:dyDescent="0.25">
      <c r="A299" s="98">
        <f t="shared" si="29"/>
        <v>0</v>
      </c>
      <c r="B299" s="115"/>
      <c r="C299" s="115"/>
      <c r="D299" s="115"/>
      <c r="E299" s="115"/>
      <c r="F299" s="115"/>
      <c r="H299" s="95">
        <v>294</v>
      </c>
      <c r="I299" s="96" t="str">
        <f t="shared" si="30"/>
        <v/>
      </c>
      <c r="J299" s="95">
        <f t="shared" si="31"/>
        <v>-3</v>
      </c>
      <c r="K299" s="95">
        <f t="shared" si="32"/>
        <v>-30</v>
      </c>
      <c r="L299" s="95"/>
      <c r="M299" s="97">
        <f t="shared" si="33"/>
        <v>0</v>
      </c>
      <c r="N299" s="97">
        <f t="shared" si="34"/>
        <v>0</v>
      </c>
      <c r="T299" s="85"/>
      <c r="U299" s="85"/>
      <c r="V299" s="85"/>
      <c r="W299" s="85"/>
      <c r="X299" s="85"/>
      <c r="Y299" s="85"/>
      <c r="Z299" s="85"/>
      <c r="AA299" s="85"/>
      <c r="AB299" s="85"/>
      <c r="AC299" s="85"/>
      <c r="AD299" s="85"/>
      <c r="AE299" s="85"/>
      <c r="AF299" s="85"/>
      <c r="AG299" s="85"/>
      <c r="AH299" s="85"/>
      <c r="AI299" s="85"/>
      <c r="AJ299" s="85"/>
      <c r="AK299" s="85"/>
      <c r="AL299" s="85"/>
      <c r="AM299" s="85"/>
    </row>
    <row r="300" spans="1:39" s="80" customFormat="1" x14ac:dyDescent="0.25">
      <c r="A300" s="94">
        <f t="shared" si="29"/>
        <v>0</v>
      </c>
      <c r="B300" s="115"/>
      <c r="C300" s="115"/>
      <c r="D300" s="115"/>
      <c r="E300" s="115"/>
      <c r="F300" s="115"/>
      <c r="H300" s="95">
        <v>295</v>
      </c>
      <c r="I300" s="96" t="str">
        <f t="shared" si="30"/>
        <v/>
      </c>
      <c r="J300" s="95">
        <f t="shared" si="31"/>
        <v>-3</v>
      </c>
      <c r="K300" s="95">
        <f t="shared" si="32"/>
        <v>-30</v>
      </c>
      <c r="L300" s="95"/>
      <c r="M300" s="97">
        <f t="shared" si="33"/>
        <v>0</v>
      </c>
      <c r="N300" s="97">
        <f t="shared" si="34"/>
        <v>0</v>
      </c>
      <c r="T300" s="85"/>
      <c r="U300" s="85"/>
      <c r="V300" s="85"/>
      <c r="W300" s="85"/>
      <c r="X300" s="85"/>
      <c r="Y300" s="85"/>
      <c r="Z300" s="85"/>
      <c r="AA300" s="85"/>
      <c r="AB300" s="85"/>
      <c r="AC300" s="85"/>
      <c r="AD300" s="85"/>
      <c r="AE300" s="85"/>
      <c r="AF300" s="85"/>
      <c r="AG300" s="85"/>
      <c r="AH300" s="85"/>
      <c r="AI300" s="85"/>
      <c r="AJ300" s="85"/>
      <c r="AK300" s="85"/>
      <c r="AL300" s="85"/>
      <c r="AM300" s="85"/>
    </row>
    <row r="301" spans="1:39" s="80" customFormat="1" x14ac:dyDescent="0.25">
      <c r="A301" s="98">
        <f t="shared" si="29"/>
        <v>0</v>
      </c>
      <c r="B301" s="115"/>
      <c r="C301" s="115"/>
      <c r="D301" s="115"/>
      <c r="E301" s="115"/>
      <c r="F301" s="115"/>
      <c r="H301" s="95">
        <v>296</v>
      </c>
      <c r="I301" s="96" t="str">
        <f t="shared" si="30"/>
        <v/>
      </c>
      <c r="J301" s="95">
        <f t="shared" si="31"/>
        <v>-3</v>
      </c>
      <c r="K301" s="95">
        <f t="shared" si="32"/>
        <v>-30</v>
      </c>
      <c r="L301" s="95"/>
      <c r="M301" s="97">
        <f t="shared" si="33"/>
        <v>0</v>
      </c>
      <c r="N301" s="97">
        <f t="shared" si="34"/>
        <v>0</v>
      </c>
      <c r="T301" s="85"/>
      <c r="U301" s="85"/>
      <c r="V301" s="85"/>
      <c r="W301" s="85"/>
      <c r="X301" s="85"/>
      <c r="Y301" s="85"/>
      <c r="Z301" s="85"/>
      <c r="AA301" s="85"/>
      <c r="AB301" s="85"/>
      <c r="AC301" s="85"/>
      <c r="AD301" s="85"/>
      <c r="AE301" s="85"/>
      <c r="AF301" s="85"/>
      <c r="AG301" s="85"/>
      <c r="AH301" s="85"/>
      <c r="AI301" s="85"/>
      <c r="AJ301" s="85"/>
      <c r="AK301" s="85"/>
      <c r="AL301" s="85"/>
      <c r="AM301" s="85"/>
    </row>
    <row r="302" spans="1:39" s="80" customFormat="1" x14ac:dyDescent="0.25">
      <c r="A302" s="94">
        <f t="shared" si="29"/>
        <v>0</v>
      </c>
      <c r="B302" s="115"/>
      <c r="C302" s="115"/>
      <c r="D302" s="115"/>
      <c r="E302" s="115"/>
      <c r="F302" s="115"/>
      <c r="H302" s="95">
        <v>297</v>
      </c>
      <c r="I302" s="96" t="str">
        <f t="shared" si="30"/>
        <v/>
      </c>
      <c r="J302" s="95">
        <f t="shared" si="31"/>
        <v>-3</v>
      </c>
      <c r="K302" s="95">
        <f t="shared" si="32"/>
        <v>-30</v>
      </c>
      <c r="L302" s="95"/>
      <c r="M302" s="97">
        <f t="shared" si="33"/>
        <v>0</v>
      </c>
      <c r="N302" s="97">
        <f t="shared" si="34"/>
        <v>0</v>
      </c>
      <c r="T302" s="85"/>
      <c r="U302" s="85"/>
      <c r="V302" s="85"/>
      <c r="W302" s="85"/>
      <c r="X302" s="85"/>
      <c r="Y302" s="85"/>
      <c r="Z302" s="85"/>
      <c r="AA302" s="85"/>
      <c r="AB302" s="85"/>
      <c r="AC302" s="85"/>
      <c r="AD302" s="85"/>
      <c r="AE302" s="85"/>
      <c r="AF302" s="85"/>
      <c r="AG302" s="85"/>
      <c r="AH302" s="85"/>
      <c r="AI302" s="85"/>
      <c r="AJ302" s="85"/>
      <c r="AK302" s="85"/>
      <c r="AL302" s="85"/>
      <c r="AM302" s="85"/>
    </row>
    <row r="303" spans="1:39" s="80" customFormat="1" x14ac:dyDescent="0.25">
      <c r="A303" s="98">
        <f t="shared" si="29"/>
        <v>0</v>
      </c>
      <c r="B303" s="115"/>
      <c r="C303" s="115"/>
      <c r="D303" s="115"/>
      <c r="E303" s="115"/>
      <c r="F303" s="115"/>
      <c r="H303" s="95">
        <v>298</v>
      </c>
      <c r="I303" s="96" t="str">
        <f t="shared" si="30"/>
        <v/>
      </c>
      <c r="J303" s="95">
        <f t="shared" si="31"/>
        <v>-3</v>
      </c>
      <c r="K303" s="95">
        <f t="shared" si="32"/>
        <v>-30</v>
      </c>
      <c r="L303" s="95"/>
      <c r="M303" s="97">
        <f t="shared" si="33"/>
        <v>0</v>
      </c>
      <c r="N303" s="97">
        <f t="shared" si="34"/>
        <v>0</v>
      </c>
      <c r="T303" s="85"/>
      <c r="U303" s="85"/>
      <c r="V303" s="85"/>
      <c r="W303" s="85"/>
      <c r="X303" s="85"/>
      <c r="Y303" s="85"/>
      <c r="Z303" s="85"/>
      <c r="AA303" s="85"/>
      <c r="AB303" s="85"/>
      <c r="AC303" s="85"/>
      <c r="AD303" s="85"/>
      <c r="AE303" s="85"/>
      <c r="AF303" s="85"/>
      <c r="AG303" s="85"/>
      <c r="AH303" s="85"/>
      <c r="AI303" s="85"/>
      <c r="AJ303" s="85"/>
      <c r="AK303" s="85"/>
      <c r="AL303" s="85"/>
      <c r="AM303" s="85"/>
    </row>
    <row r="304" spans="1:39" s="80" customFormat="1" x14ac:dyDescent="0.25">
      <c r="A304" s="94">
        <f t="shared" si="29"/>
        <v>0</v>
      </c>
      <c r="B304" s="115"/>
      <c r="C304" s="115"/>
      <c r="D304" s="115"/>
      <c r="E304" s="115"/>
      <c r="F304" s="115"/>
      <c r="H304" s="95">
        <v>299</v>
      </c>
      <c r="I304" s="96" t="str">
        <f t="shared" si="30"/>
        <v/>
      </c>
      <c r="J304" s="95">
        <f t="shared" si="31"/>
        <v>-3</v>
      </c>
      <c r="K304" s="95">
        <f t="shared" si="32"/>
        <v>-30</v>
      </c>
      <c r="L304" s="95"/>
      <c r="M304" s="97">
        <f t="shared" si="33"/>
        <v>0</v>
      </c>
      <c r="N304" s="97">
        <f t="shared" si="34"/>
        <v>0</v>
      </c>
      <c r="T304" s="85"/>
      <c r="U304" s="85"/>
      <c r="V304" s="85"/>
      <c r="W304" s="85"/>
      <c r="X304" s="85"/>
      <c r="Y304" s="85"/>
      <c r="Z304" s="85"/>
      <c r="AA304" s="85"/>
      <c r="AB304" s="85"/>
      <c r="AC304" s="85"/>
      <c r="AD304" s="85"/>
      <c r="AE304" s="85"/>
      <c r="AF304" s="85"/>
      <c r="AG304" s="85"/>
      <c r="AH304" s="85"/>
      <c r="AI304" s="85"/>
      <c r="AJ304" s="85"/>
      <c r="AK304" s="85"/>
      <c r="AL304" s="85"/>
      <c r="AM304" s="85"/>
    </row>
    <row r="305" spans="1:39" s="80" customFormat="1" x14ac:dyDescent="0.25">
      <c r="A305" s="98">
        <f t="shared" si="29"/>
        <v>0</v>
      </c>
      <c r="B305" s="115"/>
      <c r="C305" s="115"/>
      <c r="D305" s="115"/>
      <c r="E305" s="115"/>
      <c r="F305" s="115"/>
      <c r="H305" s="95">
        <v>300</v>
      </c>
      <c r="I305" s="96" t="str">
        <f t="shared" si="30"/>
        <v/>
      </c>
      <c r="J305" s="95">
        <f t="shared" si="31"/>
        <v>-3</v>
      </c>
      <c r="K305" s="95">
        <f t="shared" si="32"/>
        <v>-30</v>
      </c>
      <c r="L305" s="95"/>
      <c r="M305" s="97">
        <f t="shared" si="33"/>
        <v>0</v>
      </c>
      <c r="N305" s="97">
        <f t="shared" si="34"/>
        <v>0</v>
      </c>
      <c r="T305" s="85"/>
      <c r="U305" s="85"/>
      <c r="V305" s="85"/>
      <c r="W305" s="85"/>
      <c r="X305" s="85"/>
      <c r="Y305" s="85"/>
      <c r="Z305" s="85"/>
      <c r="AA305" s="85"/>
      <c r="AB305" s="85"/>
      <c r="AC305" s="85"/>
      <c r="AD305" s="85"/>
      <c r="AE305" s="85"/>
      <c r="AF305" s="85"/>
      <c r="AG305" s="85"/>
      <c r="AH305" s="85"/>
      <c r="AI305" s="85"/>
      <c r="AJ305" s="85"/>
      <c r="AK305" s="85"/>
      <c r="AL305" s="85"/>
      <c r="AM305" s="85"/>
    </row>
    <row r="306" spans="1:39" s="80" customFormat="1" x14ac:dyDescent="0.25">
      <c r="A306" s="117"/>
      <c r="B306" s="115"/>
      <c r="C306" s="115"/>
      <c r="D306" s="115"/>
      <c r="E306" s="115"/>
      <c r="F306" s="115"/>
      <c r="G306" s="115"/>
      <c r="H306" s="118"/>
      <c r="I306" s="118"/>
      <c r="J306" s="118"/>
      <c r="K306" s="118"/>
      <c r="L306" s="118"/>
      <c r="M306" s="118"/>
      <c r="N306" s="119"/>
      <c r="T306" s="85"/>
      <c r="U306" s="85"/>
      <c r="V306" s="85"/>
      <c r="W306" s="85"/>
      <c r="X306" s="85"/>
      <c r="Y306" s="85"/>
      <c r="Z306" s="85"/>
      <c r="AA306" s="85"/>
      <c r="AB306" s="85"/>
      <c r="AC306" s="85"/>
      <c r="AD306" s="85"/>
      <c r="AE306" s="85"/>
      <c r="AF306" s="85"/>
      <c r="AG306" s="85"/>
      <c r="AH306" s="85"/>
      <c r="AI306" s="85"/>
      <c r="AJ306" s="85"/>
      <c r="AK306" s="85"/>
      <c r="AL306" s="85"/>
      <c r="AM306" s="85"/>
    </row>
    <row r="314" spans="1:39" s="80" customFormat="1" x14ac:dyDescent="0.25">
      <c r="A314" s="115"/>
      <c r="B314" s="115"/>
      <c r="C314" s="115"/>
      <c r="D314" s="115"/>
      <c r="E314" s="115"/>
      <c r="F314" s="115"/>
      <c r="G314" s="115"/>
      <c r="H314" s="118"/>
      <c r="I314" s="118"/>
      <c r="J314" s="118"/>
      <c r="K314" s="118"/>
      <c r="L314" s="120"/>
      <c r="M314" s="120"/>
      <c r="N314" s="119"/>
      <c r="Q314" s="107"/>
      <c r="T314" s="85"/>
      <c r="U314" s="85"/>
      <c r="V314" s="85"/>
      <c r="W314" s="85"/>
      <c r="X314" s="85"/>
      <c r="Y314" s="85"/>
      <c r="Z314" s="85"/>
      <c r="AA314" s="85"/>
      <c r="AB314" s="85"/>
      <c r="AC314" s="85"/>
      <c r="AD314" s="85"/>
      <c r="AE314" s="85"/>
      <c r="AF314" s="85"/>
      <c r="AG314" s="85"/>
      <c r="AH314" s="85"/>
      <c r="AI314" s="85"/>
      <c r="AJ314" s="85"/>
      <c r="AK314" s="85"/>
      <c r="AL314" s="85"/>
      <c r="AM314" s="85"/>
    </row>
    <row r="315" spans="1:39" s="80" customFormat="1" x14ac:dyDescent="0.25">
      <c r="A315" s="115"/>
      <c r="B315" s="115"/>
      <c r="C315" s="115"/>
      <c r="D315" s="115"/>
      <c r="E315" s="115"/>
      <c r="F315" s="115"/>
      <c r="G315" s="115"/>
      <c r="H315" s="118"/>
      <c r="I315" s="118"/>
      <c r="J315" s="118"/>
      <c r="K315" s="118"/>
      <c r="L315" s="120"/>
      <c r="M315" s="120"/>
      <c r="N315" s="119"/>
      <c r="Q315" s="107"/>
      <c r="T315" s="85"/>
      <c r="U315" s="85"/>
      <c r="V315" s="85"/>
      <c r="W315" s="85"/>
      <c r="X315" s="85"/>
      <c r="Y315" s="85"/>
      <c r="Z315" s="85"/>
      <c r="AA315" s="85"/>
      <c r="AB315" s="85"/>
      <c r="AC315" s="85"/>
      <c r="AD315" s="85"/>
      <c r="AE315" s="85"/>
      <c r="AF315" s="85"/>
      <c r="AG315" s="85"/>
      <c r="AH315" s="85"/>
      <c r="AI315" s="85"/>
      <c r="AJ315" s="85"/>
      <c r="AK315" s="85"/>
      <c r="AL315" s="85"/>
      <c r="AM315" s="85"/>
    </row>
    <row r="316" spans="1:39" s="80" customFormat="1" x14ac:dyDescent="0.25">
      <c r="A316" s="115"/>
      <c r="B316" s="115"/>
      <c r="C316" s="115"/>
      <c r="D316" s="115"/>
      <c r="E316" s="115"/>
      <c r="F316" s="115"/>
      <c r="G316" s="115"/>
      <c r="H316" s="118"/>
      <c r="I316" s="118"/>
      <c r="J316" s="118"/>
      <c r="K316" s="118"/>
      <c r="L316" s="120"/>
      <c r="M316" s="120"/>
      <c r="N316" s="119"/>
      <c r="Q316" s="107"/>
      <c r="T316" s="85"/>
      <c r="U316" s="85"/>
      <c r="V316" s="85"/>
      <c r="W316" s="85"/>
      <c r="X316" s="85"/>
      <c r="Y316" s="85"/>
      <c r="Z316" s="85"/>
      <c r="AA316" s="85"/>
      <c r="AB316" s="85"/>
      <c r="AC316" s="85"/>
      <c r="AD316" s="85"/>
      <c r="AE316" s="85"/>
      <c r="AF316" s="85"/>
      <c r="AG316" s="85"/>
      <c r="AH316" s="85"/>
      <c r="AI316" s="85"/>
      <c r="AJ316" s="85"/>
      <c r="AK316" s="85"/>
      <c r="AL316" s="85"/>
      <c r="AM316" s="85"/>
    </row>
    <row r="317" spans="1:39" s="80" customFormat="1" x14ac:dyDescent="0.25">
      <c r="A317" s="115"/>
      <c r="B317" s="115"/>
      <c r="C317" s="115"/>
      <c r="D317" s="115"/>
      <c r="E317" s="115"/>
      <c r="F317" s="115"/>
      <c r="G317" s="115"/>
      <c r="H317" s="118"/>
      <c r="I317" s="118"/>
      <c r="J317" s="118"/>
      <c r="K317" s="118"/>
      <c r="L317" s="120"/>
      <c r="M317" s="120"/>
      <c r="N317" s="119"/>
      <c r="Q317" s="107"/>
      <c r="T317" s="85"/>
      <c r="U317" s="85"/>
      <c r="V317" s="85"/>
      <c r="W317" s="85"/>
      <c r="X317" s="85"/>
      <c r="Y317" s="85"/>
      <c r="Z317" s="85"/>
      <c r="AA317" s="85"/>
      <c r="AB317" s="85"/>
      <c r="AC317" s="85"/>
      <c r="AD317" s="85"/>
      <c r="AE317" s="85"/>
      <c r="AF317" s="85"/>
      <c r="AG317" s="85"/>
      <c r="AH317" s="85"/>
      <c r="AI317" s="85"/>
      <c r="AJ317" s="85"/>
      <c r="AK317" s="85"/>
      <c r="AL317" s="85"/>
      <c r="AM317" s="85"/>
    </row>
  </sheetData>
  <mergeCells count="2">
    <mergeCell ref="C2:D2"/>
    <mergeCell ref="C3:D3"/>
  </mergeCells>
  <conditionalFormatting sqref="J9:K9">
    <cfRule type="cellIs" dxfId="2" priority="2" operator="lessThanOrEqual">
      <formula>0</formula>
    </cfRule>
  </conditionalFormatting>
  <conditionalFormatting sqref="J6:N8 J10:N305">
    <cfRule type="cellIs" dxfId="1" priority="3" operator="lessThanOrEqual">
      <formula>0</formula>
    </cfRule>
  </conditionalFormatting>
  <conditionalFormatting sqref="N9">
    <cfRule type="cellIs" dxfId="0" priority="1" operator="lessThanOrEqual">
      <formula>0</formula>
    </cfRule>
  </conditionalFormatting>
  <hyperlinks>
    <hyperlink ref="C2" r:id="rId1" xr:uid="{20355452-319A-49CC-AAD3-15CF4E8F6886}"/>
    <hyperlink ref="C2:D2" r:id="rId2" display="Thionville" xr:uid="{4DA9E37A-B947-4F2D-9EDE-21CB917A8755}"/>
  </hyperlinks>
  <pageMargins left="0.7" right="0.7" top="0.75" bottom="0.75" header="0.3" footer="0.3"/>
  <pageSetup paperSize="9"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25</vt:i4>
      </vt:variant>
    </vt:vector>
  </HeadingPairs>
  <TitlesOfParts>
    <vt:vector size="25" baseType="lpstr">
      <vt:lpstr>Ranking</vt:lpstr>
      <vt:lpstr>GP1</vt:lpstr>
      <vt:lpstr>GP2</vt:lpstr>
      <vt:lpstr>GP3</vt:lpstr>
      <vt:lpstr>GP4</vt:lpstr>
      <vt:lpstr>GP5</vt:lpstr>
      <vt:lpstr>GP6</vt:lpstr>
      <vt:lpstr>GP7</vt:lpstr>
      <vt:lpstr>GP8</vt:lpstr>
      <vt:lpstr>MPW</vt:lpstr>
      <vt:lpstr>Kadra</vt:lpstr>
      <vt:lpstr>PEW1</vt:lpstr>
      <vt:lpstr>PEW2</vt:lpstr>
      <vt:lpstr>PEW3</vt:lpstr>
      <vt:lpstr>VFC</vt:lpstr>
      <vt:lpstr>PEW4</vt:lpstr>
      <vt:lpstr>PEW5</vt:lpstr>
      <vt:lpstr>PEW6</vt:lpstr>
      <vt:lpstr>PEW7</vt:lpstr>
      <vt:lpstr>PEW8</vt:lpstr>
      <vt:lpstr>PEW9</vt:lpstr>
      <vt:lpstr>PEW10</vt:lpstr>
      <vt:lpstr>PEW11</vt:lpstr>
      <vt:lpstr>PEW12</vt:lpstr>
      <vt:lpstr>IMEW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SPWS Ranking</cp:lastModifiedBy>
  <cp:revision/>
  <dcterms:created xsi:type="dcterms:W3CDTF">2021-10-21T08:27:43Z</dcterms:created>
  <dcterms:modified xsi:type="dcterms:W3CDTF">2024-06-26T08:47:08Z</dcterms:modified>
  <cp:category/>
  <cp:contentStatus/>
</cp:coreProperties>
</file>